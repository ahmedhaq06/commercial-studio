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uide" sheetId="2" state="visible" r:id="rId4"/>
    <sheet name="Lists" sheetId="3" state="visible" r:id="rId5"/>
    <sheet name="Geography" sheetId="4" state="visible" r:id="rId6"/>
    <sheet name="Leads Pipeline" sheetId="5" state="visible" r:id="rId7"/>
    <sheet name="Active Clients" sheetId="6" state="visible" r:id="rId8"/>
    <sheet name="Activity Log" sheetId="7" state="visible" r:id="rId9"/>
  </sheets>
  <definedNames>
    <definedName function="false" hidden="false" localSheetId="5" name="_xlnm.Print_Titles" vbProcedure="false">'Active Clients'!$4:$4</definedName>
    <definedName function="false" hidden="true" localSheetId="5" name="_xlnm._FilterDatabase" vbProcedure="false">'Active Clients'!$A$4:$X$504</definedName>
    <definedName function="false" hidden="false" localSheetId="6" name="_xlnm.Print_Titles" vbProcedure="false">'Activity Log'!$4:$4</definedName>
    <definedName function="false" hidden="true" localSheetId="6" name="_xlnm._FilterDatabase" vbProcedure="false">'Activity Log'!$A$4:$L$3004</definedName>
    <definedName function="false" hidden="false" localSheetId="3" name="_xlnm.Print_Titles" vbProcedure="false">Geography!$4:$4</definedName>
    <definedName function="false" hidden="true" localSheetId="3" name="_xlnm._FilterDatabase" vbProcedure="false">Geography!$A$4:$J$304</definedName>
    <definedName function="false" hidden="false" localSheetId="4" name="_xlnm.Print_Titles" vbProcedure="false">'Leads Pipeline'!$4:$4</definedName>
    <definedName function="false" hidden="true" localSheetId="4" name="_xlnm._FilterDatabase" vbProcedure="false">'Leads Pipeline'!$A$4:$X$1004</definedName>
    <definedName function="false" hidden="false" name="MgrCrit" vbProcedure="false">Dashboard!$Z$5</definedName>
    <definedName function="false" hidden="false" name="RptDate" vbProcedure="false">Dashboard!$C$4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Default = today. Type any date (e.g. 01.10.2026) to see that day's report.</t>
        </r>
      </text>
    </comment>
  </commentList>
</comments>
</file>

<file path=xl/sharedStrings.xml><?xml version="1.0" encoding="utf-8"?>
<sst xmlns="http://schemas.openxmlformats.org/spreadsheetml/2006/main" count="1867" uniqueCount="1762">
  <si>
    <t xml:space="preserve">SALES CRM — DAILY CONTROL DASHBOARD</t>
  </si>
  <si>
    <t xml:space="preserve">GREEN ENERGY ROLF LUBRICANTS TRADING L.L.C · choose the report date and manager in the yellow cells; everything below recalculates.</t>
  </si>
  <si>
    <t xml:space="preserve">Report date</t>
  </si>
  <si>
    <t xml:space="preserve">Tip: type a past date to review any previous day.</t>
  </si>
  <si>
    <t xml:space="preserve">Sales manager</t>
  </si>
  <si>
    <t xml:space="preserve">All</t>
  </si>
  <si>
    <t xml:space="preserve">TODAY AT A GLANCE (for the report date &amp; manager selected above)</t>
  </si>
  <si>
    <t xml:space="preserve">Activities logged</t>
  </si>
  <si>
    <t xml:space="preserve">New leads added</t>
  </si>
  <si>
    <t xml:space="preserve">Follow-ups due</t>
  </si>
  <si>
    <t xml:space="preserve">Overdue follow-ups</t>
  </si>
  <si>
    <t xml:space="preserve">How to read:</t>
  </si>
  <si>
    <t xml:space="preserve">Overdue = next action date has passed and the lead is still open (or client follow-up missed).</t>
  </si>
  <si>
    <t xml:space="preserve">Open leads</t>
  </si>
  <si>
    <t xml:space="preserve">Open pipeline (USD)</t>
  </si>
  <si>
    <t xml:space="preserve">Active clients</t>
  </si>
  <si>
    <t xml:space="preserve">Sales YTD (USD)</t>
  </si>
  <si>
    <t xml:space="preserve">ACTIVITY ON REPORT DATE (by type)</t>
  </si>
  <si>
    <t xml:space="preserve">LAST 7 DAYS (activity per day)</t>
  </si>
  <si>
    <t xml:space="preserve">Activity type</t>
  </si>
  <si>
    <t xml:space="preserve">Count</t>
  </si>
  <si>
    <t xml:space="preserve">Positive outcome</t>
  </si>
  <si>
    <t xml:space="preserve">Date</t>
  </si>
  <si>
    <t xml:space="preserve">Day</t>
  </si>
  <si>
    <t xml:space="preserve">Activities</t>
  </si>
  <si>
    <t xml:space="preserve">New leads</t>
  </si>
  <si>
    <t xml:space="preserve">7-day total</t>
  </si>
  <si>
    <t xml:space="preserve">Red = working day with no activity logged</t>
  </si>
  <si>
    <t xml:space="preserve">Total</t>
  </si>
  <si>
    <t xml:space="preserve">PIPELINE BY STATUS</t>
  </si>
  <si>
    <t xml:space="preserve">Status</t>
  </si>
  <si>
    <t xml:space="preserve">Leads</t>
  </si>
  <si>
    <t xml:space="preserve">Deal value (USD)</t>
  </si>
  <si>
    <t xml:space="preserve">Volume (L/month)</t>
  </si>
  <si>
    <t xml:space="preserve">BY COUNTRY</t>
  </si>
  <si>
    <t xml:space="preserve">Country</t>
  </si>
  <si>
    <t xml:space="preserve">Total leads</t>
  </si>
  <si>
    <t xml:space="preserve">Hot leads</t>
  </si>
  <si>
    <t xml:space="preserve">Offer / Negotiation</t>
  </si>
  <si>
    <t xml:space="preserve">Won</t>
  </si>
  <si>
    <t xml:space="preserve">Lost</t>
  </si>
  <si>
    <t xml:space="preserve">Activities (7 days)</t>
  </si>
  <si>
    <t xml:space="preserve">TOTAL</t>
  </si>
  <si>
    <t xml:space="preserve">SALES MANAGER PERFORMANCE (ignores the manager filter)</t>
  </si>
  <si>
    <t xml:space="preserve">Activities (report date)</t>
  </si>
  <si>
    <t xml:space="preserve">New leads (7 days)</t>
  </si>
  <si>
    <t xml:space="preserve">Won (all time)</t>
  </si>
  <si>
    <t xml:space="preserve">HOW TO USE THIS CRM</t>
  </si>
  <si>
    <t xml:space="preserve">Sheet</t>
  </si>
  <si>
    <t xml:space="preserve">What it is for / who fills it</t>
  </si>
  <si>
    <t xml:space="preserve">Dashboard</t>
  </si>
  <si>
    <t xml:space="preserve">Your daily control screen. Set the report date (default = today) and the manager. Shows activity, follow-ups, overdue tasks, pipeline, country and manager tables.</t>
  </si>
  <si>
    <t xml:space="preserve">Leads Pipeline</t>
  </si>
  <si>
    <t xml:space="preserve">Every prospect the manager works on. One row per company. Keep Status, Last Contact, Next Action and Next Action Date up to date after every contact.</t>
  </si>
  <si>
    <t xml:space="preserve">Active Clients</t>
  </si>
  <si>
    <t xml:space="preserve">Existing customers. Update Last Order Date, Last Order Value and Sales YTD after each order; set Next Follow-up.</t>
  </si>
  <si>
    <t xml:space="preserve">Activity Log</t>
  </si>
  <si>
    <t xml:space="preserve">The manager adds one row for every call, WhatsApp, email, meeting or visit — the same day. Type the Lead ID (L-0001…) or Client ID (C-0001…); company, country and city fill in automatically.</t>
  </si>
  <si>
    <t xml:space="preserve">Geography</t>
  </si>
  <si>
    <t xml:space="preserve">Breakdown by country and city. Add new cities here so they appear in the City dropdown.</t>
  </si>
  <si>
    <t xml:space="preserve">Lists</t>
  </si>
  <si>
    <t xml:space="preserve">All dropdown values: managers, countries, statuses, segments, sources, activity types. Rename 'Sales Manager 1' etc. to real names first.</t>
  </si>
  <si>
    <t xml:space="preserve">Daily control routine</t>
  </si>
  <si>
    <t xml:space="preserve">1) Open Dashboard → check 'Activities logged' and the 7-day chart (red = no activity on a working day).
2) Check 'Overdue follow-ups' → in Leads Pipeline filter Follow-up Status = Overdue.
3) Filter Activity Log by today's date to read what was discussed.
4) Review Hot leads and Offer / Negotiation by country.</t>
  </si>
  <si>
    <t xml:space="preserve">Splitting by country / city</t>
  </si>
  <si>
    <t xml:space="preserve">Use the filter arrows in row 4 of any data sheet (Country, City, Manager, Status). The Dashboard 'By Country' table and the Geography sheet give totals.</t>
  </si>
  <si>
    <t xml:space="preserve">Colour code</t>
  </si>
  <si>
    <t xml:space="preserve">White = enter data · Grey = automatic formula (do not type) · Yellow = settings/lists · Light blue = example row (overwrite it).</t>
  </si>
  <si>
    <t xml:space="preserve">Rules</t>
  </si>
  <si>
    <t xml:space="preserve">Never delete a lead row — set Status to Lost. Dates as DD.MM.YYYY. Deal values in USD, volumes in litres per month.</t>
  </si>
  <si>
    <t xml:space="preserve">Status meaning</t>
  </si>
  <si>
    <t xml:space="preserve">New → Contacted → Interested → Samples Sent → Offer Sent → Negotiation → Won / Lost. On Hold = paused by client.</t>
  </si>
  <si>
    <t xml:space="preserve">LISTS — edit these to change the dropdowns everywhere</t>
  </si>
  <si>
    <t xml:space="preserve">Add or rename items directly in the yellow cells. Sales managers and countries flow into the Dashboard tables automatically.</t>
  </si>
  <si>
    <t xml:space="preserve">Sales Managers</t>
  </si>
  <si>
    <t xml:space="preserve">Countries</t>
  </si>
  <si>
    <t xml:space="preserve">Segments</t>
  </si>
  <si>
    <t xml:space="preserve">Lead Status</t>
  </si>
  <si>
    <t xml:space="preserve">Priority</t>
  </si>
  <si>
    <t xml:space="preserve">Lead Source</t>
  </si>
  <si>
    <t xml:space="preserve">Activity Types</t>
  </si>
  <si>
    <t xml:space="preserve">Outcome</t>
  </si>
  <si>
    <t xml:space="preserve">Client Status</t>
  </si>
  <si>
    <t xml:space="preserve">Payment Terms</t>
  </si>
  <si>
    <t xml:space="preserve">Manager filter</t>
  </si>
  <si>
    <t xml:space="preserve">Sales Manager 1</t>
  </si>
  <si>
    <t xml:space="preserve">United Arab Emirates</t>
  </si>
  <si>
    <t xml:space="preserve">Distributor</t>
  </si>
  <si>
    <t xml:space="preserve">New</t>
  </si>
  <si>
    <t xml:space="preserve">Hot</t>
  </si>
  <si>
    <t xml:space="preserve">Cold call</t>
  </si>
  <si>
    <t xml:space="preserve">Call</t>
  </si>
  <si>
    <t xml:space="preserve">Positive</t>
  </si>
  <si>
    <t xml:space="preserve">Active</t>
  </si>
  <si>
    <t xml:space="preserve">Prepayment</t>
  </si>
  <si>
    <t xml:space="preserve">Sales Manager 2</t>
  </si>
  <si>
    <t xml:space="preserve">Saudi Arabia</t>
  </si>
  <si>
    <t xml:space="preserve">Wholesaler</t>
  </si>
  <si>
    <t xml:space="preserve">Contacted</t>
  </si>
  <si>
    <t xml:space="preserve">Warm</t>
  </si>
  <si>
    <t xml:space="preserve">Exhibition</t>
  </si>
  <si>
    <t xml:space="preserve">WhatsApp</t>
  </si>
  <si>
    <t xml:space="preserve">Neutral</t>
  </si>
  <si>
    <t xml:space="preserve">At Risk</t>
  </si>
  <si>
    <t xml:space="preserve">Cash on delivery</t>
  </si>
  <si>
    <t xml:space="preserve">Sales Manager 3</t>
  </si>
  <si>
    <t xml:space="preserve">Oman</t>
  </si>
  <si>
    <t xml:space="preserve">Retailer / Shop</t>
  </si>
  <si>
    <t xml:space="preserve">Interested</t>
  </si>
  <si>
    <t xml:space="preserve">Cold</t>
  </si>
  <si>
    <t xml:space="preserve">Referral</t>
  </si>
  <si>
    <t xml:space="preserve">Email</t>
  </si>
  <si>
    <t xml:space="preserve">Negative</t>
  </si>
  <si>
    <t xml:space="preserve">Inactive</t>
  </si>
  <si>
    <t xml:space="preserve">Net 15</t>
  </si>
  <si>
    <t xml:space="preserve">Qatar</t>
  </si>
  <si>
    <t xml:space="preserve">Workshop / Service</t>
  </si>
  <si>
    <t xml:space="preserve">Samples Sent</t>
  </si>
  <si>
    <t xml:space="preserve">Website</t>
  </si>
  <si>
    <t xml:space="preserve">Meeting</t>
  </si>
  <si>
    <t xml:space="preserve">No answer</t>
  </si>
  <si>
    <t xml:space="preserve">Suspended</t>
  </si>
  <si>
    <t xml:space="preserve">Net 30</t>
  </si>
  <si>
    <t xml:space="preserve">Kuwait</t>
  </si>
  <si>
    <t xml:space="preserve">Fleet / Transport</t>
  </si>
  <si>
    <t xml:space="preserve">Offer Sent</t>
  </si>
  <si>
    <t xml:space="preserve">Marketplace</t>
  </si>
  <si>
    <t xml:space="preserve">Visit</t>
  </si>
  <si>
    <t xml:space="preserve">Net 45</t>
  </si>
  <si>
    <t xml:space="preserve">Bahrain</t>
  </si>
  <si>
    <t xml:space="preserve">Industrial</t>
  </si>
  <si>
    <t xml:space="preserve">Negotiation</t>
  </si>
  <si>
    <t xml:space="preserve">Social media</t>
  </si>
  <si>
    <t xml:space="preserve">Offer sent</t>
  </si>
  <si>
    <t xml:space="preserve">Net 60</t>
  </si>
  <si>
    <t xml:space="preserve">Iraq</t>
  </si>
  <si>
    <t xml:space="preserve">Email campaign</t>
  </si>
  <si>
    <t xml:space="preserve">Samples sent</t>
  </si>
  <si>
    <t xml:space="preserve">Letter of credit</t>
  </si>
  <si>
    <t xml:space="preserve">Jordan</t>
  </si>
  <si>
    <t xml:space="preserve">Other</t>
  </si>
  <si>
    <t xml:space="preserve">Walk-in</t>
  </si>
  <si>
    <t xml:space="preserve">Order received</t>
  </si>
  <si>
    <t xml:space="preserve">Lebanon</t>
  </si>
  <si>
    <t xml:space="preserve">On Hold</t>
  </si>
  <si>
    <t xml:space="preserve">Payment follow-up</t>
  </si>
  <si>
    <t xml:space="preserve">Egypt</t>
  </si>
  <si>
    <t xml:space="preserve">Yemen</t>
  </si>
  <si>
    <t xml:space="preserve">Pakistan</t>
  </si>
  <si>
    <t xml:space="preserve">India</t>
  </si>
  <si>
    <t xml:space="preserve">Afghanistan</t>
  </si>
  <si>
    <t xml:space="preserve">Kenya</t>
  </si>
  <si>
    <t xml:space="preserve">Tanzania</t>
  </si>
  <si>
    <t xml:space="preserve">Uzbekistan</t>
  </si>
  <si>
    <t xml:space="preserve">Kazakhstan</t>
  </si>
  <si>
    <t xml:space="preserve">Azerbaijan</t>
  </si>
  <si>
    <t xml:space="preserve">Georgia</t>
  </si>
  <si>
    <t xml:space="preserve">GEOGRAPHY — breakdown by country &amp; city</t>
  </si>
  <si>
    <t xml:space="preserve">Add new cities in the yellow cells (Country + City); counts update automatically. Cities listed here appear in the City dropdowns.</t>
  </si>
  <si>
    <t xml:space="preserve">City</t>
  </si>
  <si>
    <t xml:space="preserve">Total Leads</t>
  </si>
  <si>
    <t xml:space="preserve">Open Leads</t>
  </si>
  <si>
    <t xml:space="preserve">Hot Leads</t>
  </si>
  <si>
    <t xml:space="preserve">Open Pipeline (USD)</t>
  </si>
  <si>
    <t xml:space="preserve">Activities (last 30 days)</t>
  </si>
  <si>
    <t xml:space="preserve">Dubai</t>
  </si>
  <si>
    <t xml:space="preserve">Abu Dhabi</t>
  </si>
  <si>
    <t xml:space="preserve">Sharjah</t>
  </si>
  <si>
    <t xml:space="preserve">Ajman</t>
  </si>
  <si>
    <t xml:space="preserve">Ras Al Khaimah</t>
  </si>
  <si>
    <t xml:space="preserve">Fujairah</t>
  </si>
  <si>
    <t xml:space="preserve">Al Ain</t>
  </si>
  <si>
    <t xml:space="preserve">Riyadh</t>
  </si>
  <si>
    <t xml:space="preserve">Jeddah</t>
  </si>
  <si>
    <t xml:space="preserve">Dammam</t>
  </si>
  <si>
    <t xml:space="preserve">Mecca</t>
  </si>
  <si>
    <t xml:space="preserve">Medina</t>
  </si>
  <si>
    <t xml:space="preserve">Muscat</t>
  </si>
  <si>
    <t xml:space="preserve">Sohar</t>
  </si>
  <si>
    <t xml:space="preserve">Salalah</t>
  </si>
  <si>
    <t xml:space="preserve">Doha</t>
  </si>
  <si>
    <t xml:space="preserve">Kuwait City</t>
  </si>
  <si>
    <t xml:space="preserve">Manama</t>
  </si>
  <si>
    <t xml:space="preserve">Baghdad</t>
  </si>
  <si>
    <t xml:space="preserve">Erbil</t>
  </si>
  <si>
    <t xml:space="preserve">Basra</t>
  </si>
  <si>
    <t xml:space="preserve">Amman</t>
  </si>
  <si>
    <t xml:space="preserve">Beirut</t>
  </si>
  <si>
    <t xml:space="preserve">Cairo</t>
  </si>
  <si>
    <t xml:space="preserve">Alexandria</t>
  </si>
  <si>
    <t xml:space="preserve">Aden</t>
  </si>
  <si>
    <t xml:space="preserve">Karachi</t>
  </si>
  <si>
    <t xml:space="preserve">Lahore</t>
  </si>
  <si>
    <t xml:space="preserve">Mumbai</t>
  </si>
  <si>
    <t xml:space="preserve">Delhi</t>
  </si>
  <si>
    <t xml:space="preserve">Kabul</t>
  </si>
  <si>
    <t xml:space="preserve">Nairobi</t>
  </si>
  <si>
    <t xml:space="preserve">Mombasa</t>
  </si>
  <si>
    <t xml:space="preserve">Dar es Salaam</t>
  </si>
  <si>
    <t xml:space="preserve">Tashkent</t>
  </si>
  <si>
    <t xml:space="preserve">Almaty</t>
  </si>
  <si>
    <t xml:space="preserve">Astana</t>
  </si>
  <si>
    <t xml:space="preserve">Baku</t>
  </si>
  <si>
    <t xml:space="preserve">Tbilisi</t>
  </si>
  <si>
    <t xml:space="preserve">LEADS PIPELINE — prospects by country &amp; city</t>
  </si>
  <si>
    <t xml:space="preserve">White cells = enter data · Grey = automatic · Never delete rows: set Status to Lost instead · Use the filter arrows in row 4 to split by Country / City / Manager / Status · Row 5 is an EXAMPLE — overwrite it.</t>
  </si>
  <si>
    <t xml:space="preserve">Lead ID</t>
  </si>
  <si>
    <t xml:space="preserve">Date Added</t>
  </si>
  <si>
    <t xml:space="preserve">Sales Manager</t>
  </si>
  <si>
    <t xml:space="preserve">Company</t>
  </si>
  <si>
    <t xml:space="preserve">Segment</t>
  </si>
  <si>
    <t xml:space="preserve">Contact Person</t>
  </si>
  <si>
    <t xml:space="preserve">Position</t>
  </si>
  <si>
    <t xml:space="preserve">Phone</t>
  </si>
  <si>
    <t xml:space="preserve">Source</t>
  </si>
  <si>
    <t xml:space="preserve">Products of Interest</t>
  </si>
  <si>
    <t xml:space="preserve">Last Contact</t>
  </si>
  <si>
    <t xml:space="preserve">Next Action</t>
  </si>
  <si>
    <t xml:space="preserve">Next Action Date</t>
  </si>
  <si>
    <t xml:space="preserve">Est. Volume (L/month)</t>
  </si>
  <si>
    <t xml:space="preserve">Est. Deal Value (USD)</t>
  </si>
  <si>
    <t xml:space="preserve">Comments</t>
  </si>
  <si>
    <t xml:space="preserve">Days Since Contact</t>
  </si>
  <si>
    <t xml:space="preserve">Follow-up Status</t>
  </si>
  <si>
    <t xml:space="preserve">L-0001</t>
  </si>
  <si>
    <t xml:space="preserve">EXAMPLE Auto Parts Trading</t>
  </si>
  <si>
    <t xml:space="preserve">Ahmed Example</t>
  </si>
  <si>
    <t xml:space="preserve">Purchasing Manager</t>
  </si>
  <si>
    <t xml:space="preserve">+966 50 000 0000</t>
  </si>
  <si>
    <t xml:space="preserve">ahmed@example.com</t>
  </si>
  <si>
    <t xml:space="preserve">ROLF Ultra 5W-30, ROLF GT 5W-40</t>
  </si>
  <si>
    <t xml:space="preserve">Call to get feedback on samples</t>
  </si>
  <si>
    <t xml:space="preserve">EXAMPLE row — overwrite with a real lead</t>
  </si>
  <si>
    <t xml:space="preserve">L-0002</t>
  </si>
  <si>
    <t xml:space="preserve">L-0003</t>
  </si>
  <si>
    <t xml:space="preserve">L-0004</t>
  </si>
  <si>
    <t xml:space="preserve">L-0005</t>
  </si>
  <si>
    <t xml:space="preserve">L-0006</t>
  </si>
  <si>
    <t xml:space="preserve">L-0007</t>
  </si>
  <si>
    <t xml:space="preserve">L-0008</t>
  </si>
  <si>
    <t xml:space="preserve">L-0009</t>
  </si>
  <si>
    <t xml:space="preserve">L-0010</t>
  </si>
  <si>
    <t xml:space="preserve">L-0011</t>
  </si>
  <si>
    <t xml:space="preserve">L-0012</t>
  </si>
  <si>
    <t xml:space="preserve">L-0013</t>
  </si>
  <si>
    <t xml:space="preserve">L-0014</t>
  </si>
  <si>
    <t xml:space="preserve">L-0015</t>
  </si>
  <si>
    <t xml:space="preserve">L-0016</t>
  </si>
  <si>
    <t xml:space="preserve">L-0017</t>
  </si>
  <si>
    <t xml:space="preserve">L-0018</t>
  </si>
  <si>
    <t xml:space="preserve">L-0019</t>
  </si>
  <si>
    <t xml:space="preserve">L-0020</t>
  </si>
  <si>
    <t xml:space="preserve">L-0021</t>
  </si>
  <si>
    <t xml:space="preserve">L-0022</t>
  </si>
  <si>
    <t xml:space="preserve">L-0023</t>
  </si>
  <si>
    <t xml:space="preserve">L-0024</t>
  </si>
  <si>
    <t xml:space="preserve">L-0025</t>
  </si>
  <si>
    <t xml:space="preserve">L-0026</t>
  </si>
  <si>
    <t xml:space="preserve">L-0027</t>
  </si>
  <si>
    <t xml:space="preserve">L-0028</t>
  </si>
  <si>
    <t xml:space="preserve">L-0029</t>
  </si>
  <si>
    <t xml:space="preserve">L-0030</t>
  </si>
  <si>
    <t xml:space="preserve">L-0031</t>
  </si>
  <si>
    <t xml:space="preserve">L-0032</t>
  </si>
  <si>
    <t xml:space="preserve">L-0033</t>
  </si>
  <si>
    <t xml:space="preserve">L-0034</t>
  </si>
  <si>
    <t xml:space="preserve">L-0035</t>
  </si>
  <si>
    <t xml:space="preserve">L-0036</t>
  </si>
  <si>
    <t xml:space="preserve">L-0037</t>
  </si>
  <si>
    <t xml:space="preserve">L-0038</t>
  </si>
  <si>
    <t xml:space="preserve">L-0039</t>
  </si>
  <si>
    <t xml:space="preserve">L-0040</t>
  </si>
  <si>
    <t xml:space="preserve">L-0041</t>
  </si>
  <si>
    <t xml:space="preserve">L-0042</t>
  </si>
  <si>
    <t xml:space="preserve">L-0043</t>
  </si>
  <si>
    <t xml:space="preserve">L-0044</t>
  </si>
  <si>
    <t xml:space="preserve">L-0045</t>
  </si>
  <si>
    <t xml:space="preserve">L-0046</t>
  </si>
  <si>
    <t xml:space="preserve">L-0047</t>
  </si>
  <si>
    <t xml:space="preserve">L-0048</t>
  </si>
  <si>
    <t xml:space="preserve">L-0049</t>
  </si>
  <si>
    <t xml:space="preserve">L-0050</t>
  </si>
  <si>
    <t xml:space="preserve">L-0051</t>
  </si>
  <si>
    <t xml:space="preserve">L-0052</t>
  </si>
  <si>
    <t xml:space="preserve">L-0053</t>
  </si>
  <si>
    <t xml:space="preserve">L-0054</t>
  </si>
  <si>
    <t xml:space="preserve">L-0055</t>
  </si>
  <si>
    <t xml:space="preserve">L-0056</t>
  </si>
  <si>
    <t xml:space="preserve">L-0057</t>
  </si>
  <si>
    <t xml:space="preserve">L-0058</t>
  </si>
  <si>
    <t xml:space="preserve">L-0059</t>
  </si>
  <si>
    <t xml:space="preserve">L-0060</t>
  </si>
  <si>
    <t xml:space="preserve">L-0061</t>
  </si>
  <si>
    <t xml:space="preserve">L-0062</t>
  </si>
  <si>
    <t xml:space="preserve">L-0063</t>
  </si>
  <si>
    <t xml:space="preserve">L-0064</t>
  </si>
  <si>
    <t xml:space="preserve">L-0065</t>
  </si>
  <si>
    <t xml:space="preserve">L-0066</t>
  </si>
  <si>
    <t xml:space="preserve">L-0067</t>
  </si>
  <si>
    <t xml:space="preserve">L-0068</t>
  </si>
  <si>
    <t xml:space="preserve">L-0069</t>
  </si>
  <si>
    <t xml:space="preserve">L-0070</t>
  </si>
  <si>
    <t xml:space="preserve">L-0071</t>
  </si>
  <si>
    <t xml:space="preserve">L-0072</t>
  </si>
  <si>
    <t xml:space="preserve">L-0073</t>
  </si>
  <si>
    <t xml:space="preserve">L-0074</t>
  </si>
  <si>
    <t xml:space="preserve">L-0075</t>
  </si>
  <si>
    <t xml:space="preserve">L-0076</t>
  </si>
  <si>
    <t xml:space="preserve">L-0077</t>
  </si>
  <si>
    <t xml:space="preserve">L-0078</t>
  </si>
  <si>
    <t xml:space="preserve">L-0079</t>
  </si>
  <si>
    <t xml:space="preserve">L-0080</t>
  </si>
  <si>
    <t xml:space="preserve">L-0081</t>
  </si>
  <si>
    <t xml:space="preserve">L-0082</t>
  </si>
  <si>
    <t xml:space="preserve">L-0083</t>
  </si>
  <si>
    <t xml:space="preserve">L-0084</t>
  </si>
  <si>
    <t xml:space="preserve">L-0085</t>
  </si>
  <si>
    <t xml:space="preserve">L-0086</t>
  </si>
  <si>
    <t xml:space="preserve">L-0087</t>
  </si>
  <si>
    <t xml:space="preserve">L-0088</t>
  </si>
  <si>
    <t xml:space="preserve">L-0089</t>
  </si>
  <si>
    <t xml:space="preserve">L-0090</t>
  </si>
  <si>
    <t xml:space="preserve">L-0091</t>
  </si>
  <si>
    <t xml:space="preserve">L-0092</t>
  </si>
  <si>
    <t xml:space="preserve">L-0093</t>
  </si>
  <si>
    <t xml:space="preserve">L-0094</t>
  </si>
  <si>
    <t xml:space="preserve">L-0095</t>
  </si>
  <si>
    <t xml:space="preserve">L-0096</t>
  </si>
  <si>
    <t xml:space="preserve">L-0097</t>
  </si>
  <si>
    <t xml:space="preserve">L-0098</t>
  </si>
  <si>
    <t xml:space="preserve">L-0099</t>
  </si>
  <si>
    <t xml:space="preserve">L-0100</t>
  </si>
  <si>
    <t xml:space="preserve">L-0101</t>
  </si>
  <si>
    <t xml:space="preserve">L-0102</t>
  </si>
  <si>
    <t xml:space="preserve">L-0103</t>
  </si>
  <si>
    <t xml:space="preserve">L-0104</t>
  </si>
  <si>
    <t xml:space="preserve">L-0105</t>
  </si>
  <si>
    <t xml:space="preserve">L-0106</t>
  </si>
  <si>
    <t xml:space="preserve">L-0107</t>
  </si>
  <si>
    <t xml:space="preserve">L-0108</t>
  </si>
  <si>
    <t xml:space="preserve">L-0109</t>
  </si>
  <si>
    <t xml:space="preserve">L-0110</t>
  </si>
  <si>
    <t xml:space="preserve">L-0111</t>
  </si>
  <si>
    <t xml:space="preserve">L-0112</t>
  </si>
  <si>
    <t xml:space="preserve">L-0113</t>
  </si>
  <si>
    <t xml:space="preserve">L-0114</t>
  </si>
  <si>
    <t xml:space="preserve">L-0115</t>
  </si>
  <si>
    <t xml:space="preserve">L-0116</t>
  </si>
  <si>
    <t xml:space="preserve">L-0117</t>
  </si>
  <si>
    <t xml:space="preserve">L-0118</t>
  </si>
  <si>
    <t xml:space="preserve">L-0119</t>
  </si>
  <si>
    <t xml:space="preserve">L-0120</t>
  </si>
  <si>
    <t xml:space="preserve">L-0121</t>
  </si>
  <si>
    <t xml:space="preserve">L-0122</t>
  </si>
  <si>
    <t xml:space="preserve">L-0123</t>
  </si>
  <si>
    <t xml:space="preserve">L-0124</t>
  </si>
  <si>
    <t xml:space="preserve">L-0125</t>
  </si>
  <si>
    <t xml:space="preserve">L-0126</t>
  </si>
  <si>
    <t xml:space="preserve">L-0127</t>
  </si>
  <si>
    <t xml:space="preserve">L-0128</t>
  </si>
  <si>
    <t xml:space="preserve">L-0129</t>
  </si>
  <si>
    <t xml:space="preserve">L-0130</t>
  </si>
  <si>
    <t xml:space="preserve">L-0131</t>
  </si>
  <si>
    <t xml:space="preserve">L-0132</t>
  </si>
  <si>
    <t xml:space="preserve">L-0133</t>
  </si>
  <si>
    <t xml:space="preserve">L-0134</t>
  </si>
  <si>
    <t xml:space="preserve">L-0135</t>
  </si>
  <si>
    <t xml:space="preserve">L-0136</t>
  </si>
  <si>
    <t xml:space="preserve">L-0137</t>
  </si>
  <si>
    <t xml:space="preserve">L-0138</t>
  </si>
  <si>
    <t xml:space="preserve">L-0139</t>
  </si>
  <si>
    <t xml:space="preserve">L-0140</t>
  </si>
  <si>
    <t xml:space="preserve">L-0141</t>
  </si>
  <si>
    <t xml:space="preserve">L-0142</t>
  </si>
  <si>
    <t xml:space="preserve">L-0143</t>
  </si>
  <si>
    <t xml:space="preserve">L-0144</t>
  </si>
  <si>
    <t xml:space="preserve">L-0145</t>
  </si>
  <si>
    <t xml:space="preserve">L-0146</t>
  </si>
  <si>
    <t xml:space="preserve">L-0147</t>
  </si>
  <si>
    <t xml:space="preserve">L-0148</t>
  </si>
  <si>
    <t xml:space="preserve">L-0149</t>
  </si>
  <si>
    <t xml:space="preserve">L-0150</t>
  </si>
  <si>
    <t xml:space="preserve">L-0151</t>
  </si>
  <si>
    <t xml:space="preserve">L-0152</t>
  </si>
  <si>
    <t xml:space="preserve">L-0153</t>
  </si>
  <si>
    <t xml:space="preserve">L-0154</t>
  </si>
  <si>
    <t xml:space="preserve">L-0155</t>
  </si>
  <si>
    <t xml:space="preserve">L-0156</t>
  </si>
  <si>
    <t xml:space="preserve">L-0157</t>
  </si>
  <si>
    <t xml:space="preserve">L-0158</t>
  </si>
  <si>
    <t xml:space="preserve">L-0159</t>
  </si>
  <si>
    <t xml:space="preserve">L-0160</t>
  </si>
  <si>
    <t xml:space="preserve">L-0161</t>
  </si>
  <si>
    <t xml:space="preserve">L-0162</t>
  </si>
  <si>
    <t xml:space="preserve">L-0163</t>
  </si>
  <si>
    <t xml:space="preserve">L-0164</t>
  </si>
  <si>
    <t xml:space="preserve">L-0165</t>
  </si>
  <si>
    <t xml:space="preserve">L-0166</t>
  </si>
  <si>
    <t xml:space="preserve">L-0167</t>
  </si>
  <si>
    <t xml:space="preserve">L-0168</t>
  </si>
  <si>
    <t xml:space="preserve">L-0169</t>
  </si>
  <si>
    <t xml:space="preserve">L-0170</t>
  </si>
  <si>
    <t xml:space="preserve">L-0171</t>
  </si>
  <si>
    <t xml:space="preserve">L-0172</t>
  </si>
  <si>
    <t xml:space="preserve">L-0173</t>
  </si>
  <si>
    <t xml:space="preserve">L-0174</t>
  </si>
  <si>
    <t xml:space="preserve">L-0175</t>
  </si>
  <si>
    <t xml:space="preserve">L-0176</t>
  </si>
  <si>
    <t xml:space="preserve">L-0177</t>
  </si>
  <si>
    <t xml:space="preserve">L-0178</t>
  </si>
  <si>
    <t xml:space="preserve">L-0179</t>
  </si>
  <si>
    <t xml:space="preserve">L-0180</t>
  </si>
  <si>
    <t xml:space="preserve">L-0181</t>
  </si>
  <si>
    <t xml:space="preserve">L-0182</t>
  </si>
  <si>
    <t xml:space="preserve">L-0183</t>
  </si>
  <si>
    <t xml:space="preserve">L-0184</t>
  </si>
  <si>
    <t xml:space="preserve">L-0185</t>
  </si>
  <si>
    <t xml:space="preserve">L-0186</t>
  </si>
  <si>
    <t xml:space="preserve">L-0187</t>
  </si>
  <si>
    <t xml:space="preserve">L-0188</t>
  </si>
  <si>
    <t xml:space="preserve">L-0189</t>
  </si>
  <si>
    <t xml:space="preserve">L-0190</t>
  </si>
  <si>
    <t xml:space="preserve">L-0191</t>
  </si>
  <si>
    <t xml:space="preserve">L-0192</t>
  </si>
  <si>
    <t xml:space="preserve">L-0193</t>
  </si>
  <si>
    <t xml:space="preserve">L-0194</t>
  </si>
  <si>
    <t xml:space="preserve">L-0195</t>
  </si>
  <si>
    <t xml:space="preserve">L-0196</t>
  </si>
  <si>
    <t xml:space="preserve">L-0197</t>
  </si>
  <si>
    <t xml:space="preserve">L-0198</t>
  </si>
  <si>
    <t xml:space="preserve">L-0199</t>
  </si>
  <si>
    <t xml:space="preserve">L-0200</t>
  </si>
  <si>
    <t xml:space="preserve">L-0201</t>
  </si>
  <si>
    <t xml:space="preserve">L-0202</t>
  </si>
  <si>
    <t xml:space="preserve">L-0203</t>
  </si>
  <si>
    <t xml:space="preserve">L-0204</t>
  </si>
  <si>
    <t xml:space="preserve">L-0205</t>
  </si>
  <si>
    <t xml:space="preserve">L-0206</t>
  </si>
  <si>
    <t xml:space="preserve">L-0207</t>
  </si>
  <si>
    <t xml:space="preserve">L-0208</t>
  </si>
  <si>
    <t xml:space="preserve">L-0209</t>
  </si>
  <si>
    <t xml:space="preserve">L-0210</t>
  </si>
  <si>
    <t xml:space="preserve">L-0211</t>
  </si>
  <si>
    <t xml:space="preserve">L-0212</t>
  </si>
  <si>
    <t xml:space="preserve">L-0213</t>
  </si>
  <si>
    <t xml:space="preserve">L-0214</t>
  </si>
  <si>
    <t xml:space="preserve">L-0215</t>
  </si>
  <si>
    <t xml:space="preserve">L-0216</t>
  </si>
  <si>
    <t xml:space="preserve">L-0217</t>
  </si>
  <si>
    <t xml:space="preserve">L-0218</t>
  </si>
  <si>
    <t xml:space="preserve">L-0219</t>
  </si>
  <si>
    <t xml:space="preserve">L-0220</t>
  </si>
  <si>
    <t xml:space="preserve">L-0221</t>
  </si>
  <si>
    <t xml:space="preserve">L-0222</t>
  </si>
  <si>
    <t xml:space="preserve">L-0223</t>
  </si>
  <si>
    <t xml:space="preserve">L-0224</t>
  </si>
  <si>
    <t xml:space="preserve">L-0225</t>
  </si>
  <si>
    <t xml:space="preserve">L-0226</t>
  </si>
  <si>
    <t xml:space="preserve">L-0227</t>
  </si>
  <si>
    <t xml:space="preserve">L-0228</t>
  </si>
  <si>
    <t xml:space="preserve">L-0229</t>
  </si>
  <si>
    <t xml:space="preserve">L-0230</t>
  </si>
  <si>
    <t xml:space="preserve">L-0231</t>
  </si>
  <si>
    <t xml:space="preserve">L-0232</t>
  </si>
  <si>
    <t xml:space="preserve">L-0233</t>
  </si>
  <si>
    <t xml:space="preserve">L-0234</t>
  </si>
  <si>
    <t xml:space="preserve">L-0235</t>
  </si>
  <si>
    <t xml:space="preserve">L-0236</t>
  </si>
  <si>
    <t xml:space="preserve">L-0237</t>
  </si>
  <si>
    <t xml:space="preserve">L-0238</t>
  </si>
  <si>
    <t xml:space="preserve">L-0239</t>
  </si>
  <si>
    <t xml:space="preserve">L-0240</t>
  </si>
  <si>
    <t xml:space="preserve">L-0241</t>
  </si>
  <si>
    <t xml:space="preserve">L-0242</t>
  </si>
  <si>
    <t xml:space="preserve">L-0243</t>
  </si>
  <si>
    <t xml:space="preserve">L-0244</t>
  </si>
  <si>
    <t xml:space="preserve">L-0245</t>
  </si>
  <si>
    <t xml:space="preserve">L-0246</t>
  </si>
  <si>
    <t xml:space="preserve">L-0247</t>
  </si>
  <si>
    <t xml:space="preserve">L-0248</t>
  </si>
  <si>
    <t xml:space="preserve">L-0249</t>
  </si>
  <si>
    <t xml:space="preserve">L-0250</t>
  </si>
  <si>
    <t xml:space="preserve">L-0251</t>
  </si>
  <si>
    <t xml:space="preserve">L-0252</t>
  </si>
  <si>
    <t xml:space="preserve">L-0253</t>
  </si>
  <si>
    <t xml:space="preserve">L-0254</t>
  </si>
  <si>
    <t xml:space="preserve">L-0255</t>
  </si>
  <si>
    <t xml:space="preserve">L-0256</t>
  </si>
  <si>
    <t xml:space="preserve">L-0257</t>
  </si>
  <si>
    <t xml:space="preserve">L-0258</t>
  </si>
  <si>
    <t xml:space="preserve">L-0259</t>
  </si>
  <si>
    <t xml:space="preserve">L-0260</t>
  </si>
  <si>
    <t xml:space="preserve">L-0261</t>
  </si>
  <si>
    <t xml:space="preserve">L-0262</t>
  </si>
  <si>
    <t xml:space="preserve">L-0263</t>
  </si>
  <si>
    <t xml:space="preserve">L-0264</t>
  </si>
  <si>
    <t xml:space="preserve">L-0265</t>
  </si>
  <si>
    <t xml:space="preserve">L-0266</t>
  </si>
  <si>
    <t xml:space="preserve">L-0267</t>
  </si>
  <si>
    <t xml:space="preserve">L-0268</t>
  </si>
  <si>
    <t xml:space="preserve">L-0269</t>
  </si>
  <si>
    <t xml:space="preserve">L-0270</t>
  </si>
  <si>
    <t xml:space="preserve">L-0271</t>
  </si>
  <si>
    <t xml:space="preserve">L-0272</t>
  </si>
  <si>
    <t xml:space="preserve">L-0273</t>
  </si>
  <si>
    <t xml:space="preserve">L-0274</t>
  </si>
  <si>
    <t xml:space="preserve">L-0275</t>
  </si>
  <si>
    <t xml:space="preserve">L-0276</t>
  </si>
  <si>
    <t xml:space="preserve">L-0277</t>
  </si>
  <si>
    <t xml:space="preserve">L-0278</t>
  </si>
  <si>
    <t xml:space="preserve">L-0279</t>
  </si>
  <si>
    <t xml:space="preserve">L-0280</t>
  </si>
  <si>
    <t xml:space="preserve">L-0281</t>
  </si>
  <si>
    <t xml:space="preserve">L-0282</t>
  </si>
  <si>
    <t xml:space="preserve">L-0283</t>
  </si>
  <si>
    <t xml:space="preserve">L-0284</t>
  </si>
  <si>
    <t xml:space="preserve">L-0285</t>
  </si>
  <si>
    <t xml:space="preserve">L-0286</t>
  </si>
  <si>
    <t xml:space="preserve">L-0287</t>
  </si>
  <si>
    <t xml:space="preserve">L-0288</t>
  </si>
  <si>
    <t xml:space="preserve">L-0289</t>
  </si>
  <si>
    <t xml:space="preserve">L-0290</t>
  </si>
  <si>
    <t xml:space="preserve">L-0291</t>
  </si>
  <si>
    <t xml:space="preserve">L-0292</t>
  </si>
  <si>
    <t xml:space="preserve">L-0293</t>
  </si>
  <si>
    <t xml:space="preserve">L-0294</t>
  </si>
  <si>
    <t xml:space="preserve">L-0295</t>
  </si>
  <si>
    <t xml:space="preserve">L-0296</t>
  </si>
  <si>
    <t xml:space="preserve">L-0297</t>
  </si>
  <si>
    <t xml:space="preserve">L-0298</t>
  </si>
  <si>
    <t xml:space="preserve">L-0299</t>
  </si>
  <si>
    <t xml:space="preserve">L-0300</t>
  </si>
  <si>
    <t xml:space="preserve">L-0301</t>
  </si>
  <si>
    <t xml:space="preserve">L-0302</t>
  </si>
  <si>
    <t xml:space="preserve">L-0303</t>
  </si>
  <si>
    <t xml:space="preserve">L-0304</t>
  </si>
  <si>
    <t xml:space="preserve">L-0305</t>
  </si>
  <si>
    <t xml:space="preserve">L-0306</t>
  </si>
  <si>
    <t xml:space="preserve">L-0307</t>
  </si>
  <si>
    <t xml:space="preserve">L-0308</t>
  </si>
  <si>
    <t xml:space="preserve">L-0309</t>
  </si>
  <si>
    <t xml:space="preserve">L-0310</t>
  </si>
  <si>
    <t xml:space="preserve">L-0311</t>
  </si>
  <si>
    <t xml:space="preserve">L-0312</t>
  </si>
  <si>
    <t xml:space="preserve">L-0313</t>
  </si>
  <si>
    <t xml:space="preserve">L-0314</t>
  </si>
  <si>
    <t xml:space="preserve">L-0315</t>
  </si>
  <si>
    <t xml:space="preserve">L-0316</t>
  </si>
  <si>
    <t xml:space="preserve">L-0317</t>
  </si>
  <si>
    <t xml:space="preserve">L-0318</t>
  </si>
  <si>
    <t xml:space="preserve">L-0319</t>
  </si>
  <si>
    <t xml:space="preserve">L-0320</t>
  </si>
  <si>
    <t xml:space="preserve">L-0321</t>
  </si>
  <si>
    <t xml:space="preserve">L-0322</t>
  </si>
  <si>
    <t xml:space="preserve">L-0323</t>
  </si>
  <si>
    <t xml:space="preserve">L-0324</t>
  </si>
  <si>
    <t xml:space="preserve">L-0325</t>
  </si>
  <si>
    <t xml:space="preserve">L-0326</t>
  </si>
  <si>
    <t xml:space="preserve">L-0327</t>
  </si>
  <si>
    <t xml:space="preserve">L-0328</t>
  </si>
  <si>
    <t xml:space="preserve">L-0329</t>
  </si>
  <si>
    <t xml:space="preserve">L-0330</t>
  </si>
  <si>
    <t xml:space="preserve">L-0331</t>
  </si>
  <si>
    <t xml:space="preserve">L-0332</t>
  </si>
  <si>
    <t xml:space="preserve">L-0333</t>
  </si>
  <si>
    <t xml:space="preserve">L-0334</t>
  </si>
  <si>
    <t xml:space="preserve">L-0335</t>
  </si>
  <si>
    <t xml:space="preserve">L-0336</t>
  </si>
  <si>
    <t xml:space="preserve">L-0337</t>
  </si>
  <si>
    <t xml:space="preserve">L-0338</t>
  </si>
  <si>
    <t xml:space="preserve">L-0339</t>
  </si>
  <si>
    <t xml:space="preserve">L-0340</t>
  </si>
  <si>
    <t xml:space="preserve">L-0341</t>
  </si>
  <si>
    <t xml:space="preserve">L-0342</t>
  </si>
  <si>
    <t xml:space="preserve">L-0343</t>
  </si>
  <si>
    <t xml:space="preserve">L-0344</t>
  </si>
  <si>
    <t xml:space="preserve">L-0345</t>
  </si>
  <si>
    <t xml:space="preserve">L-0346</t>
  </si>
  <si>
    <t xml:space="preserve">L-0347</t>
  </si>
  <si>
    <t xml:space="preserve">L-0348</t>
  </si>
  <si>
    <t xml:space="preserve">L-0349</t>
  </si>
  <si>
    <t xml:space="preserve">L-0350</t>
  </si>
  <si>
    <t xml:space="preserve">L-0351</t>
  </si>
  <si>
    <t xml:space="preserve">L-0352</t>
  </si>
  <si>
    <t xml:space="preserve">L-0353</t>
  </si>
  <si>
    <t xml:space="preserve">L-0354</t>
  </si>
  <si>
    <t xml:space="preserve">L-0355</t>
  </si>
  <si>
    <t xml:space="preserve">L-0356</t>
  </si>
  <si>
    <t xml:space="preserve">L-0357</t>
  </si>
  <si>
    <t xml:space="preserve">L-0358</t>
  </si>
  <si>
    <t xml:space="preserve">L-0359</t>
  </si>
  <si>
    <t xml:space="preserve">L-0360</t>
  </si>
  <si>
    <t xml:space="preserve">L-0361</t>
  </si>
  <si>
    <t xml:space="preserve">L-0362</t>
  </si>
  <si>
    <t xml:space="preserve">L-0363</t>
  </si>
  <si>
    <t xml:space="preserve">L-0364</t>
  </si>
  <si>
    <t xml:space="preserve">L-0365</t>
  </si>
  <si>
    <t xml:space="preserve">L-0366</t>
  </si>
  <si>
    <t xml:space="preserve">L-0367</t>
  </si>
  <si>
    <t xml:space="preserve">L-0368</t>
  </si>
  <si>
    <t xml:space="preserve">L-0369</t>
  </si>
  <si>
    <t xml:space="preserve">L-0370</t>
  </si>
  <si>
    <t xml:space="preserve">L-0371</t>
  </si>
  <si>
    <t xml:space="preserve">L-0372</t>
  </si>
  <si>
    <t xml:space="preserve">L-0373</t>
  </si>
  <si>
    <t xml:space="preserve">L-0374</t>
  </si>
  <si>
    <t xml:space="preserve">L-0375</t>
  </si>
  <si>
    <t xml:space="preserve">L-0376</t>
  </si>
  <si>
    <t xml:space="preserve">L-0377</t>
  </si>
  <si>
    <t xml:space="preserve">L-0378</t>
  </si>
  <si>
    <t xml:space="preserve">L-0379</t>
  </si>
  <si>
    <t xml:space="preserve">L-0380</t>
  </si>
  <si>
    <t xml:space="preserve">L-0381</t>
  </si>
  <si>
    <t xml:space="preserve">L-0382</t>
  </si>
  <si>
    <t xml:space="preserve">L-0383</t>
  </si>
  <si>
    <t xml:space="preserve">L-0384</t>
  </si>
  <si>
    <t xml:space="preserve">L-0385</t>
  </si>
  <si>
    <t xml:space="preserve">L-0386</t>
  </si>
  <si>
    <t xml:space="preserve">L-0387</t>
  </si>
  <si>
    <t xml:space="preserve">L-0388</t>
  </si>
  <si>
    <t xml:space="preserve">L-0389</t>
  </si>
  <si>
    <t xml:space="preserve">L-0390</t>
  </si>
  <si>
    <t xml:space="preserve">L-0391</t>
  </si>
  <si>
    <t xml:space="preserve">L-0392</t>
  </si>
  <si>
    <t xml:space="preserve">L-0393</t>
  </si>
  <si>
    <t xml:space="preserve">L-0394</t>
  </si>
  <si>
    <t xml:space="preserve">L-0395</t>
  </si>
  <si>
    <t xml:space="preserve">L-0396</t>
  </si>
  <si>
    <t xml:space="preserve">L-0397</t>
  </si>
  <si>
    <t xml:space="preserve">L-0398</t>
  </si>
  <si>
    <t xml:space="preserve">L-0399</t>
  </si>
  <si>
    <t xml:space="preserve">L-0400</t>
  </si>
  <si>
    <t xml:space="preserve">L-0401</t>
  </si>
  <si>
    <t xml:space="preserve">L-0402</t>
  </si>
  <si>
    <t xml:space="preserve">L-0403</t>
  </si>
  <si>
    <t xml:space="preserve">L-0404</t>
  </si>
  <si>
    <t xml:space="preserve">L-0405</t>
  </si>
  <si>
    <t xml:space="preserve">L-0406</t>
  </si>
  <si>
    <t xml:space="preserve">L-0407</t>
  </si>
  <si>
    <t xml:space="preserve">L-0408</t>
  </si>
  <si>
    <t xml:space="preserve">L-0409</t>
  </si>
  <si>
    <t xml:space="preserve">L-0410</t>
  </si>
  <si>
    <t xml:space="preserve">L-0411</t>
  </si>
  <si>
    <t xml:space="preserve">L-0412</t>
  </si>
  <si>
    <t xml:space="preserve">L-0413</t>
  </si>
  <si>
    <t xml:space="preserve">L-0414</t>
  </si>
  <si>
    <t xml:space="preserve">L-0415</t>
  </si>
  <si>
    <t xml:space="preserve">L-0416</t>
  </si>
  <si>
    <t xml:space="preserve">L-0417</t>
  </si>
  <si>
    <t xml:space="preserve">L-0418</t>
  </si>
  <si>
    <t xml:space="preserve">L-0419</t>
  </si>
  <si>
    <t xml:space="preserve">L-0420</t>
  </si>
  <si>
    <t xml:space="preserve">L-0421</t>
  </si>
  <si>
    <t xml:space="preserve">L-0422</t>
  </si>
  <si>
    <t xml:space="preserve">L-0423</t>
  </si>
  <si>
    <t xml:space="preserve">L-0424</t>
  </si>
  <si>
    <t xml:space="preserve">L-0425</t>
  </si>
  <si>
    <t xml:space="preserve">L-0426</t>
  </si>
  <si>
    <t xml:space="preserve">L-0427</t>
  </si>
  <si>
    <t xml:space="preserve">L-0428</t>
  </si>
  <si>
    <t xml:space="preserve">L-0429</t>
  </si>
  <si>
    <t xml:space="preserve">L-0430</t>
  </si>
  <si>
    <t xml:space="preserve">L-0431</t>
  </si>
  <si>
    <t xml:space="preserve">L-0432</t>
  </si>
  <si>
    <t xml:space="preserve">L-0433</t>
  </si>
  <si>
    <t xml:space="preserve">L-0434</t>
  </si>
  <si>
    <t xml:space="preserve">L-0435</t>
  </si>
  <si>
    <t xml:space="preserve">L-0436</t>
  </si>
  <si>
    <t xml:space="preserve">L-0437</t>
  </si>
  <si>
    <t xml:space="preserve">L-0438</t>
  </si>
  <si>
    <t xml:space="preserve">L-0439</t>
  </si>
  <si>
    <t xml:space="preserve">L-0440</t>
  </si>
  <si>
    <t xml:space="preserve">L-0441</t>
  </si>
  <si>
    <t xml:space="preserve">L-0442</t>
  </si>
  <si>
    <t xml:space="preserve">L-0443</t>
  </si>
  <si>
    <t xml:space="preserve">L-0444</t>
  </si>
  <si>
    <t xml:space="preserve">L-0445</t>
  </si>
  <si>
    <t xml:space="preserve">L-0446</t>
  </si>
  <si>
    <t xml:space="preserve">L-0447</t>
  </si>
  <si>
    <t xml:space="preserve">L-0448</t>
  </si>
  <si>
    <t xml:space="preserve">L-0449</t>
  </si>
  <si>
    <t xml:space="preserve">L-0450</t>
  </si>
  <si>
    <t xml:space="preserve">L-0451</t>
  </si>
  <si>
    <t xml:space="preserve">L-0452</t>
  </si>
  <si>
    <t xml:space="preserve">L-0453</t>
  </si>
  <si>
    <t xml:space="preserve">L-0454</t>
  </si>
  <si>
    <t xml:space="preserve">L-0455</t>
  </si>
  <si>
    <t xml:space="preserve">L-0456</t>
  </si>
  <si>
    <t xml:space="preserve">L-0457</t>
  </si>
  <si>
    <t xml:space="preserve">L-0458</t>
  </si>
  <si>
    <t xml:space="preserve">L-0459</t>
  </si>
  <si>
    <t xml:space="preserve">L-0460</t>
  </si>
  <si>
    <t xml:space="preserve">L-0461</t>
  </si>
  <si>
    <t xml:space="preserve">L-0462</t>
  </si>
  <si>
    <t xml:space="preserve">L-0463</t>
  </si>
  <si>
    <t xml:space="preserve">L-0464</t>
  </si>
  <si>
    <t xml:space="preserve">L-0465</t>
  </si>
  <si>
    <t xml:space="preserve">L-0466</t>
  </si>
  <si>
    <t xml:space="preserve">L-0467</t>
  </si>
  <si>
    <t xml:space="preserve">L-0468</t>
  </si>
  <si>
    <t xml:space="preserve">L-0469</t>
  </si>
  <si>
    <t xml:space="preserve">L-0470</t>
  </si>
  <si>
    <t xml:space="preserve">L-0471</t>
  </si>
  <si>
    <t xml:space="preserve">L-0472</t>
  </si>
  <si>
    <t xml:space="preserve">L-0473</t>
  </si>
  <si>
    <t xml:space="preserve">L-0474</t>
  </si>
  <si>
    <t xml:space="preserve">L-0475</t>
  </si>
  <si>
    <t xml:space="preserve">L-0476</t>
  </si>
  <si>
    <t xml:space="preserve">L-0477</t>
  </si>
  <si>
    <t xml:space="preserve">L-0478</t>
  </si>
  <si>
    <t xml:space="preserve">L-0479</t>
  </si>
  <si>
    <t xml:space="preserve">L-0480</t>
  </si>
  <si>
    <t xml:space="preserve">L-0481</t>
  </si>
  <si>
    <t xml:space="preserve">L-0482</t>
  </si>
  <si>
    <t xml:space="preserve">L-0483</t>
  </si>
  <si>
    <t xml:space="preserve">L-0484</t>
  </si>
  <si>
    <t xml:space="preserve">L-0485</t>
  </si>
  <si>
    <t xml:space="preserve">L-0486</t>
  </si>
  <si>
    <t xml:space="preserve">L-0487</t>
  </si>
  <si>
    <t xml:space="preserve">L-0488</t>
  </si>
  <si>
    <t xml:space="preserve">L-0489</t>
  </si>
  <si>
    <t xml:space="preserve">L-0490</t>
  </si>
  <si>
    <t xml:space="preserve">L-0491</t>
  </si>
  <si>
    <t xml:space="preserve">L-0492</t>
  </si>
  <si>
    <t xml:space="preserve">L-0493</t>
  </si>
  <si>
    <t xml:space="preserve">L-0494</t>
  </si>
  <si>
    <t xml:space="preserve">L-0495</t>
  </si>
  <si>
    <t xml:space="preserve">L-0496</t>
  </si>
  <si>
    <t xml:space="preserve">L-0497</t>
  </si>
  <si>
    <t xml:space="preserve">L-0498</t>
  </si>
  <si>
    <t xml:space="preserve">L-0499</t>
  </si>
  <si>
    <t xml:space="preserve">L-0500</t>
  </si>
  <si>
    <t xml:space="preserve">L-0501</t>
  </si>
  <si>
    <t xml:space="preserve">L-0502</t>
  </si>
  <si>
    <t xml:space="preserve">L-0503</t>
  </si>
  <si>
    <t xml:space="preserve">L-0504</t>
  </si>
  <si>
    <t xml:space="preserve">L-0505</t>
  </si>
  <si>
    <t xml:space="preserve">L-0506</t>
  </si>
  <si>
    <t xml:space="preserve">L-0507</t>
  </si>
  <si>
    <t xml:space="preserve">L-0508</t>
  </si>
  <si>
    <t xml:space="preserve">L-0509</t>
  </si>
  <si>
    <t xml:space="preserve">L-0510</t>
  </si>
  <si>
    <t xml:space="preserve">L-0511</t>
  </si>
  <si>
    <t xml:space="preserve">L-0512</t>
  </si>
  <si>
    <t xml:space="preserve">L-0513</t>
  </si>
  <si>
    <t xml:space="preserve">L-0514</t>
  </si>
  <si>
    <t xml:space="preserve">L-0515</t>
  </si>
  <si>
    <t xml:space="preserve">L-0516</t>
  </si>
  <si>
    <t xml:space="preserve">L-0517</t>
  </si>
  <si>
    <t xml:space="preserve">L-0518</t>
  </si>
  <si>
    <t xml:space="preserve">L-0519</t>
  </si>
  <si>
    <t xml:space="preserve">L-0520</t>
  </si>
  <si>
    <t xml:space="preserve">L-0521</t>
  </si>
  <si>
    <t xml:space="preserve">L-0522</t>
  </si>
  <si>
    <t xml:space="preserve">L-0523</t>
  </si>
  <si>
    <t xml:space="preserve">L-0524</t>
  </si>
  <si>
    <t xml:space="preserve">L-0525</t>
  </si>
  <si>
    <t xml:space="preserve">L-0526</t>
  </si>
  <si>
    <t xml:space="preserve">L-0527</t>
  </si>
  <si>
    <t xml:space="preserve">L-0528</t>
  </si>
  <si>
    <t xml:space="preserve">L-0529</t>
  </si>
  <si>
    <t xml:space="preserve">L-0530</t>
  </si>
  <si>
    <t xml:space="preserve">L-0531</t>
  </si>
  <si>
    <t xml:space="preserve">L-0532</t>
  </si>
  <si>
    <t xml:space="preserve">L-0533</t>
  </si>
  <si>
    <t xml:space="preserve">L-0534</t>
  </si>
  <si>
    <t xml:space="preserve">L-0535</t>
  </si>
  <si>
    <t xml:space="preserve">L-0536</t>
  </si>
  <si>
    <t xml:space="preserve">L-0537</t>
  </si>
  <si>
    <t xml:space="preserve">L-0538</t>
  </si>
  <si>
    <t xml:space="preserve">L-0539</t>
  </si>
  <si>
    <t xml:space="preserve">L-0540</t>
  </si>
  <si>
    <t xml:space="preserve">L-0541</t>
  </si>
  <si>
    <t xml:space="preserve">L-0542</t>
  </si>
  <si>
    <t xml:space="preserve">L-0543</t>
  </si>
  <si>
    <t xml:space="preserve">L-0544</t>
  </si>
  <si>
    <t xml:space="preserve">L-0545</t>
  </si>
  <si>
    <t xml:space="preserve">L-0546</t>
  </si>
  <si>
    <t xml:space="preserve">L-0547</t>
  </si>
  <si>
    <t xml:space="preserve">L-0548</t>
  </si>
  <si>
    <t xml:space="preserve">L-0549</t>
  </si>
  <si>
    <t xml:space="preserve">L-0550</t>
  </si>
  <si>
    <t xml:space="preserve">L-0551</t>
  </si>
  <si>
    <t xml:space="preserve">L-0552</t>
  </si>
  <si>
    <t xml:space="preserve">L-0553</t>
  </si>
  <si>
    <t xml:space="preserve">L-0554</t>
  </si>
  <si>
    <t xml:space="preserve">L-0555</t>
  </si>
  <si>
    <t xml:space="preserve">L-0556</t>
  </si>
  <si>
    <t xml:space="preserve">L-0557</t>
  </si>
  <si>
    <t xml:space="preserve">L-0558</t>
  </si>
  <si>
    <t xml:space="preserve">L-0559</t>
  </si>
  <si>
    <t xml:space="preserve">L-0560</t>
  </si>
  <si>
    <t xml:space="preserve">L-0561</t>
  </si>
  <si>
    <t xml:space="preserve">L-0562</t>
  </si>
  <si>
    <t xml:space="preserve">L-0563</t>
  </si>
  <si>
    <t xml:space="preserve">L-0564</t>
  </si>
  <si>
    <t xml:space="preserve">L-0565</t>
  </si>
  <si>
    <t xml:space="preserve">L-0566</t>
  </si>
  <si>
    <t xml:space="preserve">L-0567</t>
  </si>
  <si>
    <t xml:space="preserve">L-0568</t>
  </si>
  <si>
    <t xml:space="preserve">L-0569</t>
  </si>
  <si>
    <t xml:space="preserve">L-0570</t>
  </si>
  <si>
    <t xml:space="preserve">L-0571</t>
  </si>
  <si>
    <t xml:space="preserve">L-0572</t>
  </si>
  <si>
    <t xml:space="preserve">L-0573</t>
  </si>
  <si>
    <t xml:space="preserve">L-0574</t>
  </si>
  <si>
    <t xml:space="preserve">L-0575</t>
  </si>
  <si>
    <t xml:space="preserve">L-0576</t>
  </si>
  <si>
    <t xml:space="preserve">L-0577</t>
  </si>
  <si>
    <t xml:space="preserve">L-0578</t>
  </si>
  <si>
    <t xml:space="preserve">L-0579</t>
  </si>
  <si>
    <t xml:space="preserve">L-0580</t>
  </si>
  <si>
    <t xml:space="preserve">L-0581</t>
  </si>
  <si>
    <t xml:space="preserve">L-0582</t>
  </si>
  <si>
    <t xml:space="preserve">L-0583</t>
  </si>
  <si>
    <t xml:space="preserve">L-0584</t>
  </si>
  <si>
    <t xml:space="preserve">L-0585</t>
  </si>
  <si>
    <t xml:space="preserve">L-0586</t>
  </si>
  <si>
    <t xml:space="preserve">L-0587</t>
  </si>
  <si>
    <t xml:space="preserve">L-0588</t>
  </si>
  <si>
    <t xml:space="preserve">L-0589</t>
  </si>
  <si>
    <t xml:space="preserve">L-0590</t>
  </si>
  <si>
    <t xml:space="preserve">L-0591</t>
  </si>
  <si>
    <t xml:space="preserve">L-0592</t>
  </si>
  <si>
    <t xml:space="preserve">L-0593</t>
  </si>
  <si>
    <t xml:space="preserve">L-0594</t>
  </si>
  <si>
    <t xml:space="preserve">L-0595</t>
  </si>
  <si>
    <t xml:space="preserve">L-0596</t>
  </si>
  <si>
    <t xml:space="preserve">L-0597</t>
  </si>
  <si>
    <t xml:space="preserve">L-0598</t>
  </si>
  <si>
    <t xml:space="preserve">L-0599</t>
  </si>
  <si>
    <t xml:space="preserve">L-0600</t>
  </si>
  <si>
    <t xml:space="preserve">L-0601</t>
  </si>
  <si>
    <t xml:space="preserve">L-0602</t>
  </si>
  <si>
    <t xml:space="preserve">L-0603</t>
  </si>
  <si>
    <t xml:space="preserve">L-0604</t>
  </si>
  <si>
    <t xml:space="preserve">L-0605</t>
  </si>
  <si>
    <t xml:space="preserve">L-0606</t>
  </si>
  <si>
    <t xml:space="preserve">L-0607</t>
  </si>
  <si>
    <t xml:space="preserve">L-0608</t>
  </si>
  <si>
    <t xml:space="preserve">L-0609</t>
  </si>
  <si>
    <t xml:space="preserve">L-0610</t>
  </si>
  <si>
    <t xml:space="preserve">L-0611</t>
  </si>
  <si>
    <t xml:space="preserve">L-0612</t>
  </si>
  <si>
    <t xml:space="preserve">L-0613</t>
  </si>
  <si>
    <t xml:space="preserve">L-0614</t>
  </si>
  <si>
    <t xml:space="preserve">L-0615</t>
  </si>
  <si>
    <t xml:space="preserve">L-0616</t>
  </si>
  <si>
    <t xml:space="preserve">L-0617</t>
  </si>
  <si>
    <t xml:space="preserve">L-0618</t>
  </si>
  <si>
    <t xml:space="preserve">L-0619</t>
  </si>
  <si>
    <t xml:space="preserve">L-0620</t>
  </si>
  <si>
    <t xml:space="preserve">L-0621</t>
  </si>
  <si>
    <t xml:space="preserve">L-0622</t>
  </si>
  <si>
    <t xml:space="preserve">L-0623</t>
  </si>
  <si>
    <t xml:space="preserve">L-0624</t>
  </si>
  <si>
    <t xml:space="preserve">L-0625</t>
  </si>
  <si>
    <t xml:space="preserve">L-0626</t>
  </si>
  <si>
    <t xml:space="preserve">L-0627</t>
  </si>
  <si>
    <t xml:space="preserve">L-0628</t>
  </si>
  <si>
    <t xml:space="preserve">L-0629</t>
  </si>
  <si>
    <t xml:space="preserve">L-0630</t>
  </si>
  <si>
    <t xml:space="preserve">L-0631</t>
  </si>
  <si>
    <t xml:space="preserve">L-0632</t>
  </si>
  <si>
    <t xml:space="preserve">L-0633</t>
  </si>
  <si>
    <t xml:space="preserve">L-0634</t>
  </si>
  <si>
    <t xml:space="preserve">L-0635</t>
  </si>
  <si>
    <t xml:space="preserve">L-0636</t>
  </si>
  <si>
    <t xml:space="preserve">L-0637</t>
  </si>
  <si>
    <t xml:space="preserve">L-0638</t>
  </si>
  <si>
    <t xml:space="preserve">L-0639</t>
  </si>
  <si>
    <t xml:space="preserve">L-0640</t>
  </si>
  <si>
    <t xml:space="preserve">L-0641</t>
  </si>
  <si>
    <t xml:space="preserve">L-0642</t>
  </si>
  <si>
    <t xml:space="preserve">L-0643</t>
  </si>
  <si>
    <t xml:space="preserve">L-0644</t>
  </si>
  <si>
    <t xml:space="preserve">L-0645</t>
  </si>
  <si>
    <t xml:space="preserve">L-0646</t>
  </si>
  <si>
    <t xml:space="preserve">L-0647</t>
  </si>
  <si>
    <t xml:space="preserve">L-0648</t>
  </si>
  <si>
    <t xml:space="preserve">L-0649</t>
  </si>
  <si>
    <t xml:space="preserve">L-0650</t>
  </si>
  <si>
    <t xml:space="preserve">L-0651</t>
  </si>
  <si>
    <t xml:space="preserve">L-0652</t>
  </si>
  <si>
    <t xml:space="preserve">L-0653</t>
  </si>
  <si>
    <t xml:space="preserve">L-0654</t>
  </si>
  <si>
    <t xml:space="preserve">L-0655</t>
  </si>
  <si>
    <t xml:space="preserve">L-0656</t>
  </si>
  <si>
    <t xml:space="preserve">L-0657</t>
  </si>
  <si>
    <t xml:space="preserve">L-0658</t>
  </si>
  <si>
    <t xml:space="preserve">L-0659</t>
  </si>
  <si>
    <t xml:space="preserve">L-0660</t>
  </si>
  <si>
    <t xml:space="preserve">L-0661</t>
  </si>
  <si>
    <t xml:space="preserve">L-0662</t>
  </si>
  <si>
    <t xml:space="preserve">L-0663</t>
  </si>
  <si>
    <t xml:space="preserve">L-0664</t>
  </si>
  <si>
    <t xml:space="preserve">L-0665</t>
  </si>
  <si>
    <t xml:space="preserve">L-0666</t>
  </si>
  <si>
    <t xml:space="preserve">L-0667</t>
  </si>
  <si>
    <t xml:space="preserve">L-0668</t>
  </si>
  <si>
    <t xml:space="preserve">L-0669</t>
  </si>
  <si>
    <t xml:space="preserve">L-0670</t>
  </si>
  <si>
    <t xml:space="preserve">L-0671</t>
  </si>
  <si>
    <t xml:space="preserve">L-0672</t>
  </si>
  <si>
    <t xml:space="preserve">L-0673</t>
  </si>
  <si>
    <t xml:space="preserve">L-0674</t>
  </si>
  <si>
    <t xml:space="preserve">L-0675</t>
  </si>
  <si>
    <t xml:space="preserve">L-0676</t>
  </si>
  <si>
    <t xml:space="preserve">L-0677</t>
  </si>
  <si>
    <t xml:space="preserve">L-0678</t>
  </si>
  <si>
    <t xml:space="preserve">L-0679</t>
  </si>
  <si>
    <t xml:space="preserve">L-0680</t>
  </si>
  <si>
    <t xml:space="preserve">L-0681</t>
  </si>
  <si>
    <t xml:space="preserve">L-0682</t>
  </si>
  <si>
    <t xml:space="preserve">L-0683</t>
  </si>
  <si>
    <t xml:space="preserve">L-0684</t>
  </si>
  <si>
    <t xml:space="preserve">L-0685</t>
  </si>
  <si>
    <t xml:space="preserve">L-0686</t>
  </si>
  <si>
    <t xml:space="preserve">L-0687</t>
  </si>
  <si>
    <t xml:space="preserve">L-0688</t>
  </si>
  <si>
    <t xml:space="preserve">L-0689</t>
  </si>
  <si>
    <t xml:space="preserve">L-0690</t>
  </si>
  <si>
    <t xml:space="preserve">L-0691</t>
  </si>
  <si>
    <t xml:space="preserve">L-0692</t>
  </si>
  <si>
    <t xml:space="preserve">L-0693</t>
  </si>
  <si>
    <t xml:space="preserve">L-0694</t>
  </si>
  <si>
    <t xml:space="preserve">L-0695</t>
  </si>
  <si>
    <t xml:space="preserve">L-0696</t>
  </si>
  <si>
    <t xml:space="preserve">L-0697</t>
  </si>
  <si>
    <t xml:space="preserve">L-0698</t>
  </si>
  <si>
    <t xml:space="preserve">L-0699</t>
  </si>
  <si>
    <t xml:space="preserve">L-0700</t>
  </si>
  <si>
    <t xml:space="preserve">L-0701</t>
  </si>
  <si>
    <t xml:space="preserve">L-0702</t>
  </si>
  <si>
    <t xml:space="preserve">L-0703</t>
  </si>
  <si>
    <t xml:space="preserve">L-0704</t>
  </si>
  <si>
    <t xml:space="preserve">L-0705</t>
  </si>
  <si>
    <t xml:space="preserve">L-0706</t>
  </si>
  <si>
    <t xml:space="preserve">L-0707</t>
  </si>
  <si>
    <t xml:space="preserve">L-0708</t>
  </si>
  <si>
    <t xml:space="preserve">L-0709</t>
  </si>
  <si>
    <t xml:space="preserve">L-0710</t>
  </si>
  <si>
    <t xml:space="preserve">L-0711</t>
  </si>
  <si>
    <t xml:space="preserve">L-0712</t>
  </si>
  <si>
    <t xml:space="preserve">L-0713</t>
  </si>
  <si>
    <t xml:space="preserve">L-0714</t>
  </si>
  <si>
    <t xml:space="preserve">L-0715</t>
  </si>
  <si>
    <t xml:space="preserve">L-0716</t>
  </si>
  <si>
    <t xml:space="preserve">L-0717</t>
  </si>
  <si>
    <t xml:space="preserve">L-0718</t>
  </si>
  <si>
    <t xml:space="preserve">L-0719</t>
  </si>
  <si>
    <t xml:space="preserve">L-0720</t>
  </si>
  <si>
    <t xml:space="preserve">L-0721</t>
  </si>
  <si>
    <t xml:space="preserve">L-0722</t>
  </si>
  <si>
    <t xml:space="preserve">L-0723</t>
  </si>
  <si>
    <t xml:space="preserve">L-0724</t>
  </si>
  <si>
    <t xml:space="preserve">L-0725</t>
  </si>
  <si>
    <t xml:space="preserve">L-0726</t>
  </si>
  <si>
    <t xml:space="preserve">L-0727</t>
  </si>
  <si>
    <t xml:space="preserve">L-0728</t>
  </si>
  <si>
    <t xml:space="preserve">L-0729</t>
  </si>
  <si>
    <t xml:space="preserve">L-0730</t>
  </si>
  <si>
    <t xml:space="preserve">L-0731</t>
  </si>
  <si>
    <t xml:space="preserve">L-0732</t>
  </si>
  <si>
    <t xml:space="preserve">L-0733</t>
  </si>
  <si>
    <t xml:space="preserve">L-0734</t>
  </si>
  <si>
    <t xml:space="preserve">L-0735</t>
  </si>
  <si>
    <t xml:space="preserve">L-0736</t>
  </si>
  <si>
    <t xml:space="preserve">L-0737</t>
  </si>
  <si>
    <t xml:space="preserve">L-0738</t>
  </si>
  <si>
    <t xml:space="preserve">L-0739</t>
  </si>
  <si>
    <t xml:space="preserve">L-0740</t>
  </si>
  <si>
    <t xml:space="preserve">L-0741</t>
  </si>
  <si>
    <t xml:space="preserve">L-0742</t>
  </si>
  <si>
    <t xml:space="preserve">L-0743</t>
  </si>
  <si>
    <t xml:space="preserve">L-0744</t>
  </si>
  <si>
    <t xml:space="preserve">L-0745</t>
  </si>
  <si>
    <t xml:space="preserve">L-0746</t>
  </si>
  <si>
    <t xml:space="preserve">L-0747</t>
  </si>
  <si>
    <t xml:space="preserve">L-0748</t>
  </si>
  <si>
    <t xml:space="preserve">L-0749</t>
  </si>
  <si>
    <t xml:space="preserve">L-0750</t>
  </si>
  <si>
    <t xml:space="preserve">L-0751</t>
  </si>
  <si>
    <t xml:space="preserve">L-0752</t>
  </si>
  <si>
    <t xml:space="preserve">L-0753</t>
  </si>
  <si>
    <t xml:space="preserve">L-0754</t>
  </si>
  <si>
    <t xml:space="preserve">L-0755</t>
  </si>
  <si>
    <t xml:space="preserve">L-0756</t>
  </si>
  <si>
    <t xml:space="preserve">L-0757</t>
  </si>
  <si>
    <t xml:space="preserve">L-0758</t>
  </si>
  <si>
    <t xml:space="preserve">L-0759</t>
  </si>
  <si>
    <t xml:space="preserve">L-0760</t>
  </si>
  <si>
    <t xml:space="preserve">L-0761</t>
  </si>
  <si>
    <t xml:space="preserve">L-0762</t>
  </si>
  <si>
    <t xml:space="preserve">L-0763</t>
  </si>
  <si>
    <t xml:space="preserve">L-0764</t>
  </si>
  <si>
    <t xml:space="preserve">L-0765</t>
  </si>
  <si>
    <t xml:space="preserve">L-0766</t>
  </si>
  <si>
    <t xml:space="preserve">L-0767</t>
  </si>
  <si>
    <t xml:space="preserve">L-0768</t>
  </si>
  <si>
    <t xml:space="preserve">L-0769</t>
  </si>
  <si>
    <t xml:space="preserve">L-0770</t>
  </si>
  <si>
    <t xml:space="preserve">L-0771</t>
  </si>
  <si>
    <t xml:space="preserve">L-0772</t>
  </si>
  <si>
    <t xml:space="preserve">L-0773</t>
  </si>
  <si>
    <t xml:space="preserve">L-0774</t>
  </si>
  <si>
    <t xml:space="preserve">L-0775</t>
  </si>
  <si>
    <t xml:space="preserve">L-0776</t>
  </si>
  <si>
    <t xml:space="preserve">L-0777</t>
  </si>
  <si>
    <t xml:space="preserve">L-0778</t>
  </si>
  <si>
    <t xml:space="preserve">L-0779</t>
  </si>
  <si>
    <t xml:space="preserve">L-0780</t>
  </si>
  <si>
    <t xml:space="preserve">L-0781</t>
  </si>
  <si>
    <t xml:space="preserve">L-0782</t>
  </si>
  <si>
    <t xml:space="preserve">L-0783</t>
  </si>
  <si>
    <t xml:space="preserve">L-0784</t>
  </si>
  <si>
    <t xml:space="preserve">L-0785</t>
  </si>
  <si>
    <t xml:space="preserve">L-0786</t>
  </si>
  <si>
    <t xml:space="preserve">L-0787</t>
  </si>
  <si>
    <t xml:space="preserve">L-0788</t>
  </si>
  <si>
    <t xml:space="preserve">L-0789</t>
  </si>
  <si>
    <t xml:space="preserve">L-0790</t>
  </si>
  <si>
    <t xml:space="preserve">L-0791</t>
  </si>
  <si>
    <t xml:space="preserve">L-0792</t>
  </si>
  <si>
    <t xml:space="preserve">L-0793</t>
  </si>
  <si>
    <t xml:space="preserve">L-0794</t>
  </si>
  <si>
    <t xml:space="preserve">L-0795</t>
  </si>
  <si>
    <t xml:space="preserve">L-0796</t>
  </si>
  <si>
    <t xml:space="preserve">L-0797</t>
  </si>
  <si>
    <t xml:space="preserve">L-0798</t>
  </si>
  <si>
    <t xml:space="preserve">L-0799</t>
  </si>
  <si>
    <t xml:space="preserve">L-0800</t>
  </si>
  <si>
    <t xml:space="preserve">L-0801</t>
  </si>
  <si>
    <t xml:space="preserve">L-0802</t>
  </si>
  <si>
    <t xml:space="preserve">L-0803</t>
  </si>
  <si>
    <t xml:space="preserve">L-0804</t>
  </si>
  <si>
    <t xml:space="preserve">L-0805</t>
  </si>
  <si>
    <t xml:space="preserve">L-0806</t>
  </si>
  <si>
    <t xml:space="preserve">L-0807</t>
  </si>
  <si>
    <t xml:space="preserve">L-0808</t>
  </si>
  <si>
    <t xml:space="preserve">L-0809</t>
  </si>
  <si>
    <t xml:space="preserve">L-0810</t>
  </si>
  <si>
    <t xml:space="preserve">L-0811</t>
  </si>
  <si>
    <t xml:space="preserve">L-0812</t>
  </si>
  <si>
    <t xml:space="preserve">L-0813</t>
  </si>
  <si>
    <t xml:space="preserve">L-0814</t>
  </si>
  <si>
    <t xml:space="preserve">L-0815</t>
  </si>
  <si>
    <t xml:space="preserve">L-0816</t>
  </si>
  <si>
    <t xml:space="preserve">L-0817</t>
  </si>
  <si>
    <t xml:space="preserve">L-0818</t>
  </si>
  <si>
    <t xml:space="preserve">L-0819</t>
  </si>
  <si>
    <t xml:space="preserve">L-0820</t>
  </si>
  <si>
    <t xml:space="preserve">L-0821</t>
  </si>
  <si>
    <t xml:space="preserve">L-0822</t>
  </si>
  <si>
    <t xml:space="preserve">L-0823</t>
  </si>
  <si>
    <t xml:space="preserve">L-0824</t>
  </si>
  <si>
    <t xml:space="preserve">L-0825</t>
  </si>
  <si>
    <t xml:space="preserve">L-0826</t>
  </si>
  <si>
    <t xml:space="preserve">L-0827</t>
  </si>
  <si>
    <t xml:space="preserve">L-0828</t>
  </si>
  <si>
    <t xml:space="preserve">L-0829</t>
  </si>
  <si>
    <t xml:space="preserve">L-0830</t>
  </si>
  <si>
    <t xml:space="preserve">L-0831</t>
  </si>
  <si>
    <t xml:space="preserve">L-0832</t>
  </si>
  <si>
    <t xml:space="preserve">L-0833</t>
  </si>
  <si>
    <t xml:space="preserve">L-0834</t>
  </si>
  <si>
    <t xml:space="preserve">L-0835</t>
  </si>
  <si>
    <t xml:space="preserve">L-0836</t>
  </si>
  <si>
    <t xml:space="preserve">L-0837</t>
  </si>
  <si>
    <t xml:space="preserve">L-0838</t>
  </si>
  <si>
    <t xml:space="preserve">L-0839</t>
  </si>
  <si>
    <t xml:space="preserve">L-0840</t>
  </si>
  <si>
    <t xml:space="preserve">L-0841</t>
  </si>
  <si>
    <t xml:space="preserve">L-0842</t>
  </si>
  <si>
    <t xml:space="preserve">L-0843</t>
  </si>
  <si>
    <t xml:space="preserve">L-0844</t>
  </si>
  <si>
    <t xml:space="preserve">L-0845</t>
  </si>
  <si>
    <t xml:space="preserve">L-0846</t>
  </si>
  <si>
    <t xml:space="preserve">L-0847</t>
  </si>
  <si>
    <t xml:space="preserve">L-0848</t>
  </si>
  <si>
    <t xml:space="preserve">L-0849</t>
  </si>
  <si>
    <t xml:space="preserve">L-0850</t>
  </si>
  <si>
    <t xml:space="preserve">L-0851</t>
  </si>
  <si>
    <t xml:space="preserve">L-0852</t>
  </si>
  <si>
    <t xml:space="preserve">L-0853</t>
  </si>
  <si>
    <t xml:space="preserve">L-0854</t>
  </si>
  <si>
    <t xml:space="preserve">L-0855</t>
  </si>
  <si>
    <t xml:space="preserve">L-0856</t>
  </si>
  <si>
    <t xml:space="preserve">L-0857</t>
  </si>
  <si>
    <t xml:space="preserve">L-0858</t>
  </si>
  <si>
    <t xml:space="preserve">L-0859</t>
  </si>
  <si>
    <t xml:space="preserve">L-0860</t>
  </si>
  <si>
    <t xml:space="preserve">L-0861</t>
  </si>
  <si>
    <t xml:space="preserve">L-0862</t>
  </si>
  <si>
    <t xml:space="preserve">L-0863</t>
  </si>
  <si>
    <t xml:space="preserve">L-0864</t>
  </si>
  <si>
    <t xml:space="preserve">L-0865</t>
  </si>
  <si>
    <t xml:space="preserve">L-0866</t>
  </si>
  <si>
    <t xml:space="preserve">L-0867</t>
  </si>
  <si>
    <t xml:space="preserve">L-0868</t>
  </si>
  <si>
    <t xml:space="preserve">L-0869</t>
  </si>
  <si>
    <t xml:space="preserve">L-0870</t>
  </si>
  <si>
    <t xml:space="preserve">L-0871</t>
  </si>
  <si>
    <t xml:space="preserve">L-0872</t>
  </si>
  <si>
    <t xml:space="preserve">L-0873</t>
  </si>
  <si>
    <t xml:space="preserve">L-0874</t>
  </si>
  <si>
    <t xml:space="preserve">L-0875</t>
  </si>
  <si>
    <t xml:space="preserve">L-0876</t>
  </si>
  <si>
    <t xml:space="preserve">L-0877</t>
  </si>
  <si>
    <t xml:space="preserve">L-0878</t>
  </si>
  <si>
    <t xml:space="preserve">L-0879</t>
  </si>
  <si>
    <t xml:space="preserve">L-0880</t>
  </si>
  <si>
    <t xml:space="preserve">L-0881</t>
  </si>
  <si>
    <t xml:space="preserve">L-0882</t>
  </si>
  <si>
    <t xml:space="preserve">L-0883</t>
  </si>
  <si>
    <t xml:space="preserve">L-0884</t>
  </si>
  <si>
    <t xml:space="preserve">L-0885</t>
  </si>
  <si>
    <t xml:space="preserve">L-0886</t>
  </si>
  <si>
    <t xml:space="preserve">L-0887</t>
  </si>
  <si>
    <t xml:space="preserve">L-0888</t>
  </si>
  <si>
    <t xml:space="preserve">L-0889</t>
  </si>
  <si>
    <t xml:space="preserve">L-0890</t>
  </si>
  <si>
    <t xml:space="preserve">L-0891</t>
  </si>
  <si>
    <t xml:space="preserve">L-0892</t>
  </si>
  <si>
    <t xml:space="preserve">L-0893</t>
  </si>
  <si>
    <t xml:space="preserve">L-0894</t>
  </si>
  <si>
    <t xml:space="preserve">L-0895</t>
  </si>
  <si>
    <t xml:space="preserve">L-0896</t>
  </si>
  <si>
    <t xml:space="preserve">L-0897</t>
  </si>
  <si>
    <t xml:space="preserve">L-0898</t>
  </si>
  <si>
    <t xml:space="preserve">L-0899</t>
  </si>
  <si>
    <t xml:space="preserve">L-0900</t>
  </si>
  <si>
    <t xml:space="preserve">L-0901</t>
  </si>
  <si>
    <t xml:space="preserve">L-0902</t>
  </si>
  <si>
    <t xml:space="preserve">L-0903</t>
  </si>
  <si>
    <t xml:space="preserve">L-0904</t>
  </si>
  <si>
    <t xml:space="preserve">L-0905</t>
  </si>
  <si>
    <t xml:space="preserve">L-0906</t>
  </si>
  <si>
    <t xml:space="preserve">L-0907</t>
  </si>
  <si>
    <t xml:space="preserve">L-0908</t>
  </si>
  <si>
    <t xml:space="preserve">L-0909</t>
  </si>
  <si>
    <t xml:space="preserve">L-0910</t>
  </si>
  <si>
    <t xml:space="preserve">L-0911</t>
  </si>
  <si>
    <t xml:space="preserve">L-0912</t>
  </si>
  <si>
    <t xml:space="preserve">L-0913</t>
  </si>
  <si>
    <t xml:space="preserve">L-0914</t>
  </si>
  <si>
    <t xml:space="preserve">L-0915</t>
  </si>
  <si>
    <t xml:space="preserve">L-0916</t>
  </si>
  <si>
    <t xml:space="preserve">L-0917</t>
  </si>
  <si>
    <t xml:space="preserve">L-0918</t>
  </si>
  <si>
    <t xml:space="preserve">L-0919</t>
  </si>
  <si>
    <t xml:space="preserve">L-0920</t>
  </si>
  <si>
    <t xml:space="preserve">L-0921</t>
  </si>
  <si>
    <t xml:space="preserve">L-0922</t>
  </si>
  <si>
    <t xml:space="preserve">L-0923</t>
  </si>
  <si>
    <t xml:space="preserve">L-0924</t>
  </si>
  <si>
    <t xml:space="preserve">L-0925</t>
  </si>
  <si>
    <t xml:space="preserve">L-0926</t>
  </si>
  <si>
    <t xml:space="preserve">L-0927</t>
  </si>
  <si>
    <t xml:space="preserve">L-0928</t>
  </si>
  <si>
    <t xml:space="preserve">L-0929</t>
  </si>
  <si>
    <t xml:space="preserve">L-0930</t>
  </si>
  <si>
    <t xml:space="preserve">L-0931</t>
  </si>
  <si>
    <t xml:space="preserve">L-0932</t>
  </si>
  <si>
    <t xml:space="preserve">L-0933</t>
  </si>
  <si>
    <t xml:space="preserve">L-0934</t>
  </si>
  <si>
    <t xml:space="preserve">L-0935</t>
  </si>
  <si>
    <t xml:space="preserve">L-0936</t>
  </si>
  <si>
    <t xml:space="preserve">L-0937</t>
  </si>
  <si>
    <t xml:space="preserve">L-0938</t>
  </si>
  <si>
    <t xml:space="preserve">L-0939</t>
  </si>
  <si>
    <t xml:space="preserve">L-0940</t>
  </si>
  <si>
    <t xml:space="preserve">L-0941</t>
  </si>
  <si>
    <t xml:space="preserve">L-0942</t>
  </si>
  <si>
    <t xml:space="preserve">L-0943</t>
  </si>
  <si>
    <t xml:space="preserve">L-0944</t>
  </si>
  <si>
    <t xml:space="preserve">L-0945</t>
  </si>
  <si>
    <t xml:space="preserve">L-0946</t>
  </si>
  <si>
    <t xml:space="preserve">L-0947</t>
  </si>
  <si>
    <t xml:space="preserve">L-0948</t>
  </si>
  <si>
    <t xml:space="preserve">L-0949</t>
  </si>
  <si>
    <t xml:space="preserve">L-0950</t>
  </si>
  <si>
    <t xml:space="preserve">L-0951</t>
  </si>
  <si>
    <t xml:space="preserve">L-0952</t>
  </si>
  <si>
    <t xml:space="preserve">L-0953</t>
  </si>
  <si>
    <t xml:space="preserve">L-0954</t>
  </si>
  <si>
    <t xml:space="preserve">L-0955</t>
  </si>
  <si>
    <t xml:space="preserve">L-0956</t>
  </si>
  <si>
    <t xml:space="preserve">L-0957</t>
  </si>
  <si>
    <t xml:space="preserve">L-0958</t>
  </si>
  <si>
    <t xml:space="preserve">L-0959</t>
  </si>
  <si>
    <t xml:space="preserve">L-0960</t>
  </si>
  <si>
    <t xml:space="preserve">L-0961</t>
  </si>
  <si>
    <t xml:space="preserve">L-0962</t>
  </si>
  <si>
    <t xml:space="preserve">L-0963</t>
  </si>
  <si>
    <t xml:space="preserve">L-0964</t>
  </si>
  <si>
    <t xml:space="preserve">L-0965</t>
  </si>
  <si>
    <t xml:space="preserve">L-0966</t>
  </si>
  <si>
    <t xml:space="preserve">L-0967</t>
  </si>
  <si>
    <t xml:space="preserve">L-0968</t>
  </si>
  <si>
    <t xml:space="preserve">L-0969</t>
  </si>
  <si>
    <t xml:space="preserve">L-0970</t>
  </si>
  <si>
    <t xml:space="preserve">L-0971</t>
  </si>
  <si>
    <t xml:space="preserve">L-0972</t>
  </si>
  <si>
    <t xml:space="preserve">L-0973</t>
  </si>
  <si>
    <t xml:space="preserve">L-0974</t>
  </si>
  <si>
    <t xml:space="preserve">L-0975</t>
  </si>
  <si>
    <t xml:space="preserve">L-0976</t>
  </si>
  <si>
    <t xml:space="preserve">L-0977</t>
  </si>
  <si>
    <t xml:space="preserve">L-0978</t>
  </si>
  <si>
    <t xml:space="preserve">L-0979</t>
  </si>
  <si>
    <t xml:space="preserve">L-0980</t>
  </si>
  <si>
    <t xml:space="preserve">L-0981</t>
  </si>
  <si>
    <t xml:space="preserve">L-0982</t>
  </si>
  <si>
    <t xml:space="preserve">L-0983</t>
  </si>
  <si>
    <t xml:space="preserve">L-0984</t>
  </si>
  <si>
    <t xml:space="preserve">L-0985</t>
  </si>
  <si>
    <t xml:space="preserve">L-0986</t>
  </si>
  <si>
    <t xml:space="preserve">L-0987</t>
  </si>
  <si>
    <t xml:space="preserve">L-0988</t>
  </si>
  <si>
    <t xml:space="preserve">L-0989</t>
  </si>
  <si>
    <t xml:space="preserve">L-0990</t>
  </si>
  <si>
    <t xml:space="preserve">L-0991</t>
  </si>
  <si>
    <t xml:space="preserve">L-0992</t>
  </si>
  <si>
    <t xml:space="preserve">L-0993</t>
  </si>
  <si>
    <t xml:space="preserve">L-0994</t>
  </si>
  <si>
    <t xml:space="preserve">L-0995</t>
  </si>
  <si>
    <t xml:space="preserve">L-0996</t>
  </si>
  <si>
    <t xml:space="preserve">L-0997</t>
  </si>
  <si>
    <t xml:space="preserve">L-0998</t>
  </si>
  <si>
    <t xml:space="preserve">L-0999</t>
  </si>
  <si>
    <t xml:space="preserve">L-1000</t>
  </si>
  <si>
    <t xml:space="preserve">ACTIVE CLIENTS — current customers</t>
  </si>
  <si>
    <t xml:space="preserve">White cells = enter data · Grey = automatic · Update Last Order Date / Value and Sales YTD after each order · Row 5 is an EXAMPLE — overwrite it.</t>
  </si>
  <si>
    <t xml:space="preserve">Client ID</t>
  </si>
  <si>
    <t xml:space="preserve">Account Manager</t>
  </si>
  <si>
    <t xml:space="preserve">Client Since</t>
  </si>
  <si>
    <t xml:space="preserve">Contract No.</t>
  </si>
  <si>
    <t xml:space="preserve">Credit Limit (USD)</t>
  </si>
  <si>
    <t xml:space="preserve">Last Order Date</t>
  </si>
  <si>
    <t xml:space="preserve">Last Order Value (USD)</t>
  </si>
  <si>
    <t xml:space="preserve">Avg Volume (L/month)</t>
  </si>
  <si>
    <t xml:space="preserve">Next Follow-up</t>
  </si>
  <si>
    <t xml:space="preserve">Notes</t>
  </si>
  <si>
    <t xml:space="preserve">Days Since Last Order</t>
  </si>
  <si>
    <t xml:space="preserve">Alert</t>
  </si>
  <si>
    <t xml:space="preserve">C-0001</t>
  </si>
  <si>
    <t xml:space="preserve">EXAMPLE Lubricants Shop LLC</t>
  </si>
  <si>
    <t xml:space="preserve">Omar Example</t>
  </si>
  <si>
    <t xml:space="preserve">Owner</t>
  </si>
  <si>
    <t xml:space="preserve">+971 50 000 0000</t>
  </si>
  <si>
    <t xml:space="preserve">omar@example.com</t>
  </si>
  <si>
    <t xml:space="preserve">S-2026-001</t>
  </si>
  <si>
    <t xml:space="preserve">EXAMPLE row — overwrite with a real client</t>
  </si>
  <si>
    <t xml:space="preserve">C-0002</t>
  </si>
  <si>
    <t xml:space="preserve">C-0003</t>
  </si>
  <si>
    <t xml:space="preserve">C-0004</t>
  </si>
  <si>
    <t xml:space="preserve">C-0005</t>
  </si>
  <si>
    <t xml:space="preserve">C-0006</t>
  </si>
  <si>
    <t xml:space="preserve">C-0007</t>
  </si>
  <si>
    <t xml:space="preserve">C-0008</t>
  </si>
  <si>
    <t xml:space="preserve">C-0009</t>
  </si>
  <si>
    <t xml:space="preserve">C-0010</t>
  </si>
  <si>
    <t xml:space="preserve">C-0011</t>
  </si>
  <si>
    <t xml:space="preserve">C-0012</t>
  </si>
  <si>
    <t xml:space="preserve">C-0013</t>
  </si>
  <si>
    <t xml:space="preserve">C-0014</t>
  </si>
  <si>
    <t xml:space="preserve">C-0015</t>
  </si>
  <si>
    <t xml:space="preserve">C-0016</t>
  </si>
  <si>
    <t xml:space="preserve">C-0017</t>
  </si>
  <si>
    <t xml:space="preserve">C-0018</t>
  </si>
  <si>
    <t xml:space="preserve">C-0019</t>
  </si>
  <si>
    <t xml:space="preserve">C-0020</t>
  </si>
  <si>
    <t xml:space="preserve">C-0021</t>
  </si>
  <si>
    <t xml:space="preserve">C-0022</t>
  </si>
  <si>
    <t xml:space="preserve">C-0023</t>
  </si>
  <si>
    <t xml:space="preserve">C-0024</t>
  </si>
  <si>
    <t xml:space="preserve">C-0025</t>
  </si>
  <si>
    <t xml:space="preserve">C-0026</t>
  </si>
  <si>
    <t xml:space="preserve">C-0027</t>
  </si>
  <si>
    <t xml:space="preserve">C-0028</t>
  </si>
  <si>
    <t xml:space="preserve">C-0029</t>
  </si>
  <si>
    <t xml:space="preserve">C-0030</t>
  </si>
  <si>
    <t xml:space="preserve">C-0031</t>
  </si>
  <si>
    <t xml:space="preserve">C-0032</t>
  </si>
  <si>
    <t xml:space="preserve">C-0033</t>
  </si>
  <si>
    <t xml:space="preserve">C-0034</t>
  </si>
  <si>
    <t xml:space="preserve">C-0035</t>
  </si>
  <si>
    <t xml:space="preserve">C-0036</t>
  </si>
  <si>
    <t xml:space="preserve">C-0037</t>
  </si>
  <si>
    <t xml:space="preserve">C-0038</t>
  </si>
  <si>
    <t xml:space="preserve">C-0039</t>
  </si>
  <si>
    <t xml:space="preserve">C-0040</t>
  </si>
  <si>
    <t xml:space="preserve">C-0041</t>
  </si>
  <si>
    <t xml:space="preserve">C-0042</t>
  </si>
  <si>
    <t xml:space="preserve">C-0043</t>
  </si>
  <si>
    <t xml:space="preserve">C-0044</t>
  </si>
  <si>
    <t xml:space="preserve">C-0045</t>
  </si>
  <si>
    <t xml:space="preserve">C-0046</t>
  </si>
  <si>
    <t xml:space="preserve">C-0047</t>
  </si>
  <si>
    <t xml:space="preserve">C-0048</t>
  </si>
  <si>
    <t xml:space="preserve">C-0049</t>
  </si>
  <si>
    <t xml:space="preserve">C-0050</t>
  </si>
  <si>
    <t xml:space="preserve">C-0051</t>
  </si>
  <si>
    <t xml:space="preserve">C-0052</t>
  </si>
  <si>
    <t xml:space="preserve">C-0053</t>
  </si>
  <si>
    <t xml:space="preserve">C-0054</t>
  </si>
  <si>
    <t xml:space="preserve">C-0055</t>
  </si>
  <si>
    <t xml:space="preserve">C-0056</t>
  </si>
  <si>
    <t xml:space="preserve">C-0057</t>
  </si>
  <si>
    <t xml:space="preserve">C-0058</t>
  </si>
  <si>
    <t xml:space="preserve">C-0059</t>
  </si>
  <si>
    <t xml:space="preserve">C-0060</t>
  </si>
  <si>
    <t xml:space="preserve">C-0061</t>
  </si>
  <si>
    <t xml:space="preserve">C-0062</t>
  </si>
  <si>
    <t xml:space="preserve">C-0063</t>
  </si>
  <si>
    <t xml:space="preserve">C-0064</t>
  </si>
  <si>
    <t xml:space="preserve">C-0065</t>
  </si>
  <si>
    <t xml:space="preserve">C-0066</t>
  </si>
  <si>
    <t xml:space="preserve">C-0067</t>
  </si>
  <si>
    <t xml:space="preserve">C-0068</t>
  </si>
  <si>
    <t xml:space="preserve">C-0069</t>
  </si>
  <si>
    <t xml:space="preserve">C-0070</t>
  </si>
  <si>
    <t xml:space="preserve">C-0071</t>
  </si>
  <si>
    <t xml:space="preserve">C-0072</t>
  </si>
  <si>
    <t xml:space="preserve">C-0073</t>
  </si>
  <si>
    <t xml:space="preserve">C-0074</t>
  </si>
  <si>
    <t xml:space="preserve">C-0075</t>
  </si>
  <si>
    <t xml:space="preserve">C-0076</t>
  </si>
  <si>
    <t xml:space="preserve">C-0077</t>
  </si>
  <si>
    <t xml:space="preserve">C-0078</t>
  </si>
  <si>
    <t xml:space="preserve">C-0079</t>
  </si>
  <si>
    <t xml:space="preserve">C-0080</t>
  </si>
  <si>
    <t xml:space="preserve">C-0081</t>
  </si>
  <si>
    <t xml:space="preserve">C-0082</t>
  </si>
  <si>
    <t xml:space="preserve">C-0083</t>
  </si>
  <si>
    <t xml:space="preserve">C-0084</t>
  </si>
  <si>
    <t xml:space="preserve">C-0085</t>
  </si>
  <si>
    <t xml:space="preserve">C-0086</t>
  </si>
  <si>
    <t xml:space="preserve">C-0087</t>
  </si>
  <si>
    <t xml:space="preserve">C-0088</t>
  </si>
  <si>
    <t xml:space="preserve">C-0089</t>
  </si>
  <si>
    <t xml:space="preserve">C-0090</t>
  </si>
  <si>
    <t xml:space="preserve">C-0091</t>
  </si>
  <si>
    <t xml:space="preserve">C-0092</t>
  </si>
  <si>
    <t xml:space="preserve">C-0093</t>
  </si>
  <si>
    <t xml:space="preserve">C-0094</t>
  </si>
  <si>
    <t xml:space="preserve">C-0095</t>
  </si>
  <si>
    <t xml:space="preserve">C-0096</t>
  </si>
  <si>
    <t xml:space="preserve">C-0097</t>
  </si>
  <si>
    <t xml:space="preserve">C-0098</t>
  </si>
  <si>
    <t xml:space="preserve">C-0099</t>
  </si>
  <si>
    <t xml:space="preserve">C-0100</t>
  </si>
  <si>
    <t xml:space="preserve">C-0101</t>
  </si>
  <si>
    <t xml:space="preserve">C-0102</t>
  </si>
  <si>
    <t xml:space="preserve">C-0103</t>
  </si>
  <si>
    <t xml:space="preserve">C-0104</t>
  </si>
  <si>
    <t xml:space="preserve">C-0105</t>
  </si>
  <si>
    <t xml:space="preserve">C-0106</t>
  </si>
  <si>
    <t xml:space="preserve">C-0107</t>
  </si>
  <si>
    <t xml:space="preserve">C-0108</t>
  </si>
  <si>
    <t xml:space="preserve">C-0109</t>
  </si>
  <si>
    <t xml:space="preserve">C-0110</t>
  </si>
  <si>
    <t xml:space="preserve">C-0111</t>
  </si>
  <si>
    <t xml:space="preserve">C-0112</t>
  </si>
  <si>
    <t xml:space="preserve">C-0113</t>
  </si>
  <si>
    <t xml:space="preserve">C-0114</t>
  </si>
  <si>
    <t xml:space="preserve">C-0115</t>
  </si>
  <si>
    <t xml:space="preserve">C-0116</t>
  </si>
  <si>
    <t xml:space="preserve">C-0117</t>
  </si>
  <si>
    <t xml:space="preserve">C-0118</t>
  </si>
  <si>
    <t xml:space="preserve">C-0119</t>
  </si>
  <si>
    <t xml:space="preserve">C-0120</t>
  </si>
  <si>
    <t xml:space="preserve">C-0121</t>
  </si>
  <si>
    <t xml:space="preserve">C-0122</t>
  </si>
  <si>
    <t xml:space="preserve">C-0123</t>
  </si>
  <si>
    <t xml:space="preserve">C-0124</t>
  </si>
  <si>
    <t xml:space="preserve">C-0125</t>
  </si>
  <si>
    <t xml:space="preserve">C-0126</t>
  </si>
  <si>
    <t xml:space="preserve">C-0127</t>
  </si>
  <si>
    <t xml:space="preserve">C-0128</t>
  </si>
  <si>
    <t xml:space="preserve">C-0129</t>
  </si>
  <si>
    <t xml:space="preserve">C-0130</t>
  </si>
  <si>
    <t xml:space="preserve">C-0131</t>
  </si>
  <si>
    <t xml:space="preserve">C-0132</t>
  </si>
  <si>
    <t xml:space="preserve">C-0133</t>
  </si>
  <si>
    <t xml:space="preserve">C-0134</t>
  </si>
  <si>
    <t xml:space="preserve">C-0135</t>
  </si>
  <si>
    <t xml:space="preserve">C-0136</t>
  </si>
  <si>
    <t xml:space="preserve">C-0137</t>
  </si>
  <si>
    <t xml:space="preserve">C-0138</t>
  </si>
  <si>
    <t xml:space="preserve">C-0139</t>
  </si>
  <si>
    <t xml:space="preserve">C-0140</t>
  </si>
  <si>
    <t xml:space="preserve">C-0141</t>
  </si>
  <si>
    <t xml:space="preserve">C-0142</t>
  </si>
  <si>
    <t xml:space="preserve">C-0143</t>
  </si>
  <si>
    <t xml:space="preserve">C-0144</t>
  </si>
  <si>
    <t xml:space="preserve">C-0145</t>
  </si>
  <si>
    <t xml:space="preserve">C-0146</t>
  </si>
  <si>
    <t xml:space="preserve">C-0147</t>
  </si>
  <si>
    <t xml:space="preserve">C-0148</t>
  </si>
  <si>
    <t xml:space="preserve">C-0149</t>
  </si>
  <si>
    <t xml:space="preserve">C-0150</t>
  </si>
  <si>
    <t xml:space="preserve">C-0151</t>
  </si>
  <si>
    <t xml:space="preserve">C-0152</t>
  </si>
  <si>
    <t xml:space="preserve">C-0153</t>
  </si>
  <si>
    <t xml:space="preserve">C-0154</t>
  </si>
  <si>
    <t xml:space="preserve">C-0155</t>
  </si>
  <si>
    <t xml:space="preserve">C-0156</t>
  </si>
  <si>
    <t xml:space="preserve">C-0157</t>
  </si>
  <si>
    <t xml:space="preserve">C-0158</t>
  </si>
  <si>
    <t xml:space="preserve">C-0159</t>
  </si>
  <si>
    <t xml:space="preserve">C-0160</t>
  </si>
  <si>
    <t xml:space="preserve">C-0161</t>
  </si>
  <si>
    <t xml:space="preserve">C-0162</t>
  </si>
  <si>
    <t xml:space="preserve">C-0163</t>
  </si>
  <si>
    <t xml:space="preserve">C-0164</t>
  </si>
  <si>
    <t xml:space="preserve">C-0165</t>
  </si>
  <si>
    <t xml:space="preserve">C-0166</t>
  </si>
  <si>
    <t xml:space="preserve">C-0167</t>
  </si>
  <si>
    <t xml:space="preserve">C-0168</t>
  </si>
  <si>
    <t xml:space="preserve">C-0169</t>
  </si>
  <si>
    <t xml:space="preserve">C-0170</t>
  </si>
  <si>
    <t xml:space="preserve">C-0171</t>
  </si>
  <si>
    <t xml:space="preserve">C-0172</t>
  </si>
  <si>
    <t xml:space="preserve">C-0173</t>
  </si>
  <si>
    <t xml:space="preserve">C-0174</t>
  </si>
  <si>
    <t xml:space="preserve">C-0175</t>
  </si>
  <si>
    <t xml:space="preserve">C-0176</t>
  </si>
  <si>
    <t xml:space="preserve">C-0177</t>
  </si>
  <si>
    <t xml:space="preserve">C-0178</t>
  </si>
  <si>
    <t xml:space="preserve">C-0179</t>
  </si>
  <si>
    <t xml:space="preserve">C-0180</t>
  </si>
  <si>
    <t xml:space="preserve">C-0181</t>
  </si>
  <si>
    <t xml:space="preserve">C-0182</t>
  </si>
  <si>
    <t xml:space="preserve">C-0183</t>
  </si>
  <si>
    <t xml:space="preserve">C-0184</t>
  </si>
  <si>
    <t xml:space="preserve">C-0185</t>
  </si>
  <si>
    <t xml:space="preserve">C-0186</t>
  </si>
  <si>
    <t xml:space="preserve">C-0187</t>
  </si>
  <si>
    <t xml:space="preserve">C-0188</t>
  </si>
  <si>
    <t xml:space="preserve">C-0189</t>
  </si>
  <si>
    <t xml:space="preserve">C-0190</t>
  </si>
  <si>
    <t xml:space="preserve">C-0191</t>
  </si>
  <si>
    <t xml:space="preserve">C-0192</t>
  </si>
  <si>
    <t xml:space="preserve">C-0193</t>
  </si>
  <si>
    <t xml:space="preserve">C-0194</t>
  </si>
  <si>
    <t xml:space="preserve">C-0195</t>
  </si>
  <si>
    <t xml:space="preserve">C-0196</t>
  </si>
  <si>
    <t xml:space="preserve">C-0197</t>
  </si>
  <si>
    <t xml:space="preserve">C-0198</t>
  </si>
  <si>
    <t xml:space="preserve">C-0199</t>
  </si>
  <si>
    <t xml:space="preserve">C-0200</t>
  </si>
  <si>
    <t xml:space="preserve">C-0201</t>
  </si>
  <si>
    <t xml:space="preserve">C-0202</t>
  </si>
  <si>
    <t xml:space="preserve">C-0203</t>
  </si>
  <si>
    <t xml:space="preserve">C-0204</t>
  </si>
  <si>
    <t xml:space="preserve">C-0205</t>
  </si>
  <si>
    <t xml:space="preserve">C-0206</t>
  </si>
  <si>
    <t xml:space="preserve">C-0207</t>
  </si>
  <si>
    <t xml:space="preserve">C-0208</t>
  </si>
  <si>
    <t xml:space="preserve">C-0209</t>
  </si>
  <si>
    <t xml:space="preserve">C-0210</t>
  </si>
  <si>
    <t xml:space="preserve">C-0211</t>
  </si>
  <si>
    <t xml:space="preserve">C-0212</t>
  </si>
  <si>
    <t xml:space="preserve">C-0213</t>
  </si>
  <si>
    <t xml:space="preserve">C-0214</t>
  </si>
  <si>
    <t xml:space="preserve">C-0215</t>
  </si>
  <si>
    <t xml:space="preserve">C-0216</t>
  </si>
  <si>
    <t xml:space="preserve">C-0217</t>
  </si>
  <si>
    <t xml:space="preserve">C-0218</t>
  </si>
  <si>
    <t xml:space="preserve">C-0219</t>
  </si>
  <si>
    <t xml:space="preserve">C-0220</t>
  </si>
  <si>
    <t xml:space="preserve">C-0221</t>
  </si>
  <si>
    <t xml:space="preserve">C-0222</t>
  </si>
  <si>
    <t xml:space="preserve">C-0223</t>
  </si>
  <si>
    <t xml:space="preserve">C-0224</t>
  </si>
  <si>
    <t xml:space="preserve">C-0225</t>
  </si>
  <si>
    <t xml:space="preserve">C-0226</t>
  </si>
  <si>
    <t xml:space="preserve">C-0227</t>
  </si>
  <si>
    <t xml:space="preserve">C-0228</t>
  </si>
  <si>
    <t xml:space="preserve">C-0229</t>
  </si>
  <si>
    <t xml:space="preserve">C-0230</t>
  </si>
  <si>
    <t xml:space="preserve">C-0231</t>
  </si>
  <si>
    <t xml:space="preserve">C-0232</t>
  </si>
  <si>
    <t xml:space="preserve">C-0233</t>
  </si>
  <si>
    <t xml:space="preserve">C-0234</t>
  </si>
  <si>
    <t xml:space="preserve">C-0235</t>
  </si>
  <si>
    <t xml:space="preserve">C-0236</t>
  </si>
  <si>
    <t xml:space="preserve">C-0237</t>
  </si>
  <si>
    <t xml:space="preserve">C-0238</t>
  </si>
  <si>
    <t xml:space="preserve">C-0239</t>
  </si>
  <si>
    <t xml:space="preserve">C-0240</t>
  </si>
  <si>
    <t xml:space="preserve">C-0241</t>
  </si>
  <si>
    <t xml:space="preserve">C-0242</t>
  </si>
  <si>
    <t xml:space="preserve">C-0243</t>
  </si>
  <si>
    <t xml:space="preserve">C-0244</t>
  </si>
  <si>
    <t xml:space="preserve">C-0245</t>
  </si>
  <si>
    <t xml:space="preserve">C-0246</t>
  </si>
  <si>
    <t xml:space="preserve">C-0247</t>
  </si>
  <si>
    <t xml:space="preserve">C-0248</t>
  </si>
  <si>
    <t xml:space="preserve">C-0249</t>
  </si>
  <si>
    <t xml:space="preserve">C-0250</t>
  </si>
  <si>
    <t xml:space="preserve">C-0251</t>
  </si>
  <si>
    <t xml:space="preserve">C-0252</t>
  </si>
  <si>
    <t xml:space="preserve">C-0253</t>
  </si>
  <si>
    <t xml:space="preserve">C-0254</t>
  </si>
  <si>
    <t xml:space="preserve">C-0255</t>
  </si>
  <si>
    <t xml:space="preserve">C-0256</t>
  </si>
  <si>
    <t xml:space="preserve">C-0257</t>
  </si>
  <si>
    <t xml:space="preserve">C-0258</t>
  </si>
  <si>
    <t xml:space="preserve">C-0259</t>
  </si>
  <si>
    <t xml:space="preserve">C-0260</t>
  </si>
  <si>
    <t xml:space="preserve">C-0261</t>
  </si>
  <si>
    <t xml:space="preserve">C-0262</t>
  </si>
  <si>
    <t xml:space="preserve">C-0263</t>
  </si>
  <si>
    <t xml:space="preserve">C-0264</t>
  </si>
  <si>
    <t xml:space="preserve">C-0265</t>
  </si>
  <si>
    <t xml:space="preserve">C-0266</t>
  </si>
  <si>
    <t xml:space="preserve">C-0267</t>
  </si>
  <si>
    <t xml:space="preserve">C-0268</t>
  </si>
  <si>
    <t xml:space="preserve">C-0269</t>
  </si>
  <si>
    <t xml:space="preserve">C-0270</t>
  </si>
  <si>
    <t xml:space="preserve">C-0271</t>
  </si>
  <si>
    <t xml:space="preserve">C-0272</t>
  </si>
  <si>
    <t xml:space="preserve">C-0273</t>
  </si>
  <si>
    <t xml:space="preserve">C-0274</t>
  </si>
  <si>
    <t xml:space="preserve">C-0275</t>
  </si>
  <si>
    <t xml:space="preserve">C-0276</t>
  </si>
  <si>
    <t xml:space="preserve">C-0277</t>
  </si>
  <si>
    <t xml:space="preserve">C-0278</t>
  </si>
  <si>
    <t xml:space="preserve">C-0279</t>
  </si>
  <si>
    <t xml:space="preserve">C-0280</t>
  </si>
  <si>
    <t xml:space="preserve">C-0281</t>
  </si>
  <si>
    <t xml:space="preserve">C-0282</t>
  </si>
  <si>
    <t xml:space="preserve">C-0283</t>
  </si>
  <si>
    <t xml:space="preserve">C-0284</t>
  </si>
  <si>
    <t xml:space="preserve">C-0285</t>
  </si>
  <si>
    <t xml:space="preserve">C-0286</t>
  </si>
  <si>
    <t xml:space="preserve">C-0287</t>
  </si>
  <si>
    <t xml:space="preserve">C-0288</t>
  </si>
  <si>
    <t xml:space="preserve">C-0289</t>
  </si>
  <si>
    <t xml:space="preserve">C-0290</t>
  </si>
  <si>
    <t xml:space="preserve">C-0291</t>
  </si>
  <si>
    <t xml:space="preserve">C-0292</t>
  </si>
  <si>
    <t xml:space="preserve">C-0293</t>
  </si>
  <si>
    <t xml:space="preserve">C-0294</t>
  </si>
  <si>
    <t xml:space="preserve">C-0295</t>
  </si>
  <si>
    <t xml:space="preserve">C-0296</t>
  </si>
  <si>
    <t xml:space="preserve">C-0297</t>
  </si>
  <si>
    <t xml:space="preserve">C-0298</t>
  </si>
  <si>
    <t xml:space="preserve">C-0299</t>
  </si>
  <si>
    <t xml:space="preserve">C-0300</t>
  </si>
  <si>
    <t xml:space="preserve">C-0301</t>
  </si>
  <si>
    <t xml:space="preserve">C-0302</t>
  </si>
  <si>
    <t xml:space="preserve">C-0303</t>
  </si>
  <si>
    <t xml:space="preserve">C-0304</t>
  </si>
  <si>
    <t xml:space="preserve">C-0305</t>
  </si>
  <si>
    <t xml:space="preserve">C-0306</t>
  </si>
  <si>
    <t xml:space="preserve">C-0307</t>
  </si>
  <si>
    <t xml:space="preserve">C-0308</t>
  </si>
  <si>
    <t xml:space="preserve">C-0309</t>
  </si>
  <si>
    <t xml:space="preserve">C-0310</t>
  </si>
  <si>
    <t xml:space="preserve">C-0311</t>
  </si>
  <si>
    <t xml:space="preserve">C-0312</t>
  </si>
  <si>
    <t xml:space="preserve">C-0313</t>
  </si>
  <si>
    <t xml:space="preserve">C-0314</t>
  </si>
  <si>
    <t xml:space="preserve">C-0315</t>
  </si>
  <si>
    <t xml:space="preserve">C-0316</t>
  </si>
  <si>
    <t xml:space="preserve">C-0317</t>
  </si>
  <si>
    <t xml:space="preserve">C-0318</t>
  </si>
  <si>
    <t xml:space="preserve">C-0319</t>
  </si>
  <si>
    <t xml:space="preserve">C-0320</t>
  </si>
  <si>
    <t xml:space="preserve">C-0321</t>
  </si>
  <si>
    <t xml:space="preserve">C-0322</t>
  </si>
  <si>
    <t xml:space="preserve">C-0323</t>
  </si>
  <si>
    <t xml:space="preserve">C-0324</t>
  </si>
  <si>
    <t xml:space="preserve">C-0325</t>
  </si>
  <si>
    <t xml:space="preserve">C-0326</t>
  </si>
  <si>
    <t xml:space="preserve">C-0327</t>
  </si>
  <si>
    <t xml:space="preserve">C-0328</t>
  </si>
  <si>
    <t xml:space="preserve">C-0329</t>
  </si>
  <si>
    <t xml:space="preserve">C-0330</t>
  </si>
  <si>
    <t xml:space="preserve">C-0331</t>
  </si>
  <si>
    <t xml:space="preserve">C-0332</t>
  </si>
  <si>
    <t xml:space="preserve">C-0333</t>
  </si>
  <si>
    <t xml:space="preserve">C-0334</t>
  </si>
  <si>
    <t xml:space="preserve">C-0335</t>
  </si>
  <si>
    <t xml:space="preserve">C-0336</t>
  </si>
  <si>
    <t xml:space="preserve">C-0337</t>
  </si>
  <si>
    <t xml:space="preserve">C-0338</t>
  </si>
  <si>
    <t xml:space="preserve">C-0339</t>
  </si>
  <si>
    <t xml:space="preserve">C-0340</t>
  </si>
  <si>
    <t xml:space="preserve">C-0341</t>
  </si>
  <si>
    <t xml:space="preserve">C-0342</t>
  </si>
  <si>
    <t xml:space="preserve">C-0343</t>
  </si>
  <si>
    <t xml:space="preserve">C-0344</t>
  </si>
  <si>
    <t xml:space="preserve">C-0345</t>
  </si>
  <si>
    <t xml:space="preserve">C-0346</t>
  </si>
  <si>
    <t xml:space="preserve">C-0347</t>
  </si>
  <si>
    <t xml:space="preserve">C-0348</t>
  </si>
  <si>
    <t xml:space="preserve">C-0349</t>
  </si>
  <si>
    <t xml:space="preserve">C-0350</t>
  </si>
  <si>
    <t xml:space="preserve">C-0351</t>
  </si>
  <si>
    <t xml:space="preserve">C-0352</t>
  </si>
  <si>
    <t xml:space="preserve">C-0353</t>
  </si>
  <si>
    <t xml:space="preserve">C-0354</t>
  </si>
  <si>
    <t xml:space="preserve">C-0355</t>
  </si>
  <si>
    <t xml:space="preserve">C-0356</t>
  </si>
  <si>
    <t xml:space="preserve">C-0357</t>
  </si>
  <si>
    <t xml:space="preserve">C-0358</t>
  </si>
  <si>
    <t xml:space="preserve">C-0359</t>
  </si>
  <si>
    <t xml:space="preserve">C-0360</t>
  </si>
  <si>
    <t xml:space="preserve">C-0361</t>
  </si>
  <si>
    <t xml:space="preserve">C-0362</t>
  </si>
  <si>
    <t xml:space="preserve">C-0363</t>
  </si>
  <si>
    <t xml:space="preserve">C-0364</t>
  </si>
  <si>
    <t xml:space="preserve">C-0365</t>
  </si>
  <si>
    <t xml:space="preserve">C-0366</t>
  </si>
  <si>
    <t xml:space="preserve">C-0367</t>
  </si>
  <si>
    <t xml:space="preserve">C-0368</t>
  </si>
  <si>
    <t xml:space="preserve">C-0369</t>
  </si>
  <si>
    <t xml:space="preserve">C-0370</t>
  </si>
  <si>
    <t xml:space="preserve">C-0371</t>
  </si>
  <si>
    <t xml:space="preserve">C-0372</t>
  </si>
  <si>
    <t xml:space="preserve">C-0373</t>
  </si>
  <si>
    <t xml:space="preserve">C-0374</t>
  </si>
  <si>
    <t xml:space="preserve">C-0375</t>
  </si>
  <si>
    <t xml:space="preserve">C-0376</t>
  </si>
  <si>
    <t xml:space="preserve">C-0377</t>
  </si>
  <si>
    <t xml:space="preserve">C-0378</t>
  </si>
  <si>
    <t xml:space="preserve">C-0379</t>
  </si>
  <si>
    <t xml:space="preserve">C-0380</t>
  </si>
  <si>
    <t xml:space="preserve">C-0381</t>
  </si>
  <si>
    <t xml:space="preserve">C-0382</t>
  </si>
  <si>
    <t xml:space="preserve">C-0383</t>
  </si>
  <si>
    <t xml:space="preserve">C-0384</t>
  </si>
  <si>
    <t xml:space="preserve">C-0385</t>
  </si>
  <si>
    <t xml:space="preserve">C-0386</t>
  </si>
  <si>
    <t xml:space="preserve">C-0387</t>
  </si>
  <si>
    <t xml:space="preserve">C-0388</t>
  </si>
  <si>
    <t xml:space="preserve">C-0389</t>
  </si>
  <si>
    <t xml:space="preserve">C-0390</t>
  </si>
  <si>
    <t xml:space="preserve">C-0391</t>
  </si>
  <si>
    <t xml:space="preserve">C-0392</t>
  </si>
  <si>
    <t xml:space="preserve">C-0393</t>
  </si>
  <si>
    <t xml:space="preserve">C-0394</t>
  </si>
  <si>
    <t xml:space="preserve">C-0395</t>
  </si>
  <si>
    <t xml:space="preserve">C-0396</t>
  </si>
  <si>
    <t xml:space="preserve">C-0397</t>
  </si>
  <si>
    <t xml:space="preserve">C-0398</t>
  </si>
  <si>
    <t xml:space="preserve">C-0399</t>
  </si>
  <si>
    <t xml:space="preserve">C-0400</t>
  </si>
  <si>
    <t xml:space="preserve">C-0401</t>
  </si>
  <si>
    <t xml:space="preserve">C-0402</t>
  </si>
  <si>
    <t xml:space="preserve">C-0403</t>
  </si>
  <si>
    <t xml:space="preserve">C-0404</t>
  </si>
  <si>
    <t xml:space="preserve">C-0405</t>
  </si>
  <si>
    <t xml:space="preserve">C-0406</t>
  </si>
  <si>
    <t xml:space="preserve">C-0407</t>
  </si>
  <si>
    <t xml:space="preserve">C-0408</t>
  </si>
  <si>
    <t xml:space="preserve">C-0409</t>
  </si>
  <si>
    <t xml:space="preserve">C-0410</t>
  </si>
  <si>
    <t xml:space="preserve">C-0411</t>
  </si>
  <si>
    <t xml:space="preserve">C-0412</t>
  </si>
  <si>
    <t xml:space="preserve">C-0413</t>
  </si>
  <si>
    <t xml:space="preserve">C-0414</t>
  </si>
  <si>
    <t xml:space="preserve">C-0415</t>
  </si>
  <si>
    <t xml:space="preserve">C-0416</t>
  </si>
  <si>
    <t xml:space="preserve">C-0417</t>
  </si>
  <si>
    <t xml:space="preserve">C-0418</t>
  </si>
  <si>
    <t xml:space="preserve">C-0419</t>
  </si>
  <si>
    <t xml:space="preserve">C-0420</t>
  </si>
  <si>
    <t xml:space="preserve">C-0421</t>
  </si>
  <si>
    <t xml:space="preserve">C-0422</t>
  </si>
  <si>
    <t xml:space="preserve">C-0423</t>
  </si>
  <si>
    <t xml:space="preserve">C-0424</t>
  </si>
  <si>
    <t xml:space="preserve">C-0425</t>
  </si>
  <si>
    <t xml:space="preserve">C-0426</t>
  </si>
  <si>
    <t xml:space="preserve">C-0427</t>
  </si>
  <si>
    <t xml:space="preserve">C-0428</t>
  </si>
  <si>
    <t xml:space="preserve">C-0429</t>
  </si>
  <si>
    <t xml:space="preserve">C-0430</t>
  </si>
  <si>
    <t xml:space="preserve">C-0431</t>
  </si>
  <si>
    <t xml:space="preserve">C-0432</t>
  </si>
  <si>
    <t xml:space="preserve">C-0433</t>
  </si>
  <si>
    <t xml:space="preserve">C-0434</t>
  </si>
  <si>
    <t xml:space="preserve">C-0435</t>
  </si>
  <si>
    <t xml:space="preserve">C-0436</t>
  </si>
  <si>
    <t xml:space="preserve">C-0437</t>
  </si>
  <si>
    <t xml:space="preserve">C-0438</t>
  </si>
  <si>
    <t xml:space="preserve">C-0439</t>
  </si>
  <si>
    <t xml:space="preserve">C-0440</t>
  </si>
  <si>
    <t xml:space="preserve">C-0441</t>
  </si>
  <si>
    <t xml:space="preserve">C-0442</t>
  </si>
  <si>
    <t xml:space="preserve">C-0443</t>
  </si>
  <si>
    <t xml:space="preserve">C-0444</t>
  </si>
  <si>
    <t xml:space="preserve">C-0445</t>
  </si>
  <si>
    <t xml:space="preserve">C-0446</t>
  </si>
  <si>
    <t xml:space="preserve">C-0447</t>
  </si>
  <si>
    <t xml:space="preserve">C-0448</t>
  </si>
  <si>
    <t xml:space="preserve">C-0449</t>
  </si>
  <si>
    <t xml:space="preserve">C-0450</t>
  </si>
  <si>
    <t xml:space="preserve">C-0451</t>
  </si>
  <si>
    <t xml:space="preserve">C-0452</t>
  </si>
  <si>
    <t xml:space="preserve">C-0453</t>
  </si>
  <si>
    <t xml:space="preserve">C-0454</t>
  </si>
  <si>
    <t xml:space="preserve">C-0455</t>
  </si>
  <si>
    <t xml:space="preserve">C-0456</t>
  </si>
  <si>
    <t xml:space="preserve">C-0457</t>
  </si>
  <si>
    <t xml:space="preserve">C-0458</t>
  </si>
  <si>
    <t xml:space="preserve">C-0459</t>
  </si>
  <si>
    <t xml:space="preserve">C-0460</t>
  </si>
  <si>
    <t xml:space="preserve">C-0461</t>
  </si>
  <si>
    <t xml:space="preserve">C-0462</t>
  </si>
  <si>
    <t xml:space="preserve">C-0463</t>
  </si>
  <si>
    <t xml:space="preserve">C-0464</t>
  </si>
  <si>
    <t xml:space="preserve">C-0465</t>
  </si>
  <si>
    <t xml:space="preserve">C-0466</t>
  </si>
  <si>
    <t xml:space="preserve">C-0467</t>
  </si>
  <si>
    <t xml:space="preserve">C-0468</t>
  </si>
  <si>
    <t xml:space="preserve">C-0469</t>
  </si>
  <si>
    <t xml:space="preserve">C-0470</t>
  </si>
  <si>
    <t xml:space="preserve">C-0471</t>
  </si>
  <si>
    <t xml:space="preserve">C-0472</t>
  </si>
  <si>
    <t xml:space="preserve">C-0473</t>
  </si>
  <si>
    <t xml:space="preserve">C-0474</t>
  </si>
  <si>
    <t xml:space="preserve">C-0475</t>
  </si>
  <si>
    <t xml:space="preserve">C-0476</t>
  </si>
  <si>
    <t xml:space="preserve">C-0477</t>
  </si>
  <si>
    <t xml:space="preserve">C-0478</t>
  </si>
  <si>
    <t xml:space="preserve">C-0479</t>
  </si>
  <si>
    <t xml:space="preserve">C-0480</t>
  </si>
  <si>
    <t xml:space="preserve">C-0481</t>
  </si>
  <si>
    <t xml:space="preserve">C-0482</t>
  </si>
  <si>
    <t xml:space="preserve">C-0483</t>
  </si>
  <si>
    <t xml:space="preserve">C-0484</t>
  </si>
  <si>
    <t xml:space="preserve">C-0485</t>
  </si>
  <si>
    <t xml:space="preserve">C-0486</t>
  </si>
  <si>
    <t xml:space="preserve">C-0487</t>
  </si>
  <si>
    <t xml:space="preserve">C-0488</t>
  </si>
  <si>
    <t xml:space="preserve">C-0489</t>
  </si>
  <si>
    <t xml:space="preserve">C-0490</t>
  </si>
  <si>
    <t xml:space="preserve">C-0491</t>
  </si>
  <si>
    <t xml:space="preserve">C-0492</t>
  </si>
  <si>
    <t xml:space="preserve">C-0493</t>
  </si>
  <si>
    <t xml:space="preserve">C-0494</t>
  </si>
  <si>
    <t xml:space="preserve">C-0495</t>
  </si>
  <si>
    <t xml:space="preserve">C-0496</t>
  </si>
  <si>
    <t xml:space="preserve">C-0497</t>
  </si>
  <si>
    <t xml:space="preserve">C-0498</t>
  </si>
  <si>
    <t xml:space="preserve">C-0499</t>
  </si>
  <si>
    <t xml:space="preserve">C-0500</t>
  </si>
  <si>
    <t xml:space="preserve">DAILY ACTIVITY LOG — one row per call, message, meeting or visit</t>
  </si>
  <si>
    <t xml:space="preserve">The manager adds a row for every contact the same day · Type the Lead/Client ID (e.g. L-0001 or C-0001) and Company / Country / City fill in automatically (grey) · Row 5 is an EXAMPLE.</t>
  </si>
  <si>
    <t xml:space="preserve">Lead / Client ID</t>
  </si>
  <si>
    <t xml:space="preserve">Activity Type</t>
  </si>
  <si>
    <t xml:space="preserve">Summary / What was discussed</t>
  </si>
  <si>
    <t xml:space="preserve">Next Step</t>
  </si>
  <si>
    <t xml:space="preserve">Next Step Date</t>
  </si>
  <si>
    <t xml:space="preserve">EXAMPLE — samples received, testing on 2 fleet trucks</t>
  </si>
  <si>
    <t xml:space="preserve">Call for feedback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</si>
</sst>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"/>
    <numFmt numFmtId="167" formatCode="#,##0;\(#,##0\);\-"/>
    <numFmt numFmtId="168" formatCode="General"/>
    <numFmt numFmtId="169" formatCode="0;\-0;\-"/>
    <numFmt numFmtId="170" formatCode="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C7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1F3C73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9"/>
      <color rgb="FF1F3C73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C00000"/>
      <name val="Arial"/>
      <family val="0"/>
      <charset val="1"/>
    </font>
    <font>
      <sz val="10"/>
      <name val="Arial"/>
      <family val="2"/>
    </font>
    <font>
      <b val="true"/>
      <sz val="14"/>
      <color rgb="FF1F3C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C7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1F3C73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C73"/>
        <bgColor rgb="FF003366"/>
      </patternFill>
    </fill>
    <fill>
      <patternFill patternType="solid">
        <fgColor rgb="FFF3F6FB"/>
        <bgColor rgb="FFF2F2F2"/>
      </patternFill>
    </fill>
    <fill>
      <patternFill patternType="solid">
        <fgColor rgb="FFDCE6F2"/>
        <bgColor rgb="FFDDEBF7"/>
      </patternFill>
    </fill>
    <fill>
      <patternFill patternType="solid">
        <fgColor rgb="FFF2F2F2"/>
        <bgColor rgb="FFF3F6FB"/>
      </patternFill>
    </fill>
    <fill>
      <patternFill patternType="solid">
        <fgColor rgb="FFEAF1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/>
      <diagonal/>
    </border>
    <border diagonalUp="false" diagonalDown="false"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>
          <bgColor rgb="FFFFC7CE"/>
        </patternFill>
      </fill>
    </dxf>
    <dxf>
      <font>
        <name val="Arial"/>
        <charset val="1"/>
        <family val="0"/>
        <b val="1"/>
        <color rgb="FF1F3C73"/>
      </font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1F3C7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Arial"/>
        <charset val="1"/>
        <family val="0"/>
        <b val="1"/>
      </font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>
          <bgColor rgb="FFEDEDED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EAF1FB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FFC7CE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AF1FB"/>
      <rgbColor rgb="FFC6EFCE"/>
      <rgbColor rgb="FFFFEB9C"/>
      <rgbColor rgb="FFDCE6F2"/>
      <rgbColor rgb="FFFCE4D6"/>
      <rgbColor rgb="FFE7E6E6"/>
      <rgbColor rgb="FFF8CBAD"/>
      <rgbColor rgb="FF2E75B6"/>
      <rgbColor rgb="FF33CCCC"/>
      <rgbColor rgb="FF99CC00"/>
      <rgbColor rgb="FFF3F6FB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3C73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C73"/>
    <pageSetUpPr fitToPage="true"/>
  </sheetPr>
  <dimension ref="B1:Z8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8" min="3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3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 t="n">
        <f aca="true">TODAY()</f>
        <v>46297</v>
      </c>
      <c r="D4" s="4"/>
      <c r="F4" s="2" t="s">
        <v>3</v>
      </c>
    </row>
    <row r="5" customFormat="false" ht="15" hidden="false" customHeight="false" outlineLevel="0" collapsed="false">
      <c r="B5" s="3" t="s">
        <v>4</v>
      </c>
      <c r="C5" s="5" t="s">
        <v>5</v>
      </c>
      <c r="D5" s="5"/>
      <c r="Z5" s="6" t="str">
        <f aca="false">IF(C5="All","&lt;&gt;§",C5)</f>
        <v>&lt;&gt;§</v>
      </c>
    </row>
    <row r="7" customFormat="false" ht="19.5" hidden="false" customHeight="true" outlineLevel="0" collapsed="false">
      <c r="B7" s="7" t="s">
        <v>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9" customFormat="false" ht="15" hidden="false" customHeight="false" outlineLevel="0" collapsed="false">
      <c r="B9" s="9" t="s">
        <v>7</v>
      </c>
      <c r="C9" s="9"/>
      <c r="D9" s="9" t="s">
        <v>8</v>
      </c>
      <c r="E9" s="9"/>
      <c r="F9" s="9" t="s">
        <v>9</v>
      </c>
      <c r="G9" s="9"/>
      <c r="H9" s="9" t="s">
        <v>10</v>
      </c>
      <c r="I9" s="9"/>
      <c r="J9" s="10" t="s">
        <v>11</v>
      </c>
    </row>
    <row r="10" customFormat="false" ht="30" hidden="false" customHeight="true" outlineLevel="0" collapsed="false">
      <c r="B10" s="11" t="n">
        <f aca="false">COUNTIFS('Activity Log'!$A$5:$A$3004,RptDate,'Activity Log'!$B$5:$B$3004,MgrCrit)</f>
        <v>0</v>
      </c>
      <c r="C10" s="11"/>
      <c r="D10" s="11" t="n">
        <f aca="false">COUNTIFS('Leads Pipeline'!$B$5:$B$1004,RptDate,'Leads Pipeline'!$C$5:$C$1004,MgrCrit,'Leads Pipeline'!$F$5:$F$1004,"&lt;&gt;")</f>
        <v>0</v>
      </c>
      <c r="E10" s="11"/>
      <c r="F10" s="11" t="n">
        <f aca="false">COUNTIFS('Leads Pipeline'!$S$5:$S$1004,RptDate,'Leads Pipeline'!$O$5:$O$1004,"&lt;&gt;Won",'Leads Pipeline'!$O$5:$O$1004,"&lt;&gt;Lost",'Leads Pipeline'!$F$5:$F$1004,"&lt;&gt;",'Leads Pipeline'!$C$5:$C$1004,MgrCrit)+COUNTIFS('Active Clients'!$U$5:$U$504,RptDate,'Active Clients'!$K$5:$K$504,MgrCrit,'Active Clients'!$D$5:$D$504,"&lt;&gt;")</f>
        <v>0</v>
      </c>
      <c r="G10" s="11"/>
      <c r="H10" s="12" t="n">
        <f aca="false">COUNTIFS('Leads Pipeline'!$S$5:$S$1004,"&lt;"&amp;RptDate,'Leads Pipeline'!$O$5:$O$1004,"&lt;&gt;Won",'Leads Pipeline'!$O$5:$O$1004,"&lt;&gt;Lost",'Leads Pipeline'!$F$5:$F$1004,"&lt;&gt;",'Leads Pipeline'!$C$5:$C$1004,MgrCrit)+COUNTIFS('Active Clients'!$U$5:$U$504,"&lt;"&amp;RptDate,'Active Clients'!$K$5:$K$504,MgrCrit,'Active Clients'!$D$5:$D$504,"&lt;&gt;")</f>
        <v>0</v>
      </c>
      <c r="I10" s="12"/>
      <c r="J10" s="13" t="s">
        <v>12</v>
      </c>
      <c r="K10" s="13"/>
      <c r="L10" s="13"/>
    </row>
    <row r="11" customFormat="false" ht="15" hidden="false" customHeight="false" outlineLevel="0" collapsed="false">
      <c r="J11" s="13"/>
      <c r="K11" s="13"/>
      <c r="L11" s="13"/>
    </row>
    <row r="12" customFormat="false" ht="15" hidden="false" customHeight="false" outlineLevel="0" collapsed="false">
      <c r="B12" s="9" t="s">
        <v>13</v>
      </c>
      <c r="C12" s="9"/>
      <c r="D12" s="9" t="s">
        <v>14</v>
      </c>
      <c r="E12" s="9"/>
      <c r="F12" s="9" t="s">
        <v>15</v>
      </c>
      <c r="G12" s="9"/>
      <c r="H12" s="9" t="s">
        <v>16</v>
      </c>
      <c r="I12" s="9"/>
      <c r="J12" s="13"/>
      <c r="K12" s="13"/>
      <c r="L12" s="13"/>
    </row>
    <row r="13" customFormat="false" ht="30" hidden="false" customHeight="true" outlineLevel="0" collapsed="false">
      <c r="B13" s="11" t="n">
        <f aca="false">COUNTIFS('Leads Pipeline'!$O$5:$O$1004,"&lt;&gt;Won",'Leads Pipeline'!$O$5:$O$1004,"&lt;&gt;Lost",'Leads Pipeline'!$F$5:$F$1004,"&lt;&gt;",'Leads Pipeline'!$C$5:$C$1004,MgrCrit)</f>
        <v>1</v>
      </c>
      <c r="C13" s="11"/>
      <c r="D13" s="14" t="n">
        <f aca="false">SUMIFS('Leads Pipeline'!$U$5:$U$1004,'Leads Pipeline'!$O$5:$O$1004,"&lt;&gt;Won",'Leads Pipeline'!$O$5:$O$1004,"&lt;&gt;Lost",'Leads Pipeline'!$C$5:$C$1004,MgrCrit)</f>
        <v>25000</v>
      </c>
      <c r="E13" s="14"/>
      <c r="F13" s="11" t="n">
        <f aca="false">COUNTIFS('Active Clients'!$T$5:$T$504,"Active",'Active Clients'!$K$5:$K$504,MgrCrit)</f>
        <v>1</v>
      </c>
      <c r="G13" s="11"/>
      <c r="H13" s="14" t="n">
        <f aca="false">SUMIFS('Active Clients'!$R$5:$R$504,'Active Clients'!$K$5:$K$504,MgrCrit)</f>
        <v>64000</v>
      </c>
      <c r="I13" s="14"/>
      <c r="J13" s="13"/>
      <c r="K13" s="13"/>
      <c r="L13" s="13"/>
    </row>
    <row r="16" customFormat="false" ht="19.5" hidden="false" customHeight="true" outlineLevel="0" collapsed="false">
      <c r="B16" s="7" t="s">
        <v>17</v>
      </c>
      <c r="C16" s="8"/>
      <c r="D16" s="8"/>
      <c r="E16" s="8"/>
      <c r="F16" s="8"/>
      <c r="G16" s="7" t="s">
        <v>18</v>
      </c>
      <c r="H16" s="8"/>
      <c r="I16" s="8"/>
      <c r="J16" s="8"/>
      <c r="K16" s="8"/>
      <c r="L16" s="8"/>
    </row>
    <row r="17" customFormat="false" ht="30" hidden="false" customHeight="true" outlineLevel="0" collapsed="false">
      <c r="B17" s="15" t="s">
        <v>19</v>
      </c>
      <c r="C17" s="15" t="s">
        <v>20</v>
      </c>
      <c r="D17" s="15" t="s">
        <v>21</v>
      </c>
      <c r="G17" s="15" t="s">
        <v>22</v>
      </c>
      <c r="H17" s="15" t="s">
        <v>23</v>
      </c>
      <c r="I17" s="15" t="s">
        <v>24</v>
      </c>
      <c r="J17" s="15" t="s">
        <v>25</v>
      </c>
    </row>
    <row r="18" customFormat="false" ht="15" hidden="false" customHeight="false" outlineLevel="0" collapsed="false">
      <c r="B18" s="16" t="str">
        <f aca="false">Lists!G5</f>
        <v>Call</v>
      </c>
      <c r="C18" s="17" t="n">
        <f aca="false">IF(B18="","",COUNTIFS('Activity Log'!$A$5:$A$3004,RptDate,'Activity Log'!$G$5:$G$3004,B18,'Activity Log'!$B$5:$B$3004,MgrCrit))</f>
        <v>0</v>
      </c>
      <c r="D18" s="17" t="n">
        <f aca="false">IF(B18="","",COUNTIFS('Activity Log'!$A$5:$A$3004,RptDate,'Activity Log'!$G$5:$G$3004,B18,'Activity Log'!$I$5:$I$3004,"Positive",'Activity Log'!$B$5:$B$3004,MgrCrit))</f>
        <v>0</v>
      </c>
      <c r="G18" s="18" t="n">
        <f aca="false">RptDate-6</f>
        <v>46291</v>
      </c>
      <c r="H18" s="16" t="str">
        <f aca="false">TEXT(G18,"ddd")</f>
        <v>Sat</v>
      </c>
      <c r="I18" s="17" t="n">
        <f aca="false">COUNTIFS('Activity Log'!$A$5:$A$3004,G18,'Activity Log'!$B$5:$B$3004,MgrCrit)</f>
        <v>0</v>
      </c>
      <c r="J18" s="17" t="n">
        <f aca="false">COUNTIFS('Leads Pipeline'!$B$5:$B$1004,G18,'Leads Pipeline'!$C$5:$C$1004,MgrCrit,'Leads Pipeline'!$F$5:$F$1004,"&lt;&gt;")</f>
        <v>0</v>
      </c>
    </row>
    <row r="19" customFormat="false" ht="15" hidden="false" customHeight="false" outlineLevel="0" collapsed="false">
      <c r="B19" s="16" t="str">
        <f aca="false">Lists!G6</f>
        <v>WhatsApp</v>
      </c>
      <c r="C19" s="17" t="n">
        <f aca="false">IF(B19="","",COUNTIFS('Activity Log'!$A$5:$A$3004,RptDate,'Activity Log'!$G$5:$G$3004,B19,'Activity Log'!$B$5:$B$3004,MgrCrit))</f>
        <v>0</v>
      </c>
      <c r="D19" s="17" t="n">
        <f aca="false">IF(B19="","",COUNTIFS('Activity Log'!$A$5:$A$3004,RptDate,'Activity Log'!$G$5:$G$3004,B19,'Activity Log'!$I$5:$I$3004,"Positive",'Activity Log'!$B$5:$B$3004,MgrCrit))</f>
        <v>0</v>
      </c>
      <c r="G19" s="18" t="n">
        <f aca="false">RptDate-5</f>
        <v>46292</v>
      </c>
      <c r="H19" s="16" t="str">
        <f aca="false">TEXT(G19,"ddd")</f>
        <v>Sun</v>
      </c>
      <c r="I19" s="17" t="n">
        <f aca="false">COUNTIFS('Activity Log'!$A$5:$A$3004,G19,'Activity Log'!$B$5:$B$3004,MgrCrit)</f>
        <v>0</v>
      </c>
      <c r="J19" s="17" t="n">
        <f aca="false">COUNTIFS('Leads Pipeline'!$B$5:$B$1004,G19,'Leads Pipeline'!$C$5:$C$1004,MgrCrit,'Leads Pipeline'!$F$5:$F$1004,"&lt;&gt;")</f>
        <v>0</v>
      </c>
    </row>
    <row r="20" customFormat="false" ht="15" hidden="false" customHeight="false" outlineLevel="0" collapsed="false">
      <c r="B20" s="16" t="str">
        <f aca="false">Lists!G7</f>
        <v>Email</v>
      </c>
      <c r="C20" s="17" t="n">
        <f aca="false">IF(B20="","",COUNTIFS('Activity Log'!$A$5:$A$3004,RptDate,'Activity Log'!$G$5:$G$3004,B20,'Activity Log'!$B$5:$B$3004,MgrCrit))</f>
        <v>0</v>
      </c>
      <c r="D20" s="17" t="n">
        <f aca="false">IF(B20="","",COUNTIFS('Activity Log'!$A$5:$A$3004,RptDate,'Activity Log'!$G$5:$G$3004,B20,'Activity Log'!$I$5:$I$3004,"Positive",'Activity Log'!$B$5:$B$3004,MgrCrit))</f>
        <v>0</v>
      </c>
      <c r="G20" s="18" t="n">
        <f aca="false">RptDate-4</f>
        <v>46293</v>
      </c>
      <c r="H20" s="16" t="str">
        <f aca="false">TEXT(G20,"ddd")</f>
        <v>Mon</v>
      </c>
      <c r="I20" s="17" t="n">
        <f aca="false">COUNTIFS('Activity Log'!$A$5:$A$3004,G20,'Activity Log'!$B$5:$B$3004,MgrCrit)</f>
        <v>0</v>
      </c>
      <c r="J20" s="17" t="n">
        <f aca="false">COUNTIFS('Leads Pipeline'!$B$5:$B$1004,G20,'Leads Pipeline'!$C$5:$C$1004,MgrCrit,'Leads Pipeline'!$F$5:$F$1004,"&lt;&gt;")</f>
        <v>1</v>
      </c>
    </row>
    <row r="21" customFormat="false" ht="15" hidden="false" customHeight="false" outlineLevel="0" collapsed="false">
      <c r="B21" s="16" t="str">
        <f aca="false">Lists!G8</f>
        <v>Meeting</v>
      </c>
      <c r="C21" s="17" t="n">
        <f aca="false">IF(B21="","",COUNTIFS('Activity Log'!$A$5:$A$3004,RptDate,'Activity Log'!$G$5:$G$3004,B21,'Activity Log'!$B$5:$B$3004,MgrCrit))</f>
        <v>0</v>
      </c>
      <c r="D21" s="17" t="n">
        <f aca="false">IF(B21="","",COUNTIFS('Activity Log'!$A$5:$A$3004,RptDate,'Activity Log'!$G$5:$G$3004,B21,'Activity Log'!$I$5:$I$3004,"Positive",'Activity Log'!$B$5:$B$3004,MgrCrit))</f>
        <v>0</v>
      </c>
      <c r="G21" s="18" t="n">
        <f aca="false">RptDate-3</f>
        <v>46294</v>
      </c>
      <c r="H21" s="16" t="str">
        <f aca="false">TEXT(G21,"ddd")</f>
        <v>Tue</v>
      </c>
      <c r="I21" s="17" t="n">
        <f aca="false">COUNTIFS('Activity Log'!$A$5:$A$3004,G21,'Activity Log'!$B$5:$B$3004,MgrCrit)</f>
        <v>0</v>
      </c>
      <c r="J21" s="17" t="n">
        <f aca="false">COUNTIFS('Leads Pipeline'!$B$5:$B$1004,G21,'Leads Pipeline'!$C$5:$C$1004,MgrCrit,'Leads Pipeline'!$F$5:$F$1004,"&lt;&gt;")</f>
        <v>0</v>
      </c>
    </row>
    <row r="22" customFormat="false" ht="15" hidden="false" customHeight="false" outlineLevel="0" collapsed="false">
      <c r="B22" s="16" t="str">
        <f aca="false">Lists!G9</f>
        <v>Visit</v>
      </c>
      <c r="C22" s="17" t="n">
        <f aca="false">IF(B22="","",COUNTIFS('Activity Log'!$A$5:$A$3004,RptDate,'Activity Log'!$G$5:$G$3004,B22,'Activity Log'!$B$5:$B$3004,MgrCrit))</f>
        <v>0</v>
      </c>
      <c r="D22" s="17" t="n">
        <f aca="false">IF(B22="","",COUNTIFS('Activity Log'!$A$5:$A$3004,RptDate,'Activity Log'!$G$5:$G$3004,B22,'Activity Log'!$I$5:$I$3004,"Positive",'Activity Log'!$B$5:$B$3004,MgrCrit))</f>
        <v>0</v>
      </c>
      <c r="G22" s="18" t="n">
        <f aca="false">RptDate-2</f>
        <v>46295</v>
      </c>
      <c r="H22" s="16" t="str">
        <f aca="false">TEXT(G22,"ddd")</f>
        <v>Wed</v>
      </c>
      <c r="I22" s="17" t="n">
        <f aca="false">COUNTIFS('Activity Log'!$A$5:$A$3004,G22,'Activity Log'!$B$5:$B$3004,MgrCrit)</f>
        <v>0</v>
      </c>
      <c r="J22" s="17" t="n">
        <f aca="false">COUNTIFS('Leads Pipeline'!$B$5:$B$1004,G22,'Leads Pipeline'!$C$5:$C$1004,MgrCrit,'Leads Pipeline'!$F$5:$F$1004,"&lt;&gt;")</f>
        <v>0</v>
      </c>
    </row>
    <row r="23" customFormat="false" ht="15" hidden="false" customHeight="false" outlineLevel="0" collapsed="false">
      <c r="B23" s="16" t="str">
        <f aca="false">Lists!G10</f>
        <v>Offer sent</v>
      </c>
      <c r="C23" s="17" t="n">
        <f aca="false">IF(B23="","",COUNTIFS('Activity Log'!$A$5:$A$3004,RptDate,'Activity Log'!$G$5:$G$3004,B23,'Activity Log'!$B$5:$B$3004,MgrCrit))</f>
        <v>0</v>
      </c>
      <c r="D23" s="17" t="n">
        <f aca="false">IF(B23="","",COUNTIFS('Activity Log'!$A$5:$A$3004,RptDate,'Activity Log'!$G$5:$G$3004,B23,'Activity Log'!$I$5:$I$3004,"Positive",'Activity Log'!$B$5:$B$3004,MgrCrit))</f>
        <v>0</v>
      </c>
      <c r="G23" s="18" t="n">
        <f aca="false">RptDate-1</f>
        <v>46296</v>
      </c>
      <c r="H23" s="16" t="str">
        <f aca="false">TEXT(G23,"ddd")</f>
        <v>Thu</v>
      </c>
      <c r="I23" s="17" t="n">
        <f aca="false">COUNTIFS('Activity Log'!$A$5:$A$3004,G23,'Activity Log'!$B$5:$B$3004,MgrCrit)</f>
        <v>1</v>
      </c>
      <c r="J23" s="17" t="n">
        <f aca="false">COUNTIFS('Leads Pipeline'!$B$5:$B$1004,G23,'Leads Pipeline'!$C$5:$C$1004,MgrCrit,'Leads Pipeline'!$F$5:$F$1004,"&lt;&gt;")</f>
        <v>0</v>
      </c>
    </row>
    <row r="24" customFormat="false" ht="15" hidden="false" customHeight="false" outlineLevel="0" collapsed="false">
      <c r="B24" s="16" t="str">
        <f aca="false">Lists!G11</f>
        <v>Samples sent</v>
      </c>
      <c r="C24" s="17" t="n">
        <f aca="false">IF(B24="","",COUNTIFS('Activity Log'!$A$5:$A$3004,RptDate,'Activity Log'!$G$5:$G$3004,B24,'Activity Log'!$B$5:$B$3004,MgrCrit))</f>
        <v>0</v>
      </c>
      <c r="D24" s="17" t="n">
        <f aca="false">IF(B24="","",COUNTIFS('Activity Log'!$A$5:$A$3004,RptDate,'Activity Log'!$G$5:$G$3004,B24,'Activity Log'!$I$5:$I$3004,"Positive",'Activity Log'!$B$5:$B$3004,MgrCrit))</f>
        <v>0</v>
      </c>
      <c r="G24" s="18" t="n">
        <f aca="false">RptDate-0</f>
        <v>46297</v>
      </c>
      <c r="H24" s="16" t="str">
        <f aca="false">TEXT(G24,"ddd")</f>
        <v>Fri</v>
      </c>
      <c r="I24" s="17" t="n">
        <f aca="false">COUNTIFS('Activity Log'!$A$5:$A$3004,G24,'Activity Log'!$B$5:$B$3004,MgrCrit)</f>
        <v>0</v>
      </c>
      <c r="J24" s="17" t="n">
        <f aca="false">COUNTIFS('Leads Pipeline'!$B$5:$B$1004,G24,'Leads Pipeline'!$C$5:$C$1004,MgrCrit,'Leads Pipeline'!$F$5:$F$1004,"&lt;&gt;")</f>
        <v>0</v>
      </c>
    </row>
    <row r="25" customFormat="false" ht="15" hidden="false" customHeight="false" outlineLevel="0" collapsed="false">
      <c r="B25" s="16" t="str">
        <f aca="false">Lists!G12</f>
        <v>Order received</v>
      </c>
      <c r="C25" s="17" t="n">
        <f aca="false">IF(B25="","",COUNTIFS('Activity Log'!$A$5:$A$3004,RptDate,'Activity Log'!$G$5:$G$3004,B25,'Activity Log'!$B$5:$B$3004,MgrCrit))</f>
        <v>0</v>
      </c>
      <c r="D25" s="17" t="n">
        <f aca="false">IF(B25="","",COUNTIFS('Activity Log'!$A$5:$A$3004,RptDate,'Activity Log'!$G$5:$G$3004,B25,'Activity Log'!$I$5:$I$3004,"Positive",'Activity Log'!$B$5:$B$3004,MgrCrit))</f>
        <v>0</v>
      </c>
      <c r="G25" s="19" t="s">
        <v>26</v>
      </c>
      <c r="H25" s="19"/>
      <c r="I25" s="20" t="n">
        <f aca="false">SUM(I18:I24)</f>
        <v>1</v>
      </c>
      <c r="J25" s="20" t="n">
        <f aca="false">SUM(J18:J24)</f>
        <v>1</v>
      </c>
    </row>
    <row r="26" customFormat="false" ht="15" hidden="false" customHeight="false" outlineLevel="0" collapsed="false">
      <c r="B26" s="16" t="str">
        <f aca="false">Lists!G13</f>
        <v>Payment follow-up</v>
      </c>
      <c r="C26" s="17" t="n">
        <f aca="false">IF(B26="","",COUNTIFS('Activity Log'!$A$5:$A$3004,RptDate,'Activity Log'!$G$5:$G$3004,B26,'Activity Log'!$B$5:$B$3004,MgrCrit))</f>
        <v>0</v>
      </c>
      <c r="D26" s="17" t="n">
        <f aca="false">IF(B26="","",COUNTIFS('Activity Log'!$A$5:$A$3004,RptDate,'Activity Log'!$G$5:$G$3004,B26,'Activity Log'!$I$5:$I$3004,"Positive",'Activity Log'!$B$5:$B$3004,MgrCrit))</f>
        <v>0</v>
      </c>
      <c r="G26" s="21" t="s">
        <v>27</v>
      </c>
      <c r="I26" s="22"/>
      <c r="J26" s="22"/>
    </row>
    <row r="27" customFormat="false" ht="15" hidden="false" customHeight="false" outlineLevel="0" collapsed="false">
      <c r="B27" s="16" t="str">
        <f aca="false">Lists!G14</f>
        <v>Other</v>
      </c>
      <c r="C27" s="17" t="n">
        <f aca="false">IF(B27="","",COUNTIFS('Activity Log'!$A$5:$A$3004,RptDate,'Activity Log'!$G$5:$G$3004,B27,'Activity Log'!$B$5:$B$3004,MgrCrit))</f>
        <v>0</v>
      </c>
      <c r="D27" s="17" t="n">
        <f aca="false">IF(B27="","",COUNTIFS('Activity Log'!$A$5:$A$3004,RptDate,'Activity Log'!$G$5:$G$3004,B27,'Activity Log'!$I$5:$I$3004,"Positive",'Activity Log'!$B$5:$B$3004,MgrCrit))</f>
        <v>0</v>
      </c>
      <c r="I27" s="22"/>
      <c r="J27" s="22"/>
    </row>
    <row r="28" customFormat="false" ht="15" hidden="false" customHeight="false" outlineLevel="0" collapsed="false">
      <c r="B28" s="19" t="s">
        <v>28</v>
      </c>
      <c r="C28" s="20" t="n">
        <f aca="false">SUM(C18:C27)</f>
        <v>0</v>
      </c>
      <c r="D28" s="20" t="n">
        <f aca="false">SUM(D18:D27)</f>
        <v>0</v>
      </c>
      <c r="I28" s="22"/>
      <c r="J28" s="22"/>
    </row>
    <row r="30" customFormat="false" ht="19.5" hidden="false" customHeight="true" outlineLevel="0" collapsed="false">
      <c r="B30" s="7" t="s">
        <v>29</v>
      </c>
      <c r="C30" s="8"/>
      <c r="D30" s="8"/>
      <c r="E30" s="8"/>
      <c r="F30" s="8"/>
      <c r="G30" s="8"/>
      <c r="H30" s="8"/>
      <c r="I30" s="8"/>
      <c r="J30" s="8"/>
      <c r="K30" s="8"/>
      <c r="L30" s="8"/>
    </row>
    <row r="31" customFormat="false" ht="30" hidden="false" customHeight="true" outlineLevel="0" collapsed="false">
      <c r="B31" s="15" t="s">
        <v>30</v>
      </c>
      <c r="C31" s="15" t="s">
        <v>31</v>
      </c>
      <c r="D31" s="15" t="s">
        <v>32</v>
      </c>
      <c r="E31" s="15" t="s">
        <v>33</v>
      </c>
    </row>
    <row r="32" customFormat="false" ht="15" hidden="false" customHeight="false" outlineLevel="0" collapsed="false">
      <c r="B32" s="16" t="str">
        <f aca="false">Lists!D5</f>
        <v>New</v>
      </c>
      <c r="C32" s="17" t="n">
        <f aca="false">IF(B32="","",COUNTIFS('Leads Pipeline'!$O$5:$O$1004,B32,'Leads Pipeline'!$C$5:$C$1004,MgrCrit))</f>
        <v>0</v>
      </c>
      <c r="D32" s="23" t="n">
        <f aca="false">IF(B32="","",SUMIFS('Leads Pipeline'!$U$5:$U$1004,'Leads Pipeline'!$O$5:$O$1004,B32,'Leads Pipeline'!$C$5:$C$1004,MgrCrit))</f>
        <v>0</v>
      </c>
      <c r="E32" s="24" t="n">
        <f aca="false">IF(B32="","",SUMIFS('Leads Pipeline'!$T$5:$T$1004,'Leads Pipeline'!$O$5:$O$1004,B32,'Leads Pipeline'!$C$5:$C$1004,MgrCrit))</f>
        <v>0</v>
      </c>
    </row>
    <row r="33" customFormat="false" ht="15" hidden="false" customHeight="false" outlineLevel="0" collapsed="false">
      <c r="B33" s="16" t="str">
        <f aca="false">Lists!D6</f>
        <v>Contacted</v>
      </c>
      <c r="C33" s="17" t="n">
        <f aca="false">IF(B33="","",COUNTIFS('Leads Pipeline'!$O$5:$O$1004,B33,'Leads Pipeline'!$C$5:$C$1004,MgrCrit))</f>
        <v>0</v>
      </c>
      <c r="D33" s="23" t="n">
        <f aca="false">IF(B33="","",SUMIFS('Leads Pipeline'!$U$5:$U$1004,'Leads Pipeline'!$O$5:$O$1004,B33,'Leads Pipeline'!$C$5:$C$1004,MgrCrit))</f>
        <v>0</v>
      </c>
      <c r="E33" s="24" t="n">
        <f aca="false">IF(B33="","",SUMIFS('Leads Pipeline'!$T$5:$T$1004,'Leads Pipeline'!$O$5:$O$1004,B33,'Leads Pipeline'!$C$5:$C$1004,MgrCrit))</f>
        <v>0</v>
      </c>
    </row>
    <row r="34" customFormat="false" ht="15" hidden="false" customHeight="false" outlineLevel="0" collapsed="false">
      <c r="B34" s="16" t="str">
        <f aca="false">Lists!D7</f>
        <v>Interested</v>
      </c>
      <c r="C34" s="17" t="n">
        <f aca="false">IF(B34="","",COUNTIFS('Leads Pipeline'!$O$5:$O$1004,B34,'Leads Pipeline'!$C$5:$C$1004,MgrCrit))</f>
        <v>0</v>
      </c>
      <c r="D34" s="23" t="n">
        <f aca="false">IF(B34="","",SUMIFS('Leads Pipeline'!$U$5:$U$1004,'Leads Pipeline'!$O$5:$O$1004,B34,'Leads Pipeline'!$C$5:$C$1004,MgrCrit))</f>
        <v>0</v>
      </c>
      <c r="E34" s="24" t="n">
        <f aca="false">IF(B34="","",SUMIFS('Leads Pipeline'!$T$5:$T$1004,'Leads Pipeline'!$O$5:$O$1004,B34,'Leads Pipeline'!$C$5:$C$1004,MgrCrit))</f>
        <v>0</v>
      </c>
    </row>
    <row r="35" customFormat="false" ht="15" hidden="false" customHeight="false" outlineLevel="0" collapsed="false">
      <c r="B35" s="16" t="str">
        <f aca="false">Lists!D8</f>
        <v>Samples Sent</v>
      </c>
      <c r="C35" s="17" t="n">
        <f aca="false">IF(B35="","",COUNTIFS('Leads Pipeline'!$O$5:$O$1004,B35,'Leads Pipeline'!$C$5:$C$1004,MgrCrit))</f>
        <v>1</v>
      </c>
      <c r="D35" s="23" t="n">
        <f aca="false">IF(B35="","",SUMIFS('Leads Pipeline'!$U$5:$U$1004,'Leads Pipeline'!$O$5:$O$1004,B35,'Leads Pipeline'!$C$5:$C$1004,MgrCrit))</f>
        <v>25000</v>
      </c>
      <c r="E35" s="24" t="n">
        <f aca="false">IF(B35="","",SUMIFS('Leads Pipeline'!$T$5:$T$1004,'Leads Pipeline'!$O$5:$O$1004,B35,'Leads Pipeline'!$C$5:$C$1004,MgrCrit))</f>
        <v>5000</v>
      </c>
    </row>
    <row r="36" customFormat="false" ht="15" hidden="false" customHeight="false" outlineLevel="0" collapsed="false">
      <c r="B36" s="16" t="str">
        <f aca="false">Lists!D9</f>
        <v>Offer Sent</v>
      </c>
      <c r="C36" s="17" t="n">
        <f aca="false">IF(B36="","",COUNTIFS('Leads Pipeline'!$O$5:$O$1004,B36,'Leads Pipeline'!$C$5:$C$1004,MgrCrit))</f>
        <v>0</v>
      </c>
      <c r="D36" s="23" t="n">
        <f aca="false">IF(B36="","",SUMIFS('Leads Pipeline'!$U$5:$U$1004,'Leads Pipeline'!$O$5:$O$1004,B36,'Leads Pipeline'!$C$5:$C$1004,MgrCrit))</f>
        <v>0</v>
      </c>
      <c r="E36" s="24" t="n">
        <f aca="false">IF(B36="","",SUMIFS('Leads Pipeline'!$T$5:$T$1004,'Leads Pipeline'!$O$5:$O$1004,B36,'Leads Pipeline'!$C$5:$C$1004,MgrCrit))</f>
        <v>0</v>
      </c>
    </row>
    <row r="37" customFormat="false" ht="15" hidden="false" customHeight="false" outlineLevel="0" collapsed="false">
      <c r="B37" s="16" t="str">
        <f aca="false">Lists!D10</f>
        <v>Negotiation</v>
      </c>
      <c r="C37" s="17" t="n">
        <f aca="false">IF(B37="","",COUNTIFS('Leads Pipeline'!$O$5:$O$1004,B37,'Leads Pipeline'!$C$5:$C$1004,MgrCrit))</f>
        <v>0</v>
      </c>
      <c r="D37" s="23" t="n">
        <f aca="false">IF(B37="","",SUMIFS('Leads Pipeline'!$U$5:$U$1004,'Leads Pipeline'!$O$5:$O$1004,B37,'Leads Pipeline'!$C$5:$C$1004,MgrCrit))</f>
        <v>0</v>
      </c>
      <c r="E37" s="24" t="n">
        <f aca="false">IF(B37="","",SUMIFS('Leads Pipeline'!$T$5:$T$1004,'Leads Pipeline'!$O$5:$O$1004,B37,'Leads Pipeline'!$C$5:$C$1004,MgrCrit))</f>
        <v>0</v>
      </c>
    </row>
    <row r="38" customFormat="false" ht="15" hidden="false" customHeight="false" outlineLevel="0" collapsed="false">
      <c r="B38" s="16" t="str">
        <f aca="false">Lists!D11</f>
        <v>Won</v>
      </c>
      <c r="C38" s="17" t="n">
        <f aca="false">IF(B38="","",COUNTIFS('Leads Pipeline'!$O$5:$O$1004,B38,'Leads Pipeline'!$C$5:$C$1004,MgrCrit))</f>
        <v>0</v>
      </c>
      <c r="D38" s="23" t="n">
        <f aca="false">IF(B38="","",SUMIFS('Leads Pipeline'!$U$5:$U$1004,'Leads Pipeline'!$O$5:$O$1004,B38,'Leads Pipeline'!$C$5:$C$1004,MgrCrit))</f>
        <v>0</v>
      </c>
      <c r="E38" s="24" t="n">
        <f aca="false">IF(B38="","",SUMIFS('Leads Pipeline'!$T$5:$T$1004,'Leads Pipeline'!$O$5:$O$1004,B38,'Leads Pipeline'!$C$5:$C$1004,MgrCrit))</f>
        <v>0</v>
      </c>
    </row>
    <row r="39" customFormat="false" ht="15" hidden="false" customHeight="false" outlineLevel="0" collapsed="false">
      <c r="B39" s="16" t="str">
        <f aca="false">Lists!D12</f>
        <v>Lost</v>
      </c>
      <c r="C39" s="17" t="n">
        <f aca="false">IF(B39="","",COUNTIFS('Leads Pipeline'!$O$5:$O$1004,B39,'Leads Pipeline'!$C$5:$C$1004,MgrCrit))</f>
        <v>0</v>
      </c>
      <c r="D39" s="23" t="n">
        <f aca="false">IF(B39="","",SUMIFS('Leads Pipeline'!$U$5:$U$1004,'Leads Pipeline'!$O$5:$O$1004,B39,'Leads Pipeline'!$C$5:$C$1004,MgrCrit))</f>
        <v>0</v>
      </c>
      <c r="E39" s="24" t="n">
        <f aca="false">IF(B39="","",SUMIFS('Leads Pipeline'!$T$5:$T$1004,'Leads Pipeline'!$O$5:$O$1004,B39,'Leads Pipeline'!$C$5:$C$1004,MgrCrit))</f>
        <v>0</v>
      </c>
    </row>
    <row r="40" customFormat="false" ht="15" hidden="false" customHeight="false" outlineLevel="0" collapsed="false">
      <c r="B40" s="16" t="str">
        <f aca="false">Lists!D13</f>
        <v>On Hold</v>
      </c>
      <c r="C40" s="17" t="n">
        <f aca="false">IF(B40="","",COUNTIFS('Leads Pipeline'!$O$5:$O$1004,B40,'Leads Pipeline'!$C$5:$C$1004,MgrCrit))</f>
        <v>0</v>
      </c>
      <c r="D40" s="23" t="n">
        <f aca="false">IF(B40="","",SUMIFS('Leads Pipeline'!$U$5:$U$1004,'Leads Pipeline'!$O$5:$O$1004,B40,'Leads Pipeline'!$C$5:$C$1004,MgrCrit))</f>
        <v>0</v>
      </c>
      <c r="E40" s="24" t="n">
        <f aca="false">IF(B40="","",SUMIFS('Leads Pipeline'!$T$5:$T$1004,'Leads Pipeline'!$O$5:$O$1004,B40,'Leads Pipeline'!$C$5:$C$1004,MgrCrit))</f>
        <v>0</v>
      </c>
    </row>
    <row r="42" customFormat="false" ht="19.5" hidden="false" customHeight="true" outlineLevel="0" collapsed="false">
      <c r="B42" s="7" t="s">
        <v>34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customFormat="false" ht="30" hidden="false" customHeight="true" outlineLevel="0" collapsed="false">
      <c r="B43" s="15" t="s">
        <v>35</v>
      </c>
      <c r="C43" s="15" t="s">
        <v>36</v>
      </c>
      <c r="D43" s="15" t="s">
        <v>13</v>
      </c>
      <c r="E43" s="15" t="s">
        <v>37</v>
      </c>
      <c r="F43" s="15" t="s">
        <v>38</v>
      </c>
      <c r="G43" s="15" t="s">
        <v>39</v>
      </c>
      <c r="H43" s="15" t="s">
        <v>40</v>
      </c>
      <c r="I43" s="15" t="s">
        <v>14</v>
      </c>
      <c r="J43" s="15" t="s">
        <v>15</v>
      </c>
      <c r="K43" s="15" t="s">
        <v>16</v>
      </c>
      <c r="L43" s="15" t="s">
        <v>41</v>
      </c>
    </row>
    <row r="44" customFormat="false" ht="15" hidden="false" customHeight="false" outlineLevel="0" collapsed="false">
      <c r="B44" s="16" t="str">
        <f aca="false">IF(Lists!B5="","",Lists!B5)</f>
        <v>United Arab Emirates</v>
      </c>
      <c r="C44" s="25" t="n">
        <f aca="false">IF($B44="","",COUNTIFS('Leads Pipeline'!$D$5:$D$1004,$B44,'Leads Pipeline'!$F$5:$F$1004,"&lt;&gt;",'Leads Pipeline'!$C$5:$C$1004,MgrCrit))</f>
        <v>0</v>
      </c>
      <c r="D44" s="25" t="n">
        <f aca="false">IF($B44="","",COUNTIFS('Leads Pipeline'!$D$5:$D$1004,$B44,'Leads Pipeline'!$O$5:$O$1004,"&lt;&gt;Won",'Leads Pipeline'!$O$5:$O$1004,"&lt;&gt;Lost",'Leads Pipeline'!$F$5:$F$1004,"&lt;&gt;",'Leads Pipeline'!$C$5:$C$1004,MgrCrit))</f>
        <v>0</v>
      </c>
      <c r="E44" s="25" t="n">
        <f aca="false">IF($B44="","",COUNTIFS('Leads Pipeline'!$D$5:$D$1004,$B44,'Leads Pipeline'!$P$5:$P$1004,"Hot",'Leads Pipeline'!$O$5:$O$1004,"&lt;&gt;Won",'Leads Pipeline'!$O$5:$O$1004,"&lt;&gt;Lost",'Leads Pipeline'!$F$5:$F$1004,"&lt;&gt;",'Leads Pipeline'!$C$5:$C$1004,MgrCrit))</f>
        <v>0</v>
      </c>
      <c r="F44" s="25" t="n">
        <f aca="false">IF($B44="","",COUNTIFS('Leads Pipeline'!$D$5:$D$1004,$B44,'Leads Pipeline'!$O$5:$O$1004,"Offer Sent",'Leads Pipeline'!$C$5:$C$1004,MgrCrit)+COUNTIFS('Leads Pipeline'!$D$5:$D$1004,$B44,'Leads Pipeline'!$O$5:$O$1004,"Negotiation",'Leads Pipeline'!$C$5:$C$1004,MgrCrit))</f>
        <v>0</v>
      </c>
      <c r="G44" s="25" t="n">
        <f aca="false">IF($B44="","",COUNTIFS('Leads Pipeline'!$D$5:$D$1004,$B44,'Leads Pipeline'!$O$5:$O$1004,"Won",'Leads Pipeline'!$C$5:$C$1004,MgrCrit))</f>
        <v>0</v>
      </c>
      <c r="H44" s="25" t="n">
        <f aca="false">IF($B44="","",COUNTIFS('Leads Pipeline'!$D$5:$D$1004,$B44,'Leads Pipeline'!$O$5:$O$1004,"Lost",'Leads Pipeline'!$C$5:$C$1004,MgrCrit))</f>
        <v>0</v>
      </c>
      <c r="I44" s="26" t="n">
        <f aca="false">IF($B44="","",SUMIFS('Leads Pipeline'!$U$5:$U$1004,'Leads Pipeline'!$D$5:$D$1004,$B44,'Leads Pipeline'!$O$5:$O$1004,"&lt;&gt;Won",'Leads Pipeline'!$O$5:$O$1004,"&lt;&gt;Lost",'Leads Pipeline'!$C$5:$C$1004,MgrCrit))</f>
        <v>0</v>
      </c>
      <c r="J44" s="25" t="n">
        <f aca="false">IF($B44="","",COUNTIFS('Active Clients'!$B$5:$B$504,$B44,'Active Clients'!$T$5:$T$504,"Active",'Active Clients'!$K$5:$K$504,MgrCrit))</f>
        <v>1</v>
      </c>
      <c r="K44" s="26" t="n">
        <f aca="false">IF($B44="","",SUMIFS('Active Clients'!$R$5:$R$504,'Active Clients'!$B$5:$B$504,$B44,'Active Clients'!$K$5:$K$504,MgrCrit))</f>
        <v>64000</v>
      </c>
      <c r="L44" s="25" t="n">
        <f aca="false">IF($B44="","",COUNTIFS('Activity Log'!$E$5:$E$3004,$B44,'Activity Log'!$A$5:$A$3004,"&gt;="&amp;(RptDate-6),'Activity Log'!$A$5:$A$3004,"&lt;="&amp;RptDate,'Activity Log'!$B$5:$B$3004,MgrCrit))</f>
        <v>0</v>
      </c>
    </row>
    <row r="45" customFormat="false" ht="15" hidden="false" customHeight="false" outlineLevel="0" collapsed="false">
      <c r="B45" s="16" t="str">
        <f aca="false">IF(Lists!B6="","",Lists!B6)</f>
        <v>Saudi Arabia</v>
      </c>
      <c r="C45" s="25" t="n">
        <f aca="false">IF($B45="","",COUNTIFS('Leads Pipeline'!$D$5:$D$1004,$B45,'Leads Pipeline'!$F$5:$F$1004,"&lt;&gt;",'Leads Pipeline'!$C$5:$C$1004,MgrCrit))</f>
        <v>1</v>
      </c>
      <c r="D45" s="25" t="n">
        <f aca="false">IF($B45="","",COUNTIFS('Leads Pipeline'!$D$5:$D$1004,$B45,'Leads Pipeline'!$O$5:$O$1004,"&lt;&gt;Won",'Leads Pipeline'!$O$5:$O$1004,"&lt;&gt;Lost",'Leads Pipeline'!$F$5:$F$1004,"&lt;&gt;",'Leads Pipeline'!$C$5:$C$1004,MgrCrit))</f>
        <v>1</v>
      </c>
      <c r="E45" s="25" t="n">
        <f aca="false">IF($B45="","",COUNTIFS('Leads Pipeline'!$D$5:$D$1004,$B45,'Leads Pipeline'!$P$5:$P$1004,"Hot",'Leads Pipeline'!$O$5:$O$1004,"&lt;&gt;Won",'Leads Pipeline'!$O$5:$O$1004,"&lt;&gt;Lost",'Leads Pipeline'!$F$5:$F$1004,"&lt;&gt;",'Leads Pipeline'!$C$5:$C$1004,MgrCrit))</f>
        <v>1</v>
      </c>
      <c r="F45" s="25" t="n">
        <f aca="false">IF($B45="","",COUNTIFS('Leads Pipeline'!$D$5:$D$1004,$B45,'Leads Pipeline'!$O$5:$O$1004,"Offer Sent",'Leads Pipeline'!$C$5:$C$1004,MgrCrit)+COUNTIFS('Leads Pipeline'!$D$5:$D$1004,$B45,'Leads Pipeline'!$O$5:$O$1004,"Negotiation",'Leads Pipeline'!$C$5:$C$1004,MgrCrit))</f>
        <v>0</v>
      </c>
      <c r="G45" s="25" t="n">
        <f aca="false">IF($B45="","",COUNTIFS('Leads Pipeline'!$D$5:$D$1004,$B45,'Leads Pipeline'!$O$5:$O$1004,"Won",'Leads Pipeline'!$C$5:$C$1004,MgrCrit))</f>
        <v>0</v>
      </c>
      <c r="H45" s="25" t="n">
        <f aca="false">IF($B45="","",COUNTIFS('Leads Pipeline'!$D$5:$D$1004,$B45,'Leads Pipeline'!$O$5:$O$1004,"Lost",'Leads Pipeline'!$C$5:$C$1004,MgrCrit))</f>
        <v>0</v>
      </c>
      <c r="I45" s="26" t="n">
        <f aca="false">IF($B45="","",SUMIFS('Leads Pipeline'!$U$5:$U$1004,'Leads Pipeline'!$D$5:$D$1004,$B45,'Leads Pipeline'!$O$5:$O$1004,"&lt;&gt;Won",'Leads Pipeline'!$O$5:$O$1004,"&lt;&gt;Lost",'Leads Pipeline'!$C$5:$C$1004,MgrCrit))</f>
        <v>25000</v>
      </c>
      <c r="J45" s="25" t="n">
        <f aca="false">IF($B45="","",COUNTIFS('Active Clients'!$B$5:$B$504,$B45,'Active Clients'!$T$5:$T$504,"Active",'Active Clients'!$K$5:$K$504,MgrCrit))</f>
        <v>0</v>
      </c>
      <c r="K45" s="26" t="n">
        <f aca="false">IF($B45="","",SUMIFS('Active Clients'!$R$5:$R$504,'Active Clients'!$B$5:$B$504,$B45,'Active Clients'!$K$5:$K$504,MgrCrit))</f>
        <v>0</v>
      </c>
      <c r="L45" s="25" t="n">
        <f aca="false">IF($B45="","",COUNTIFS('Activity Log'!$E$5:$E$3004,$B45,'Activity Log'!$A$5:$A$3004,"&gt;="&amp;(RptDate-6),'Activity Log'!$A$5:$A$3004,"&lt;="&amp;RptDate,'Activity Log'!$B$5:$B$3004,MgrCrit))</f>
        <v>1</v>
      </c>
    </row>
    <row r="46" customFormat="false" ht="15" hidden="false" customHeight="false" outlineLevel="0" collapsed="false">
      <c r="B46" s="16" t="str">
        <f aca="false">IF(Lists!B7="","",Lists!B7)</f>
        <v>Oman</v>
      </c>
      <c r="C46" s="25" t="n">
        <f aca="false">IF($B46="","",COUNTIFS('Leads Pipeline'!$D$5:$D$1004,$B46,'Leads Pipeline'!$F$5:$F$1004,"&lt;&gt;",'Leads Pipeline'!$C$5:$C$1004,MgrCrit))</f>
        <v>0</v>
      </c>
      <c r="D46" s="25" t="n">
        <f aca="false">IF($B46="","",COUNTIFS('Leads Pipeline'!$D$5:$D$1004,$B46,'Leads Pipeline'!$O$5:$O$1004,"&lt;&gt;Won",'Leads Pipeline'!$O$5:$O$1004,"&lt;&gt;Lost",'Leads Pipeline'!$F$5:$F$1004,"&lt;&gt;",'Leads Pipeline'!$C$5:$C$1004,MgrCrit))</f>
        <v>0</v>
      </c>
      <c r="E46" s="25" t="n">
        <f aca="false">IF($B46="","",COUNTIFS('Leads Pipeline'!$D$5:$D$1004,$B46,'Leads Pipeline'!$P$5:$P$1004,"Hot",'Leads Pipeline'!$O$5:$O$1004,"&lt;&gt;Won",'Leads Pipeline'!$O$5:$O$1004,"&lt;&gt;Lost",'Leads Pipeline'!$F$5:$F$1004,"&lt;&gt;",'Leads Pipeline'!$C$5:$C$1004,MgrCrit))</f>
        <v>0</v>
      </c>
      <c r="F46" s="25" t="n">
        <f aca="false">IF($B46="","",COUNTIFS('Leads Pipeline'!$D$5:$D$1004,$B46,'Leads Pipeline'!$O$5:$O$1004,"Offer Sent",'Leads Pipeline'!$C$5:$C$1004,MgrCrit)+COUNTIFS('Leads Pipeline'!$D$5:$D$1004,$B46,'Leads Pipeline'!$O$5:$O$1004,"Negotiation",'Leads Pipeline'!$C$5:$C$1004,MgrCrit))</f>
        <v>0</v>
      </c>
      <c r="G46" s="25" t="n">
        <f aca="false">IF($B46="","",COUNTIFS('Leads Pipeline'!$D$5:$D$1004,$B46,'Leads Pipeline'!$O$5:$O$1004,"Won",'Leads Pipeline'!$C$5:$C$1004,MgrCrit))</f>
        <v>0</v>
      </c>
      <c r="H46" s="25" t="n">
        <f aca="false">IF($B46="","",COUNTIFS('Leads Pipeline'!$D$5:$D$1004,$B46,'Leads Pipeline'!$O$5:$O$1004,"Lost",'Leads Pipeline'!$C$5:$C$1004,MgrCrit))</f>
        <v>0</v>
      </c>
      <c r="I46" s="26" t="n">
        <f aca="false">IF($B46="","",SUMIFS('Leads Pipeline'!$U$5:$U$1004,'Leads Pipeline'!$D$5:$D$1004,$B46,'Leads Pipeline'!$O$5:$O$1004,"&lt;&gt;Won",'Leads Pipeline'!$O$5:$O$1004,"&lt;&gt;Lost",'Leads Pipeline'!$C$5:$C$1004,MgrCrit))</f>
        <v>0</v>
      </c>
      <c r="J46" s="25" t="n">
        <f aca="false">IF($B46="","",COUNTIFS('Active Clients'!$B$5:$B$504,$B46,'Active Clients'!$T$5:$T$504,"Active",'Active Clients'!$K$5:$K$504,MgrCrit))</f>
        <v>0</v>
      </c>
      <c r="K46" s="26" t="n">
        <f aca="false">IF($B46="","",SUMIFS('Active Clients'!$R$5:$R$504,'Active Clients'!$B$5:$B$504,$B46,'Active Clients'!$K$5:$K$504,MgrCrit))</f>
        <v>0</v>
      </c>
      <c r="L46" s="25" t="n">
        <f aca="false">IF($B46="","",COUNTIFS('Activity Log'!$E$5:$E$3004,$B46,'Activity Log'!$A$5:$A$3004,"&gt;="&amp;(RptDate-6),'Activity Log'!$A$5:$A$3004,"&lt;="&amp;RptDate,'Activity Log'!$B$5:$B$3004,MgrCrit))</f>
        <v>0</v>
      </c>
    </row>
    <row r="47" customFormat="false" ht="15" hidden="false" customHeight="false" outlineLevel="0" collapsed="false">
      <c r="B47" s="16" t="str">
        <f aca="false">IF(Lists!B8="","",Lists!B8)</f>
        <v>Qatar</v>
      </c>
      <c r="C47" s="25" t="n">
        <f aca="false">IF($B47="","",COUNTIFS('Leads Pipeline'!$D$5:$D$1004,$B47,'Leads Pipeline'!$F$5:$F$1004,"&lt;&gt;",'Leads Pipeline'!$C$5:$C$1004,MgrCrit))</f>
        <v>0</v>
      </c>
      <c r="D47" s="25" t="n">
        <f aca="false">IF($B47="","",COUNTIFS('Leads Pipeline'!$D$5:$D$1004,$B47,'Leads Pipeline'!$O$5:$O$1004,"&lt;&gt;Won",'Leads Pipeline'!$O$5:$O$1004,"&lt;&gt;Lost",'Leads Pipeline'!$F$5:$F$1004,"&lt;&gt;",'Leads Pipeline'!$C$5:$C$1004,MgrCrit))</f>
        <v>0</v>
      </c>
      <c r="E47" s="25" t="n">
        <f aca="false">IF($B47="","",COUNTIFS('Leads Pipeline'!$D$5:$D$1004,$B47,'Leads Pipeline'!$P$5:$P$1004,"Hot",'Leads Pipeline'!$O$5:$O$1004,"&lt;&gt;Won",'Leads Pipeline'!$O$5:$O$1004,"&lt;&gt;Lost",'Leads Pipeline'!$F$5:$F$1004,"&lt;&gt;",'Leads Pipeline'!$C$5:$C$1004,MgrCrit))</f>
        <v>0</v>
      </c>
      <c r="F47" s="25" t="n">
        <f aca="false">IF($B47="","",COUNTIFS('Leads Pipeline'!$D$5:$D$1004,$B47,'Leads Pipeline'!$O$5:$O$1004,"Offer Sent",'Leads Pipeline'!$C$5:$C$1004,MgrCrit)+COUNTIFS('Leads Pipeline'!$D$5:$D$1004,$B47,'Leads Pipeline'!$O$5:$O$1004,"Negotiation",'Leads Pipeline'!$C$5:$C$1004,MgrCrit))</f>
        <v>0</v>
      </c>
      <c r="G47" s="25" t="n">
        <f aca="false">IF($B47="","",COUNTIFS('Leads Pipeline'!$D$5:$D$1004,$B47,'Leads Pipeline'!$O$5:$O$1004,"Won",'Leads Pipeline'!$C$5:$C$1004,MgrCrit))</f>
        <v>0</v>
      </c>
      <c r="H47" s="25" t="n">
        <f aca="false">IF($B47="","",COUNTIFS('Leads Pipeline'!$D$5:$D$1004,$B47,'Leads Pipeline'!$O$5:$O$1004,"Lost",'Leads Pipeline'!$C$5:$C$1004,MgrCrit))</f>
        <v>0</v>
      </c>
      <c r="I47" s="26" t="n">
        <f aca="false">IF($B47="","",SUMIFS('Leads Pipeline'!$U$5:$U$1004,'Leads Pipeline'!$D$5:$D$1004,$B47,'Leads Pipeline'!$O$5:$O$1004,"&lt;&gt;Won",'Leads Pipeline'!$O$5:$O$1004,"&lt;&gt;Lost",'Leads Pipeline'!$C$5:$C$1004,MgrCrit))</f>
        <v>0</v>
      </c>
      <c r="J47" s="25" t="n">
        <f aca="false">IF($B47="","",COUNTIFS('Active Clients'!$B$5:$B$504,$B47,'Active Clients'!$T$5:$T$504,"Active",'Active Clients'!$K$5:$K$504,MgrCrit))</f>
        <v>0</v>
      </c>
      <c r="K47" s="26" t="n">
        <f aca="false">IF($B47="","",SUMIFS('Active Clients'!$R$5:$R$504,'Active Clients'!$B$5:$B$504,$B47,'Active Clients'!$K$5:$K$504,MgrCrit))</f>
        <v>0</v>
      </c>
      <c r="L47" s="25" t="n">
        <f aca="false">IF($B47="","",COUNTIFS('Activity Log'!$E$5:$E$3004,$B47,'Activity Log'!$A$5:$A$3004,"&gt;="&amp;(RptDate-6),'Activity Log'!$A$5:$A$3004,"&lt;="&amp;RptDate,'Activity Log'!$B$5:$B$3004,MgrCrit))</f>
        <v>0</v>
      </c>
    </row>
    <row r="48" customFormat="false" ht="15" hidden="false" customHeight="false" outlineLevel="0" collapsed="false">
      <c r="B48" s="16" t="str">
        <f aca="false">IF(Lists!B9="","",Lists!B9)</f>
        <v>Kuwait</v>
      </c>
      <c r="C48" s="25" t="n">
        <f aca="false">IF($B48="","",COUNTIFS('Leads Pipeline'!$D$5:$D$1004,$B48,'Leads Pipeline'!$F$5:$F$1004,"&lt;&gt;",'Leads Pipeline'!$C$5:$C$1004,MgrCrit))</f>
        <v>0</v>
      </c>
      <c r="D48" s="25" t="n">
        <f aca="false">IF($B48="","",COUNTIFS('Leads Pipeline'!$D$5:$D$1004,$B48,'Leads Pipeline'!$O$5:$O$1004,"&lt;&gt;Won",'Leads Pipeline'!$O$5:$O$1004,"&lt;&gt;Lost",'Leads Pipeline'!$F$5:$F$1004,"&lt;&gt;",'Leads Pipeline'!$C$5:$C$1004,MgrCrit))</f>
        <v>0</v>
      </c>
      <c r="E48" s="25" t="n">
        <f aca="false">IF($B48="","",COUNTIFS('Leads Pipeline'!$D$5:$D$1004,$B48,'Leads Pipeline'!$P$5:$P$1004,"Hot",'Leads Pipeline'!$O$5:$O$1004,"&lt;&gt;Won",'Leads Pipeline'!$O$5:$O$1004,"&lt;&gt;Lost",'Leads Pipeline'!$F$5:$F$1004,"&lt;&gt;",'Leads Pipeline'!$C$5:$C$1004,MgrCrit))</f>
        <v>0</v>
      </c>
      <c r="F48" s="25" t="n">
        <f aca="false">IF($B48="","",COUNTIFS('Leads Pipeline'!$D$5:$D$1004,$B48,'Leads Pipeline'!$O$5:$O$1004,"Offer Sent",'Leads Pipeline'!$C$5:$C$1004,MgrCrit)+COUNTIFS('Leads Pipeline'!$D$5:$D$1004,$B48,'Leads Pipeline'!$O$5:$O$1004,"Negotiation",'Leads Pipeline'!$C$5:$C$1004,MgrCrit))</f>
        <v>0</v>
      </c>
      <c r="G48" s="25" t="n">
        <f aca="false">IF($B48="","",COUNTIFS('Leads Pipeline'!$D$5:$D$1004,$B48,'Leads Pipeline'!$O$5:$O$1004,"Won",'Leads Pipeline'!$C$5:$C$1004,MgrCrit))</f>
        <v>0</v>
      </c>
      <c r="H48" s="25" t="n">
        <f aca="false">IF($B48="","",COUNTIFS('Leads Pipeline'!$D$5:$D$1004,$B48,'Leads Pipeline'!$O$5:$O$1004,"Lost",'Leads Pipeline'!$C$5:$C$1004,MgrCrit))</f>
        <v>0</v>
      </c>
      <c r="I48" s="26" t="n">
        <f aca="false">IF($B48="","",SUMIFS('Leads Pipeline'!$U$5:$U$1004,'Leads Pipeline'!$D$5:$D$1004,$B48,'Leads Pipeline'!$O$5:$O$1004,"&lt;&gt;Won",'Leads Pipeline'!$O$5:$O$1004,"&lt;&gt;Lost",'Leads Pipeline'!$C$5:$C$1004,MgrCrit))</f>
        <v>0</v>
      </c>
      <c r="J48" s="25" t="n">
        <f aca="false">IF($B48="","",COUNTIFS('Active Clients'!$B$5:$B$504,$B48,'Active Clients'!$T$5:$T$504,"Active",'Active Clients'!$K$5:$K$504,MgrCrit))</f>
        <v>0</v>
      </c>
      <c r="K48" s="26" t="n">
        <f aca="false">IF($B48="","",SUMIFS('Active Clients'!$R$5:$R$504,'Active Clients'!$B$5:$B$504,$B48,'Active Clients'!$K$5:$K$504,MgrCrit))</f>
        <v>0</v>
      </c>
      <c r="L48" s="25" t="n">
        <f aca="false">IF($B48="","",COUNTIFS('Activity Log'!$E$5:$E$3004,$B48,'Activity Log'!$A$5:$A$3004,"&gt;="&amp;(RptDate-6),'Activity Log'!$A$5:$A$3004,"&lt;="&amp;RptDate,'Activity Log'!$B$5:$B$3004,MgrCrit))</f>
        <v>0</v>
      </c>
    </row>
    <row r="49" customFormat="false" ht="15" hidden="false" customHeight="false" outlineLevel="0" collapsed="false">
      <c r="B49" s="16" t="str">
        <f aca="false">IF(Lists!B10="","",Lists!B10)</f>
        <v>Bahrain</v>
      </c>
      <c r="C49" s="25" t="n">
        <f aca="false">IF($B49="","",COUNTIFS('Leads Pipeline'!$D$5:$D$1004,$B49,'Leads Pipeline'!$F$5:$F$1004,"&lt;&gt;",'Leads Pipeline'!$C$5:$C$1004,MgrCrit))</f>
        <v>0</v>
      </c>
      <c r="D49" s="25" t="n">
        <f aca="false">IF($B49="","",COUNTIFS('Leads Pipeline'!$D$5:$D$1004,$B49,'Leads Pipeline'!$O$5:$O$1004,"&lt;&gt;Won",'Leads Pipeline'!$O$5:$O$1004,"&lt;&gt;Lost",'Leads Pipeline'!$F$5:$F$1004,"&lt;&gt;",'Leads Pipeline'!$C$5:$C$1004,MgrCrit))</f>
        <v>0</v>
      </c>
      <c r="E49" s="25" t="n">
        <f aca="false">IF($B49="","",COUNTIFS('Leads Pipeline'!$D$5:$D$1004,$B49,'Leads Pipeline'!$P$5:$P$1004,"Hot",'Leads Pipeline'!$O$5:$O$1004,"&lt;&gt;Won",'Leads Pipeline'!$O$5:$O$1004,"&lt;&gt;Lost",'Leads Pipeline'!$F$5:$F$1004,"&lt;&gt;",'Leads Pipeline'!$C$5:$C$1004,MgrCrit))</f>
        <v>0</v>
      </c>
      <c r="F49" s="25" t="n">
        <f aca="false">IF($B49="","",COUNTIFS('Leads Pipeline'!$D$5:$D$1004,$B49,'Leads Pipeline'!$O$5:$O$1004,"Offer Sent",'Leads Pipeline'!$C$5:$C$1004,MgrCrit)+COUNTIFS('Leads Pipeline'!$D$5:$D$1004,$B49,'Leads Pipeline'!$O$5:$O$1004,"Negotiation",'Leads Pipeline'!$C$5:$C$1004,MgrCrit))</f>
        <v>0</v>
      </c>
      <c r="G49" s="25" t="n">
        <f aca="false">IF($B49="","",COUNTIFS('Leads Pipeline'!$D$5:$D$1004,$B49,'Leads Pipeline'!$O$5:$O$1004,"Won",'Leads Pipeline'!$C$5:$C$1004,MgrCrit))</f>
        <v>0</v>
      </c>
      <c r="H49" s="25" t="n">
        <f aca="false">IF($B49="","",COUNTIFS('Leads Pipeline'!$D$5:$D$1004,$B49,'Leads Pipeline'!$O$5:$O$1004,"Lost",'Leads Pipeline'!$C$5:$C$1004,MgrCrit))</f>
        <v>0</v>
      </c>
      <c r="I49" s="26" t="n">
        <f aca="false">IF($B49="","",SUMIFS('Leads Pipeline'!$U$5:$U$1004,'Leads Pipeline'!$D$5:$D$1004,$B49,'Leads Pipeline'!$O$5:$O$1004,"&lt;&gt;Won",'Leads Pipeline'!$O$5:$O$1004,"&lt;&gt;Lost",'Leads Pipeline'!$C$5:$C$1004,MgrCrit))</f>
        <v>0</v>
      </c>
      <c r="J49" s="25" t="n">
        <f aca="false">IF($B49="","",COUNTIFS('Active Clients'!$B$5:$B$504,$B49,'Active Clients'!$T$5:$T$504,"Active",'Active Clients'!$K$5:$K$504,MgrCrit))</f>
        <v>0</v>
      </c>
      <c r="K49" s="26" t="n">
        <f aca="false">IF($B49="","",SUMIFS('Active Clients'!$R$5:$R$504,'Active Clients'!$B$5:$B$504,$B49,'Active Clients'!$K$5:$K$504,MgrCrit))</f>
        <v>0</v>
      </c>
      <c r="L49" s="25" t="n">
        <f aca="false">IF($B49="","",COUNTIFS('Activity Log'!$E$5:$E$3004,$B49,'Activity Log'!$A$5:$A$3004,"&gt;="&amp;(RptDate-6),'Activity Log'!$A$5:$A$3004,"&lt;="&amp;RptDate,'Activity Log'!$B$5:$B$3004,MgrCrit))</f>
        <v>0</v>
      </c>
    </row>
    <row r="50" customFormat="false" ht="15" hidden="false" customHeight="false" outlineLevel="0" collapsed="false">
      <c r="B50" s="16" t="str">
        <f aca="false">IF(Lists!B11="","",Lists!B11)</f>
        <v>Iraq</v>
      </c>
      <c r="C50" s="25" t="n">
        <f aca="false">IF($B50="","",COUNTIFS('Leads Pipeline'!$D$5:$D$1004,$B50,'Leads Pipeline'!$F$5:$F$1004,"&lt;&gt;",'Leads Pipeline'!$C$5:$C$1004,MgrCrit))</f>
        <v>0</v>
      </c>
      <c r="D50" s="25" t="n">
        <f aca="false">IF($B50="","",COUNTIFS('Leads Pipeline'!$D$5:$D$1004,$B50,'Leads Pipeline'!$O$5:$O$1004,"&lt;&gt;Won",'Leads Pipeline'!$O$5:$O$1004,"&lt;&gt;Lost",'Leads Pipeline'!$F$5:$F$1004,"&lt;&gt;",'Leads Pipeline'!$C$5:$C$1004,MgrCrit))</f>
        <v>0</v>
      </c>
      <c r="E50" s="25" t="n">
        <f aca="false">IF($B50="","",COUNTIFS('Leads Pipeline'!$D$5:$D$1004,$B50,'Leads Pipeline'!$P$5:$P$1004,"Hot",'Leads Pipeline'!$O$5:$O$1004,"&lt;&gt;Won",'Leads Pipeline'!$O$5:$O$1004,"&lt;&gt;Lost",'Leads Pipeline'!$F$5:$F$1004,"&lt;&gt;",'Leads Pipeline'!$C$5:$C$1004,MgrCrit))</f>
        <v>0</v>
      </c>
      <c r="F50" s="25" t="n">
        <f aca="false">IF($B50="","",COUNTIFS('Leads Pipeline'!$D$5:$D$1004,$B50,'Leads Pipeline'!$O$5:$O$1004,"Offer Sent",'Leads Pipeline'!$C$5:$C$1004,MgrCrit)+COUNTIFS('Leads Pipeline'!$D$5:$D$1004,$B50,'Leads Pipeline'!$O$5:$O$1004,"Negotiation",'Leads Pipeline'!$C$5:$C$1004,MgrCrit))</f>
        <v>0</v>
      </c>
      <c r="G50" s="25" t="n">
        <f aca="false">IF($B50="","",COUNTIFS('Leads Pipeline'!$D$5:$D$1004,$B50,'Leads Pipeline'!$O$5:$O$1004,"Won",'Leads Pipeline'!$C$5:$C$1004,MgrCrit))</f>
        <v>0</v>
      </c>
      <c r="H50" s="25" t="n">
        <f aca="false">IF($B50="","",COUNTIFS('Leads Pipeline'!$D$5:$D$1004,$B50,'Leads Pipeline'!$O$5:$O$1004,"Lost",'Leads Pipeline'!$C$5:$C$1004,MgrCrit))</f>
        <v>0</v>
      </c>
      <c r="I50" s="26" t="n">
        <f aca="false">IF($B50="","",SUMIFS('Leads Pipeline'!$U$5:$U$1004,'Leads Pipeline'!$D$5:$D$1004,$B50,'Leads Pipeline'!$O$5:$O$1004,"&lt;&gt;Won",'Leads Pipeline'!$O$5:$O$1004,"&lt;&gt;Lost",'Leads Pipeline'!$C$5:$C$1004,MgrCrit))</f>
        <v>0</v>
      </c>
      <c r="J50" s="25" t="n">
        <f aca="false">IF($B50="","",COUNTIFS('Active Clients'!$B$5:$B$504,$B50,'Active Clients'!$T$5:$T$504,"Active",'Active Clients'!$K$5:$K$504,MgrCrit))</f>
        <v>0</v>
      </c>
      <c r="K50" s="26" t="n">
        <f aca="false">IF($B50="","",SUMIFS('Active Clients'!$R$5:$R$504,'Active Clients'!$B$5:$B$504,$B50,'Active Clients'!$K$5:$K$504,MgrCrit))</f>
        <v>0</v>
      </c>
      <c r="L50" s="25" t="n">
        <f aca="false">IF($B50="","",COUNTIFS('Activity Log'!$E$5:$E$3004,$B50,'Activity Log'!$A$5:$A$3004,"&gt;="&amp;(RptDate-6),'Activity Log'!$A$5:$A$3004,"&lt;="&amp;RptDate,'Activity Log'!$B$5:$B$3004,MgrCrit))</f>
        <v>0</v>
      </c>
    </row>
    <row r="51" customFormat="false" ht="15" hidden="false" customHeight="false" outlineLevel="0" collapsed="false">
      <c r="B51" s="16" t="str">
        <f aca="false">IF(Lists!B12="","",Lists!B12)</f>
        <v>Jordan</v>
      </c>
      <c r="C51" s="25" t="n">
        <f aca="false">IF($B51="","",COUNTIFS('Leads Pipeline'!$D$5:$D$1004,$B51,'Leads Pipeline'!$F$5:$F$1004,"&lt;&gt;",'Leads Pipeline'!$C$5:$C$1004,MgrCrit))</f>
        <v>0</v>
      </c>
      <c r="D51" s="25" t="n">
        <f aca="false">IF($B51="","",COUNTIFS('Leads Pipeline'!$D$5:$D$1004,$B51,'Leads Pipeline'!$O$5:$O$1004,"&lt;&gt;Won",'Leads Pipeline'!$O$5:$O$1004,"&lt;&gt;Lost",'Leads Pipeline'!$F$5:$F$1004,"&lt;&gt;",'Leads Pipeline'!$C$5:$C$1004,MgrCrit))</f>
        <v>0</v>
      </c>
      <c r="E51" s="25" t="n">
        <f aca="false">IF($B51="","",COUNTIFS('Leads Pipeline'!$D$5:$D$1004,$B51,'Leads Pipeline'!$P$5:$P$1004,"Hot",'Leads Pipeline'!$O$5:$O$1004,"&lt;&gt;Won",'Leads Pipeline'!$O$5:$O$1004,"&lt;&gt;Lost",'Leads Pipeline'!$F$5:$F$1004,"&lt;&gt;",'Leads Pipeline'!$C$5:$C$1004,MgrCrit))</f>
        <v>0</v>
      </c>
      <c r="F51" s="25" t="n">
        <f aca="false">IF($B51="","",COUNTIFS('Leads Pipeline'!$D$5:$D$1004,$B51,'Leads Pipeline'!$O$5:$O$1004,"Offer Sent",'Leads Pipeline'!$C$5:$C$1004,MgrCrit)+COUNTIFS('Leads Pipeline'!$D$5:$D$1004,$B51,'Leads Pipeline'!$O$5:$O$1004,"Negotiation",'Leads Pipeline'!$C$5:$C$1004,MgrCrit))</f>
        <v>0</v>
      </c>
      <c r="G51" s="25" t="n">
        <f aca="false">IF($B51="","",COUNTIFS('Leads Pipeline'!$D$5:$D$1004,$B51,'Leads Pipeline'!$O$5:$O$1004,"Won",'Leads Pipeline'!$C$5:$C$1004,MgrCrit))</f>
        <v>0</v>
      </c>
      <c r="H51" s="25" t="n">
        <f aca="false">IF($B51="","",COUNTIFS('Leads Pipeline'!$D$5:$D$1004,$B51,'Leads Pipeline'!$O$5:$O$1004,"Lost",'Leads Pipeline'!$C$5:$C$1004,MgrCrit))</f>
        <v>0</v>
      </c>
      <c r="I51" s="26" t="n">
        <f aca="false">IF($B51="","",SUMIFS('Leads Pipeline'!$U$5:$U$1004,'Leads Pipeline'!$D$5:$D$1004,$B51,'Leads Pipeline'!$O$5:$O$1004,"&lt;&gt;Won",'Leads Pipeline'!$O$5:$O$1004,"&lt;&gt;Lost",'Leads Pipeline'!$C$5:$C$1004,MgrCrit))</f>
        <v>0</v>
      </c>
      <c r="J51" s="25" t="n">
        <f aca="false">IF($B51="","",COUNTIFS('Active Clients'!$B$5:$B$504,$B51,'Active Clients'!$T$5:$T$504,"Active",'Active Clients'!$K$5:$K$504,MgrCrit))</f>
        <v>0</v>
      </c>
      <c r="K51" s="26" t="n">
        <f aca="false">IF($B51="","",SUMIFS('Active Clients'!$R$5:$R$504,'Active Clients'!$B$5:$B$504,$B51,'Active Clients'!$K$5:$K$504,MgrCrit))</f>
        <v>0</v>
      </c>
      <c r="L51" s="25" t="n">
        <f aca="false">IF($B51="","",COUNTIFS('Activity Log'!$E$5:$E$3004,$B51,'Activity Log'!$A$5:$A$3004,"&gt;="&amp;(RptDate-6),'Activity Log'!$A$5:$A$3004,"&lt;="&amp;RptDate,'Activity Log'!$B$5:$B$3004,MgrCrit))</f>
        <v>0</v>
      </c>
    </row>
    <row r="52" customFormat="false" ht="15" hidden="false" customHeight="false" outlineLevel="0" collapsed="false">
      <c r="B52" s="16" t="str">
        <f aca="false">IF(Lists!B13="","",Lists!B13)</f>
        <v>Lebanon</v>
      </c>
      <c r="C52" s="25" t="n">
        <f aca="false">IF($B52="","",COUNTIFS('Leads Pipeline'!$D$5:$D$1004,$B52,'Leads Pipeline'!$F$5:$F$1004,"&lt;&gt;",'Leads Pipeline'!$C$5:$C$1004,MgrCrit))</f>
        <v>0</v>
      </c>
      <c r="D52" s="25" t="n">
        <f aca="false">IF($B52="","",COUNTIFS('Leads Pipeline'!$D$5:$D$1004,$B52,'Leads Pipeline'!$O$5:$O$1004,"&lt;&gt;Won",'Leads Pipeline'!$O$5:$O$1004,"&lt;&gt;Lost",'Leads Pipeline'!$F$5:$F$1004,"&lt;&gt;",'Leads Pipeline'!$C$5:$C$1004,MgrCrit))</f>
        <v>0</v>
      </c>
      <c r="E52" s="25" t="n">
        <f aca="false">IF($B52="","",COUNTIFS('Leads Pipeline'!$D$5:$D$1004,$B52,'Leads Pipeline'!$P$5:$P$1004,"Hot",'Leads Pipeline'!$O$5:$O$1004,"&lt;&gt;Won",'Leads Pipeline'!$O$5:$O$1004,"&lt;&gt;Lost",'Leads Pipeline'!$F$5:$F$1004,"&lt;&gt;",'Leads Pipeline'!$C$5:$C$1004,MgrCrit))</f>
        <v>0</v>
      </c>
      <c r="F52" s="25" t="n">
        <f aca="false">IF($B52="","",COUNTIFS('Leads Pipeline'!$D$5:$D$1004,$B52,'Leads Pipeline'!$O$5:$O$1004,"Offer Sent",'Leads Pipeline'!$C$5:$C$1004,MgrCrit)+COUNTIFS('Leads Pipeline'!$D$5:$D$1004,$B52,'Leads Pipeline'!$O$5:$O$1004,"Negotiation",'Leads Pipeline'!$C$5:$C$1004,MgrCrit))</f>
        <v>0</v>
      </c>
      <c r="G52" s="25" t="n">
        <f aca="false">IF($B52="","",COUNTIFS('Leads Pipeline'!$D$5:$D$1004,$B52,'Leads Pipeline'!$O$5:$O$1004,"Won",'Leads Pipeline'!$C$5:$C$1004,MgrCrit))</f>
        <v>0</v>
      </c>
      <c r="H52" s="25" t="n">
        <f aca="false">IF($B52="","",COUNTIFS('Leads Pipeline'!$D$5:$D$1004,$B52,'Leads Pipeline'!$O$5:$O$1004,"Lost",'Leads Pipeline'!$C$5:$C$1004,MgrCrit))</f>
        <v>0</v>
      </c>
      <c r="I52" s="26" t="n">
        <f aca="false">IF($B52="","",SUMIFS('Leads Pipeline'!$U$5:$U$1004,'Leads Pipeline'!$D$5:$D$1004,$B52,'Leads Pipeline'!$O$5:$O$1004,"&lt;&gt;Won",'Leads Pipeline'!$O$5:$O$1004,"&lt;&gt;Lost",'Leads Pipeline'!$C$5:$C$1004,MgrCrit))</f>
        <v>0</v>
      </c>
      <c r="J52" s="25" t="n">
        <f aca="false">IF($B52="","",COUNTIFS('Active Clients'!$B$5:$B$504,$B52,'Active Clients'!$T$5:$T$504,"Active",'Active Clients'!$K$5:$K$504,MgrCrit))</f>
        <v>0</v>
      </c>
      <c r="K52" s="26" t="n">
        <f aca="false">IF($B52="","",SUMIFS('Active Clients'!$R$5:$R$504,'Active Clients'!$B$5:$B$504,$B52,'Active Clients'!$K$5:$K$504,MgrCrit))</f>
        <v>0</v>
      </c>
      <c r="L52" s="25" t="n">
        <f aca="false">IF($B52="","",COUNTIFS('Activity Log'!$E$5:$E$3004,$B52,'Activity Log'!$A$5:$A$3004,"&gt;="&amp;(RptDate-6),'Activity Log'!$A$5:$A$3004,"&lt;="&amp;RptDate,'Activity Log'!$B$5:$B$3004,MgrCrit))</f>
        <v>0</v>
      </c>
    </row>
    <row r="53" customFormat="false" ht="15" hidden="false" customHeight="false" outlineLevel="0" collapsed="false">
      <c r="B53" s="16" t="str">
        <f aca="false">IF(Lists!B14="","",Lists!B14)</f>
        <v>Egypt</v>
      </c>
      <c r="C53" s="25" t="n">
        <f aca="false">IF($B53="","",COUNTIFS('Leads Pipeline'!$D$5:$D$1004,$B53,'Leads Pipeline'!$F$5:$F$1004,"&lt;&gt;",'Leads Pipeline'!$C$5:$C$1004,MgrCrit))</f>
        <v>0</v>
      </c>
      <c r="D53" s="25" t="n">
        <f aca="false">IF($B53="","",COUNTIFS('Leads Pipeline'!$D$5:$D$1004,$B53,'Leads Pipeline'!$O$5:$O$1004,"&lt;&gt;Won",'Leads Pipeline'!$O$5:$O$1004,"&lt;&gt;Lost",'Leads Pipeline'!$F$5:$F$1004,"&lt;&gt;",'Leads Pipeline'!$C$5:$C$1004,MgrCrit))</f>
        <v>0</v>
      </c>
      <c r="E53" s="25" t="n">
        <f aca="false">IF($B53="","",COUNTIFS('Leads Pipeline'!$D$5:$D$1004,$B53,'Leads Pipeline'!$P$5:$P$1004,"Hot",'Leads Pipeline'!$O$5:$O$1004,"&lt;&gt;Won",'Leads Pipeline'!$O$5:$O$1004,"&lt;&gt;Lost",'Leads Pipeline'!$F$5:$F$1004,"&lt;&gt;",'Leads Pipeline'!$C$5:$C$1004,MgrCrit))</f>
        <v>0</v>
      </c>
      <c r="F53" s="25" t="n">
        <f aca="false">IF($B53="","",COUNTIFS('Leads Pipeline'!$D$5:$D$1004,$B53,'Leads Pipeline'!$O$5:$O$1004,"Offer Sent",'Leads Pipeline'!$C$5:$C$1004,MgrCrit)+COUNTIFS('Leads Pipeline'!$D$5:$D$1004,$B53,'Leads Pipeline'!$O$5:$O$1004,"Negotiation",'Leads Pipeline'!$C$5:$C$1004,MgrCrit))</f>
        <v>0</v>
      </c>
      <c r="G53" s="25" t="n">
        <f aca="false">IF($B53="","",COUNTIFS('Leads Pipeline'!$D$5:$D$1004,$B53,'Leads Pipeline'!$O$5:$O$1004,"Won",'Leads Pipeline'!$C$5:$C$1004,MgrCrit))</f>
        <v>0</v>
      </c>
      <c r="H53" s="25" t="n">
        <f aca="false">IF($B53="","",COUNTIFS('Leads Pipeline'!$D$5:$D$1004,$B53,'Leads Pipeline'!$O$5:$O$1004,"Lost",'Leads Pipeline'!$C$5:$C$1004,MgrCrit))</f>
        <v>0</v>
      </c>
      <c r="I53" s="26" t="n">
        <f aca="false">IF($B53="","",SUMIFS('Leads Pipeline'!$U$5:$U$1004,'Leads Pipeline'!$D$5:$D$1004,$B53,'Leads Pipeline'!$O$5:$O$1004,"&lt;&gt;Won",'Leads Pipeline'!$O$5:$O$1004,"&lt;&gt;Lost",'Leads Pipeline'!$C$5:$C$1004,MgrCrit))</f>
        <v>0</v>
      </c>
      <c r="J53" s="25" t="n">
        <f aca="false">IF($B53="","",COUNTIFS('Active Clients'!$B$5:$B$504,$B53,'Active Clients'!$T$5:$T$504,"Active",'Active Clients'!$K$5:$K$504,MgrCrit))</f>
        <v>0</v>
      </c>
      <c r="K53" s="26" t="n">
        <f aca="false">IF($B53="","",SUMIFS('Active Clients'!$R$5:$R$504,'Active Clients'!$B$5:$B$504,$B53,'Active Clients'!$K$5:$K$504,MgrCrit))</f>
        <v>0</v>
      </c>
      <c r="L53" s="25" t="n">
        <f aca="false">IF($B53="","",COUNTIFS('Activity Log'!$E$5:$E$3004,$B53,'Activity Log'!$A$5:$A$3004,"&gt;="&amp;(RptDate-6),'Activity Log'!$A$5:$A$3004,"&lt;="&amp;RptDate,'Activity Log'!$B$5:$B$3004,MgrCrit))</f>
        <v>0</v>
      </c>
    </row>
    <row r="54" customFormat="false" ht="15" hidden="false" customHeight="false" outlineLevel="0" collapsed="false">
      <c r="B54" s="16" t="str">
        <f aca="false">IF(Lists!B15="","",Lists!B15)</f>
        <v>Yemen</v>
      </c>
      <c r="C54" s="25" t="n">
        <f aca="false">IF($B54="","",COUNTIFS('Leads Pipeline'!$D$5:$D$1004,$B54,'Leads Pipeline'!$F$5:$F$1004,"&lt;&gt;",'Leads Pipeline'!$C$5:$C$1004,MgrCrit))</f>
        <v>0</v>
      </c>
      <c r="D54" s="25" t="n">
        <f aca="false">IF($B54="","",COUNTIFS('Leads Pipeline'!$D$5:$D$1004,$B54,'Leads Pipeline'!$O$5:$O$1004,"&lt;&gt;Won",'Leads Pipeline'!$O$5:$O$1004,"&lt;&gt;Lost",'Leads Pipeline'!$F$5:$F$1004,"&lt;&gt;",'Leads Pipeline'!$C$5:$C$1004,MgrCrit))</f>
        <v>0</v>
      </c>
      <c r="E54" s="25" t="n">
        <f aca="false">IF($B54="","",COUNTIFS('Leads Pipeline'!$D$5:$D$1004,$B54,'Leads Pipeline'!$P$5:$P$1004,"Hot",'Leads Pipeline'!$O$5:$O$1004,"&lt;&gt;Won",'Leads Pipeline'!$O$5:$O$1004,"&lt;&gt;Lost",'Leads Pipeline'!$F$5:$F$1004,"&lt;&gt;",'Leads Pipeline'!$C$5:$C$1004,MgrCrit))</f>
        <v>0</v>
      </c>
      <c r="F54" s="25" t="n">
        <f aca="false">IF($B54="","",COUNTIFS('Leads Pipeline'!$D$5:$D$1004,$B54,'Leads Pipeline'!$O$5:$O$1004,"Offer Sent",'Leads Pipeline'!$C$5:$C$1004,MgrCrit)+COUNTIFS('Leads Pipeline'!$D$5:$D$1004,$B54,'Leads Pipeline'!$O$5:$O$1004,"Negotiation",'Leads Pipeline'!$C$5:$C$1004,MgrCrit))</f>
        <v>0</v>
      </c>
      <c r="G54" s="25" t="n">
        <f aca="false">IF($B54="","",COUNTIFS('Leads Pipeline'!$D$5:$D$1004,$B54,'Leads Pipeline'!$O$5:$O$1004,"Won",'Leads Pipeline'!$C$5:$C$1004,MgrCrit))</f>
        <v>0</v>
      </c>
      <c r="H54" s="25" t="n">
        <f aca="false">IF($B54="","",COUNTIFS('Leads Pipeline'!$D$5:$D$1004,$B54,'Leads Pipeline'!$O$5:$O$1004,"Lost",'Leads Pipeline'!$C$5:$C$1004,MgrCrit))</f>
        <v>0</v>
      </c>
      <c r="I54" s="26" t="n">
        <f aca="false">IF($B54="","",SUMIFS('Leads Pipeline'!$U$5:$U$1004,'Leads Pipeline'!$D$5:$D$1004,$B54,'Leads Pipeline'!$O$5:$O$1004,"&lt;&gt;Won",'Leads Pipeline'!$O$5:$O$1004,"&lt;&gt;Lost",'Leads Pipeline'!$C$5:$C$1004,MgrCrit))</f>
        <v>0</v>
      </c>
      <c r="J54" s="25" t="n">
        <f aca="false">IF($B54="","",COUNTIFS('Active Clients'!$B$5:$B$504,$B54,'Active Clients'!$T$5:$T$504,"Active",'Active Clients'!$K$5:$K$504,MgrCrit))</f>
        <v>0</v>
      </c>
      <c r="K54" s="26" t="n">
        <f aca="false">IF($B54="","",SUMIFS('Active Clients'!$R$5:$R$504,'Active Clients'!$B$5:$B$504,$B54,'Active Clients'!$K$5:$K$504,MgrCrit))</f>
        <v>0</v>
      </c>
      <c r="L54" s="25" t="n">
        <f aca="false">IF($B54="","",COUNTIFS('Activity Log'!$E$5:$E$3004,$B54,'Activity Log'!$A$5:$A$3004,"&gt;="&amp;(RptDate-6),'Activity Log'!$A$5:$A$3004,"&lt;="&amp;RptDate,'Activity Log'!$B$5:$B$3004,MgrCrit))</f>
        <v>0</v>
      </c>
    </row>
    <row r="55" customFormat="false" ht="15" hidden="false" customHeight="false" outlineLevel="0" collapsed="false">
      <c r="B55" s="16" t="str">
        <f aca="false">IF(Lists!B16="","",Lists!B16)</f>
        <v>Pakistan</v>
      </c>
      <c r="C55" s="25" t="n">
        <f aca="false">IF($B55="","",COUNTIFS('Leads Pipeline'!$D$5:$D$1004,$B55,'Leads Pipeline'!$F$5:$F$1004,"&lt;&gt;",'Leads Pipeline'!$C$5:$C$1004,MgrCrit))</f>
        <v>0</v>
      </c>
      <c r="D55" s="25" t="n">
        <f aca="false">IF($B55="","",COUNTIFS('Leads Pipeline'!$D$5:$D$1004,$B55,'Leads Pipeline'!$O$5:$O$1004,"&lt;&gt;Won",'Leads Pipeline'!$O$5:$O$1004,"&lt;&gt;Lost",'Leads Pipeline'!$F$5:$F$1004,"&lt;&gt;",'Leads Pipeline'!$C$5:$C$1004,MgrCrit))</f>
        <v>0</v>
      </c>
      <c r="E55" s="25" t="n">
        <f aca="false">IF($B55="","",COUNTIFS('Leads Pipeline'!$D$5:$D$1004,$B55,'Leads Pipeline'!$P$5:$P$1004,"Hot",'Leads Pipeline'!$O$5:$O$1004,"&lt;&gt;Won",'Leads Pipeline'!$O$5:$O$1004,"&lt;&gt;Lost",'Leads Pipeline'!$F$5:$F$1004,"&lt;&gt;",'Leads Pipeline'!$C$5:$C$1004,MgrCrit))</f>
        <v>0</v>
      </c>
      <c r="F55" s="25" t="n">
        <f aca="false">IF($B55="","",COUNTIFS('Leads Pipeline'!$D$5:$D$1004,$B55,'Leads Pipeline'!$O$5:$O$1004,"Offer Sent",'Leads Pipeline'!$C$5:$C$1004,MgrCrit)+COUNTIFS('Leads Pipeline'!$D$5:$D$1004,$B55,'Leads Pipeline'!$O$5:$O$1004,"Negotiation",'Leads Pipeline'!$C$5:$C$1004,MgrCrit))</f>
        <v>0</v>
      </c>
      <c r="G55" s="25" t="n">
        <f aca="false">IF($B55="","",COUNTIFS('Leads Pipeline'!$D$5:$D$1004,$B55,'Leads Pipeline'!$O$5:$O$1004,"Won",'Leads Pipeline'!$C$5:$C$1004,MgrCrit))</f>
        <v>0</v>
      </c>
      <c r="H55" s="25" t="n">
        <f aca="false">IF($B55="","",COUNTIFS('Leads Pipeline'!$D$5:$D$1004,$B55,'Leads Pipeline'!$O$5:$O$1004,"Lost",'Leads Pipeline'!$C$5:$C$1004,MgrCrit))</f>
        <v>0</v>
      </c>
      <c r="I55" s="26" t="n">
        <f aca="false">IF($B55="","",SUMIFS('Leads Pipeline'!$U$5:$U$1004,'Leads Pipeline'!$D$5:$D$1004,$B55,'Leads Pipeline'!$O$5:$O$1004,"&lt;&gt;Won",'Leads Pipeline'!$O$5:$O$1004,"&lt;&gt;Lost",'Leads Pipeline'!$C$5:$C$1004,MgrCrit))</f>
        <v>0</v>
      </c>
      <c r="J55" s="25" t="n">
        <f aca="false">IF($B55="","",COUNTIFS('Active Clients'!$B$5:$B$504,$B55,'Active Clients'!$T$5:$T$504,"Active",'Active Clients'!$K$5:$K$504,MgrCrit))</f>
        <v>0</v>
      </c>
      <c r="K55" s="26" t="n">
        <f aca="false">IF($B55="","",SUMIFS('Active Clients'!$R$5:$R$504,'Active Clients'!$B$5:$B$504,$B55,'Active Clients'!$K$5:$K$504,MgrCrit))</f>
        <v>0</v>
      </c>
      <c r="L55" s="25" t="n">
        <f aca="false">IF($B55="","",COUNTIFS('Activity Log'!$E$5:$E$3004,$B55,'Activity Log'!$A$5:$A$3004,"&gt;="&amp;(RptDate-6),'Activity Log'!$A$5:$A$3004,"&lt;="&amp;RptDate,'Activity Log'!$B$5:$B$3004,MgrCrit))</f>
        <v>0</v>
      </c>
    </row>
    <row r="56" customFormat="false" ht="15" hidden="false" customHeight="false" outlineLevel="0" collapsed="false">
      <c r="B56" s="16" t="str">
        <f aca="false">IF(Lists!B17="","",Lists!B17)</f>
        <v>India</v>
      </c>
      <c r="C56" s="25" t="n">
        <f aca="false">IF($B56="","",COUNTIFS('Leads Pipeline'!$D$5:$D$1004,$B56,'Leads Pipeline'!$F$5:$F$1004,"&lt;&gt;",'Leads Pipeline'!$C$5:$C$1004,MgrCrit))</f>
        <v>0</v>
      </c>
      <c r="D56" s="25" t="n">
        <f aca="false">IF($B56="","",COUNTIFS('Leads Pipeline'!$D$5:$D$1004,$B56,'Leads Pipeline'!$O$5:$O$1004,"&lt;&gt;Won",'Leads Pipeline'!$O$5:$O$1004,"&lt;&gt;Lost",'Leads Pipeline'!$F$5:$F$1004,"&lt;&gt;",'Leads Pipeline'!$C$5:$C$1004,MgrCrit))</f>
        <v>0</v>
      </c>
      <c r="E56" s="25" t="n">
        <f aca="false">IF($B56="","",COUNTIFS('Leads Pipeline'!$D$5:$D$1004,$B56,'Leads Pipeline'!$P$5:$P$1004,"Hot",'Leads Pipeline'!$O$5:$O$1004,"&lt;&gt;Won",'Leads Pipeline'!$O$5:$O$1004,"&lt;&gt;Lost",'Leads Pipeline'!$F$5:$F$1004,"&lt;&gt;",'Leads Pipeline'!$C$5:$C$1004,MgrCrit))</f>
        <v>0</v>
      </c>
      <c r="F56" s="25" t="n">
        <f aca="false">IF($B56="","",COUNTIFS('Leads Pipeline'!$D$5:$D$1004,$B56,'Leads Pipeline'!$O$5:$O$1004,"Offer Sent",'Leads Pipeline'!$C$5:$C$1004,MgrCrit)+COUNTIFS('Leads Pipeline'!$D$5:$D$1004,$B56,'Leads Pipeline'!$O$5:$O$1004,"Negotiation",'Leads Pipeline'!$C$5:$C$1004,MgrCrit))</f>
        <v>0</v>
      </c>
      <c r="G56" s="25" t="n">
        <f aca="false">IF($B56="","",COUNTIFS('Leads Pipeline'!$D$5:$D$1004,$B56,'Leads Pipeline'!$O$5:$O$1004,"Won",'Leads Pipeline'!$C$5:$C$1004,MgrCrit))</f>
        <v>0</v>
      </c>
      <c r="H56" s="25" t="n">
        <f aca="false">IF($B56="","",COUNTIFS('Leads Pipeline'!$D$5:$D$1004,$B56,'Leads Pipeline'!$O$5:$O$1004,"Lost",'Leads Pipeline'!$C$5:$C$1004,MgrCrit))</f>
        <v>0</v>
      </c>
      <c r="I56" s="26" t="n">
        <f aca="false">IF($B56="","",SUMIFS('Leads Pipeline'!$U$5:$U$1004,'Leads Pipeline'!$D$5:$D$1004,$B56,'Leads Pipeline'!$O$5:$O$1004,"&lt;&gt;Won",'Leads Pipeline'!$O$5:$O$1004,"&lt;&gt;Lost",'Leads Pipeline'!$C$5:$C$1004,MgrCrit))</f>
        <v>0</v>
      </c>
      <c r="J56" s="25" t="n">
        <f aca="false">IF($B56="","",COUNTIFS('Active Clients'!$B$5:$B$504,$B56,'Active Clients'!$T$5:$T$504,"Active",'Active Clients'!$K$5:$K$504,MgrCrit))</f>
        <v>0</v>
      </c>
      <c r="K56" s="26" t="n">
        <f aca="false">IF($B56="","",SUMIFS('Active Clients'!$R$5:$R$504,'Active Clients'!$B$5:$B$504,$B56,'Active Clients'!$K$5:$K$504,MgrCrit))</f>
        <v>0</v>
      </c>
      <c r="L56" s="25" t="n">
        <f aca="false">IF($B56="","",COUNTIFS('Activity Log'!$E$5:$E$3004,$B56,'Activity Log'!$A$5:$A$3004,"&gt;="&amp;(RptDate-6),'Activity Log'!$A$5:$A$3004,"&lt;="&amp;RptDate,'Activity Log'!$B$5:$B$3004,MgrCrit))</f>
        <v>0</v>
      </c>
    </row>
    <row r="57" customFormat="false" ht="15" hidden="false" customHeight="false" outlineLevel="0" collapsed="false">
      <c r="B57" s="16" t="str">
        <f aca="false">IF(Lists!B18="","",Lists!B18)</f>
        <v>Afghanistan</v>
      </c>
      <c r="C57" s="25" t="n">
        <f aca="false">IF($B57="","",COUNTIFS('Leads Pipeline'!$D$5:$D$1004,$B57,'Leads Pipeline'!$F$5:$F$1004,"&lt;&gt;",'Leads Pipeline'!$C$5:$C$1004,MgrCrit))</f>
        <v>0</v>
      </c>
      <c r="D57" s="25" t="n">
        <f aca="false">IF($B57="","",COUNTIFS('Leads Pipeline'!$D$5:$D$1004,$B57,'Leads Pipeline'!$O$5:$O$1004,"&lt;&gt;Won",'Leads Pipeline'!$O$5:$O$1004,"&lt;&gt;Lost",'Leads Pipeline'!$F$5:$F$1004,"&lt;&gt;",'Leads Pipeline'!$C$5:$C$1004,MgrCrit))</f>
        <v>0</v>
      </c>
      <c r="E57" s="25" t="n">
        <f aca="false">IF($B57="","",COUNTIFS('Leads Pipeline'!$D$5:$D$1004,$B57,'Leads Pipeline'!$P$5:$P$1004,"Hot",'Leads Pipeline'!$O$5:$O$1004,"&lt;&gt;Won",'Leads Pipeline'!$O$5:$O$1004,"&lt;&gt;Lost",'Leads Pipeline'!$F$5:$F$1004,"&lt;&gt;",'Leads Pipeline'!$C$5:$C$1004,MgrCrit))</f>
        <v>0</v>
      </c>
      <c r="F57" s="25" t="n">
        <f aca="false">IF($B57="","",COUNTIFS('Leads Pipeline'!$D$5:$D$1004,$B57,'Leads Pipeline'!$O$5:$O$1004,"Offer Sent",'Leads Pipeline'!$C$5:$C$1004,MgrCrit)+COUNTIFS('Leads Pipeline'!$D$5:$D$1004,$B57,'Leads Pipeline'!$O$5:$O$1004,"Negotiation",'Leads Pipeline'!$C$5:$C$1004,MgrCrit))</f>
        <v>0</v>
      </c>
      <c r="G57" s="25" t="n">
        <f aca="false">IF($B57="","",COUNTIFS('Leads Pipeline'!$D$5:$D$1004,$B57,'Leads Pipeline'!$O$5:$O$1004,"Won",'Leads Pipeline'!$C$5:$C$1004,MgrCrit))</f>
        <v>0</v>
      </c>
      <c r="H57" s="25" t="n">
        <f aca="false">IF($B57="","",COUNTIFS('Leads Pipeline'!$D$5:$D$1004,$B57,'Leads Pipeline'!$O$5:$O$1004,"Lost",'Leads Pipeline'!$C$5:$C$1004,MgrCrit))</f>
        <v>0</v>
      </c>
      <c r="I57" s="26" t="n">
        <f aca="false">IF($B57="","",SUMIFS('Leads Pipeline'!$U$5:$U$1004,'Leads Pipeline'!$D$5:$D$1004,$B57,'Leads Pipeline'!$O$5:$O$1004,"&lt;&gt;Won",'Leads Pipeline'!$O$5:$O$1004,"&lt;&gt;Lost",'Leads Pipeline'!$C$5:$C$1004,MgrCrit))</f>
        <v>0</v>
      </c>
      <c r="J57" s="25" t="n">
        <f aca="false">IF($B57="","",COUNTIFS('Active Clients'!$B$5:$B$504,$B57,'Active Clients'!$T$5:$T$504,"Active",'Active Clients'!$K$5:$K$504,MgrCrit))</f>
        <v>0</v>
      </c>
      <c r="K57" s="26" t="n">
        <f aca="false">IF($B57="","",SUMIFS('Active Clients'!$R$5:$R$504,'Active Clients'!$B$5:$B$504,$B57,'Active Clients'!$K$5:$K$504,MgrCrit))</f>
        <v>0</v>
      </c>
      <c r="L57" s="25" t="n">
        <f aca="false">IF($B57="","",COUNTIFS('Activity Log'!$E$5:$E$3004,$B57,'Activity Log'!$A$5:$A$3004,"&gt;="&amp;(RptDate-6),'Activity Log'!$A$5:$A$3004,"&lt;="&amp;RptDate,'Activity Log'!$B$5:$B$3004,MgrCrit))</f>
        <v>0</v>
      </c>
    </row>
    <row r="58" customFormat="false" ht="15" hidden="false" customHeight="false" outlineLevel="0" collapsed="false">
      <c r="B58" s="16" t="str">
        <f aca="false">IF(Lists!B19="","",Lists!B19)</f>
        <v>Kenya</v>
      </c>
      <c r="C58" s="25" t="n">
        <f aca="false">IF($B58="","",COUNTIFS('Leads Pipeline'!$D$5:$D$1004,$B58,'Leads Pipeline'!$F$5:$F$1004,"&lt;&gt;",'Leads Pipeline'!$C$5:$C$1004,MgrCrit))</f>
        <v>0</v>
      </c>
      <c r="D58" s="25" t="n">
        <f aca="false">IF($B58="","",COUNTIFS('Leads Pipeline'!$D$5:$D$1004,$B58,'Leads Pipeline'!$O$5:$O$1004,"&lt;&gt;Won",'Leads Pipeline'!$O$5:$O$1004,"&lt;&gt;Lost",'Leads Pipeline'!$F$5:$F$1004,"&lt;&gt;",'Leads Pipeline'!$C$5:$C$1004,MgrCrit))</f>
        <v>0</v>
      </c>
      <c r="E58" s="25" t="n">
        <f aca="false">IF($B58="","",COUNTIFS('Leads Pipeline'!$D$5:$D$1004,$B58,'Leads Pipeline'!$P$5:$P$1004,"Hot",'Leads Pipeline'!$O$5:$O$1004,"&lt;&gt;Won",'Leads Pipeline'!$O$5:$O$1004,"&lt;&gt;Lost",'Leads Pipeline'!$F$5:$F$1004,"&lt;&gt;",'Leads Pipeline'!$C$5:$C$1004,MgrCrit))</f>
        <v>0</v>
      </c>
      <c r="F58" s="25" t="n">
        <f aca="false">IF($B58="","",COUNTIFS('Leads Pipeline'!$D$5:$D$1004,$B58,'Leads Pipeline'!$O$5:$O$1004,"Offer Sent",'Leads Pipeline'!$C$5:$C$1004,MgrCrit)+COUNTIFS('Leads Pipeline'!$D$5:$D$1004,$B58,'Leads Pipeline'!$O$5:$O$1004,"Negotiation",'Leads Pipeline'!$C$5:$C$1004,MgrCrit))</f>
        <v>0</v>
      </c>
      <c r="G58" s="25" t="n">
        <f aca="false">IF($B58="","",COUNTIFS('Leads Pipeline'!$D$5:$D$1004,$B58,'Leads Pipeline'!$O$5:$O$1004,"Won",'Leads Pipeline'!$C$5:$C$1004,MgrCrit))</f>
        <v>0</v>
      </c>
      <c r="H58" s="25" t="n">
        <f aca="false">IF($B58="","",COUNTIFS('Leads Pipeline'!$D$5:$D$1004,$B58,'Leads Pipeline'!$O$5:$O$1004,"Lost",'Leads Pipeline'!$C$5:$C$1004,MgrCrit))</f>
        <v>0</v>
      </c>
      <c r="I58" s="26" t="n">
        <f aca="false">IF($B58="","",SUMIFS('Leads Pipeline'!$U$5:$U$1004,'Leads Pipeline'!$D$5:$D$1004,$B58,'Leads Pipeline'!$O$5:$O$1004,"&lt;&gt;Won",'Leads Pipeline'!$O$5:$O$1004,"&lt;&gt;Lost",'Leads Pipeline'!$C$5:$C$1004,MgrCrit))</f>
        <v>0</v>
      </c>
      <c r="J58" s="25" t="n">
        <f aca="false">IF($B58="","",COUNTIFS('Active Clients'!$B$5:$B$504,$B58,'Active Clients'!$T$5:$T$504,"Active",'Active Clients'!$K$5:$K$504,MgrCrit))</f>
        <v>0</v>
      </c>
      <c r="K58" s="26" t="n">
        <f aca="false">IF($B58="","",SUMIFS('Active Clients'!$R$5:$R$504,'Active Clients'!$B$5:$B$504,$B58,'Active Clients'!$K$5:$K$504,MgrCrit))</f>
        <v>0</v>
      </c>
      <c r="L58" s="25" t="n">
        <f aca="false">IF($B58="","",COUNTIFS('Activity Log'!$E$5:$E$3004,$B58,'Activity Log'!$A$5:$A$3004,"&gt;="&amp;(RptDate-6),'Activity Log'!$A$5:$A$3004,"&lt;="&amp;RptDate,'Activity Log'!$B$5:$B$3004,MgrCrit))</f>
        <v>0</v>
      </c>
    </row>
    <row r="59" customFormat="false" ht="15" hidden="false" customHeight="false" outlineLevel="0" collapsed="false">
      <c r="B59" s="16" t="str">
        <f aca="false">IF(Lists!B20="","",Lists!B20)</f>
        <v>Tanzania</v>
      </c>
      <c r="C59" s="25" t="n">
        <f aca="false">IF($B59="","",COUNTIFS('Leads Pipeline'!$D$5:$D$1004,$B59,'Leads Pipeline'!$F$5:$F$1004,"&lt;&gt;",'Leads Pipeline'!$C$5:$C$1004,MgrCrit))</f>
        <v>0</v>
      </c>
      <c r="D59" s="25" t="n">
        <f aca="false">IF($B59="","",COUNTIFS('Leads Pipeline'!$D$5:$D$1004,$B59,'Leads Pipeline'!$O$5:$O$1004,"&lt;&gt;Won",'Leads Pipeline'!$O$5:$O$1004,"&lt;&gt;Lost",'Leads Pipeline'!$F$5:$F$1004,"&lt;&gt;",'Leads Pipeline'!$C$5:$C$1004,MgrCrit))</f>
        <v>0</v>
      </c>
      <c r="E59" s="25" t="n">
        <f aca="false">IF($B59="","",COUNTIFS('Leads Pipeline'!$D$5:$D$1004,$B59,'Leads Pipeline'!$P$5:$P$1004,"Hot",'Leads Pipeline'!$O$5:$O$1004,"&lt;&gt;Won",'Leads Pipeline'!$O$5:$O$1004,"&lt;&gt;Lost",'Leads Pipeline'!$F$5:$F$1004,"&lt;&gt;",'Leads Pipeline'!$C$5:$C$1004,MgrCrit))</f>
        <v>0</v>
      </c>
      <c r="F59" s="25" t="n">
        <f aca="false">IF($B59="","",COUNTIFS('Leads Pipeline'!$D$5:$D$1004,$B59,'Leads Pipeline'!$O$5:$O$1004,"Offer Sent",'Leads Pipeline'!$C$5:$C$1004,MgrCrit)+COUNTIFS('Leads Pipeline'!$D$5:$D$1004,$B59,'Leads Pipeline'!$O$5:$O$1004,"Negotiation",'Leads Pipeline'!$C$5:$C$1004,MgrCrit))</f>
        <v>0</v>
      </c>
      <c r="G59" s="25" t="n">
        <f aca="false">IF($B59="","",COUNTIFS('Leads Pipeline'!$D$5:$D$1004,$B59,'Leads Pipeline'!$O$5:$O$1004,"Won",'Leads Pipeline'!$C$5:$C$1004,MgrCrit))</f>
        <v>0</v>
      </c>
      <c r="H59" s="25" t="n">
        <f aca="false">IF($B59="","",COUNTIFS('Leads Pipeline'!$D$5:$D$1004,$B59,'Leads Pipeline'!$O$5:$O$1004,"Lost",'Leads Pipeline'!$C$5:$C$1004,MgrCrit))</f>
        <v>0</v>
      </c>
      <c r="I59" s="26" t="n">
        <f aca="false">IF($B59="","",SUMIFS('Leads Pipeline'!$U$5:$U$1004,'Leads Pipeline'!$D$5:$D$1004,$B59,'Leads Pipeline'!$O$5:$O$1004,"&lt;&gt;Won",'Leads Pipeline'!$O$5:$O$1004,"&lt;&gt;Lost",'Leads Pipeline'!$C$5:$C$1004,MgrCrit))</f>
        <v>0</v>
      </c>
      <c r="J59" s="25" t="n">
        <f aca="false">IF($B59="","",COUNTIFS('Active Clients'!$B$5:$B$504,$B59,'Active Clients'!$T$5:$T$504,"Active",'Active Clients'!$K$5:$K$504,MgrCrit))</f>
        <v>0</v>
      </c>
      <c r="K59" s="26" t="n">
        <f aca="false">IF($B59="","",SUMIFS('Active Clients'!$R$5:$R$504,'Active Clients'!$B$5:$B$504,$B59,'Active Clients'!$K$5:$K$504,MgrCrit))</f>
        <v>0</v>
      </c>
      <c r="L59" s="25" t="n">
        <f aca="false">IF($B59="","",COUNTIFS('Activity Log'!$E$5:$E$3004,$B59,'Activity Log'!$A$5:$A$3004,"&gt;="&amp;(RptDate-6),'Activity Log'!$A$5:$A$3004,"&lt;="&amp;RptDate,'Activity Log'!$B$5:$B$3004,MgrCrit))</f>
        <v>0</v>
      </c>
    </row>
    <row r="60" customFormat="false" ht="15" hidden="false" customHeight="false" outlineLevel="0" collapsed="false">
      <c r="B60" s="16" t="str">
        <f aca="false">IF(Lists!B21="","",Lists!B21)</f>
        <v>Uzbekistan</v>
      </c>
      <c r="C60" s="25" t="n">
        <f aca="false">IF($B60="","",COUNTIFS('Leads Pipeline'!$D$5:$D$1004,$B60,'Leads Pipeline'!$F$5:$F$1004,"&lt;&gt;",'Leads Pipeline'!$C$5:$C$1004,MgrCrit))</f>
        <v>0</v>
      </c>
      <c r="D60" s="25" t="n">
        <f aca="false">IF($B60="","",COUNTIFS('Leads Pipeline'!$D$5:$D$1004,$B60,'Leads Pipeline'!$O$5:$O$1004,"&lt;&gt;Won",'Leads Pipeline'!$O$5:$O$1004,"&lt;&gt;Lost",'Leads Pipeline'!$F$5:$F$1004,"&lt;&gt;",'Leads Pipeline'!$C$5:$C$1004,MgrCrit))</f>
        <v>0</v>
      </c>
      <c r="E60" s="25" t="n">
        <f aca="false">IF($B60="","",COUNTIFS('Leads Pipeline'!$D$5:$D$1004,$B60,'Leads Pipeline'!$P$5:$P$1004,"Hot",'Leads Pipeline'!$O$5:$O$1004,"&lt;&gt;Won",'Leads Pipeline'!$O$5:$O$1004,"&lt;&gt;Lost",'Leads Pipeline'!$F$5:$F$1004,"&lt;&gt;",'Leads Pipeline'!$C$5:$C$1004,MgrCrit))</f>
        <v>0</v>
      </c>
      <c r="F60" s="25" t="n">
        <f aca="false">IF($B60="","",COUNTIFS('Leads Pipeline'!$D$5:$D$1004,$B60,'Leads Pipeline'!$O$5:$O$1004,"Offer Sent",'Leads Pipeline'!$C$5:$C$1004,MgrCrit)+COUNTIFS('Leads Pipeline'!$D$5:$D$1004,$B60,'Leads Pipeline'!$O$5:$O$1004,"Negotiation",'Leads Pipeline'!$C$5:$C$1004,MgrCrit))</f>
        <v>0</v>
      </c>
      <c r="G60" s="25" t="n">
        <f aca="false">IF($B60="","",COUNTIFS('Leads Pipeline'!$D$5:$D$1004,$B60,'Leads Pipeline'!$O$5:$O$1004,"Won",'Leads Pipeline'!$C$5:$C$1004,MgrCrit))</f>
        <v>0</v>
      </c>
      <c r="H60" s="25" t="n">
        <f aca="false">IF($B60="","",COUNTIFS('Leads Pipeline'!$D$5:$D$1004,$B60,'Leads Pipeline'!$O$5:$O$1004,"Lost",'Leads Pipeline'!$C$5:$C$1004,MgrCrit))</f>
        <v>0</v>
      </c>
      <c r="I60" s="26" t="n">
        <f aca="false">IF($B60="","",SUMIFS('Leads Pipeline'!$U$5:$U$1004,'Leads Pipeline'!$D$5:$D$1004,$B60,'Leads Pipeline'!$O$5:$O$1004,"&lt;&gt;Won",'Leads Pipeline'!$O$5:$O$1004,"&lt;&gt;Lost",'Leads Pipeline'!$C$5:$C$1004,MgrCrit))</f>
        <v>0</v>
      </c>
      <c r="J60" s="25" t="n">
        <f aca="false">IF($B60="","",COUNTIFS('Active Clients'!$B$5:$B$504,$B60,'Active Clients'!$T$5:$T$504,"Active",'Active Clients'!$K$5:$K$504,MgrCrit))</f>
        <v>0</v>
      </c>
      <c r="K60" s="26" t="n">
        <f aca="false">IF($B60="","",SUMIFS('Active Clients'!$R$5:$R$504,'Active Clients'!$B$5:$B$504,$B60,'Active Clients'!$K$5:$K$504,MgrCrit))</f>
        <v>0</v>
      </c>
      <c r="L60" s="25" t="n">
        <f aca="false">IF($B60="","",COUNTIFS('Activity Log'!$E$5:$E$3004,$B60,'Activity Log'!$A$5:$A$3004,"&gt;="&amp;(RptDate-6),'Activity Log'!$A$5:$A$3004,"&lt;="&amp;RptDate,'Activity Log'!$B$5:$B$3004,MgrCrit))</f>
        <v>0</v>
      </c>
    </row>
    <row r="61" customFormat="false" ht="15" hidden="false" customHeight="false" outlineLevel="0" collapsed="false">
      <c r="B61" s="16" t="str">
        <f aca="false">IF(Lists!B22="","",Lists!B22)</f>
        <v>Kazakhstan</v>
      </c>
      <c r="C61" s="25" t="n">
        <f aca="false">IF($B61="","",COUNTIFS('Leads Pipeline'!$D$5:$D$1004,$B61,'Leads Pipeline'!$F$5:$F$1004,"&lt;&gt;",'Leads Pipeline'!$C$5:$C$1004,MgrCrit))</f>
        <v>0</v>
      </c>
      <c r="D61" s="25" t="n">
        <f aca="false">IF($B61="","",COUNTIFS('Leads Pipeline'!$D$5:$D$1004,$B61,'Leads Pipeline'!$O$5:$O$1004,"&lt;&gt;Won",'Leads Pipeline'!$O$5:$O$1004,"&lt;&gt;Lost",'Leads Pipeline'!$F$5:$F$1004,"&lt;&gt;",'Leads Pipeline'!$C$5:$C$1004,MgrCrit))</f>
        <v>0</v>
      </c>
      <c r="E61" s="25" t="n">
        <f aca="false">IF($B61="","",COUNTIFS('Leads Pipeline'!$D$5:$D$1004,$B61,'Leads Pipeline'!$P$5:$P$1004,"Hot",'Leads Pipeline'!$O$5:$O$1004,"&lt;&gt;Won",'Leads Pipeline'!$O$5:$O$1004,"&lt;&gt;Lost",'Leads Pipeline'!$F$5:$F$1004,"&lt;&gt;",'Leads Pipeline'!$C$5:$C$1004,MgrCrit))</f>
        <v>0</v>
      </c>
      <c r="F61" s="25" t="n">
        <f aca="false">IF($B61="","",COUNTIFS('Leads Pipeline'!$D$5:$D$1004,$B61,'Leads Pipeline'!$O$5:$O$1004,"Offer Sent",'Leads Pipeline'!$C$5:$C$1004,MgrCrit)+COUNTIFS('Leads Pipeline'!$D$5:$D$1004,$B61,'Leads Pipeline'!$O$5:$O$1004,"Negotiation",'Leads Pipeline'!$C$5:$C$1004,MgrCrit))</f>
        <v>0</v>
      </c>
      <c r="G61" s="25" t="n">
        <f aca="false">IF($B61="","",COUNTIFS('Leads Pipeline'!$D$5:$D$1004,$B61,'Leads Pipeline'!$O$5:$O$1004,"Won",'Leads Pipeline'!$C$5:$C$1004,MgrCrit))</f>
        <v>0</v>
      </c>
      <c r="H61" s="25" t="n">
        <f aca="false">IF($B61="","",COUNTIFS('Leads Pipeline'!$D$5:$D$1004,$B61,'Leads Pipeline'!$O$5:$O$1004,"Lost",'Leads Pipeline'!$C$5:$C$1004,MgrCrit))</f>
        <v>0</v>
      </c>
      <c r="I61" s="26" t="n">
        <f aca="false">IF($B61="","",SUMIFS('Leads Pipeline'!$U$5:$U$1004,'Leads Pipeline'!$D$5:$D$1004,$B61,'Leads Pipeline'!$O$5:$O$1004,"&lt;&gt;Won",'Leads Pipeline'!$O$5:$O$1004,"&lt;&gt;Lost",'Leads Pipeline'!$C$5:$C$1004,MgrCrit))</f>
        <v>0</v>
      </c>
      <c r="J61" s="25" t="n">
        <f aca="false">IF($B61="","",COUNTIFS('Active Clients'!$B$5:$B$504,$B61,'Active Clients'!$T$5:$T$504,"Active",'Active Clients'!$K$5:$K$504,MgrCrit))</f>
        <v>0</v>
      </c>
      <c r="K61" s="26" t="n">
        <f aca="false">IF($B61="","",SUMIFS('Active Clients'!$R$5:$R$504,'Active Clients'!$B$5:$B$504,$B61,'Active Clients'!$K$5:$K$504,MgrCrit))</f>
        <v>0</v>
      </c>
      <c r="L61" s="25" t="n">
        <f aca="false">IF($B61="","",COUNTIFS('Activity Log'!$E$5:$E$3004,$B61,'Activity Log'!$A$5:$A$3004,"&gt;="&amp;(RptDate-6),'Activity Log'!$A$5:$A$3004,"&lt;="&amp;RptDate,'Activity Log'!$B$5:$B$3004,MgrCrit))</f>
        <v>0</v>
      </c>
    </row>
    <row r="62" customFormat="false" ht="15" hidden="false" customHeight="false" outlineLevel="0" collapsed="false">
      <c r="B62" s="16" t="str">
        <f aca="false">IF(Lists!B23="","",Lists!B23)</f>
        <v>Azerbaijan</v>
      </c>
      <c r="C62" s="25" t="n">
        <f aca="false">IF($B62="","",COUNTIFS('Leads Pipeline'!$D$5:$D$1004,$B62,'Leads Pipeline'!$F$5:$F$1004,"&lt;&gt;",'Leads Pipeline'!$C$5:$C$1004,MgrCrit))</f>
        <v>0</v>
      </c>
      <c r="D62" s="25" t="n">
        <f aca="false">IF($B62="","",COUNTIFS('Leads Pipeline'!$D$5:$D$1004,$B62,'Leads Pipeline'!$O$5:$O$1004,"&lt;&gt;Won",'Leads Pipeline'!$O$5:$O$1004,"&lt;&gt;Lost",'Leads Pipeline'!$F$5:$F$1004,"&lt;&gt;",'Leads Pipeline'!$C$5:$C$1004,MgrCrit))</f>
        <v>0</v>
      </c>
      <c r="E62" s="25" t="n">
        <f aca="false">IF($B62="","",COUNTIFS('Leads Pipeline'!$D$5:$D$1004,$B62,'Leads Pipeline'!$P$5:$P$1004,"Hot",'Leads Pipeline'!$O$5:$O$1004,"&lt;&gt;Won",'Leads Pipeline'!$O$5:$O$1004,"&lt;&gt;Lost",'Leads Pipeline'!$F$5:$F$1004,"&lt;&gt;",'Leads Pipeline'!$C$5:$C$1004,MgrCrit))</f>
        <v>0</v>
      </c>
      <c r="F62" s="25" t="n">
        <f aca="false">IF($B62="","",COUNTIFS('Leads Pipeline'!$D$5:$D$1004,$B62,'Leads Pipeline'!$O$5:$O$1004,"Offer Sent",'Leads Pipeline'!$C$5:$C$1004,MgrCrit)+COUNTIFS('Leads Pipeline'!$D$5:$D$1004,$B62,'Leads Pipeline'!$O$5:$O$1004,"Negotiation",'Leads Pipeline'!$C$5:$C$1004,MgrCrit))</f>
        <v>0</v>
      </c>
      <c r="G62" s="25" t="n">
        <f aca="false">IF($B62="","",COUNTIFS('Leads Pipeline'!$D$5:$D$1004,$B62,'Leads Pipeline'!$O$5:$O$1004,"Won",'Leads Pipeline'!$C$5:$C$1004,MgrCrit))</f>
        <v>0</v>
      </c>
      <c r="H62" s="25" t="n">
        <f aca="false">IF($B62="","",COUNTIFS('Leads Pipeline'!$D$5:$D$1004,$B62,'Leads Pipeline'!$O$5:$O$1004,"Lost",'Leads Pipeline'!$C$5:$C$1004,MgrCrit))</f>
        <v>0</v>
      </c>
      <c r="I62" s="26" t="n">
        <f aca="false">IF($B62="","",SUMIFS('Leads Pipeline'!$U$5:$U$1004,'Leads Pipeline'!$D$5:$D$1004,$B62,'Leads Pipeline'!$O$5:$O$1004,"&lt;&gt;Won",'Leads Pipeline'!$O$5:$O$1004,"&lt;&gt;Lost",'Leads Pipeline'!$C$5:$C$1004,MgrCrit))</f>
        <v>0</v>
      </c>
      <c r="J62" s="25" t="n">
        <f aca="false">IF($B62="","",COUNTIFS('Active Clients'!$B$5:$B$504,$B62,'Active Clients'!$T$5:$T$504,"Active",'Active Clients'!$K$5:$K$504,MgrCrit))</f>
        <v>0</v>
      </c>
      <c r="K62" s="26" t="n">
        <f aca="false">IF($B62="","",SUMIFS('Active Clients'!$R$5:$R$504,'Active Clients'!$B$5:$B$504,$B62,'Active Clients'!$K$5:$K$504,MgrCrit))</f>
        <v>0</v>
      </c>
      <c r="L62" s="25" t="n">
        <f aca="false">IF($B62="","",COUNTIFS('Activity Log'!$E$5:$E$3004,$B62,'Activity Log'!$A$5:$A$3004,"&gt;="&amp;(RptDate-6),'Activity Log'!$A$5:$A$3004,"&lt;="&amp;RptDate,'Activity Log'!$B$5:$B$3004,MgrCrit))</f>
        <v>0</v>
      </c>
    </row>
    <row r="63" customFormat="false" ht="15" hidden="false" customHeight="false" outlineLevel="0" collapsed="false">
      <c r="B63" s="16" t="str">
        <f aca="false">IF(Lists!B24="","",Lists!B24)</f>
        <v>Georgia</v>
      </c>
      <c r="C63" s="25" t="n">
        <f aca="false">IF($B63="","",COUNTIFS('Leads Pipeline'!$D$5:$D$1004,$B63,'Leads Pipeline'!$F$5:$F$1004,"&lt;&gt;",'Leads Pipeline'!$C$5:$C$1004,MgrCrit))</f>
        <v>0</v>
      </c>
      <c r="D63" s="25" t="n">
        <f aca="false">IF($B63="","",COUNTIFS('Leads Pipeline'!$D$5:$D$1004,$B63,'Leads Pipeline'!$O$5:$O$1004,"&lt;&gt;Won",'Leads Pipeline'!$O$5:$O$1004,"&lt;&gt;Lost",'Leads Pipeline'!$F$5:$F$1004,"&lt;&gt;",'Leads Pipeline'!$C$5:$C$1004,MgrCrit))</f>
        <v>0</v>
      </c>
      <c r="E63" s="25" t="n">
        <f aca="false">IF($B63="","",COUNTIFS('Leads Pipeline'!$D$5:$D$1004,$B63,'Leads Pipeline'!$P$5:$P$1004,"Hot",'Leads Pipeline'!$O$5:$O$1004,"&lt;&gt;Won",'Leads Pipeline'!$O$5:$O$1004,"&lt;&gt;Lost",'Leads Pipeline'!$F$5:$F$1004,"&lt;&gt;",'Leads Pipeline'!$C$5:$C$1004,MgrCrit))</f>
        <v>0</v>
      </c>
      <c r="F63" s="25" t="n">
        <f aca="false">IF($B63="","",COUNTIFS('Leads Pipeline'!$D$5:$D$1004,$B63,'Leads Pipeline'!$O$5:$O$1004,"Offer Sent",'Leads Pipeline'!$C$5:$C$1004,MgrCrit)+COUNTIFS('Leads Pipeline'!$D$5:$D$1004,$B63,'Leads Pipeline'!$O$5:$O$1004,"Negotiation",'Leads Pipeline'!$C$5:$C$1004,MgrCrit))</f>
        <v>0</v>
      </c>
      <c r="G63" s="25" t="n">
        <f aca="false">IF($B63="","",COUNTIFS('Leads Pipeline'!$D$5:$D$1004,$B63,'Leads Pipeline'!$O$5:$O$1004,"Won",'Leads Pipeline'!$C$5:$C$1004,MgrCrit))</f>
        <v>0</v>
      </c>
      <c r="H63" s="25" t="n">
        <f aca="false">IF($B63="","",COUNTIFS('Leads Pipeline'!$D$5:$D$1004,$B63,'Leads Pipeline'!$O$5:$O$1004,"Lost",'Leads Pipeline'!$C$5:$C$1004,MgrCrit))</f>
        <v>0</v>
      </c>
      <c r="I63" s="26" t="n">
        <f aca="false">IF($B63="","",SUMIFS('Leads Pipeline'!$U$5:$U$1004,'Leads Pipeline'!$D$5:$D$1004,$B63,'Leads Pipeline'!$O$5:$O$1004,"&lt;&gt;Won",'Leads Pipeline'!$O$5:$O$1004,"&lt;&gt;Lost",'Leads Pipeline'!$C$5:$C$1004,MgrCrit))</f>
        <v>0</v>
      </c>
      <c r="J63" s="25" t="n">
        <f aca="false">IF($B63="","",COUNTIFS('Active Clients'!$B$5:$B$504,$B63,'Active Clients'!$T$5:$T$504,"Active",'Active Clients'!$K$5:$K$504,MgrCrit))</f>
        <v>0</v>
      </c>
      <c r="K63" s="26" t="n">
        <f aca="false">IF($B63="","",SUMIFS('Active Clients'!$R$5:$R$504,'Active Clients'!$B$5:$B$504,$B63,'Active Clients'!$K$5:$K$504,MgrCrit))</f>
        <v>0</v>
      </c>
      <c r="L63" s="25" t="n">
        <f aca="false">IF($B63="","",COUNTIFS('Activity Log'!$E$5:$E$3004,$B63,'Activity Log'!$A$5:$A$3004,"&gt;="&amp;(RptDate-6),'Activity Log'!$A$5:$A$3004,"&lt;="&amp;RptDate,'Activity Log'!$B$5:$B$3004,MgrCrit))</f>
        <v>0</v>
      </c>
    </row>
    <row r="64" customFormat="false" ht="15" hidden="false" customHeight="false" outlineLevel="0" collapsed="false">
      <c r="B64" s="16" t="str">
        <f aca="false">IF(Lists!B25="","",Lists!B25)</f>
        <v/>
      </c>
      <c r="C64" s="25" t="str">
        <f aca="false">IF($B64="","",COUNTIFS('Leads Pipeline'!$D$5:$D$1004,$B64,'Leads Pipeline'!$F$5:$F$1004,"&lt;&gt;",'Leads Pipeline'!$C$5:$C$1004,MgrCrit))</f>
        <v/>
      </c>
      <c r="D64" s="25" t="str">
        <f aca="false">IF($B64="","",COUNTIFS('Leads Pipeline'!$D$5:$D$1004,$B64,'Leads Pipeline'!$O$5:$O$1004,"&lt;&gt;Won",'Leads Pipeline'!$O$5:$O$1004,"&lt;&gt;Lost",'Leads Pipeline'!$F$5:$F$1004,"&lt;&gt;",'Leads Pipeline'!$C$5:$C$1004,MgrCrit))</f>
        <v/>
      </c>
      <c r="E64" s="25" t="str">
        <f aca="false">IF($B64="","",COUNTIFS('Leads Pipeline'!$D$5:$D$1004,$B64,'Leads Pipeline'!$P$5:$P$1004,"Hot",'Leads Pipeline'!$O$5:$O$1004,"&lt;&gt;Won",'Leads Pipeline'!$O$5:$O$1004,"&lt;&gt;Lost",'Leads Pipeline'!$F$5:$F$1004,"&lt;&gt;",'Leads Pipeline'!$C$5:$C$1004,MgrCrit))</f>
        <v/>
      </c>
      <c r="F64" s="25" t="str">
        <f aca="false">IF($B64="","",COUNTIFS('Leads Pipeline'!$D$5:$D$1004,$B64,'Leads Pipeline'!$O$5:$O$1004,"Offer Sent",'Leads Pipeline'!$C$5:$C$1004,MgrCrit)+COUNTIFS('Leads Pipeline'!$D$5:$D$1004,$B64,'Leads Pipeline'!$O$5:$O$1004,"Negotiation",'Leads Pipeline'!$C$5:$C$1004,MgrCrit))</f>
        <v/>
      </c>
      <c r="G64" s="25" t="str">
        <f aca="false">IF($B64="","",COUNTIFS('Leads Pipeline'!$D$5:$D$1004,$B64,'Leads Pipeline'!$O$5:$O$1004,"Won",'Leads Pipeline'!$C$5:$C$1004,MgrCrit))</f>
        <v/>
      </c>
      <c r="H64" s="25" t="str">
        <f aca="false">IF($B64="","",COUNTIFS('Leads Pipeline'!$D$5:$D$1004,$B64,'Leads Pipeline'!$O$5:$O$1004,"Lost",'Leads Pipeline'!$C$5:$C$1004,MgrCrit))</f>
        <v/>
      </c>
      <c r="I64" s="26" t="str">
        <f aca="false">IF($B64="","",SUMIFS('Leads Pipeline'!$U$5:$U$1004,'Leads Pipeline'!$D$5:$D$1004,$B64,'Leads Pipeline'!$O$5:$O$1004,"&lt;&gt;Won",'Leads Pipeline'!$O$5:$O$1004,"&lt;&gt;Lost",'Leads Pipeline'!$C$5:$C$1004,MgrCrit))</f>
        <v/>
      </c>
      <c r="J64" s="25" t="str">
        <f aca="false">IF($B64="","",COUNTIFS('Active Clients'!$B$5:$B$504,$B64,'Active Clients'!$T$5:$T$504,"Active",'Active Clients'!$K$5:$K$504,MgrCrit))</f>
        <v/>
      </c>
      <c r="K64" s="26" t="str">
        <f aca="false">IF($B64="","",SUMIFS('Active Clients'!$R$5:$R$504,'Active Clients'!$B$5:$B$504,$B64,'Active Clients'!$K$5:$K$504,MgrCrit))</f>
        <v/>
      </c>
      <c r="L64" s="25" t="str">
        <f aca="false">IF($B64="","",COUNTIFS('Activity Log'!$E$5:$E$3004,$B64,'Activity Log'!$A$5:$A$3004,"&gt;="&amp;(RptDate-6),'Activity Log'!$A$5:$A$3004,"&lt;="&amp;RptDate,'Activity Log'!$B$5:$B$3004,MgrCrit))</f>
        <v/>
      </c>
    </row>
    <row r="65" customFormat="false" ht="15" hidden="false" customHeight="false" outlineLevel="0" collapsed="false">
      <c r="B65" s="16" t="str">
        <f aca="false">IF(Lists!B26="","",Lists!B26)</f>
        <v/>
      </c>
      <c r="C65" s="25" t="str">
        <f aca="false">IF($B65="","",COUNTIFS('Leads Pipeline'!$D$5:$D$1004,$B65,'Leads Pipeline'!$F$5:$F$1004,"&lt;&gt;",'Leads Pipeline'!$C$5:$C$1004,MgrCrit))</f>
        <v/>
      </c>
      <c r="D65" s="25" t="str">
        <f aca="false">IF($B65="","",COUNTIFS('Leads Pipeline'!$D$5:$D$1004,$B65,'Leads Pipeline'!$O$5:$O$1004,"&lt;&gt;Won",'Leads Pipeline'!$O$5:$O$1004,"&lt;&gt;Lost",'Leads Pipeline'!$F$5:$F$1004,"&lt;&gt;",'Leads Pipeline'!$C$5:$C$1004,MgrCrit))</f>
        <v/>
      </c>
      <c r="E65" s="25" t="str">
        <f aca="false">IF($B65="","",COUNTIFS('Leads Pipeline'!$D$5:$D$1004,$B65,'Leads Pipeline'!$P$5:$P$1004,"Hot",'Leads Pipeline'!$O$5:$O$1004,"&lt;&gt;Won",'Leads Pipeline'!$O$5:$O$1004,"&lt;&gt;Lost",'Leads Pipeline'!$F$5:$F$1004,"&lt;&gt;",'Leads Pipeline'!$C$5:$C$1004,MgrCrit))</f>
        <v/>
      </c>
      <c r="F65" s="25" t="str">
        <f aca="false">IF($B65="","",COUNTIFS('Leads Pipeline'!$D$5:$D$1004,$B65,'Leads Pipeline'!$O$5:$O$1004,"Offer Sent",'Leads Pipeline'!$C$5:$C$1004,MgrCrit)+COUNTIFS('Leads Pipeline'!$D$5:$D$1004,$B65,'Leads Pipeline'!$O$5:$O$1004,"Negotiation",'Leads Pipeline'!$C$5:$C$1004,MgrCrit))</f>
        <v/>
      </c>
      <c r="G65" s="25" t="str">
        <f aca="false">IF($B65="","",COUNTIFS('Leads Pipeline'!$D$5:$D$1004,$B65,'Leads Pipeline'!$O$5:$O$1004,"Won",'Leads Pipeline'!$C$5:$C$1004,MgrCrit))</f>
        <v/>
      </c>
      <c r="H65" s="25" t="str">
        <f aca="false">IF($B65="","",COUNTIFS('Leads Pipeline'!$D$5:$D$1004,$B65,'Leads Pipeline'!$O$5:$O$1004,"Lost",'Leads Pipeline'!$C$5:$C$1004,MgrCrit))</f>
        <v/>
      </c>
      <c r="I65" s="26" t="str">
        <f aca="false">IF($B65="","",SUMIFS('Leads Pipeline'!$U$5:$U$1004,'Leads Pipeline'!$D$5:$D$1004,$B65,'Leads Pipeline'!$O$5:$O$1004,"&lt;&gt;Won",'Leads Pipeline'!$O$5:$O$1004,"&lt;&gt;Lost",'Leads Pipeline'!$C$5:$C$1004,MgrCrit))</f>
        <v/>
      </c>
      <c r="J65" s="25" t="str">
        <f aca="false">IF($B65="","",COUNTIFS('Active Clients'!$B$5:$B$504,$B65,'Active Clients'!$T$5:$T$504,"Active",'Active Clients'!$K$5:$K$504,MgrCrit))</f>
        <v/>
      </c>
      <c r="K65" s="26" t="str">
        <f aca="false">IF($B65="","",SUMIFS('Active Clients'!$R$5:$R$504,'Active Clients'!$B$5:$B$504,$B65,'Active Clients'!$K$5:$K$504,MgrCrit))</f>
        <v/>
      </c>
      <c r="L65" s="25" t="str">
        <f aca="false">IF($B65="","",COUNTIFS('Activity Log'!$E$5:$E$3004,$B65,'Activity Log'!$A$5:$A$3004,"&gt;="&amp;(RptDate-6),'Activity Log'!$A$5:$A$3004,"&lt;="&amp;RptDate,'Activity Log'!$B$5:$B$3004,MgrCrit))</f>
        <v/>
      </c>
    </row>
    <row r="66" customFormat="false" ht="15" hidden="false" customHeight="false" outlineLevel="0" collapsed="false">
      <c r="B66" s="16" t="str">
        <f aca="false">IF(Lists!B27="","",Lists!B27)</f>
        <v/>
      </c>
      <c r="C66" s="25" t="str">
        <f aca="false">IF($B66="","",COUNTIFS('Leads Pipeline'!$D$5:$D$1004,$B66,'Leads Pipeline'!$F$5:$F$1004,"&lt;&gt;",'Leads Pipeline'!$C$5:$C$1004,MgrCrit))</f>
        <v/>
      </c>
      <c r="D66" s="25" t="str">
        <f aca="false">IF($B66="","",COUNTIFS('Leads Pipeline'!$D$5:$D$1004,$B66,'Leads Pipeline'!$O$5:$O$1004,"&lt;&gt;Won",'Leads Pipeline'!$O$5:$O$1004,"&lt;&gt;Lost",'Leads Pipeline'!$F$5:$F$1004,"&lt;&gt;",'Leads Pipeline'!$C$5:$C$1004,MgrCrit))</f>
        <v/>
      </c>
      <c r="E66" s="25" t="str">
        <f aca="false">IF($B66="","",COUNTIFS('Leads Pipeline'!$D$5:$D$1004,$B66,'Leads Pipeline'!$P$5:$P$1004,"Hot",'Leads Pipeline'!$O$5:$O$1004,"&lt;&gt;Won",'Leads Pipeline'!$O$5:$O$1004,"&lt;&gt;Lost",'Leads Pipeline'!$F$5:$F$1004,"&lt;&gt;",'Leads Pipeline'!$C$5:$C$1004,MgrCrit))</f>
        <v/>
      </c>
      <c r="F66" s="25" t="str">
        <f aca="false">IF($B66="","",COUNTIFS('Leads Pipeline'!$D$5:$D$1004,$B66,'Leads Pipeline'!$O$5:$O$1004,"Offer Sent",'Leads Pipeline'!$C$5:$C$1004,MgrCrit)+COUNTIFS('Leads Pipeline'!$D$5:$D$1004,$B66,'Leads Pipeline'!$O$5:$O$1004,"Negotiation",'Leads Pipeline'!$C$5:$C$1004,MgrCrit))</f>
        <v/>
      </c>
      <c r="G66" s="25" t="str">
        <f aca="false">IF($B66="","",COUNTIFS('Leads Pipeline'!$D$5:$D$1004,$B66,'Leads Pipeline'!$O$5:$O$1004,"Won",'Leads Pipeline'!$C$5:$C$1004,MgrCrit))</f>
        <v/>
      </c>
      <c r="H66" s="25" t="str">
        <f aca="false">IF($B66="","",COUNTIFS('Leads Pipeline'!$D$5:$D$1004,$B66,'Leads Pipeline'!$O$5:$O$1004,"Lost",'Leads Pipeline'!$C$5:$C$1004,MgrCrit))</f>
        <v/>
      </c>
      <c r="I66" s="26" t="str">
        <f aca="false">IF($B66="","",SUMIFS('Leads Pipeline'!$U$5:$U$1004,'Leads Pipeline'!$D$5:$D$1004,$B66,'Leads Pipeline'!$O$5:$O$1004,"&lt;&gt;Won",'Leads Pipeline'!$O$5:$O$1004,"&lt;&gt;Lost",'Leads Pipeline'!$C$5:$C$1004,MgrCrit))</f>
        <v/>
      </c>
      <c r="J66" s="25" t="str">
        <f aca="false">IF($B66="","",COUNTIFS('Active Clients'!$B$5:$B$504,$B66,'Active Clients'!$T$5:$T$504,"Active",'Active Clients'!$K$5:$K$504,MgrCrit))</f>
        <v/>
      </c>
      <c r="K66" s="26" t="str">
        <f aca="false">IF($B66="","",SUMIFS('Active Clients'!$R$5:$R$504,'Active Clients'!$B$5:$B$504,$B66,'Active Clients'!$K$5:$K$504,MgrCrit))</f>
        <v/>
      </c>
      <c r="L66" s="25" t="str">
        <f aca="false">IF($B66="","",COUNTIFS('Activity Log'!$E$5:$E$3004,$B66,'Activity Log'!$A$5:$A$3004,"&gt;="&amp;(RptDate-6),'Activity Log'!$A$5:$A$3004,"&lt;="&amp;RptDate,'Activity Log'!$B$5:$B$3004,MgrCrit))</f>
        <v/>
      </c>
    </row>
    <row r="67" customFormat="false" ht="15" hidden="false" customHeight="false" outlineLevel="0" collapsed="false">
      <c r="B67" s="16" t="str">
        <f aca="false">IF(Lists!B28="","",Lists!B28)</f>
        <v/>
      </c>
      <c r="C67" s="25" t="str">
        <f aca="false">IF($B67="","",COUNTIFS('Leads Pipeline'!$D$5:$D$1004,$B67,'Leads Pipeline'!$F$5:$F$1004,"&lt;&gt;",'Leads Pipeline'!$C$5:$C$1004,MgrCrit))</f>
        <v/>
      </c>
      <c r="D67" s="25" t="str">
        <f aca="false">IF($B67="","",COUNTIFS('Leads Pipeline'!$D$5:$D$1004,$B67,'Leads Pipeline'!$O$5:$O$1004,"&lt;&gt;Won",'Leads Pipeline'!$O$5:$O$1004,"&lt;&gt;Lost",'Leads Pipeline'!$F$5:$F$1004,"&lt;&gt;",'Leads Pipeline'!$C$5:$C$1004,MgrCrit))</f>
        <v/>
      </c>
      <c r="E67" s="25" t="str">
        <f aca="false">IF($B67="","",COUNTIFS('Leads Pipeline'!$D$5:$D$1004,$B67,'Leads Pipeline'!$P$5:$P$1004,"Hot",'Leads Pipeline'!$O$5:$O$1004,"&lt;&gt;Won",'Leads Pipeline'!$O$5:$O$1004,"&lt;&gt;Lost",'Leads Pipeline'!$F$5:$F$1004,"&lt;&gt;",'Leads Pipeline'!$C$5:$C$1004,MgrCrit))</f>
        <v/>
      </c>
      <c r="F67" s="25" t="str">
        <f aca="false">IF($B67="","",COUNTIFS('Leads Pipeline'!$D$5:$D$1004,$B67,'Leads Pipeline'!$O$5:$O$1004,"Offer Sent",'Leads Pipeline'!$C$5:$C$1004,MgrCrit)+COUNTIFS('Leads Pipeline'!$D$5:$D$1004,$B67,'Leads Pipeline'!$O$5:$O$1004,"Negotiation",'Leads Pipeline'!$C$5:$C$1004,MgrCrit))</f>
        <v/>
      </c>
      <c r="G67" s="25" t="str">
        <f aca="false">IF($B67="","",COUNTIFS('Leads Pipeline'!$D$5:$D$1004,$B67,'Leads Pipeline'!$O$5:$O$1004,"Won",'Leads Pipeline'!$C$5:$C$1004,MgrCrit))</f>
        <v/>
      </c>
      <c r="H67" s="25" t="str">
        <f aca="false">IF($B67="","",COUNTIFS('Leads Pipeline'!$D$5:$D$1004,$B67,'Leads Pipeline'!$O$5:$O$1004,"Lost",'Leads Pipeline'!$C$5:$C$1004,MgrCrit))</f>
        <v/>
      </c>
      <c r="I67" s="26" t="str">
        <f aca="false">IF($B67="","",SUMIFS('Leads Pipeline'!$U$5:$U$1004,'Leads Pipeline'!$D$5:$D$1004,$B67,'Leads Pipeline'!$O$5:$O$1004,"&lt;&gt;Won",'Leads Pipeline'!$O$5:$O$1004,"&lt;&gt;Lost",'Leads Pipeline'!$C$5:$C$1004,MgrCrit))</f>
        <v/>
      </c>
      <c r="J67" s="25" t="str">
        <f aca="false">IF($B67="","",COUNTIFS('Active Clients'!$B$5:$B$504,$B67,'Active Clients'!$T$5:$T$504,"Active",'Active Clients'!$K$5:$K$504,MgrCrit))</f>
        <v/>
      </c>
      <c r="K67" s="26" t="str">
        <f aca="false">IF($B67="","",SUMIFS('Active Clients'!$R$5:$R$504,'Active Clients'!$B$5:$B$504,$B67,'Active Clients'!$K$5:$K$504,MgrCrit))</f>
        <v/>
      </c>
      <c r="L67" s="25" t="str">
        <f aca="false">IF($B67="","",COUNTIFS('Activity Log'!$E$5:$E$3004,$B67,'Activity Log'!$A$5:$A$3004,"&gt;="&amp;(RptDate-6),'Activity Log'!$A$5:$A$3004,"&lt;="&amp;RptDate,'Activity Log'!$B$5:$B$3004,MgrCrit))</f>
        <v/>
      </c>
    </row>
    <row r="68" customFormat="false" ht="15" hidden="false" customHeight="false" outlineLevel="0" collapsed="false">
      <c r="B68" s="16" t="str">
        <f aca="false">IF(Lists!B29="","",Lists!B29)</f>
        <v/>
      </c>
      <c r="C68" s="25" t="str">
        <f aca="false">IF($B68="","",COUNTIFS('Leads Pipeline'!$D$5:$D$1004,$B68,'Leads Pipeline'!$F$5:$F$1004,"&lt;&gt;",'Leads Pipeline'!$C$5:$C$1004,MgrCrit))</f>
        <v/>
      </c>
      <c r="D68" s="25" t="str">
        <f aca="false">IF($B68="","",COUNTIFS('Leads Pipeline'!$D$5:$D$1004,$B68,'Leads Pipeline'!$O$5:$O$1004,"&lt;&gt;Won",'Leads Pipeline'!$O$5:$O$1004,"&lt;&gt;Lost",'Leads Pipeline'!$F$5:$F$1004,"&lt;&gt;",'Leads Pipeline'!$C$5:$C$1004,MgrCrit))</f>
        <v/>
      </c>
      <c r="E68" s="25" t="str">
        <f aca="false">IF($B68="","",COUNTIFS('Leads Pipeline'!$D$5:$D$1004,$B68,'Leads Pipeline'!$P$5:$P$1004,"Hot",'Leads Pipeline'!$O$5:$O$1004,"&lt;&gt;Won",'Leads Pipeline'!$O$5:$O$1004,"&lt;&gt;Lost",'Leads Pipeline'!$F$5:$F$1004,"&lt;&gt;",'Leads Pipeline'!$C$5:$C$1004,MgrCrit))</f>
        <v/>
      </c>
      <c r="F68" s="25" t="str">
        <f aca="false">IF($B68="","",COUNTIFS('Leads Pipeline'!$D$5:$D$1004,$B68,'Leads Pipeline'!$O$5:$O$1004,"Offer Sent",'Leads Pipeline'!$C$5:$C$1004,MgrCrit)+COUNTIFS('Leads Pipeline'!$D$5:$D$1004,$B68,'Leads Pipeline'!$O$5:$O$1004,"Negotiation",'Leads Pipeline'!$C$5:$C$1004,MgrCrit))</f>
        <v/>
      </c>
      <c r="G68" s="25" t="str">
        <f aca="false">IF($B68="","",COUNTIFS('Leads Pipeline'!$D$5:$D$1004,$B68,'Leads Pipeline'!$O$5:$O$1004,"Won",'Leads Pipeline'!$C$5:$C$1004,MgrCrit))</f>
        <v/>
      </c>
      <c r="H68" s="25" t="str">
        <f aca="false">IF($B68="","",COUNTIFS('Leads Pipeline'!$D$5:$D$1004,$B68,'Leads Pipeline'!$O$5:$O$1004,"Lost",'Leads Pipeline'!$C$5:$C$1004,MgrCrit))</f>
        <v/>
      </c>
      <c r="I68" s="26" t="str">
        <f aca="false">IF($B68="","",SUMIFS('Leads Pipeline'!$U$5:$U$1004,'Leads Pipeline'!$D$5:$D$1004,$B68,'Leads Pipeline'!$O$5:$O$1004,"&lt;&gt;Won",'Leads Pipeline'!$O$5:$O$1004,"&lt;&gt;Lost",'Leads Pipeline'!$C$5:$C$1004,MgrCrit))</f>
        <v/>
      </c>
      <c r="J68" s="25" t="str">
        <f aca="false">IF($B68="","",COUNTIFS('Active Clients'!$B$5:$B$504,$B68,'Active Clients'!$T$5:$T$504,"Active",'Active Clients'!$K$5:$K$504,MgrCrit))</f>
        <v/>
      </c>
      <c r="K68" s="26" t="str">
        <f aca="false">IF($B68="","",SUMIFS('Active Clients'!$R$5:$R$504,'Active Clients'!$B$5:$B$504,$B68,'Active Clients'!$K$5:$K$504,MgrCrit))</f>
        <v/>
      </c>
      <c r="L68" s="25" t="str">
        <f aca="false">IF($B68="","",COUNTIFS('Activity Log'!$E$5:$E$3004,$B68,'Activity Log'!$A$5:$A$3004,"&gt;="&amp;(RptDate-6),'Activity Log'!$A$5:$A$3004,"&lt;="&amp;RptDate,'Activity Log'!$B$5:$B$3004,MgrCrit))</f>
        <v/>
      </c>
    </row>
    <row r="69" customFormat="false" ht="15" hidden="false" customHeight="false" outlineLevel="0" collapsed="false">
      <c r="B69" s="16" t="str">
        <f aca="false">IF(Lists!B30="","",Lists!B30)</f>
        <v/>
      </c>
      <c r="C69" s="25" t="str">
        <f aca="false">IF($B69="","",COUNTIFS('Leads Pipeline'!$D$5:$D$1004,$B69,'Leads Pipeline'!$F$5:$F$1004,"&lt;&gt;",'Leads Pipeline'!$C$5:$C$1004,MgrCrit))</f>
        <v/>
      </c>
      <c r="D69" s="25" t="str">
        <f aca="false">IF($B69="","",COUNTIFS('Leads Pipeline'!$D$5:$D$1004,$B69,'Leads Pipeline'!$O$5:$O$1004,"&lt;&gt;Won",'Leads Pipeline'!$O$5:$O$1004,"&lt;&gt;Lost",'Leads Pipeline'!$F$5:$F$1004,"&lt;&gt;",'Leads Pipeline'!$C$5:$C$1004,MgrCrit))</f>
        <v/>
      </c>
      <c r="E69" s="25" t="str">
        <f aca="false">IF($B69="","",COUNTIFS('Leads Pipeline'!$D$5:$D$1004,$B69,'Leads Pipeline'!$P$5:$P$1004,"Hot",'Leads Pipeline'!$O$5:$O$1004,"&lt;&gt;Won",'Leads Pipeline'!$O$5:$O$1004,"&lt;&gt;Lost",'Leads Pipeline'!$F$5:$F$1004,"&lt;&gt;",'Leads Pipeline'!$C$5:$C$1004,MgrCrit))</f>
        <v/>
      </c>
      <c r="F69" s="25" t="str">
        <f aca="false">IF($B69="","",COUNTIFS('Leads Pipeline'!$D$5:$D$1004,$B69,'Leads Pipeline'!$O$5:$O$1004,"Offer Sent",'Leads Pipeline'!$C$5:$C$1004,MgrCrit)+COUNTIFS('Leads Pipeline'!$D$5:$D$1004,$B69,'Leads Pipeline'!$O$5:$O$1004,"Negotiation",'Leads Pipeline'!$C$5:$C$1004,MgrCrit))</f>
        <v/>
      </c>
      <c r="G69" s="25" t="str">
        <f aca="false">IF($B69="","",COUNTIFS('Leads Pipeline'!$D$5:$D$1004,$B69,'Leads Pipeline'!$O$5:$O$1004,"Won",'Leads Pipeline'!$C$5:$C$1004,MgrCrit))</f>
        <v/>
      </c>
      <c r="H69" s="25" t="str">
        <f aca="false">IF($B69="","",COUNTIFS('Leads Pipeline'!$D$5:$D$1004,$B69,'Leads Pipeline'!$O$5:$O$1004,"Lost",'Leads Pipeline'!$C$5:$C$1004,MgrCrit))</f>
        <v/>
      </c>
      <c r="I69" s="26" t="str">
        <f aca="false">IF($B69="","",SUMIFS('Leads Pipeline'!$U$5:$U$1004,'Leads Pipeline'!$D$5:$D$1004,$B69,'Leads Pipeline'!$O$5:$O$1004,"&lt;&gt;Won",'Leads Pipeline'!$O$5:$O$1004,"&lt;&gt;Lost",'Leads Pipeline'!$C$5:$C$1004,MgrCrit))</f>
        <v/>
      </c>
      <c r="J69" s="25" t="str">
        <f aca="false">IF($B69="","",COUNTIFS('Active Clients'!$B$5:$B$504,$B69,'Active Clients'!$T$5:$T$504,"Active",'Active Clients'!$K$5:$K$504,MgrCrit))</f>
        <v/>
      </c>
      <c r="K69" s="26" t="str">
        <f aca="false">IF($B69="","",SUMIFS('Active Clients'!$R$5:$R$504,'Active Clients'!$B$5:$B$504,$B69,'Active Clients'!$K$5:$K$504,MgrCrit))</f>
        <v/>
      </c>
      <c r="L69" s="25" t="str">
        <f aca="false">IF($B69="","",COUNTIFS('Activity Log'!$E$5:$E$3004,$B69,'Activity Log'!$A$5:$A$3004,"&gt;="&amp;(RptDate-6),'Activity Log'!$A$5:$A$3004,"&lt;="&amp;RptDate,'Activity Log'!$B$5:$B$3004,MgrCrit))</f>
        <v/>
      </c>
    </row>
    <row r="70" customFormat="false" ht="15" hidden="false" customHeight="false" outlineLevel="0" collapsed="false">
      <c r="B70" s="16" t="str">
        <f aca="false">IF(Lists!B31="","",Lists!B31)</f>
        <v/>
      </c>
      <c r="C70" s="25" t="str">
        <f aca="false">IF($B70="","",COUNTIFS('Leads Pipeline'!$D$5:$D$1004,$B70,'Leads Pipeline'!$F$5:$F$1004,"&lt;&gt;",'Leads Pipeline'!$C$5:$C$1004,MgrCrit))</f>
        <v/>
      </c>
      <c r="D70" s="25" t="str">
        <f aca="false">IF($B70="","",COUNTIFS('Leads Pipeline'!$D$5:$D$1004,$B70,'Leads Pipeline'!$O$5:$O$1004,"&lt;&gt;Won",'Leads Pipeline'!$O$5:$O$1004,"&lt;&gt;Lost",'Leads Pipeline'!$F$5:$F$1004,"&lt;&gt;",'Leads Pipeline'!$C$5:$C$1004,MgrCrit))</f>
        <v/>
      </c>
      <c r="E70" s="25" t="str">
        <f aca="false">IF($B70="","",COUNTIFS('Leads Pipeline'!$D$5:$D$1004,$B70,'Leads Pipeline'!$P$5:$P$1004,"Hot",'Leads Pipeline'!$O$5:$O$1004,"&lt;&gt;Won",'Leads Pipeline'!$O$5:$O$1004,"&lt;&gt;Lost",'Leads Pipeline'!$F$5:$F$1004,"&lt;&gt;",'Leads Pipeline'!$C$5:$C$1004,MgrCrit))</f>
        <v/>
      </c>
      <c r="F70" s="25" t="str">
        <f aca="false">IF($B70="","",COUNTIFS('Leads Pipeline'!$D$5:$D$1004,$B70,'Leads Pipeline'!$O$5:$O$1004,"Offer Sent",'Leads Pipeline'!$C$5:$C$1004,MgrCrit)+COUNTIFS('Leads Pipeline'!$D$5:$D$1004,$B70,'Leads Pipeline'!$O$5:$O$1004,"Negotiation",'Leads Pipeline'!$C$5:$C$1004,MgrCrit))</f>
        <v/>
      </c>
      <c r="G70" s="25" t="str">
        <f aca="false">IF($B70="","",COUNTIFS('Leads Pipeline'!$D$5:$D$1004,$B70,'Leads Pipeline'!$O$5:$O$1004,"Won",'Leads Pipeline'!$C$5:$C$1004,MgrCrit))</f>
        <v/>
      </c>
      <c r="H70" s="25" t="str">
        <f aca="false">IF($B70="","",COUNTIFS('Leads Pipeline'!$D$5:$D$1004,$B70,'Leads Pipeline'!$O$5:$O$1004,"Lost",'Leads Pipeline'!$C$5:$C$1004,MgrCrit))</f>
        <v/>
      </c>
      <c r="I70" s="26" t="str">
        <f aca="false">IF($B70="","",SUMIFS('Leads Pipeline'!$U$5:$U$1004,'Leads Pipeline'!$D$5:$D$1004,$B70,'Leads Pipeline'!$O$5:$O$1004,"&lt;&gt;Won",'Leads Pipeline'!$O$5:$O$1004,"&lt;&gt;Lost",'Leads Pipeline'!$C$5:$C$1004,MgrCrit))</f>
        <v/>
      </c>
      <c r="J70" s="25" t="str">
        <f aca="false">IF($B70="","",COUNTIFS('Active Clients'!$B$5:$B$504,$B70,'Active Clients'!$T$5:$T$504,"Active",'Active Clients'!$K$5:$K$504,MgrCrit))</f>
        <v/>
      </c>
      <c r="K70" s="26" t="str">
        <f aca="false">IF($B70="","",SUMIFS('Active Clients'!$R$5:$R$504,'Active Clients'!$B$5:$B$504,$B70,'Active Clients'!$K$5:$K$504,MgrCrit))</f>
        <v/>
      </c>
      <c r="L70" s="25" t="str">
        <f aca="false">IF($B70="","",COUNTIFS('Activity Log'!$E$5:$E$3004,$B70,'Activity Log'!$A$5:$A$3004,"&gt;="&amp;(RptDate-6),'Activity Log'!$A$5:$A$3004,"&lt;="&amp;RptDate,'Activity Log'!$B$5:$B$3004,MgrCrit))</f>
        <v/>
      </c>
    </row>
    <row r="71" customFormat="false" ht="15" hidden="false" customHeight="false" outlineLevel="0" collapsed="false">
      <c r="B71" s="16" t="str">
        <f aca="false">IF(Lists!B32="","",Lists!B32)</f>
        <v/>
      </c>
      <c r="C71" s="25" t="str">
        <f aca="false">IF($B71="","",COUNTIFS('Leads Pipeline'!$D$5:$D$1004,$B71,'Leads Pipeline'!$F$5:$F$1004,"&lt;&gt;",'Leads Pipeline'!$C$5:$C$1004,MgrCrit))</f>
        <v/>
      </c>
      <c r="D71" s="25" t="str">
        <f aca="false">IF($B71="","",COUNTIFS('Leads Pipeline'!$D$5:$D$1004,$B71,'Leads Pipeline'!$O$5:$O$1004,"&lt;&gt;Won",'Leads Pipeline'!$O$5:$O$1004,"&lt;&gt;Lost",'Leads Pipeline'!$F$5:$F$1004,"&lt;&gt;",'Leads Pipeline'!$C$5:$C$1004,MgrCrit))</f>
        <v/>
      </c>
      <c r="E71" s="25" t="str">
        <f aca="false">IF($B71="","",COUNTIFS('Leads Pipeline'!$D$5:$D$1004,$B71,'Leads Pipeline'!$P$5:$P$1004,"Hot",'Leads Pipeline'!$O$5:$O$1004,"&lt;&gt;Won",'Leads Pipeline'!$O$5:$O$1004,"&lt;&gt;Lost",'Leads Pipeline'!$F$5:$F$1004,"&lt;&gt;",'Leads Pipeline'!$C$5:$C$1004,MgrCrit))</f>
        <v/>
      </c>
      <c r="F71" s="25" t="str">
        <f aca="false">IF($B71="","",COUNTIFS('Leads Pipeline'!$D$5:$D$1004,$B71,'Leads Pipeline'!$O$5:$O$1004,"Offer Sent",'Leads Pipeline'!$C$5:$C$1004,MgrCrit)+COUNTIFS('Leads Pipeline'!$D$5:$D$1004,$B71,'Leads Pipeline'!$O$5:$O$1004,"Negotiation",'Leads Pipeline'!$C$5:$C$1004,MgrCrit))</f>
        <v/>
      </c>
      <c r="G71" s="25" t="str">
        <f aca="false">IF($B71="","",COUNTIFS('Leads Pipeline'!$D$5:$D$1004,$B71,'Leads Pipeline'!$O$5:$O$1004,"Won",'Leads Pipeline'!$C$5:$C$1004,MgrCrit))</f>
        <v/>
      </c>
      <c r="H71" s="25" t="str">
        <f aca="false">IF($B71="","",COUNTIFS('Leads Pipeline'!$D$5:$D$1004,$B71,'Leads Pipeline'!$O$5:$O$1004,"Lost",'Leads Pipeline'!$C$5:$C$1004,MgrCrit))</f>
        <v/>
      </c>
      <c r="I71" s="26" t="str">
        <f aca="false">IF($B71="","",SUMIFS('Leads Pipeline'!$U$5:$U$1004,'Leads Pipeline'!$D$5:$D$1004,$B71,'Leads Pipeline'!$O$5:$O$1004,"&lt;&gt;Won",'Leads Pipeline'!$O$5:$O$1004,"&lt;&gt;Lost",'Leads Pipeline'!$C$5:$C$1004,MgrCrit))</f>
        <v/>
      </c>
      <c r="J71" s="25" t="str">
        <f aca="false">IF($B71="","",COUNTIFS('Active Clients'!$B$5:$B$504,$B71,'Active Clients'!$T$5:$T$504,"Active",'Active Clients'!$K$5:$K$504,MgrCrit))</f>
        <v/>
      </c>
      <c r="K71" s="26" t="str">
        <f aca="false">IF($B71="","",SUMIFS('Active Clients'!$R$5:$R$504,'Active Clients'!$B$5:$B$504,$B71,'Active Clients'!$K$5:$K$504,MgrCrit))</f>
        <v/>
      </c>
      <c r="L71" s="25" t="str">
        <f aca="false">IF($B71="","",COUNTIFS('Activity Log'!$E$5:$E$3004,$B71,'Activity Log'!$A$5:$A$3004,"&gt;="&amp;(RptDate-6),'Activity Log'!$A$5:$A$3004,"&lt;="&amp;RptDate,'Activity Log'!$B$5:$B$3004,MgrCrit))</f>
        <v/>
      </c>
    </row>
    <row r="72" customFormat="false" ht="15" hidden="false" customHeight="false" outlineLevel="0" collapsed="false">
      <c r="B72" s="16" t="str">
        <f aca="false">IF(Lists!B33="","",Lists!B33)</f>
        <v/>
      </c>
      <c r="C72" s="25" t="str">
        <f aca="false">IF($B72="","",COUNTIFS('Leads Pipeline'!$D$5:$D$1004,$B72,'Leads Pipeline'!$F$5:$F$1004,"&lt;&gt;",'Leads Pipeline'!$C$5:$C$1004,MgrCrit))</f>
        <v/>
      </c>
      <c r="D72" s="25" t="str">
        <f aca="false">IF($B72="","",COUNTIFS('Leads Pipeline'!$D$5:$D$1004,$B72,'Leads Pipeline'!$O$5:$O$1004,"&lt;&gt;Won",'Leads Pipeline'!$O$5:$O$1004,"&lt;&gt;Lost",'Leads Pipeline'!$F$5:$F$1004,"&lt;&gt;",'Leads Pipeline'!$C$5:$C$1004,MgrCrit))</f>
        <v/>
      </c>
      <c r="E72" s="25" t="str">
        <f aca="false">IF($B72="","",COUNTIFS('Leads Pipeline'!$D$5:$D$1004,$B72,'Leads Pipeline'!$P$5:$P$1004,"Hot",'Leads Pipeline'!$O$5:$O$1004,"&lt;&gt;Won",'Leads Pipeline'!$O$5:$O$1004,"&lt;&gt;Lost",'Leads Pipeline'!$F$5:$F$1004,"&lt;&gt;",'Leads Pipeline'!$C$5:$C$1004,MgrCrit))</f>
        <v/>
      </c>
      <c r="F72" s="25" t="str">
        <f aca="false">IF($B72="","",COUNTIFS('Leads Pipeline'!$D$5:$D$1004,$B72,'Leads Pipeline'!$O$5:$O$1004,"Offer Sent",'Leads Pipeline'!$C$5:$C$1004,MgrCrit)+COUNTIFS('Leads Pipeline'!$D$5:$D$1004,$B72,'Leads Pipeline'!$O$5:$O$1004,"Negotiation",'Leads Pipeline'!$C$5:$C$1004,MgrCrit))</f>
        <v/>
      </c>
      <c r="G72" s="25" t="str">
        <f aca="false">IF($B72="","",COUNTIFS('Leads Pipeline'!$D$5:$D$1004,$B72,'Leads Pipeline'!$O$5:$O$1004,"Won",'Leads Pipeline'!$C$5:$C$1004,MgrCrit))</f>
        <v/>
      </c>
      <c r="H72" s="25" t="str">
        <f aca="false">IF($B72="","",COUNTIFS('Leads Pipeline'!$D$5:$D$1004,$B72,'Leads Pipeline'!$O$5:$O$1004,"Lost",'Leads Pipeline'!$C$5:$C$1004,MgrCrit))</f>
        <v/>
      </c>
      <c r="I72" s="26" t="str">
        <f aca="false">IF($B72="","",SUMIFS('Leads Pipeline'!$U$5:$U$1004,'Leads Pipeline'!$D$5:$D$1004,$B72,'Leads Pipeline'!$O$5:$O$1004,"&lt;&gt;Won",'Leads Pipeline'!$O$5:$O$1004,"&lt;&gt;Lost",'Leads Pipeline'!$C$5:$C$1004,MgrCrit))</f>
        <v/>
      </c>
      <c r="J72" s="25" t="str">
        <f aca="false">IF($B72="","",COUNTIFS('Active Clients'!$B$5:$B$504,$B72,'Active Clients'!$T$5:$T$504,"Active",'Active Clients'!$K$5:$K$504,MgrCrit))</f>
        <v/>
      </c>
      <c r="K72" s="26" t="str">
        <f aca="false">IF($B72="","",SUMIFS('Active Clients'!$R$5:$R$504,'Active Clients'!$B$5:$B$504,$B72,'Active Clients'!$K$5:$K$504,MgrCrit))</f>
        <v/>
      </c>
      <c r="L72" s="25" t="str">
        <f aca="false">IF($B72="","",COUNTIFS('Activity Log'!$E$5:$E$3004,$B72,'Activity Log'!$A$5:$A$3004,"&gt;="&amp;(RptDate-6),'Activity Log'!$A$5:$A$3004,"&lt;="&amp;RptDate,'Activity Log'!$B$5:$B$3004,MgrCrit))</f>
        <v/>
      </c>
    </row>
    <row r="73" customFormat="false" ht="15" hidden="false" customHeight="false" outlineLevel="0" collapsed="false">
      <c r="B73" s="16" t="str">
        <f aca="false">IF(Lists!B34="","",Lists!B34)</f>
        <v/>
      </c>
      <c r="C73" s="25" t="str">
        <f aca="false">IF($B73="","",COUNTIFS('Leads Pipeline'!$D$5:$D$1004,$B73,'Leads Pipeline'!$F$5:$F$1004,"&lt;&gt;",'Leads Pipeline'!$C$5:$C$1004,MgrCrit))</f>
        <v/>
      </c>
      <c r="D73" s="25" t="str">
        <f aca="false">IF($B73="","",COUNTIFS('Leads Pipeline'!$D$5:$D$1004,$B73,'Leads Pipeline'!$O$5:$O$1004,"&lt;&gt;Won",'Leads Pipeline'!$O$5:$O$1004,"&lt;&gt;Lost",'Leads Pipeline'!$F$5:$F$1004,"&lt;&gt;",'Leads Pipeline'!$C$5:$C$1004,MgrCrit))</f>
        <v/>
      </c>
      <c r="E73" s="25" t="str">
        <f aca="false">IF($B73="","",COUNTIFS('Leads Pipeline'!$D$5:$D$1004,$B73,'Leads Pipeline'!$P$5:$P$1004,"Hot",'Leads Pipeline'!$O$5:$O$1004,"&lt;&gt;Won",'Leads Pipeline'!$O$5:$O$1004,"&lt;&gt;Lost",'Leads Pipeline'!$F$5:$F$1004,"&lt;&gt;",'Leads Pipeline'!$C$5:$C$1004,MgrCrit))</f>
        <v/>
      </c>
      <c r="F73" s="25" t="str">
        <f aca="false">IF($B73="","",COUNTIFS('Leads Pipeline'!$D$5:$D$1004,$B73,'Leads Pipeline'!$O$5:$O$1004,"Offer Sent",'Leads Pipeline'!$C$5:$C$1004,MgrCrit)+COUNTIFS('Leads Pipeline'!$D$5:$D$1004,$B73,'Leads Pipeline'!$O$5:$O$1004,"Negotiation",'Leads Pipeline'!$C$5:$C$1004,MgrCrit))</f>
        <v/>
      </c>
      <c r="G73" s="25" t="str">
        <f aca="false">IF($B73="","",COUNTIFS('Leads Pipeline'!$D$5:$D$1004,$B73,'Leads Pipeline'!$O$5:$O$1004,"Won",'Leads Pipeline'!$C$5:$C$1004,MgrCrit))</f>
        <v/>
      </c>
      <c r="H73" s="25" t="str">
        <f aca="false">IF($B73="","",COUNTIFS('Leads Pipeline'!$D$5:$D$1004,$B73,'Leads Pipeline'!$O$5:$O$1004,"Lost",'Leads Pipeline'!$C$5:$C$1004,MgrCrit))</f>
        <v/>
      </c>
      <c r="I73" s="26" t="str">
        <f aca="false">IF($B73="","",SUMIFS('Leads Pipeline'!$U$5:$U$1004,'Leads Pipeline'!$D$5:$D$1004,$B73,'Leads Pipeline'!$O$5:$O$1004,"&lt;&gt;Won",'Leads Pipeline'!$O$5:$O$1004,"&lt;&gt;Lost",'Leads Pipeline'!$C$5:$C$1004,MgrCrit))</f>
        <v/>
      </c>
      <c r="J73" s="25" t="str">
        <f aca="false">IF($B73="","",COUNTIFS('Active Clients'!$B$5:$B$504,$B73,'Active Clients'!$T$5:$T$504,"Active",'Active Clients'!$K$5:$K$504,MgrCrit))</f>
        <v/>
      </c>
      <c r="K73" s="26" t="str">
        <f aca="false">IF($B73="","",SUMIFS('Active Clients'!$R$5:$R$504,'Active Clients'!$B$5:$B$504,$B73,'Active Clients'!$K$5:$K$504,MgrCrit))</f>
        <v/>
      </c>
      <c r="L73" s="25" t="str">
        <f aca="false">IF($B73="","",COUNTIFS('Activity Log'!$E$5:$E$3004,$B73,'Activity Log'!$A$5:$A$3004,"&gt;="&amp;(RptDate-6),'Activity Log'!$A$5:$A$3004,"&lt;="&amp;RptDate,'Activity Log'!$B$5:$B$3004,MgrCrit))</f>
        <v/>
      </c>
    </row>
    <row r="74" customFormat="false" ht="15" hidden="false" customHeight="false" outlineLevel="0" collapsed="false">
      <c r="B74" s="27" t="s">
        <v>42</v>
      </c>
      <c r="C74" s="28" t="n">
        <f aca="false">SUM(C44:C73)</f>
        <v>1</v>
      </c>
      <c r="D74" s="28" t="n">
        <f aca="false">SUM(D44:D73)</f>
        <v>1</v>
      </c>
      <c r="E74" s="28" t="n">
        <f aca="false">SUM(E44:E73)</f>
        <v>1</v>
      </c>
      <c r="F74" s="28" t="n">
        <f aca="false">SUM(F44:F73)</f>
        <v>0</v>
      </c>
      <c r="G74" s="28" t="n">
        <f aca="false">SUM(G44:G73)</f>
        <v>0</v>
      </c>
      <c r="H74" s="28" t="n">
        <f aca="false">SUM(H44:H73)</f>
        <v>0</v>
      </c>
      <c r="I74" s="29" t="n">
        <f aca="false">SUM(I44:I73)</f>
        <v>25000</v>
      </c>
      <c r="J74" s="28" t="n">
        <f aca="false">SUM(J44:J73)</f>
        <v>1</v>
      </c>
      <c r="K74" s="29" t="n">
        <f aca="false">SUM(K44:K73)</f>
        <v>64000</v>
      </c>
      <c r="L74" s="28" t="n">
        <f aca="false">SUM(L44:L73)</f>
        <v>1</v>
      </c>
    </row>
    <row r="76" customFormat="false" ht="19.5" hidden="false" customHeight="true" outlineLevel="0" collapsed="false">
      <c r="B76" s="7" t="s">
        <v>43</v>
      </c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30" hidden="false" customHeight="true" outlineLevel="0" collapsed="false">
      <c r="B77" s="15" t="s">
        <v>4</v>
      </c>
      <c r="C77" s="15" t="s">
        <v>44</v>
      </c>
      <c r="D77" s="15" t="s">
        <v>41</v>
      </c>
      <c r="E77" s="15" t="s">
        <v>45</v>
      </c>
      <c r="F77" s="15" t="s">
        <v>13</v>
      </c>
      <c r="G77" s="15" t="s">
        <v>10</v>
      </c>
      <c r="H77" s="15" t="s">
        <v>46</v>
      </c>
      <c r="I77" s="15" t="s">
        <v>14</v>
      </c>
      <c r="J77" s="15" t="s">
        <v>15</v>
      </c>
      <c r="K77" s="15" t="s">
        <v>16</v>
      </c>
    </row>
    <row r="78" customFormat="false" ht="15" hidden="false" customHeight="false" outlineLevel="0" collapsed="false">
      <c r="B78" s="16" t="str">
        <f aca="false">IF(Lists!A5="","",Lists!A5)</f>
        <v>Sales Manager 1</v>
      </c>
      <c r="C78" s="25" t="n">
        <f aca="false">IF($B78="","",COUNTIFS('Activity Log'!$A$5:$A$3004,RptDate,'Activity Log'!$B$5:$B$3004,$B78))</f>
        <v>0</v>
      </c>
      <c r="D78" s="25" t="n">
        <f aca="false">IF($B78="","",COUNTIFS('Activity Log'!$A$5:$A$3004,"&gt;="&amp;(RptDate-6),'Activity Log'!$A$5:$A$3004,"&lt;="&amp;RptDate,'Activity Log'!$B$5:$B$3004,$B78))</f>
        <v>1</v>
      </c>
      <c r="E78" s="25" t="n">
        <f aca="false">IF($B78="","",COUNTIFS('Leads Pipeline'!$B$5:$B$1004,"&gt;="&amp;(RptDate-6),'Leads Pipeline'!$B$5:$B$1004,"&lt;="&amp;RptDate,'Leads Pipeline'!$C$5:$C$1004,$B78,'Leads Pipeline'!$F$5:$F$1004,"&lt;&gt;"))</f>
        <v>1</v>
      </c>
      <c r="F78" s="25" t="n">
        <f aca="false">IF($B78="","",COUNTIFS('Leads Pipeline'!$O$5:$O$1004,"&lt;&gt;Won",'Leads Pipeline'!$O$5:$O$1004,"&lt;&gt;Lost",'Leads Pipeline'!$F$5:$F$1004,"&lt;&gt;",'Leads Pipeline'!$C$5:$C$1004,$B78))</f>
        <v>1</v>
      </c>
      <c r="G78" s="25" t="n">
        <f aca="false">IF($B78="","",COUNTIFS('Leads Pipeline'!$S$5:$S$1004,"&lt;"&amp;RptDate,'Leads Pipeline'!$O$5:$O$1004,"&lt;&gt;Won",'Leads Pipeline'!$O$5:$O$1004,"&lt;&gt;Lost",'Leads Pipeline'!$F$5:$F$1004,"&lt;&gt;",'Leads Pipeline'!$C$5:$C$1004,$B78)+COUNTIFS('Active Clients'!$U$5:$U$504,"&lt;"&amp;RptDate,'Active Clients'!$K$5:$K$504,$B78,'Active Clients'!$D$5:$D$504,"&lt;&gt;"))</f>
        <v>0</v>
      </c>
      <c r="H78" s="25" t="n">
        <f aca="false">IF($B78="","",COUNTIFS('Leads Pipeline'!$O$5:$O$1004,"Won",'Leads Pipeline'!$C$5:$C$1004,$B78))</f>
        <v>0</v>
      </c>
      <c r="I78" s="26" t="n">
        <f aca="false">IF($B78="","",SUMIFS('Leads Pipeline'!$U$5:$U$1004,'Leads Pipeline'!$O$5:$O$1004,"&lt;&gt;Won",'Leads Pipeline'!$O$5:$O$1004,"&lt;&gt;Lost",'Leads Pipeline'!$C$5:$C$1004,$B78))</f>
        <v>25000</v>
      </c>
      <c r="J78" s="25" t="n">
        <f aca="false">IF($B78="","",COUNTIFS('Active Clients'!$T$5:$T$504,"Active",'Active Clients'!$K$5:$K$504,$B78))</f>
        <v>1</v>
      </c>
      <c r="K78" s="26" t="n">
        <f aca="false">IF($B78="","",SUMIFS('Active Clients'!$R$5:$R$504,'Active Clients'!$K$5:$K$504,$B78))</f>
        <v>64000</v>
      </c>
    </row>
    <row r="79" customFormat="false" ht="15" hidden="false" customHeight="false" outlineLevel="0" collapsed="false">
      <c r="B79" s="16" t="str">
        <f aca="false">IF(Lists!A6="","",Lists!A6)</f>
        <v>Sales Manager 2</v>
      </c>
      <c r="C79" s="25" t="n">
        <f aca="false">IF($B79="","",COUNTIFS('Activity Log'!$A$5:$A$3004,RptDate,'Activity Log'!$B$5:$B$3004,$B79))</f>
        <v>0</v>
      </c>
      <c r="D79" s="25" t="n">
        <f aca="false">IF($B79="","",COUNTIFS('Activity Log'!$A$5:$A$3004,"&gt;="&amp;(RptDate-6),'Activity Log'!$A$5:$A$3004,"&lt;="&amp;RptDate,'Activity Log'!$B$5:$B$3004,$B79))</f>
        <v>0</v>
      </c>
      <c r="E79" s="25" t="n">
        <f aca="false">IF($B79="","",COUNTIFS('Leads Pipeline'!$B$5:$B$1004,"&gt;="&amp;(RptDate-6),'Leads Pipeline'!$B$5:$B$1004,"&lt;="&amp;RptDate,'Leads Pipeline'!$C$5:$C$1004,$B79,'Leads Pipeline'!$F$5:$F$1004,"&lt;&gt;"))</f>
        <v>0</v>
      </c>
      <c r="F79" s="25" t="n">
        <f aca="false">IF($B79="","",COUNTIFS('Leads Pipeline'!$O$5:$O$1004,"&lt;&gt;Won",'Leads Pipeline'!$O$5:$O$1004,"&lt;&gt;Lost",'Leads Pipeline'!$F$5:$F$1004,"&lt;&gt;",'Leads Pipeline'!$C$5:$C$1004,$B79))</f>
        <v>0</v>
      </c>
      <c r="G79" s="25" t="n">
        <f aca="false">IF($B79="","",COUNTIFS('Leads Pipeline'!$S$5:$S$1004,"&lt;"&amp;RptDate,'Leads Pipeline'!$O$5:$O$1004,"&lt;&gt;Won",'Leads Pipeline'!$O$5:$O$1004,"&lt;&gt;Lost",'Leads Pipeline'!$F$5:$F$1004,"&lt;&gt;",'Leads Pipeline'!$C$5:$C$1004,$B79)+COUNTIFS('Active Clients'!$U$5:$U$504,"&lt;"&amp;RptDate,'Active Clients'!$K$5:$K$504,$B79,'Active Clients'!$D$5:$D$504,"&lt;&gt;"))</f>
        <v>0</v>
      </c>
      <c r="H79" s="25" t="n">
        <f aca="false">IF($B79="","",COUNTIFS('Leads Pipeline'!$O$5:$O$1004,"Won",'Leads Pipeline'!$C$5:$C$1004,$B79))</f>
        <v>0</v>
      </c>
      <c r="I79" s="26" t="n">
        <f aca="false">IF($B79="","",SUMIFS('Leads Pipeline'!$U$5:$U$1004,'Leads Pipeline'!$O$5:$O$1004,"&lt;&gt;Won",'Leads Pipeline'!$O$5:$O$1004,"&lt;&gt;Lost",'Leads Pipeline'!$C$5:$C$1004,$B79))</f>
        <v>0</v>
      </c>
      <c r="J79" s="25" t="n">
        <f aca="false">IF($B79="","",COUNTIFS('Active Clients'!$T$5:$T$504,"Active",'Active Clients'!$K$5:$K$504,$B79))</f>
        <v>0</v>
      </c>
      <c r="K79" s="26" t="n">
        <f aca="false">IF($B79="","",SUMIFS('Active Clients'!$R$5:$R$504,'Active Clients'!$K$5:$K$504,$B79))</f>
        <v>0</v>
      </c>
    </row>
    <row r="80" customFormat="false" ht="15" hidden="false" customHeight="false" outlineLevel="0" collapsed="false">
      <c r="B80" s="16" t="str">
        <f aca="false">IF(Lists!A7="","",Lists!A7)</f>
        <v>Sales Manager 3</v>
      </c>
      <c r="C80" s="25" t="n">
        <f aca="false">IF($B80="","",COUNTIFS('Activity Log'!$A$5:$A$3004,RptDate,'Activity Log'!$B$5:$B$3004,$B80))</f>
        <v>0</v>
      </c>
      <c r="D80" s="25" t="n">
        <f aca="false">IF($B80="","",COUNTIFS('Activity Log'!$A$5:$A$3004,"&gt;="&amp;(RptDate-6),'Activity Log'!$A$5:$A$3004,"&lt;="&amp;RptDate,'Activity Log'!$B$5:$B$3004,$B80))</f>
        <v>0</v>
      </c>
      <c r="E80" s="25" t="n">
        <f aca="false">IF($B80="","",COUNTIFS('Leads Pipeline'!$B$5:$B$1004,"&gt;="&amp;(RptDate-6),'Leads Pipeline'!$B$5:$B$1004,"&lt;="&amp;RptDate,'Leads Pipeline'!$C$5:$C$1004,$B80,'Leads Pipeline'!$F$5:$F$1004,"&lt;&gt;"))</f>
        <v>0</v>
      </c>
      <c r="F80" s="25" t="n">
        <f aca="false">IF($B80="","",COUNTIFS('Leads Pipeline'!$O$5:$O$1004,"&lt;&gt;Won",'Leads Pipeline'!$O$5:$O$1004,"&lt;&gt;Lost",'Leads Pipeline'!$F$5:$F$1004,"&lt;&gt;",'Leads Pipeline'!$C$5:$C$1004,$B80))</f>
        <v>0</v>
      </c>
      <c r="G80" s="25" t="n">
        <f aca="false">IF($B80="","",COUNTIFS('Leads Pipeline'!$S$5:$S$1004,"&lt;"&amp;RptDate,'Leads Pipeline'!$O$5:$O$1004,"&lt;&gt;Won",'Leads Pipeline'!$O$5:$O$1004,"&lt;&gt;Lost",'Leads Pipeline'!$F$5:$F$1004,"&lt;&gt;",'Leads Pipeline'!$C$5:$C$1004,$B80)+COUNTIFS('Active Clients'!$U$5:$U$504,"&lt;"&amp;RptDate,'Active Clients'!$K$5:$K$504,$B80,'Active Clients'!$D$5:$D$504,"&lt;&gt;"))</f>
        <v>0</v>
      </c>
      <c r="H80" s="25" t="n">
        <f aca="false">IF($B80="","",COUNTIFS('Leads Pipeline'!$O$5:$O$1004,"Won",'Leads Pipeline'!$C$5:$C$1004,$B80))</f>
        <v>0</v>
      </c>
      <c r="I80" s="26" t="n">
        <f aca="false">IF($B80="","",SUMIFS('Leads Pipeline'!$U$5:$U$1004,'Leads Pipeline'!$O$5:$O$1004,"&lt;&gt;Won",'Leads Pipeline'!$O$5:$O$1004,"&lt;&gt;Lost",'Leads Pipeline'!$C$5:$C$1004,$B80))</f>
        <v>0</v>
      </c>
      <c r="J80" s="25" t="n">
        <f aca="false">IF($B80="","",COUNTIFS('Active Clients'!$T$5:$T$504,"Active",'Active Clients'!$K$5:$K$504,$B80))</f>
        <v>0</v>
      </c>
      <c r="K80" s="26" t="n">
        <f aca="false">IF($B80="","",SUMIFS('Active Clients'!$R$5:$R$504,'Active Clients'!$K$5:$K$504,$B80))</f>
        <v>0</v>
      </c>
    </row>
    <row r="81" customFormat="false" ht="15" hidden="false" customHeight="false" outlineLevel="0" collapsed="false">
      <c r="B81" s="16" t="str">
        <f aca="false">IF(Lists!A8="","",Lists!A8)</f>
        <v/>
      </c>
      <c r="C81" s="25" t="str">
        <f aca="false">IF($B81="","",COUNTIFS('Activity Log'!$A$5:$A$3004,RptDate,'Activity Log'!$B$5:$B$3004,$B81))</f>
        <v/>
      </c>
      <c r="D81" s="25" t="str">
        <f aca="false">IF($B81="","",COUNTIFS('Activity Log'!$A$5:$A$3004,"&gt;="&amp;(RptDate-6),'Activity Log'!$A$5:$A$3004,"&lt;="&amp;RptDate,'Activity Log'!$B$5:$B$3004,$B81))</f>
        <v/>
      </c>
      <c r="E81" s="25" t="str">
        <f aca="false">IF($B81="","",COUNTIFS('Leads Pipeline'!$B$5:$B$1004,"&gt;="&amp;(RptDate-6),'Leads Pipeline'!$B$5:$B$1004,"&lt;="&amp;RptDate,'Leads Pipeline'!$C$5:$C$1004,$B81,'Leads Pipeline'!$F$5:$F$1004,"&lt;&gt;"))</f>
        <v/>
      </c>
      <c r="F81" s="25" t="str">
        <f aca="false">IF($B81="","",COUNTIFS('Leads Pipeline'!$O$5:$O$1004,"&lt;&gt;Won",'Leads Pipeline'!$O$5:$O$1004,"&lt;&gt;Lost",'Leads Pipeline'!$F$5:$F$1004,"&lt;&gt;",'Leads Pipeline'!$C$5:$C$1004,$B81))</f>
        <v/>
      </c>
      <c r="G81" s="25" t="str">
        <f aca="false">IF($B81="","",COUNTIFS('Leads Pipeline'!$S$5:$S$1004,"&lt;"&amp;RptDate,'Leads Pipeline'!$O$5:$O$1004,"&lt;&gt;Won",'Leads Pipeline'!$O$5:$O$1004,"&lt;&gt;Lost",'Leads Pipeline'!$F$5:$F$1004,"&lt;&gt;",'Leads Pipeline'!$C$5:$C$1004,$B81)+COUNTIFS('Active Clients'!$U$5:$U$504,"&lt;"&amp;RptDate,'Active Clients'!$K$5:$K$504,$B81,'Active Clients'!$D$5:$D$504,"&lt;&gt;"))</f>
        <v/>
      </c>
      <c r="H81" s="25" t="str">
        <f aca="false">IF($B81="","",COUNTIFS('Leads Pipeline'!$O$5:$O$1004,"Won",'Leads Pipeline'!$C$5:$C$1004,$B81))</f>
        <v/>
      </c>
      <c r="I81" s="26" t="str">
        <f aca="false">IF($B81="","",SUMIFS('Leads Pipeline'!$U$5:$U$1004,'Leads Pipeline'!$O$5:$O$1004,"&lt;&gt;Won",'Leads Pipeline'!$O$5:$O$1004,"&lt;&gt;Lost",'Leads Pipeline'!$C$5:$C$1004,$B81))</f>
        <v/>
      </c>
      <c r="J81" s="25" t="str">
        <f aca="false">IF($B81="","",COUNTIFS('Active Clients'!$T$5:$T$504,"Active",'Active Clients'!$K$5:$K$504,$B81))</f>
        <v/>
      </c>
      <c r="K81" s="26" t="str">
        <f aca="false">IF($B81="","",SUMIFS('Active Clients'!$R$5:$R$504,'Active Clients'!$K$5:$K$504,$B81))</f>
        <v/>
      </c>
    </row>
    <row r="82" customFormat="false" ht="15" hidden="false" customHeight="false" outlineLevel="0" collapsed="false">
      <c r="B82" s="16" t="str">
        <f aca="false">IF(Lists!A9="","",Lists!A9)</f>
        <v/>
      </c>
      <c r="C82" s="25" t="str">
        <f aca="false">IF($B82="","",COUNTIFS('Activity Log'!$A$5:$A$3004,RptDate,'Activity Log'!$B$5:$B$3004,$B82))</f>
        <v/>
      </c>
      <c r="D82" s="25" t="str">
        <f aca="false">IF($B82="","",COUNTIFS('Activity Log'!$A$5:$A$3004,"&gt;="&amp;(RptDate-6),'Activity Log'!$A$5:$A$3004,"&lt;="&amp;RptDate,'Activity Log'!$B$5:$B$3004,$B82))</f>
        <v/>
      </c>
      <c r="E82" s="25" t="str">
        <f aca="false">IF($B82="","",COUNTIFS('Leads Pipeline'!$B$5:$B$1004,"&gt;="&amp;(RptDate-6),'Leads Pipeline'!$B$5:$B$1004,"&lt;="&amp;RptDate,'Leads Pipeline'!$C$5:$C$1004,$B82,'Leads Pipeline'!$F$5:$F$1004,"&lt;&gt;"))</f>
        <v/>
      </c>
      <c r="F82" s="25" t="str">
        <f aca="false">IF($B82="","",COUNTIFS('Leads Pipeline'!$O$5:$O$1004,"&lt;&gt;Won",'Leads Pipeline'!$O$5:$O$1004,"&lt;&gt;Lost",'Leads Pipeline'!$F$5:$F$1004,"&lt;&gt;",'Leads Pipeline'!$C$5:$C$1004,$B82))</f>
        <v/>
      </c>
      <c r="G82" s="25" t="str">
        <f aca="false">IF($B82="","",COUNTIFS('Leads Pipeline'!$S$5:$S$1004,"&lt;"&amp;RptDate,'Leads Pipeline'!$O$5:$O$1004,"&lt;&gt;Won",'Leads Pipeline'!$O$5:$O$1004,"&lt;&gt;Lost",'Leads Pipeline'!$F$5:$F$1004,"&lt;&gt;",'Leads Pipeline'!$C$5:$C$1004,$B82)+COUNTIFS('Active Clients'!$U$5:$U$504,"&lt;"&amp;RptDate,'Active Clients'!$K$5:$K$504,$B82,'Active Clients'!$D$5:$D$504,"&lt;&gt;"))</f>
        <v/>
      </c>
      <c r="H82" s="25" t="str">
        <f aca="false">IF($B82="","",COUNTIFS('Leads Pipeline'!$O$5:$O$1004,"Won",'Leads Pipeline'!$C$5:$C$1004,$B82))</f>
        <v/>
      </c>
      <c r="I82" s="26" t="str">
        <f aca="false">IF($B82="","",SUMIFS('Leads Pipeline'!$U$5:$U$1004,'Leads Pipeline'!$O$5:$O$1004,"&lt;&gt;Won",'Leads Pipeline'!$O$5:$O$1004,"&lt;&gt;Lost",'Leads Pipeline'!$C$5:$C$1004,$B82))</f>
        <v/>
      </c>
      <c r="J82" s="25" t="str">
        <f aca="false">IF($B82="","",COUNTIFS('Active Clients'!$T$5:$T$504,"Active",'Active Clients'!$K$5:$K$504,$B82))</f>
        <v/>
      </c>
      <c r="K82" s="26" t="str">
        <f aca="false">IF($B82="","",SUMIFS('Active Clients'!$R$5:$R$504,'Active Clients'!$K$5:$K$504,$B82))</f>
        <v/>
      </c>
    </row>
    <row r="83" customFormat="false" ht="15" hidden="false" customHeight="false" outlineLevel="0" collapsed="false">
      <c r="B83" s="16" t="str">
        <f aca="false">IF(Lists!A10="","",Lists!A10)</f>
        <v/>
      </c>
      <c r="C83" s="25" t="str">
        <f aca="false">IF($B83="","",COUNTIFS('Activity Log'!$A$5:$A$3004,RptDate,'Activity Log'!$B$5:$B$3004,$B83))</f>
        <v/>
      </c>
      <c r="D83" s="25" t="str">
        <f aca="false">IF($B83="","",COUNTIFS('Activity Log'!$A$5:$A$3004,"&gt;="&amp;(RptDate-6),'Activity Log'!$A$5:$A$3004,"&lt;="&amp;RptDate,'Activity Log'!$B$5:$B$3004,$B83))</f>
        <v/>
      </c>
      <c r="E83" s="25" t="str">
        <f aca="false">IF($B83="","",COUNTIFS('Leads Pipeline'!$B$5:$B$1004,"&gt;="&amp;(RptDate-6),'Leads Pipeline'!$B$5:$B$1004,"&lt;="&amp;RptDate,'Leads Pipeline'!$C$5:$C$1004,$B83,'Leads Pipeline'!$F$5:$F$1004,"&lt;&gt;"))</f>
        <v/>
      </c>
      <c r="F83" s="25" t="str">
        <f aca="false">IF($B83="","",COUNTIFS('Leads Pipeline'!$O$5:$O$1004,"&lt;&gt;Won",'Leads Pipeline'!$O$5:$O$1004,"&lt;&gt;Lost",'Leads Pipeline'!$F$5:$F$1004,"&lt;&gt;",'Leads Pipeline'!$C$5:$C$1004,$B83))</f>
        <v/>
      </c>
      <c r="G83" s="25" t="str">
        <f aca="false">IF($B83="","",COUNTIFS('Leads Pipeline'!$S$5:$S$1004,"&lt;"&amp;RptDate,'Leads Pipeline'!$O$5:$O$1004,"&lt;&gt;Won",'Leads Pipeline'!$O$5:$O$1004,"&lt;&gt;Lost",'Leads Pipeline'!$F$5:$F$1004,"&lt;&gt;",'Leads Pipeline'!$C$5:$C$1004,$B83)+COUNTIFS('Active Clients'!$U$5:$U$504,"&lt;"&amp;RptDate,'Active Clients'!$K$5:$K$504,$B83,'Active Clients'!$D$5:$D$504,"&lt;&gt;"))</f>
        <v/>
      </c>
      <c r="H83" s="25" t="str">
        <f aca="false">IF($B83="","",COUNTIFS('Leads Pipeline'!$O$5:$O$1004,"Won",'Leads Pipeline'!$C$5:$C$1004,$B83))</f>
        <v/>
      </c>
      <c r="I83" s="26" t="str">
        <f aca="false">IF($B83="","",SUMIFS('Leads Pipeline'!$U$5:$U$1004,'Leads Pipeline'!$O$5:$O$1004,"&lt;&gt;Won",'Leads Pipeline'!$O$5:$O$1004,"&lt;&gt;Lost",'Leads Pipeline'!$C$5:$C$1004,$B83))</f>
        <v/>
      </c>
      <c r="J83" s="25" t="str">
        <f aca="false">IF($B83="","",COUNTIFS('Active Clients'!$T$5:$T$504,"Active",'Active Clients'!$K$5:$K$504,$B83))</f>
        <v/>
      </c>
      <c r="K83" s="26" t="str">
        <f aca="false">IF($B83="","",SUMIFS('Active Clients'!$R$5:$R$504,'Active Clients'!$K$5:$K$504,$B83))</f>
        <v/>
      </c>
    </row>
    <row r="84" customFormat="false" ht="15" hidden="false" customHeight="false" outlineLevel="0" collapsed="false">
      <c r="B84" s="16" t="str">
        <f aca="false">IF(Lists!A11="","",Lists!A11)</f>
        <v/>
      </c>
      <c r="C84" s="25" t="str">
        <f aca="false">IF($B84="","",COUNTIFS('Activity Log'!$A$5:$A$3004,RptDate,'Activity Log'!$B$5:$B$3004,$B84))</f>
        <v/>
      </c>
      <c r="D84" s="25" t="str">
        <f aca="false">IF($B84="","",COUNTIFS('Activity Log'!$A$5:$A$3004,"&gt;="&amp;(RptDate-6),'Activity Log'!$A$5:$A$3004,"&lt;="&amp;RptDate,'Activity Log'!$B$5:$B$3004,$B84))</f>
        <v/>
      </c>
      <c r="E84" s="25" t="str">
        <f aca="false">IF($B84="","",COUNTIFS('Leads Pipeline'!$B$5:$B$1004,"&gt;="&amp;(RptDate-6),'Leads Pipeline'!$B$5:$B$1004,"&lt;="&amp;RptDate,'Leads Pipeline'!$C$5:$C$1004,$B84,'Leads Pipeline'!$F$5:$F$1004,"&lt;&gt;"))</f>
        <v/>
      </c>
      <c r="F84" s="25" t="str">
        <f aca="false">IF($B84="","",COUNTIFS('Leads Pipeline'!$O$5:$O$1004,"&lt;&gt;Won",'Leads Pipeline'!$O$5:$O$1004,"&lt;&gt;Lost",'Leads Pipeline'!$F$5:$F$1004,"&lt;&gt;",'Leads Pipeline'!$C$5:$C$1004,$B84))</f>
        <v/>
      </c>
      <c r="G84" s="25" t="str">
        <f aca="false">IF($B84="","",COUNTIFS('Leads Pipeline'!$S$5:$S$1004,"&lt;"&amp;RptDate,'Leads Pipeline'!$O$5:$O$1004,"&lt;&gt;Won",'Leads Pipeline'!$O$5:$O$1004,"&lt;&gt;Lost",'Leads Pipeline'!$F$5:$F$1004,"&lt;&gt;",'Leads Pipeline'!$C$5:$C$1004,$B84)+COUNTIFS('Active Clients'!$U$5:$U$504,"&lt;"&amp;RptDate,'Active Clients'!$K$5:$K$504,$B84,'Active Clients'!$D$5:$D$504,"&lt;&gt;"))</f>
        <v/>
      </c>
      <c r="H84" s="25" t="str">
        <f aca="false">IF($B84="","",COUNTIFS('Leads Pipeline'!$O$5:$O$1004,"Won",'Leads Pipeline'!$C$5:$C$1004,$B84))</f>
        <v/>
      </c>
      <c r="I84" s="26" t="str">
        <f aca="false">IF($B84="","",SUMIFS('Leads Pipeline'!$U$5:$U$1004,'Leads Pipeline'!$O$5:$O$1004,"&lt;&gt;Won",'Leads Pipeline'!$O$5:$O$1004,"&lt;&gt;Lost",'Leads Pipeline'!$C$5:$C$1004,$B84))</f>
        <v/>
      </c>
      <c r="J84" s="25" t="str">
        <f aca="false">IF($B84="","",COUNTIFS('Active Clients'!$T$5:$T$504,"Active",'Active Clients'!$K$5:$K$504,$B84))</f>
        <v/>
      </c>
      <c r="K84" s="26" t="str">
        <f aca="false">IF($B84="","",SUMIFS('Active Clients'!$R$5:$R$504,'Active Clients'!$K$5:$K$504,$B84))</f>
        <v/>
      </c>
    </row>
    <row r="85" customFormat="false" ht="15" hidden="false" customHeight="false" outlineLevel="0" collapsed="false">
      <c r="B85" s="16" t="str">
        <f aca="false">IF(Lists!A12="","",Lists!A12)</f>
        <v/>
      </c>
      <c r="C85" s="25" t="str">
        <f aca="false">IF($B85="","",COUNTIFS('Activity Log'!$A$5:$A$3004,RptDate,'Activity Log'!$B$5:$B$3004,$B85))</f>
        <v/>
      </c>
      <c r="D85" s="25" t="str">
        <f aca="false">IF($B85="","",COUNTIFS('Activity Log'!$A$5:$A$3004,"&gt;="&amp;(RptDate-6),'Activity Log'!$A$5:$A$3004,"&lt;="&amp;RptDate,'Activity Log'!$B$5:$B$3004,$B85))</f>
        <v/>
      </c>
      <c r="E85" s="25" t="str">
        <f aca="false">IF($B85="","",COUNTIFS('Leads Pipeline'!$B$5:$B$1004,"&gt;="&amp;(RptDate-6),'Leads Pipeline'!$B$5:$B$1004,"&lt;="&amp;RptDate,'Leads Pipeline'!$C$5:$C$1004,$B85,'Leads Pipeline'!$F$5:$F$1004,"&lt;&gt;"))</f>
        <v/>
      </c>
      <c r="F85" s="25" t="str">
        <f aca="false">IF($B85="","",COUNTIFS('Leads Pipeline'!$O$5:$O$1004,"&lt;&gt;Won",'Leads Pipeline'!$O$5:$O$1004,"&lt;&gt;Lost",'Leads Pipeline'!$F$5:$F$1004,"&lt;&gt;",'Leads Pipeline'!$C$5:$C$1004,$B85))</f>
        <v/>
      </c>
      <c r="G85" s="25" t="str">
        <f aca="false">IF($B85="","",COUNTIFS('Leads Pipeline'!$S$5:$S$1004,"&lt;"&amp;RptDate,'Leads Pipeline'!$O$5:$O$1004,"&lt;&gt;Won",'Leads Pipeline'!$O$5:$O$1004,"&lt;&gt;Lost",'Leads Pipeline'!$F$5:$F$1004,"&lt;&gt;",'Leads Pipeline'!$C$5:$C$1004,$B85)+COUNTIFS('Active Clients'!$U$5:$U$504,"&lt;"&amp;RptDate,'Active Clients'!$K$5:$K$504,$B85,'Active Clients'!$D$5:$D$504,"&lt;&gt;"))</f>
        <v/>
      </c>
      <c r="H85" s="25" t="str">
        <f aca="false">IF($B85="","",COUNTIFS('Leads Pipeline'!$O$5:$O$1004,"Won",'Leads Pipeline'!$C$5:$C$1004,$B85))</f>
        <v/>
      </c>
      <c r="I85" s="26" t="str">
        <f aca="false">IF($B85="","",SUMIFS('Leads Pipeline'!$U$5:$U$1004,'Leads Pipeline'!$O$5:$O$1004,"&lt;&gt;Won",'Leads Pipeline'!$O$5:$O$1004,"&lt;&gt;Lost",'Leads Pipeline'!$C$5:$C$1004,$B85))</f>
        <v/>
      </c>
      <c r="J85" s="25" t="str">
        <f aca="false">IF($B85="","",COUNTIFS('Active Clients'!$T$5:$T$504,"Active",'Active Clients'!$K$5:$K$504,$B85))</f>
        <v/>
      </c>
      <c r="K85" s="26" t="str">
        <f aca="false">IF($B85="","",SUMIFS('Active Clients'!$R$5:$R$504,'Active Clients'!$K$5:$K$504,$B85))</f>
        <v/>
      </c>
    </row>
    <row r="86" customFormat="false" ht="15" hidden="false" customHeight="false" outlineLevel="0" collapsed="false">
      <c r="B86" s="16" t="str">
        <f aca="false">IF(Lists!A13="","",Lists!A13)</f>
        <v/>
      </c>
      <c r="C86" s="25" t="str">
        <f aca="false">IF($B86="","",COUNTIFS('Activity Log'!$A$5:$A$3004,RptDate,'Activity Log'!$B$5:$B$3004,$B86))</f>
        <v/>
      </c>
      <c r="D86" s="25" t="str">
        <f aca="false">IF($B86="","",COUNTIFS('Activity Log'!$A$5:$A$3004,"&gt;="&amp;(RptDate-6),'Activity Log'!$A$5:$A$3004,"&lt;="&amp;RptDate,'Activity Log'!$B$5:$B$3004,$B86))</f>
        <v/>
      </c>
      <c r="E86" s="25" t="str">
        <f aca="false">IF($B86="","",COUNTIFS('Leads Pipeline'!$B$5:$B$1004,"&gt;="&amp;(RptDate-6),'Leads Pipeline'!$B$5:$B$1004,"&lt;="&amp;RptDate,'Leads Pipeline'!$C$5:$C$1004,$B86,'Leads Pipeline'!$F$5:$F$1004,"&lt;&gt;"))</f>
        <v/>
      </c>
      <c r="F86" s="25" t="str">
        <f aca="false">IF($B86="","",COUNTIFS('Leads Pipeline'!$O$5:$O$1004,"&lt;&gt;Won",'Leads Pipeline'!$O$5:$O$1004,"&lt;&gt;Lost",'Leads Pipeline'!$F$5:$F$1004,"&lt;&gt;",'Leads Pipeline'!$C$5:$C$1004,$B86))</f>
        <v/>
      </c>
      <c r="G86" s="25" t="str">
        <f aca="false">IF($B86="","",COUNTIFS('Leads Pipeline'!$S$5:$S$1004,"&lt;"&amp;RptDate,'Leads Pipeline'!$O$5:$O$1004,"&lt;&gt;Won",'Leads Pipeline'!$O$5:$O$1004,"&lt;&gt;Lost",'Leads Pipeline'!$F$5:$F$1004,"&lt;&gt;",'Leads Pipeline'!$C$5:$C$1004,$B86)+COUNTIFS('Active Clients'!$U$5:$U$504,"&lt;"&amp;RptDate,'Active Clients'!$K$5:$K$504,$B86,'Active Clients'!$D$5:$D$504,"&lt;&gt;"))</f>
        <v/>
      </c>
      <c r="H86" s="25" t="str">
        <f aca="false">IF($B86="","",COUNTIFS('Leads Pipeline'!$O$5:$O$1004,"Won",'Leads Pipeline'!$C$5:$C$1004,$B86))</f>
        <v/>
      </c>
      <c r="I86" s="26" t="str">
        <f aca="false">IF($B86="","",SUMIFS('Leads Pipeline'!$U$5:$U$1004,'Leads Pipeline'!$O$5:$O$1004,"&lt;&gt;Won",'Leads Pipeline'!$O$5:$O$1004,"&lt;&gt;Lost",'Leads Pipeline'!$C$5:$C$1004,$B86))</f>
        <v/>
      </c>
      <c r="J86" s="25" t="str">
        <f aca="false">IF($B86="","",COUNTIFS('Active Clients'!$T$5:$T$504,"Active",'Active Clients'!$K$5:$K$504,$B86))</f>
        <v/>
      </c>
      <c r="K86" s="26" t="str">
        <f aca="false">IF($B86="","",SUMIFS('Active Clients'!$R$5:$R$504,'Active Clients'!$K$5:$K$504,$B86))</f>
        <v/>
      </c>
    </row>
    <row r="87" customFormat="false" ht="15" hidden="false" customHeight="false" outlineLevel="0" collapsed="false">
      <c r="B87" s="16" t="str">
        <f aca="false">IF(Lists!A14="","",Lists!A14)</f>
        <v/>
      </c>
      <c r="C87" s="25" t="str">
        <f aca="false">IF($B87="","",COUNTIFS('Activity Log'!$A$5:$A$3004,RptDate,'Activity Log'!$B$5:$B$3004,$B87))</f>
        <v/>
      </c>
      <c r="D87" s="25" t="str">
        <f aca="false">IF($B87="","",COUNTIFS('Activity Log'!$A$5:$A$3004,"&gt;="&amp;(RptDate-6),'Activity Log'!$A$5:$A$3004,"&lt;="&amp;RptDate,'Activity Log'!$B$5:$B$3004,$B87))</f>
        <v/>
      </c>
      <c r="E87" s="25" t="str">
        <f aca="false">IF($B87="","",COUNTIFS('Leads Pipeline'!$B$5:$B$1004,"&gt;="&amp;(RptDate-6),'Leads Pipeline'!$B$5:$B$1004,"&lt;="&amp;RptDate,'Leads Pipeline'!$C$5:$C$1004,$B87,'Leads Pipeline'!$F$5:$F$1004,"&lt;&gt;"))</f>
        <v/>
      </c>
      <c r="F87" s="25" t="str">
        <f aca="false">IF($B87="","",COUNTIFS('Leads Pipeline'!$O$5:$O$1004,"&lt;&gt;Won",'Leads Pipeline'!$O$5:$O$1004,"&lt;&gt;Lost",'Leads Pipeline'!$F$5:$F$1004,"&lt;&gt;",'Leads Pipeline'!$C$5:$C$1004,$B87))</f>
        <v/>
      </c>
      <c r="G87" s="25" t="str">
        <f aca="false">IF($B87="","",COUNTIFS('Leads Pipeline'!$S$5:$S$1004,"&lt;"&amp;RptDate,'Leads Pipeline'!$O$5:$O$1004,"&lt;&gt;Won",'Leads Pipeline'!$O$5:$O$1004,"&lt;&gt;Lost",'Leads Pipeline'!$F$5:$F$1004,"&lt;&gt;",'Leads Pipeline'!$C$5:$C$1004,$B87)+COUNTIFS('Active Clients'!$U$5:$U$504,"&lt;"&amp;RptDate,'Active Clients'!$K$5:$K$504,$B87,'Active Clients'!$D$5:$D$504,"&lt;&gt;"))</f>
        <v/>
      </c>
      <c r="H87" s="25" t="str">
        <f aca="false">IF($B87="","",COUNTIFS('Leads Pipeline'!$O$5:$O$1004,"Won",'Leads Pipeline'!$C$5:$C$1004,$B87))</f>
        <v/>
      </c>
      <c r="I87" s="26" t="str">
        <f aca="false">IF($B87="","",SUMIFS('Leads Pipeline'!$U$5:$U$1004,'Leads Pipeline'!$O$5:$O$1004,"&lt;&gt;Won",'Leads Pipeline'!$O$5:$O$1004,"&lt;&gt;Lost",'Leads Pipeline'!$C$5:$C$1004,$B87))</f>
        <v/>
      </c>
      <c r="J87" s="25" t="str">
        <f aca="false">IF($B87="","",COUNTIFS('Active Clients'!$T$5:$T$504,"Active",'Active Clients'!$K$5:$K$504,$B87))</f>
        <v/>
      </c>
      <c r="K87" s="26" t="str">
        <f aca="false">IF($B87="","",SUMIFS('Active Clients'!$R$5:$R$504,'Active Clients'!$K$5:$K$504,$B87))</f>
        <v/>
      </c>
    </row>
  </sheetData>
  <mergeCells count="19">
    <mergeCell ref="C4:D4"/>
    <mergeCell ref="C5:D5"/>
    <mergeCell ref="B9:C9"/>
    <mergeCell ref="D9:E9"/>
    <mergeCell ref="F9:G9"/>
    <mergeCell ref="H9:I9"/>
    <mergeCell ref="B10:C10"/>
    <mergeCell ref="D10:E10"/>
    <mergeCell ref="F10:G10"/>
    <mergeCell ref="H10:I10"/>
    <mergeCell ref="J10:L13"/>
    <mergeCell ref="B12:C12"/>
    <mergeCell ref="D12:E12"/>
    <mergeCell ref="F12:G12"/>
    <mergeCell ref="H12:I12"/>
    <mergeCell ref="B13:C13"/>
    <mergeCell ref="D13:E13"/>
    <mergeCell ref="F13:G13"/>
    <mergeCell ref="H13:I13"/>
  </mergeCells>
  <conditionalFormatting sqref="I18:I24">
    <cfRule type="expression" priority="2" aboveAverage="0" equalAverage="0" bottom="0" percent="0" rank="0" text="" dxfId="0">
      <formula>AND(WEEKDAY(G18,2)&lt;6,I18=0)</formula>
    </cfRule>
  </conditionalFormatting>
  <conditionalFormatting sqref="C44:L73">
    <cfRule type="expression" priority="3" aboveAverage="0" equalAverage="0" bottom="0" percent="0" rank="0" text="" dxfId="1">
      <formula>AND(ISNUMBER(C44),C44&gt;0)</formula>
    </cfRule>
  </conditionalFormatting>
  <conditionalFormatting sqref="G78:G87">
    <cfRule type="expression" priority="4" aboveAverage="0" equalAverage="0" bottom="0" percent="0" rank="0" text="" dxfId="2">
      <formula>AND(ISNUMBER(G78),G78&gt;0)</formula>
    </cfRule>
  </conditionalFormatting>
  <conditionalFormatting sqref="C78:C87">
    <cfRule type="expression" priority="5" aboveAverage="0" equalAverage="0" bottom="0" percent="0" rank="0" text="" dxfId="0">
      <formula>AND($B78&lt;&gt;"",C78=0,WEEKDAY(RptDate,2)&lt;6)</formula>
    </cfRule>
  </conditionalFormatting>
  <dataValidations count="1">
    <dataValidation allowBlank="true" errorStyle="stop" operator="between" showDropDown="false" showErrorMessage="false" showInputMessage="false" sqref="C5" type="list">
      <formula1>Lists!$K$5:$K$15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17.35" hidden="false" customHeight="false" outlineLevel="0" collapsed="false">
      <c r="B1" s="30" t="s">
        <v>47</v>
      </c>
    </row>
    <row r="3" customFormat="false" ht="15" hidden="false" customHeight="false" outlineLevel="0" collapsed="false">
      <c r="B3" s="31" t="s">
        <v>48</v>
      </c>
      <c r="C3" s="32" t="s">
        <v>49</v>
      </c>
    </row>
    <row r="4" customFormat="false" ht="23.85" hidden="false" customHeight="false" outlineLevel="0" collapsed="false">
      <c r="B4" s="33" t="s">
        <v>50</v>
      </c>
      <c r="C4" s="34" t="s">
        <v>51</v>
      </c>
    </row>
    <row r="5" customFormat="false" ht="23.85" hidden="false" customHeight="false" outlineLevel="0" collapsed="false">
      <c r="B5" s="33" t="s">
        <v>52</v>
      </c>
      <c r="C5" s="34" t="s">
        <v>53</v>
      </c>
    </row>
    <row r="6" customFormat="false" ht="15" hidden="false" customHeight="false" outlineLevel="0" collapsed="false">
      <c r="B6" s="33" t="s">
        <v>54</v>
      </c>
      <c r="C6" s="34" t="s">
        <v>55</v>
      </c>
    </row>
    <row r="7" customFormat="false" ht="23.85" hidden="false" customHeight="false" outlineLevel="0" collapsed="false">
      <c r="B7" s="33" t="s">
        <v>56</v>
      </c>
      <c r="C7" s="34" t="s">
        <v>57</v>
      </c>
    </row>
    <row r="8" customFormat="false" ht="15" hidden="false" customHeight="false" outlineLevel="0" collapsed="false">
      <c r="B8" s="33" t="s">
        <v>58</v>
      </c>
      <c r="C8" s="34" t="s">
        <v>59</v>
      </c>
    </row>
    <row r="9" customFormat="false" ht="23.85" hidden="false" customHeight="false" outlineLevel="0" collapsed="false">
      <c r="B9" s="33" t="s">
        <v>60</v>
      </c>
      <c r="C9" s="34" t="s">
        <v>61</v>
      </c>
    </row>
    <row r="10" customFormat="false" ht="15" hidden="false" customHeight="false" outlineLevel="0" collapsed="false">
      <c r="B10" s="35"/>
      <c r="C10" s="36"/>
    </row>
    <row r="11" customFormat="false" ht="61.5" hidden="false" customHeight="true" outlineLevel="0" collapsed="false">
      <c r="B11" s="33" t="s">
        <v>62</v>
      </c>
      <c r="C11" s="34" t="s">
        <v>63</v>
      </c>
    </row>
    <row r="12" customFormat="false" ht="23.85" hidden="false" customHeight="false" outlineLevel="0" collapsed="false">
      <c r="B12" s="33" t="s">
        <v>64</v>
      </c>
      <c r="C12" s="34" t="s">
        <v>65</v>
      </c>
    </row>
    <row r="13" customFormat="false" ht="23.85" hidden="false" customHeight="false" outlineLevel="0" collapsed="false">
      <c r="B13" s="33" t="s">
        <v>66</v>
      </c>
      <c r="C13" s="34" t="s">
        <v>67</v>
      </c>
    </row>
    <row r="14" customFormat="false" ht="23.85" hidden="false" customHeight="false" outlineLevel="0" collapsed="false">
      <c r="B14" s="33" t="s">
        <v>68</v>
      </c>
      <c r="C14" s="34" t="s">
        <v>69</v>
      </c>
    </row>
    <row r="15" customFormat="false" ht="23.85" hidden="false" customHeight="false" outlineLevel="0" collapsed="false">
      <c r="B15" s="33" t="s">
        <v>70</v>
      </c>
      <c r="C15" s="34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2"/>
    <col collapsed="false" customWidth="true" hidden="false" outlineLevel="0" max="11" min="11" style="0" width="20"/>
  </cols>
  <sheetData>
    <row r="1" customFormat="false" ht="16.15" hidden="false" customHeight="false" outlineLevel="0" collapsed="false">
      <c r="A1" s="37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38" t="s">
        <v>74</v>
      </c>
      <c r="B4" s="38" t="s">
        <v>75</v>
      </c>
      <c r="C4" s="38" t="s">
        <v>76</v>
      </c>
      <c r="D4" s="38" t="s">
        <v>77</v>
      </c>
      <c r="E4" s="38" t="s">
        <v>78</v>
      </c>
      <c r="F4" s="38" t="s">
        <v>79</v>
      </c>
      <c r="G4" s="38" t="s">
        <v>80</v>
      </c>
      <c r="H4" s="38" t="s">
        <v>81</v>
      </c>
      <c r="I4" s="38" t="s">
        <v>82</v>
      </c>
      <c r="J4" s="38" t="s">
        <v>83</v>
      </c>
      <c r="K4" s="7" t="s">
        <v>84</v>
      </c>
    </row>
    <row r="5" customFormat="false" ht="15" hidden="false" customHeight="false" outlineLevel="0" collapsed="false">
      <c r="A5" s="39" t="s">
        <v>85</v>
      </c>
      <c r="B5" s="39" t="s">
        <v>86</v>
      </c>
      <c r="C5" s="39" t="s">
        <v>87</v>
      </c>
      <c r="D5" s="39" t="s">
        <v>88</v>
      </c>
      <c r="E5" s="39" t="s">
        <v>89</v>
      </c>
      <c r="F5" s="39" t="s">
        <v>90</v>
      </c>
      <c r="G5" s="39" t="s">
        <v>91</v>
      </c>
      <c r="H5" s="39" t="s">
        <v>92</v>
      </c>
      <c r="I5" s="39" t="s">
        <v>93</v>
      </c>
      <c r="J5" s="39" t="s">
        <v>94</v>
      </c>
      <c r="K5" s="40" t="s">
        <v>5</v>
      </c>
    </row>
    <row r="6" customFormat="false" ht="15" hidden="false" customHeight="false" outlineLevel="0" collapsed="false">
      <c r="A6" s="39" t="s">
        <v>95</v>
      </c>
      <c r="B6" s="39" t="s">
        <v>96</v>
      </c>
      <c r="C6" s="39" t="s">
        <v>97</v>
      </c>
      <c r="D6" s="39" t="s">
        <v>98</v>
      </c>
      <c r="E6" s="39" t="s">
        <v>99</v>
      </c>
      <c r="F6" s="39" t="s">
        <v>100</v>
      </c>
      <c r="G6" s="39" t="s">
        <v>101</v>
      </c>
      <c r="H6" s="39" t="s">
        <v>102</v>
      </c>
      <c r="I6" s="39" t="s">
        <v>103</v>
      </c>
      <c r="J6" s="39" t="s">
        <v>104</v>
      </c>
      <c r="K6" s="0" t="str">
        <f aca="false">IF(A5="","",A5)</f>
        <v>Sales Manager 1</v>
      </c>
    </row>
    <row r="7" customFormat="false" ht="15" hidden="false" customHeight="false" outlineLevel="0" collapsed="false">
      <c r="A7" s="39" t="s">
        <v>105</v>
      </c>
      <c r="B7" s="39" t="s">
        <v>106</v>
      </c>
      <c r="C7" s="39" t="s">
        <v>107</v>
      </c>
      <c r="D7" s="39" t="s">
        <v>108</v>
      </c>
      <c r="E7" s="39" t="s">
        <v>109</v>
      </c>
      <c r="F7" s="39" t="s">
        <v>110</v>
      </c>
      <c r="G7" s="39" t="s">
        <v>111</v>
      </c>
      <c r="H7" s="39" t="s">
        <v>112</v>
      </c>
      <c r="I7" s="39" t="s">
        <v>113</v>
      </c>
      <c r="J7" s="39" t="s">
        <v>114</v>
      </c>
      <c r="K7" s="0" t="str">
        <f aca="false">IF(A6="","",A6)</f>
        <v>Sales Manager 2</v>
      </c>
    </row>
    <row r="8" customFormat="false" ht="15" hidden="false" customHeight="false" outlineLevel="0" collapsed="false">
      <c r="A8" s="39"/>
      <c r="B8" s="39" t="s">
        <v>115</v>
      </c>
      <c r="C8" s="39" t="s">
        <v>116</v>
      </c>
      <c r="D8" s="39" t="s">
        <v>117</v>
      </c>
      <c r="E8" s="39"/>
      <c r="F8" s="39" t="s">
        <v>118</v>
      </c>
      <c r="G8" s="39" t="s">
        <v>119</v>
      </c>
      <c r="H8" s="39" t="s">
        <v>120</v>
      </c>
      <c r="I8" s="39" t="s">
        <v>121</v>
      </c>
      <c r="J8" s="39" t="s">
        <v>122</v>
      </c>
      <c r="K8" s="0" t="str">
        <f aca="false">IF(A7="","",A7)</f>
        <v>Sales Manager 3</v>
      </c>
    </row>
    <row r="9" customFormat="false" ht="15" hidden="false" customHeight="false" outlineLevel="0" collapsed="false">
      <c r="A9" s="39"/>
      <c r="B9" s="39" t="s">
        <v>123</v>
      </c>
      <c r="C9" s="39" t="s">
        <v>124</v>
      </c>
      <c r="D9" s="39" t="s">
        <v>125</v>
      </c>
      <c r="E9" s="39"/>
      <c r="F9" s="39" t="s">
        <v>126</v>
      </c>
      <c r="G9" s="39" t="s">
        <v>127</v>
      </c>
      <c r="H9" s="39"/>
      <c r="I9" s="39"/>
      <c r="J9" s="39" t="s">
        <v>128</v>
      </c>
      <c r="K9" s="0" t="str">
        <f aca="false">IF(A8="","",A8)</f>
        <v/>
      </c>
    </row>
    <row r="10" customFormat="false" ht="15" hidden="false" customHeight="false" outlineLevel="0" collapsed="false">
      <c r="A10" s="39"/>
      <c r="B10" s="39" t="s">
        <v>129</v>
      </c>
      <c r="C10" s="39" t="s">
        <v>130</v>
      </c>
      <c r="D10" s="39" t="s">
        <v>131</v>
      </c>
      <c r="E10" s="39"/>
      <c r="F10" s="39" t="s">
        <v>132</v>
      </c>
      <c r="G10" s="39" t="s">
        <v>133</v>
      </c>
      <c r="H10" s="39"/>
      <c r="I10" s="39"/>
      <c r="J10" s="39" t="s">
        <v>134</v>
      </c>
      <c r="K10" s="0" t="str">
        <f aca="false">IF(A9="","",A9)</f>
        <v/>
      </c>
    </row>
    <row r="11" customFormat="false" ht="15" hidden="false" customHeight="false" outlineLevel="0" collapsed="false">
      <c r="A11" s="39"/>
      <c r="B11" s="39" t="s">
        <v>135</v>
      </c>
      <c r="C11" s="39" t="s">
        <v>126</v>
      </c>
      <c r="D11" s="39" t="s">
        <v>39</v>
      </c>
      <c r="E11" s="39"/>
      <c r="F11" s="39" t="s">
        <v>136</v>
      </c>
      <c r="G11" s="39" t="s">
        <v>137</v>
      </c>
      <c r="H11" s="39"/>
      <c r="I11" s="39"/>
      <c r="J11" s="39" t="s">
        <v>138</v>
      </c>
      <c r="K11" s="0" t="str">
        <f aca="false">IF(A10="","",A10)</f>
        <v/>
      </c>
    </row>
    <row r="12" customFormat="false" ht="15" hidden="false" customHeight="false" outlineLevel="0" collapsed="false">
      <c r="A12" s="39"/>
      <c r="B12" s="39" t="s">
        <v>139</v>
      </c>
      <c r="C12" s="39" t="s">
        <v>140</v>
      </c>
      <c r="D12" s="39" t="s">
        <v>40</v>
      </c>
      <c r="E12" s="39"/>
      <c r="F12" s="39" t="s">
        <v>141</v>
      </c>
      <c r="G12" s="39" t="s">
        <v>142</v>
      </c>
      <c r="H12" s="39"/>
      <c r="I12" s="39"/>
      <c r="J12" s="39"/>
      <c r="K12" s="0" t="str">
        <f aca="false">IF(A11="","",A11)</f>
        <v/>
      </c>
    </row>
    <row r="13" customFormat="false" ht="15" hidden="false" customHeight="false" outlineLevel="0" collapsed="false">
      <c r="A13" s="39"/>
      <c r="B13" s="39" t="s">
        <v>143</v>
      </c>
      <c r="C13" s="39"/>
      <c r="D13" s="39" t="s">
        <v>144</v>
      </c>
      <c r="E13" s="39"/>
      <c r="F13" s="39" t="s">
        <v>140</v>
      </c>
      <c r="G13" s="39" t="s">
        <v>145</v>
      </c>
      <c r="H13" s="39"/>
      <c r="I13" s="39"/>
      <c r="J13" s="39"/>
      <c r="K13" s="0" t="str">
        <f aca="false">IF(A12="","",A12)</f>
        <v/>
      </c>
    </row>
    <row r="14" customFormat="false" ht="15" hidden="false" customHeight="false" outlineLevel="0" collapsed="false">
      <c r="A14" s="39"/>
      <c r="B14" s="39" t="s">
        <v>146</v>
      </c>
      <c r="C14" s="39"/>
      <c r="D14" s="39"/>
      <c r="E14" s="39"/>
      <c r="F14" s="39"/>
      <c r="G14" s="39" t="s">
        <v>140</v>
      </c>
      <c r="H14" s="39"/>
      <c r="I14" s="39"/>
      <c r="J14" s="39"/>
      <c r="K14" s="0" t="str">
        <f aca="false">IF(A13="","",A13)</f>
        <v/>
      </c>
    </row>
    <row r="15" customFormat="false" ht="15" hidden="false" customHeight="false" outlineLevel="0" collapsed="false">
      <c r="B15" s="39" t="s">
        <v>147</v>
      </c>
      <c r="C15" s="39"/>
      <c r="D15" s="39"/>
      <c r="E15" s="39"/>
      <c r="F15" s="39"/>
      <c r="G15" s="39"/>
      <c r="H15" s="39"/>
      <c r="I15" s="39"/>
      <c r="J15" s="39"/>
      <c r="K15" s="0" t="str">
        <f aca="false">IF(A14="","",A14)</f>
        <v/>
      </c>
    </row>
    <row r="16" customFormat="false" ht="15" hidden="false" customHeight="false" outlineLevel="0" collapsed="false">
      <c r="B16" s="39" t="s">
        <v>148</v>
      </c>
      <c r="C16" s="39"/>
      <c r="D16" s="39"/>
      <c r="E16" s="39"/>
      <c r="F16" s="39"/>
      <c r="G16" s="39"/>
      <c r="H16" s="39"/>
      <c r="I16" s="39"/>
      <c r="J16" s="39"/>
    </row>
    <row r="17" customFormat="false" ht="15" hidden="false" customHeight="false" outlineLevel="0" collapsed="false">
      <c r="B17" s="39" t="s">
        <v>149</v>
      </c>
      <c r="C17" s="39"/>
      <c r="D17" s="39"/>
      <c r="E17" s="39"/>
      <c r="F17" s="39"/>
      <c r="G17" s="39"/>
      <c r="H17" s="39"/>
      <c r="I17" s="39"/>
      <c r="J17" s="39"/>
    </row>
    <row r="18" customFormat="false" ht="15" hidden="false" customHeight="false" outlineLevel="0" collapsed="false">
      <c r="B18" s="39" t="s">
        <v>150</v>
      </c>
      <c r="C18" s="39"/>
      <c r="D18" s="39"/>
      <c r="E18" s="39"/>
      <c r="F18" s="39"/>
      <c r="G18" s="39"/>
      <c r="H18" s="39"/>
      <c r="I18" s="39"/>
      <c r="J18" s="39"/>
    </row>
    <row r="19" customFormat="false" ht="15" hidden="false" customHeight="false" outlineLevel="0" collapsed="false">
      <c r="B19" s="39" t="s">
        <v>151</v>
      </c>
      <c r="C19" s="39"/>
      <c r="D19" s="39"/>
      <c r="E19" s="39"/>
      <c r="F19" s="39"/>
      <c r="G19" s="39"/>
      <c r="H19" s="39"/>
      <c r="I19" s="39"/>
      <c r="J19" s="39"/>
    </row>
    <row r="20" customFormat="false" ht="15" hidden="false" customHeight="false" outlineLevel="0" collapsed="false">
      <c r="B20" s="39" t="s">
        <v>152</v>
      </c>
    </row>
    <row r="21" customFormat="false" ht="15" hidden="false" customHeight="false" outlineLevel="0" collapsed="false">
      <c r="B21" s="39" t="s">
        <v>153</v>
      </c>
    </row>
    <row r="22" customFormat="false" ht="15" hidden="false" customHeight="false" outlineLevel="0" collapsed="false">
      <c r="B22" s="39" t="s">
        <v>154</v>
      </c>
    </row>
    <row r="23" customFormat="false" ht="15" hidden="false" customHeight="false" outlineLevel="0" collapsed="false">
      <c r="B23" s="39" t="s">
        <v>155</v>
      </c>
    </row>
    <row r="24" customFormat="false" ht="15" hidden="false" customHeight="false" outlineLevel="0" collapsed="false">
      <c r="B24" s="39" t="s">
        <v>156</v>
      </c>
    </row>
    <row r="25" customFormat="false" ht="15" hidden="false" customHeight="false" outlineLevel="0" collapsed="false">
      <c r="B25" s="39"/>
    </row>
    <row r="26" customFormat="false" ht="15" hidden="false" customHeight="false" outlineLevel="0" collapsed="false">
      <c r="B26" s="39"/>
    </row>
    <row r="27" customFormat="false" ht="15" hidden="false" customHeight="false" outlineLevel="0" collapsed="false">
      <c r="B27" s="39"/>
    </row>
    <row r="28" customFormat="false" ht="15" hidden="false" customHeight="false" outlineLevel="0" collapsed="false">
      <c r="B28" s="39"/>
    </row>
    <row r="29" customFormat="false" ht="15" hidden="false" customHeight="false" outlineLevel="0" collapsed="false">
      <c r="B29" s="39"/>
    </row>
    <row r="30" customFormat="false" ht="15" hidden="false" customHeight="false" outlineLevel="0" collapsed="false">
      <c r="B30" s="39"/>
    </row>
    <row r="31" customFormat="false" ht="15" hidden="false" customHeight="false" outlineLevel="0" collapsed="false">
      <c r="B31" s="39"/>
    </row>
    <row r="32" customFormat="false" ht="15" hidden="false" customHeight="false" outlineLevel="0" collapsed="false">
      <c r="B32" s="39"/>
    </row>
    <row r="33" customFormat="false" ht="15" hidden="false" customHeight="false" outlineLevel="0" collapsed="false">
      <c r="B33" s="39"/>
    </row>
    <row r="34" customFormat="false" ht="15" hidden="false" customHeight="false" outlineLevel="0" collapsed="false">
      <c r="B34" s="3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J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5" min="3" style="0" width="10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30" t="s">
        <v>157</v>
      </c>
    </row>
    <row r="2" customFormat="false" ht="15" hidden="false" customHeight="false" outlineLevel="0" collapsed="false">
      <c r="A2" s="2" t="s">
        <v>158</v>
      </c>
    </row>
    <row r="4" customFormat="false" ht="31.5" hidden="false" customHeight="true" outlineLevel="0" collapsed="false">
      <c r="A4" s="41" t="s">
        <v>35</v>
      </c>
      <c r="B4" s="41" t="s">
        <v>159</v>
      </c>
      <c r="C4" s="41" t="s">
        <v>160</v>
      </c>
      <c r="D4" s="41" t="s">
        <v>161</v>
      </c>
      <c r="E4" s="41" t="s">
        <v>162</v>
      </c>
      <c r="F4" s="41" t="s">
        <v>39</v>
      </c>
      <c r="G4" s="41" t="s">
        <v>163</v>
      </c>
      <c r="H4" s="41" t="s">
        <v>54</v>
      </c>
      <c r="I4" s="41" t="s">
        <v>16</v>
      </c>
      <c r="J4" s="41" t="s">
        <v>164</v>
      </c>
    </row>
    <row r="5" customFormat="false" ht="15" hidden="false" customHeight="false" outlineLevel="0" collapsed="false">
      <c r="A5" s="42" t="s">
        <v>86</v>
      </c>
      <c r="B5" s="42" t="s">
        <v>165</v>
      </c>
      <c r="C5" s="43" t="n">
        <f aca="false">IF(AND($A5&lt;&gt;"",$B5&lt;&gt;""),COUNTIFS('Leads Pipeline'!$D$5:$D$1004,$A5,'Leads Pipeline'!$E$5:$E$1004,$B5,'Leads Pipeline'!$F$5:$F$1004,"&lt;&gt;"),"")</f>
        <v>0</v>
      </c>
      <c r="D5" s="43" t="n">
        <f aca="false">IF(AND($A5&lt;&gt;"",$B5&lt;&gt;""),COUNTIFS('Leads Pipeline'!$D$5:$D$1004,$A5,'Leads Pipeline'!$E$5:$E$1004,$B5,'Leads Pipeline'!$F$5:$F$1004,"&lt;&gt;",'Leads Pipeline'!$O$5:$O$1004,"&lt;&gt;Won",'Leads Pipeline'!$O$5:$O$1004,"&lt;&gt;Lost"),"")</f>
        <v>0</v>
      </c>
      <c r="E5" s="43" t="n">
        <f aca="false">IF(AND($A5&lt;&gt;"",$B5&lt;&gt;""),COUNTIFS('Leads Pipeline'!$D$5:$D$1004,$A5,'Leads Pipeline'!$E$5:$E$1004,$B5,'Leads Pipeline'!$P$5:$P$1004,"Hot",'Leads Pipeline'!$O$5:$O$1004,"&lt;&gt;Won",'Leads Pipeline'!$O$5:$O$1004,"&lt;&gt;Lost"),"")</f>
        <v>0</v>
      </c>
      <c r="F5" s="43" t="n">
        <f aca="false">IF(AND($A5&lt;&gt;"",$B5&lt;&gt;""),COUNTIFS('Leads Pipeline'!$D$5:$D$1004,$A5,'Leads Pipeline'!$E$5:$E$1004,$B5,'Leads Pipeline'!$O$5:$O$1004,"Won"),"")</f>
        <v>0</v>
      </c>
      <c r="G5" s="44" t="n">
        <f aca="false">IF(AND($A5&lt;&gt;"",$B5&lt;&gt;""),SUMIFS('Leads Pipeline'!$U$5:$U$1004,'Leads Pipeline'!$D$5:$D$1004,$A5,'Leads Pipeline'!$E$5:$E$1004,$B5,'Leads Pipeline'!$O$5:$O$1004,"&lt;&gt;Won",'Leads Pipeline'!$O$5:$O$1004,"&lt;&gt;Lost"),"")</f>
        <v>0</v>
      </c>
      <c r="H5" s="43" t="n">
        <f aca="false">IF(AND($A5&lt;&gt;"",$B5&lt;&gt;""),COUNTIFS('Active Clients'!$B$5:$B$504,$A5,'Active Clients'!$C$5:$C$504,$B5,'Active Clients'!$T$5:$T$504,"Active"),"")</f>
        <v>0</v>
      </c>
      <c r="I5" s="44" t="n">
        <f aca="false">IF(AND($A5&lt;&gt;"",$B5&lt;&gt;""),SUMIFS('Active Clients'!$R$5:$R$504,'Active Clients'!$B$5:$B$504,$A5,'Active Clients'!$C$5:$C$504,$B5),"")</f>
        <v>0</v>
      </c>
      <c r="J5" s="43" t="n">
        <f aca="true">IF(AND($A5&lt;&gt;"",$B5&lt;&gt;""),COUNTIFS('Activity Log'!$E$5:$E$3004,$A5,'Activity Log'!$F$5:$F$3004,$B5,'Activity Log'!$A$5:$A$3004,"&gt;="&amp;(TODAY()-29),'Activity Log'!$A$5:$A$3004,"&lt;="&amp;TODAY()),"")</f>
        <v>0</v>
      </c>
    </row>
    <row r="6" customFormat="false" ht="15" hidden="false" customHeight="false" outlineLevel="0" collapsed="false">
      <c r="A6" s="42" t="s">
        <v>86</v>
      </c>
      <c r="B6" s="42" t="s">
        <v>166</v>
      </c>
      <c r="C6" s="43" t="n">
        <f aca="false">IF(AND($A6&lt;&gt;"",$B6&lt;&gt;""),COUNTIFS('Leads Pipeline'!$D$5:$D$1004,$A6,'Leads Pipeline'!$E$5:$E$1004,$B6,'Leads Pipeline'!$F$5:$F$1004,"&lt;&gt;"),"")</f>
        <v>0</v>
      </c>
      <c r="D6" s="43" t="n">
        <f aca="false">IF(AND($A6&lt;&gt;"",$B6&lt;&gt;""),COUNTIFS('Leads Pipeline'!$D$5:$D$1004,$A6,'Leads Pipeline'!$E$5:$E$1004,$B6,'Leads Pipeline'!$F$5:$F$1004,"&lt;&gt;",'Leads Pipeline'!$O$5:$O$1004,"&lt;&gt;Won",'Leads Pipeline'!$O$5:$O$1004,"&lt;&gt;Lost"),"")</f>
        <v>0</v>
      </c>
      <c r="E6" s="43" t="n">
        <f aca="false">IF(AND($A6&lt;&gt;"",$B6&lt;&gt;""),COUNTIFS('Leads Pipeline'!$D$5:$D$1004,$A6,'Leads Pipeline'!$E$5:$E$1004,$B6,'Leads Pipeline'!$P$5:$P$1004,"Hot",'Leads Pipeline'!$O$5:$O$1004,"&lt;&gt;Won",'Leads Pipeline'!$O$5:$O$1004,"&lt;&gt;Lost"),"")</f>
        <v>0</v>
      </c>
      <c r="F6" s="43" t="n">
        <f aca="false">IF(AND($A6&lt;&gt;"",$B6&lt;&gt;""),COUNTIFS('Leads Pipeline'!$D$5:$D$1004,$A6,'Leads Pipeline'!$E$5:$E$1004,$B6,'Leads Pipeline'!$O$5:$O$1004,"Won"),"")</f>
        <v>0</v>
      </c>
      <c r="G6" s="44" t="n">
        <f aca="false">IF(AND($A6&lt;&gt;"",$B6&lt;&gt;""),SUMIFS('Leads Pipeline'!$U$5:$U$1004,'Leads Pipeline'!$D$5:$D$1004,$A6,'Leads Pipeline'!$E$5:$E$1004,$B6,'Leads Pipeline'!$O$5:$O$1004,"&lt;&gt;Won",'Leads Pipeline'!$O$5:$O$1004,"&lt;&gt;Lost"),"")</f>
        <v>0</v>
      </c>
      <c r="H6" s="43" t="n">
        <f aca="false">IF(AND($A6&lt;&gt;"",$B6&lt;&gt;""),COUNTIFS('Active Clients'!$B$5:$B$504,$A6,'Active Clients'!$C$5:$C$504,$B6,'Active Clients'!$T$5:$T$504,"Active"),"")</f>
        <v>0</v>
      </c>
      <c r="I6" s="44" t="n">
        <f aca="false">IF(AND($A6&lt;&gt;"",$B6&lt;&gt;""),SUMIFS('Active Clients'!$R$5:$R$504,'Active Clients'!$B$5:$B$504,$A6,'Active Clients'!$C$5:$C$504,$B6),"")</f>
        <v>0</v>
      </c>
      <c r="J6" s="43" t="n">
        <f aca="true">IF(AND($A6&lt;&gt;"",$B6&lt;&gt;""),COUNTIFS('Activity Log'!$E$5:$E$3004,$A6,'Activity Log'!$F$5:$F$3004,$B6,'Activity Log'!$A$5:$A$3004,"&gt;="&amp;(TODAY()-29),'Activity Log'!$A$5:$A$3004,"&lt;="&amp;TODAY()),"")</f>
        <v>0</v>
      </c>
    </row>
    <row r="7" customFormat="false" ht="15" hidden="false" customHeight="false" outlineLevel="0" collapsed="false">
      <c r="A7" s="42" t="s">
        <v>86</v>
      </c>
      <c r="B7" s="42" t="s">
        <v>167</v>
      </c>
      <c r="C7" s="43" t="n">
        <f aca="false">IF(AND($A7&lt;&gt;"",$B7&lt;&gt;""),COUNTIFS('Leads Pipeline'!$D$5:$D$1004,$A7,'Leads Pipeline'!$E$5:$E$1004,$B7,'Leads Pipeline'!$F$5:$F$1004,"&lt;&gt;"),"")</f>
        <v>0</v>
      </c>
      <c r="D7" s="43" t="n">
        <f aca="false">IF(AND($A7&lt;&gt;"",$B7&lt;&gt;""),COUNTIFS('Leads Pipeline'!$D$5:$D$1004,$A7,'Leads Pipeline'!$E$5:$E$1004,$B7,'Leads Pipeline'!$F$5:$F$1004,"&lt;&gt;",'Leads Pipeline'!$O$5:$O$1004,"&lt;&gt;Won",'Leads Pipeline'!$O$5:$O$1004,"&lt;&gt;Lost"),"")</f>
        <v>0</v>
      </c>
      <c r="E7" s="43" t="n">
        <f aca="false">IF(AND($A7&lt;&gt;"",$B7&lt;&gt;""),COUNTIFS('Leads Pipeline'!$D$5:$D$1004,$A7,'Leads Pipeline'!$E$5:$E$1004,$B7,'Leads Pipeline'!$P$5:$P$1004,"Hot",'Leads Pipeline'!$O$5:$O$1004,"&lt;&gt;Won",'Leads Pipeline'!$O$5:$O$1004,"&lt;&gt;Lost"),"")</f>
        <v>0</v>
      </c>
      <c r="F7" s="43" t="n">
        <f aca="false">IF(AND($A7&lt;&gt;"",$B7&lt;&gt;""),COUNTIFS('Leads Pipeline'!$D$5:$D$1004,$A7,'Leads Pipeline'!$E$5:$E$1004,$B7,'Leads Pipeline'!$O$5:$O$1004,"Won"),"")</f>
        <v>0</v>
      </c>
      <c r="G7" s="44" t="n">
        <f aca="false">IF(AND($A7&lt;&gt;"",$B7&lt;&gt;""),SUMIFS('Leads Pipeline'!$U$5:$U$1004,'Leads Pipeline'!$D$5:$D$1004,$A7,'Leads Pipeline'!$E$5:$E$1004,$B7,'Leads Pipeline'!$O$5:$O$1004,"&lt;&gt;Won",'Leads Pipeline'!$O$5:$O$1004,"&lt;&gt;Lost"),"")</f>
        <v>0</v>
      </c>
      <c r="H7" s="43" t="n">
        <f aca="false">IF(AND($A7&lt;&gt;"",$B7&lt;&gt;""),COUNTIFS('Active Clients'!$B$5:$B$504,$A7,'Active Clients'!$C$5:$C$504,$B7,'Active Clients'!$T$5:$T$504,"Active"),"")</f>
        <v>1</v>
      </c>
      <c r="I7" s="44" t="n">
        <f aca="false">IF(AND($A7&lt;&gt;"",$B7&lt;&gt;""),SUMIFS('Active Clients'!$R$5:$R$504,'Active Clients'!$B$5:$B$504,$A7,'Active Clients'!$C$5:$C$504,$B7),"")</f>
        <v>64000</v>
      </c>
      <c r="J7" s="43" t="n">
        <f aca="true">IF(AND($A7&lt;&gt;"",$B7&lt;&gt;""),COUNTIFS('Activity Log'!$E$5:$E$3004,$A7,'Activity Log'!$F$5:$F$3004,$B7,'Activity Log'!$A$5:$A$3004,"&gt;="&amp;(TODAY()-29),'Activity Log'!$A$5:$A$3004,"&lt;="&amp;TODAY()),"")</f>
        <v>0</v>
      </c>
    </row>
    <row r="8" customFormat="false" ht="15" hidden="false" customHeight="false" outlineLevel="0" collapsed="false">
      <c r="A8" s="42" t="s">
        <v>86</v>
      </c>
      <c r="B8" s="42" t="s">
        <v>168</v>
      </c>
      <c r="C8" s="43" t="n">
        <f aca="false">IF(AND($A8&lt;&gt;"",$B8&lt;&gt;""),COUNTIFS('Leads Pipeline'!$D$5:$D$1004,$A8,'Leads Pipeline'!$E$5:$E$1004,$B8,'Leads Pipeline'!$F$5:$F$1004,"&lt;&gt;"),"")</f>
        <v>0</v>
      </c>
      <c r="D8" s="43" t="n">
        <f aca="false">IF(AND($A8&lt;&gt;"",$B8&lt;&gt;""),COUNTIFS('Leads Pipeline'!$D$5:$D$1004,$A8,'Leads Pipeline'!$E$5:$E$1004,$B8,'Leads Pipeline'!$F$5:$F$1004,"&lt;&gt;",'Leads Pipeline'!$O$5:$O$1004,"&lt;&gt;Won",'Leads Pipeline'!$O$5:$O$1004,"&lt;&gt;Lost"),"")</f>
        <v>0</v>
      </c>
      <c r="E8" s="43" t="n">
        <f aca="false">IF(AND($A8&lt;&gt;"",$B8&lt;&gt;""),COUNTIFS('Leads Pipeline'!$D$5:$D$1004,$A8,'Leads Pipeline'!$E$5:$E$1004,$B8,'Leads Pipeline'!$P$5:$P$1004,"Hot",'Leads Pipeline'!$O$5:$O$1004,"&lt;&gt;Won",'Leads Pipeline'!$O$5:$O$1004,"&lt;&gt;Lost"),"")</f>
        <v>0</v>
      </c>
      <c r="F8" s="43" t="n">
        <f aca="false">IF(AND($A8&lt;&gt;"",$B8&lt;&gt;""),COUNTIFS('Leads Pipeline'!$D$5:$D$1004,$A8,'Leads Pipeline'!$E$5:$E$1004,$B8,'Leads Pipeline'!$O$5:$O$1004,"Won"),"")</f>
        <v>0</v>
      </c>
      <c r="G8" s="44" t="n">
        <f aca="false">IF(AND($A8&lt;&gt;"",$B8&lt;&gt;""),SUMIFS('Leads Pipeline'!$U$5:$U$1004,'Leads Pipeline'!$D$5:$D$1004,$A8,'Leads Pipeline'!$E$5:$E$1004,$B8,'Leads Pipeline'!$O$5:$O$1004,"&lt;&gt;Won",'Leads Pipeline'!$O$5:$O$1004,"&lt;&gt;Lost"),"")</f>
        <v>0</v>
      </c>
      <c r="H8" s="43" t="n">
        <f aca="false">IF(AND($A8&lt;&gt;"",$B8&lt;&gt;""),COUNTIFS('Active Clients'!$B$5:$B$504,$A8,'Active Clients'!$C$5:$C$504,$B8,'Active Clients'!$T$5:$T$504,"Active"),"")</f>
        <v>0</v>
      </c>
      <c r="I8" s="44" t="n">
        <f aca="false">IF(AND($A8&lt;&gt;"",$B8&lt;&gt;""),SUMIFS('Active Clients'!$R$5:$R$504,'Active Clients'!$B$5:$B$504,$A8,'Active Clients'!$C$5:$C$504,$B8),"")</f>
        <v>0</v>
      </c>
      <c r="J8" s="43" t="n">
        <f aca="true">IF(AND($A8&lt;&gt;"",$B8&lt;&gt;""),COUNTIFS('Activity Log'!$E$5:$E$3004,$A8,'Activity Log'!$F$5:$F$3004,$B8,'Activity Log'!$A$5:$A$3004,"&gt;="&amp;(TODAY()-29),'Activity Log'!$A$5:$A$3004,"&lt;="&amp;TODAY()),"")</f>
        <v>0</v>
      </c>
    </row>
    <row r="9" customFormat="false" ht="15" hidden="false" customHeight="false" outlineLevel="0" collapsed="false">
      <c r="A9" s="42" t="s">
        <v>86</v>
      </c>
      <c r="B9" s="42" t="s">
        <v>169</v>
      </c>
      <c r="C9" s="43" t="n">
        <f aca="false">IF(AND($A9&lt;&gt;"",$B9&lt;&gt;""),COUNTIFS('Leads Pipeline'!$D$5:$D$1004,$A9,'Leads Pipeline'!$E$5:$E$1004,$B9,'Leads Pipeline'!$F$5:$F$1004,"&lt;&gt;"),"")</f>
        <v>0</v>
      </c>
      <c r="D9" s="43" t="n">
        <f aca="false">IF(AND($A9&lt;&gt;"",$B9&lt;&gt;""),COUNTIFS('Leads Pipeline'!$D$5:$D$1004,$A9,'Leads Pipeline'!$E$5:$E$1004,$B9,'Leads Pipeline'!$F$5:$F$1004,"&lt;&gt;",'Leads Pipeline'!$O$5:$O$1004,"&lt;&gt;Won",'Leads Pipeline'!$O$5:$O$1004,"&lt;&gt;Lost"),"")</f>
        <v>0</v>
      </c>
      <c r="E9" s="43" t="n">
        <f aca="false">IF(AND($A9&lt;&gt;"",$B9&lt;&gt;""),COUNTIFS('Leads Pipeline'!$D$5:$D$1004,$A9,'Leads Pipeline'!$E$5:$E$1004,$B9,'Leads Pipeline'!$P$5:$P$1004,"Hot",'Leads Pipeline'!$O$5:$O$1004,"&lt;&gt;Won",'Leads Pipeline'!$O$5:$O$1004,"&lt;&gt;Lost"),"")</f>
        <v>0</v>
      </c>
      <c r="F9" s="43" t="n">
        <f aca="false">IF(AND($A9&lt;&gt;"",$B9&lt;&gt;""),COUNTIFS('Leads Pipeline'!$D$5:$D$1004,$A9,'Leads Pipeline'!$E$5:$E$1004,$B9,'Leads Pipeline'!$O$5:$O$1004,"Won"),"")</f>
        <v>0</v>
      </c>
      <c r="G9" s="44" t="n">
        <f aca="false">IF(AND($A9&lt;&gt;"",$B9&lt;&gt;""),SUMIFS('Leads Pipeline'!$U$5:$U$1004,'Leads Pipeline'!$D$5:$D$1004,$A9,'Leads Pipeline'!$E$5:$E$1004,$B9,'Leads Pipeline'!$O$5:$O$1004,"&lt;&gt;Won",'Leads Pipeline'!$O$5:$O$1004,"&lt;&gt;Lost"),"")</f>
        <v>0</v>
      </c>
      <c r="H9" s="43" t="n">
        <f aca="false">IF(AND($A9&lt;&gt;"",$B9&lt;&gt;""),COUNTIFS('Active Clients'!$B$5:$B$504,$A9,'Active Clients'!$C$5:$C$504,$B9,'Active Clients'!$T$5:$T$504,"Active"),"")</f>
        <v>0</v>
      </c>
      <c r="I9" s="44" t="n">
        <f aca="false">IF(AND($A9&lt;&gt;"",$B9&lt;&gt;""),SUMIFS('Active Clients'!$R$5:$R$504,'Active Clients'!$B$5:$B$504,$A9,'Active Clients'!$C$5:$C$504,$B9),"")</f>
        <v>0</v>
      </c>
      <c r="J9" s="43" t="n">
        <f aca="true">IF(AND($A9&lt;&gt;"",$B9&lt;&gt;""),COUNTIFS('Activity Log'!$E$5:$E$3004,$A9,'Activity Log'!$F$5:$F$3004,$B9,'Activity Log'!$A$5:$A$3004,"&gt;="&amp;(TODAY()-29),'Activity Log'!$A$5:$A$3004,"&lt;="&amp;TODAY()),"")</f>
        <v>0</v>
      </c>
    </row>
    <row r="10" customFormat="false" ht="15" hidden="false" customHeight="false" outlineLevel="0" collapsed="false">
      <c r="A10" s="42" t="s">
        <v>86</v>
      </c>
      <c r="B10" s="42" t="s">
        <v>170</v>
      </c>
      <c r="C10" s="43" t="n">
        <f aca="false">IF(AND($A10&lt;&gt;"",$B10&lt;&gt;""),COUNTIFS('Leads Pipeline'!$D$5:$D$1004,$A10,'Leads Pipeline'!$E$5:$E$1004,$B10,'Leads Pipeline'!$F$5:$F$1004,"&lt;&gt;"),"")</f>
        <v>0</v>
      </c>
      <c r="D10" s="43" t="n">
        <f aca="false">IF(AND($A10&lt;&gt;"",$B10&lt;&gt;""),COUNTIFS('Leads Pipeline'!$D$5:$D$1004,$A10,'Leads Pipeline'!$E$5:$E$1004,$B10,'Leads Pipeline'!$F$5:$F$1004,"&lt;&gt;",'Leads Pipeline'!$O$5:$O$1004,"&lt;&gt;Won",'Leads Pipeline'!$O$5:$O$1004,"&lt;&gt;Lost"),"")</f>
        <v>0</v>
      </c>
      <c r="E10" s="43" t="n">
        <f aca="false">IF(AND($A10&lt;&gt;"",$B10&lt;&gt;""),COUNTIFS('Leads Pipeline'!$D$5:$D$1004,$A10,'Leads Pipeline'!$E$5:$E$1004,$B10,'Leads Pipeline'!$P$5:$P$1004,"Hot",'Leads Pipeline'!$O$5:$O$1004,"&lt;&gt;Won",'Leads Pipeline'!$O$5:$O$1004,"&lt;&gt;Lost"),"")</f>
        <v>0</v>
      </c>
      <c r="F10" s="43" t="n">
        <f aca="false">IF(AND($A10&lt;&gt;"",$B10&lt;&gt;""),COUNTIFS('Leads Pipeline'!$D$5:$D$1004,$A10,'Leads Pipeline'!$E$5:$E$1004,$B10,'Leads Pipeline'!$O$5:$O$1004,"Won"),"")</f>
        <v>0</v>
      </c>
      <c r="G10" s="44" t="n">
        <f aca="false">IF(AND($A10&lt;&gt;"",$B10&lt;&gt;""),SUMIFS('Leads Pipeline'!$U$5:$U$1004,'Leads Pipeline'!$D$5:$D$1004,$A10,'Leads Pipeline'!$E$5:$E$1004,$B10,'Leads Pipeline'!$O$5:$O$1004,"&lt;&gt;Won",'Leads Pipeline'!$O$5:$O$1004,"&lt;&gt;Lost"),"")</f>
        <v>0</v>
      </c>
      <c r="H10" s="43" t="n">
        <f aca="false">IF(AND($A10&lt;&gt;"",$B10&lt;&gt;""),COUNTIFS('Active Clients'!$B$5:$B$504,$A10,'Active Clients'!$C$5:$C$504,$B10,'Active Clients'!$T$5:$T$504,"Active"),"")</f>
        <v>0</v>
      </c>
      <c r="I10" s="44" t="n">
        <f aca="false">IF(AND($A10&lt;&gt;"",$B10&lt;&gt;""),SUMIFS('Active Clients'!$R$5:$R$504,'Active Clients'!$B$5:$B$504,$A10,'Active Clients'!$C$5:$C$504,$B10),"")</f>
        <v>0</v>
      </c>
      <c r="J10" s="43" t="n">
        <f aca="true">IF(AND($A10&lt;&gt;"",$B10&lt;&gt;""),COUNTIFS('Activity Log'!$E$5:$E$3004,$A10,'Activity Log'!$F$5:$F$3004,$B10,'Activity Log'!$A$5:$A$3004,"&gt;="&amp;(TODAY()-29),'Activity Log'!$A$5:$A$3004,"&lt;="&amp;TODAY()),"")</f>
        <v>0</v>
      </c>
    </row>
    <row r="11" customFormat="false" ht="15" hidden="false" customHeight="false" outlineLevel="0" collapsed="false">
      <c r="A11" s="42" t="s">
        <v>86</v>
      </c>
      <c r="B11" s="42" t="s">
        <v>171</v>
      </c>
      <c r="C11" s="43" t="n">
        <f aca="false">IF(AND($A11&lt;&gt;"",$B11&lt;&gt;""),COUNTIFS('Leads Pipeline'!$D$5:$D$1004,$A11,'Leads Pipeline'!$E$5:$E$1004,$B11,'Leads Pipeline'!$F$5:$F$1004,"&lt;&gt;"),"")</f>
        <v>0</v>
      </c>
      <c r="D11" s="43" t="n">
        <f aca="false">IF(AND($A11&lt;&gt;"",$B11&lt;&gt;""),COUNTIFS('Leads Pipeline'!$D$5:$D$1004,$A11,'Leads Pipeline'!$E$5:$E$1004,$B11,'Leads Pipeline'!$F$5:$F$1004,"&lt;&gt;",'Leads Pipeline'!$O$5:$O$1004,"&lt;&gt;Won",'Leads Pipeline'!$O$5:$O$1004,"&lt;&gt;Lost"),"")</f>
        <v>0</v>
      </c>
      <c r="E11" s="43" t="n">
        <f aca="false">IF(AND($A11&lt;&gt;"",$B11&lt;&gt;""),COUNTIFS('Leads Pipeline'!$D$5:$D$1004,$A11,'Leads Pipeline'!$E$5:$E$1004,$B11,'Leads Pipeline'!$P$5:$P$1004,"Hot",'Leads Pipeline'!$O$5:$O$1004,"&lt;&gt;Won",'Leads Pipeline'!$O$5:$O$1004,"&lt;&gt;Lost"),"")</f>
        <v>0</v>
      </c>
      <c r="F11" s="43" t="n">
        <f aca="false">IF(AND($A11&lt;&gt;"",$B11&lt;&gt;""),COUNTIFS('Leads Pipeline'!$D$5:$D$1004,$A11,'Leads Pipeline'!$E$5:$E$1004,$B11,'Leads Pipeline'!$O$5:$O$1004,"Won"),"")</f>
        <v>0</v>
      </c>
      <c r="G11" s="44" t="n">
        <f aca="false">IF(AND($A11&lt;&gt;"",$B11&lt;&gt;""),SUMIFS('Leads Pipeline'!$U$5:$U$1004,'Leads Pipeline'!$D$5:$D$1004,$A11,'Leads Pipeline'!$E$5:$E$1004,$B11,'Leads Pipeline'!$O$5:$O$1004,"&lt;&gt;Won",'Leads Pipeline'!$O$5:$O$1004,"&lt;&gt;Lost"),"")</f>
        <v>0</v>
      </c>
      <c r="H11" s="43" t="n">
        <f aca="false">IF(AND($A11&lt;&gt;"",$B11&lt;&gt;""),COUNTIFS('Active Clients'!$B$5:$B$504,$A11,'Active Clients'!$C$5:$C$504,$B11,'Active Clients'!$T$5:$T$504,"Active"),"")</f>
        <v>0</v>
      </c>
      <c r="I11" s="44" t="n">
        <f aca="false">IF(AND($A11&lt;&gt;"",$B11&lt;&gt;""),SUMIFS('Active Clients'!$R$5:$R$504,'Active Clients'!$B$5:$B$504,$A11,'Active Clients'!$C$5:$C$504,$B11),"")</f>
        <v>0</v>
      </c>
      <c r="J11" s="43" t="n">
        <f aca="true">IF(AND($A11&lt;&gt;"",$B11&lt;&gt;""),COUNTIFS('Activity Log'!$E$5:$E$3004,$A11,'Activity Log'!$F$5:$F$3004,$B11,'Activity Log'!$A$5:$A$3004,"&gt;="&amp;(TODAY()-29),'Activity Log'!$A$5:$A$3004,"&lt;="&amp;TODAY()),"")</f>
        <v>0</v>
      </c>
    </row>
    <row r="12" customFormat="false" ht="15" hidden="false" customHeight="false" outlineLevel="0" collapsed="false">
      <c r="A12" s="42" t="s">
        <v>96</v>
      </c>
      <c r="B12" s="42" t="s">
        <v>172</v>
      </c>
      <c r="C12" s="43" t="n">
        <f aca="false">IF(AND($A12&lt;&gt;"",$B12&lt;&gt;""),COUNTIFS('Leads Pipeline'!$D$5:$D$1004,$A12,'Leads Pipeline'!$E$5:$E$1004,$B12,'Leads Pipeline'!$F$5:$F$1004,"&lt;&gt;"),"")</f>
        <v>1</v>
      </c>
      <c r="D12" s="43" t="n">
        <f aca="false">IF(AND($A12&lt;&gt;"",$B12&lt;&gt;""),COUNTIFS('Leads Pipeline'!$D$5:$D$1004,$A12,'Leads Pipeline'!$E$5:$E$1004,$B12,'Leads Pipeline'!$F$5:$F$1004,"&lt;&gt;",'Leads Pipeline'!$O$5:$O$1004,"&lt;&gt;Won",'Leads Pipeline'!$O$5:$O$1004,"&lt;&gt;Lost"),"")</f>
        <v>1</v>
      </c>
      <c r="E12" s="43" t="n">
        <f aca="false">IF(AND($A12&lt;&gt;"",$B12&lt;&gt;""),COUNTIFS('Leads Pipeline'!$D$5:$D$1004,$A12,'Leads Pipeline'!$E$5:$E$1004,$B12,'Leads Pipeline'!$P$5:$P$1004,"Hot",'Leads Pipeline'!$O$5:$O$1004,"&lt;&gt;Won",'Leads Pipeline'!$O$5:$O$1004,"&lt;&gt;Lost"),"")</f>
        <v>1</v>
      </c>
      <c r="F12" s="43" t="n">
        <f aca="false">IF(AND($A12&lt;&gt;"",$B12&lt;&gt;""),COUNTIFS('Leads Pipeline'!$D$5:$D$1004,$A12,'Leads Pipeline'!$E$5:$E$1004,$B12,'Leads Pipeline'!$O$5:$O$1004,"Won"),"")</f>
        <v>0</v>
      </c>
      <c r="G12" s="44" t="n">
        <f aca="false">IF(AND($A12&lt;&gt;"",$B12&lt;&gt;""),SUMIFS('Leads Pipeline'!$U$5:$U$1004,'Leads Pipeline'!$D$5:$D$1004,$A12,'Leads Pipeline'!$E$5:$E$1004,$B12,'Leads Pipeline'!$O$5:$O$1004,"&lt;&gt;Won",'Leads Pipeline'!$O$5:$O$1004,"&lt;&gt;Lost"),"")</f>
        <v>25000</v>
      </c>
      <c r="H12" s="43" t="n">
        <f aca="false">IF(AND($A12&lt;&gt;"",$B12&lt;&gt;""),COUNTIFS('Active Clients'!$B$5:$B$504,$A12,'Active Clients'!$C$5:$C$504,$B12,'Active Clients'!$T$5:$T$504,"Active"),"")</f>
        <v>0</v>
      </c>
      <c r="I12" s="44" t="n">
        <f aca="false">IF(AND($A12&lt;&gt;"",$B12&lt;&gt;""),SUMIFS('Active Clients'!$R$5:$R$504,'Active Clients'!$B$5:$B$504,$A12,'Active Clients'!$C$5:$C$504,$B12),"")</f>
        <v>0</v>
      </c>
      <c r="J12" s="43" t="n">
        <f aca="true">IF(AND($A12&lt;&gt;"",$B12&lt;&gt;""),COUNTIFS('Activity Log'!$E$5:$E$3004,$A12,'Activity Log'!$F$5:$F$3004,$B12,'Activity Log'!$A$5:$A$3004,"&gt;="&amp;(TODAY()-29),'Activity Log'!$A$5:$A$3004,"&lt;="&amp;TODAY()),"")</f>
        <v>1</v>
      </c>
    </row>
    <row r="13" customFormat="false" ht="15" hidden="false" customHeight="false" outlineLevel="0" collapsed="false">
      <c r="A13" s="42" t="s">
        <v>96</v>
      </c>
      <c r="B13" s="42" t="s">
        <v>173</v>
      </c>
      <c r="C13" s="43" t="n">
        <f aca="false">IF(AND($A13&lt;&gt;"",$B13&lt;&gt;""),COUNTIFS('Leads Pipeline'!$D$5:$D$1004,$A13,'Leads Pipeline'!$E$5:$E$1004,$B13,'Leads Pipeline'!$F$5:$F$1004,"&lt;&gt;"),"")</f>
        <v>0</v>
      </c>
      <c r="D13" s="43" t="n">
        <f aca="false">IF(AND($A13&lt;&gt;"",$B13&lt;&gt;""),COUNTIFS('Leads Pipeline'!$D$5:$D$1004,$A13,'Leads Pipeline'!$E$5:$E$1004,$B13,'Leads Pipeline'!$F$5:$F$1004,"&lt;&gt;",'Leads Pipeline'!$O$5:$O$1004,"&lt;&gt;Won",'Leads Pipeline'!$O$5:$O$1004,"&lt;&gt;Lost"),"")</f>
        <v>0</v>
      </c>
      <c r="E13" s="43" t="n">
        <f aca="false">IF(AND($A13&lt;&gt;"",$B13&lt;&gt;""),COUNTIFS('Leads Pipeline'!$D$5:$D$1004,$A13,'Leads Pipeline'!$E$5:$E$1004,$B13,'Leads Pipeline'!$P$5:$P$1004,"Hot",'Leads Pipeline'!$O$5:$O$1004,"&lt;&gt;Won",'Leads Pipeline'!$O$5:$O$1004,"&lt;&gt;Lost"),"")</f>
        <v>0</v>
      </c>
      <c r="F13" s="43" t="n">
        <f aca="false">IF(AND($A13&lt;&gt;"",$B13&lt;&gt;""),COUNTIFS('Leads Pipeline'!$D$5:$D$1004,$A13,'Leads Pipeline'!$E$5:$E$1004,$B13,'Leads Pipeline'!$O$5:$O$1004,"Won"),"")</f>
        <v>0</v>
      </c>
      <c r="G13" s="44" t="n">
        <f aca="false">IF(AND($A13&lt;&gt;"",$B13&lt;&gt;""),SUMIFS('Leads Pipeline'!$U$5:$U$1004,'Leads Pipeline'!$D$5:$D$1004,$A13,'Leads Pipeline'!$E$5:$E$1004,$B13,'Leads Pipeline'!$O$5:$O$1004,"&lt;&gt;Won",'Leads Pipeline'!$O$5:$O$1004,"&lt;&gt;Lost"),"")</f>
        <v>0</v>
      </c>
      <c r="H13" s="43" t="n">
        <f aca="false">IF(AND($A13&lt;&gt;"",$B13&lt;&gt;""),COUNTIFS('Active Clients'!$B$5:$B$504,$A13,'Active Clients'!$C$5:$C$504,$B13,'Active Clients'!$T$5:$T$504,"Active"),"")</f>
        <v>0</v>
      </c>
      <c r="I13" s="44" t="n">
        <f aca="false">IF(AND($A13&lt;&gt;"",$B13&lt;&gt;""),SUMIFS('Active Clients'!$R$5:$R$504,'Active Clients'!$B$5:$B$504,$A13,'Active Clients'!$C$5:$C$504,$B13),"")</f>
        <v>0</v>
      </c>
      <c r="J13" s="43" t="n">
        <f aca="true">IF(AND($A13&lt;&gt;"",$B13&lt;&gt;""),COUNTIFS('Activity Log'!$E$5:$E$3004,$A13,'Activity Log'!$F$5:$F$3004,$B13,'Activity Log'!$A$5:$A$3004,"&gt;="&amp;(TODAY()-29),'Activity Log'!$A$5:$A$3004,"&lt;="&amp;TODAY()),"")</f>
        <v>0</v>
      </c>
    </row>
    <row r="14" customFormat="false" ht="15" hidden="false" customHeight="false" outlineLevel="0" collapsed="false">
      <c r="A14" s="42" t="s">
        <v>96</v>
      </c>
      <c r="B14" s="42" t="s">
        <v>174</v>
      </c>
      <c r="C14" s="43" t="n">
        <f aca="false">IF(AND($A14&lt;&gt;"",$B14&lt;&gt;""),COUNTIFS('Leads Pipeline'!$D$5:$D$1004,$A14,'Leads Pipeline'!$E$5:$E$1004,$B14,'Leads Pipeline'!$F$5:$F$1004,"&lt;&gt;"),"")</f>
        <v>0</v>
      </c>
      <c r="D14" s="43" t="n">
        <f aca="false">IF(AND($A14&lt;&gt;"",$B14&lt;&gt;""),COUNTIFS('Leads Pipeline'!$D$5:$D$1004,$A14,'Leads Pipeline'!$E$5:$E$1004,$B14,'Leads Pipeline'!$F$5:$F$1004,"&lt;&gt;",'Leads Pipeline'!$O$5:$O$1004,"&lt;&gt;Won",'Leads Pipeline'!$O$5:$O$1004,"&lt;&gt;Lost"),"")</f>
        <v>0</v>
      </c>
      <c r="E14" s="43" t="n">
        <f aca="false">IF(AND($A14&lt;&gt;"",$B14&lt;&gt;""),COUNTIFS('Leads Pipeline'!$D$5:$D$1004,$A14,'Leads Pipeline'!$E$5:$E$1004,$B14,'Leads Pipeline'!$P$5:$P$1004,"Hot",'Leads Pipeline'!$O$5:$O$1004,"&lt;&gt;Won",'Leads Pipeline'!$O$5:$O$1004,"&lt;&gt;Lost"),"")</f>
        <v>0</v>
      </c>
      <c r="F14" s="43" t="n">
        <f aca="false">IF(AND($A14&lt;&gt;"",$B14&lt;&gt;""),COUNTIFS('Leads Pipeline'!$D$5:$D$1004,$A14,'Leads Pipeline'!$E$5:$E$1004,$B14,'Leads Pipeline'!$O$5:$O$1004,"Won"),"")</f>
        <v>0</v>
      </c>
      <c r="G14" s="44" t="n">
        <f aca="false">IF(AND($A14&lt;&gt;"",$B14&lt;&gt;""),SUMIFS('Leads Pipeline'!$U$5:$U$1004,'Leads Pipeline'!$D$5:$D$1004,$A14,'Leads Pipeline'!$E$5:$E$1004,$B14,'Leads Pipeline'!$O$5:$O$1004,"&lt;&gt;Won",'Leads Pipeline'!$O$5:$O$1004,"&lt;&gt;Lost"),"")</f>
        <v>0</v>
      </c>
      <c r="H14" s="43" t="n">
        <f aca="false">IF(AND($A14&lt;&gt;"",$B14&lt;&gt;""),COUNTIFS('Active Clients'!$B$5:$B$504,$A14,'Active Clients'!$C$5:$C$504,$B14,'Active Clients'!$T$5:$T$504,"Active"),"")</f>
        <v>0</v>
      </c>
      <c r="I14" s="44" t="n">
        <f aca="false">IF(AND($A14&lt;&gt;"",$B14&lt;&gt;""),SUMIFS('Active Clients'!$R$5:$R$504,'Active Clients'!$B$5:$B$504,$A14,'Active Clients'!$C$5:$C$504,$B14),"")</f>
        <v>0</v>
      </c>
      <c r="J14" s="43" t="n">
        <f aca="true">IF(AND($A14&lt;&gt;"",$B14&lt;&gt;""),COUNTIFS('Activity Log'!$E$5:$E$3004,$A14,'Activity Log'!$F$5:$F$3004,$B14,'Activity Log'!$A$5:$A$3004,"&gt;="&amp;(TODAY()-29),'Activity Log'!$A$5:$A$3004,"&lt;="&amp;TODAY()),"")</f>
        <v>0</v>
      </c>
    </row>
    <row r="15" customFormat="false" ht="15" hidden="false" customHeight="false" outlineLevel="0" collapsed="false">
      <c r="A15" s="42" t="s">
        <v>96</v>
      </c>
      <c r="B15" s="42" t="s">
        <v>175</v>
      </c>
      <c r="C15" s="43" t="n">
        <f aca="false">IF(AND($A15&lt;&gt;"",$B15&lt;&gt;""),COUNTIFS('Leads Pipeline'!$D$5:$D$1004,$A15,'Leads Pipeline'!$E$5:$E$1004,$B15,'Leads Pipeline'!$F$5:$F$1004,"&lt;&gt;"),"")</f>
        <v>0</v>
      </c>
      <c r="D15" s="43" t="n">
        <f aca="false">IF(AND($A15&lt;&gt;"",$B15&lt;&gt;""),COUNTIFS('Leads Pipeline'!$D$5:$D$1004,$A15,'Leads Pipeline'!$E$5:$E$1004,$B15,'Leads Pipeline'!$F$5:$F$1004,"&lt;&gt;",'Leads Pipeline'!$O$5:$O$1004,"&lt;&gt;Won",'Leads Pipeline'!$O$5:$O$1004,"&lt;&gt;Lost"),"")</f>
        <v>0</v>
      </c>
      <c r="E15" s="43" t="n">
        <f aca="false">IF(AND($A15&lt;&gt;"",$B15&lt;&gt;""),COUNTIFS('Leads Pipeline'!$D$5:$D$1004,$A15,'Leads Pipeline'!$E$5:$E$1004,$B15,'Leads Pipeline'!$P$5:$P$1004,"Hot",'Leads Pipeline'!$O$5:$O$1004,"&lt;&gt;Won",'Leads Pipeline'!$O$5:$O$1004,"&lt;&gt;Lost"),"")</f>
        <v>0</v>
      </c>
      <c r="F15" s="43" t="n">
        <f aca="false">IF(AND($A15&lt;&gt;"",$B15&lt;&gt;""),COUNTIFS('Leads Pipeline'!$D$5:$D$1004,$A15,'Leads Pipeline'!$E$5:$E$1004,$B15,'Leads Pipeline'!$O$5:$O$1004,"Won"),"")</f>
        <v>0</v>
      </c>
      <c r="G15" s="44" t="n">
        <f aca="false">IF(AND($A15&lt;&gt;"",$B15&lt;&gt;""),SUMIFS('Leads Pipeline'!$U$5:$U$1004,'Leads Pipeline'!$D$5:$D$1004,$A15,'Leads Pipeline'!$E$5:$E$1004,$B15,'Leads Pipeline'!$O$5:$O$1004,"&lt;&gt;Won",'Leads Pipeline'!$O$5:$O$1004,"&lt;&gt;Lost"),"")</f>
        <v>0</v>
      </c>
      <c r="H15" s="43" t="n">
        <f aca="false">IF(AND($A15&lt;&gt;"",$B15&lt;&gt;""),COUNTIFS('Active Clients'!$B$5:$B$504,$A15,'Active Clients'!$C$5:$C$504,$B15,'Active Clients'!$T$5:$T$504,"Active"),"")</f>
        <v>0</v>
      </c>
      <c r="I15" s="44" t="n">
        <f aca="false">IF(AND($A15&lt;&gt;"",$B15&lt;&gt;""),SUMIFS('Active Clients'!$R$5:$R$504,'Active Clients'!$B$5:$B$504,$A15,'Active Clients'!$C$5:$C$504,$B15),"")</f>
        <v>0</v>
      </c>
      <c r="J15" s="43" t="n">
        <f aca="true">IF(AND($A15&lt;&gt;"",$B15&lt;&gt;""),COUNTIFS('Activity Log'!$E$5:$E$3004,$A15,'Activity Log'!$F$5:$F$3004,$B15,'Activity Log'!$A$5:$A$3004,"&gt;="&amp;(TODAY()-29),'Activity Log'!$A$5:$A$3004,"&lt;="&amp;TODAY()),"")</f>
        <v>0</v>
      </c>
    </row>
    <row r="16" customFormat="false" ht="15" hidden="false" customHeight="false" outlineLevel="0" collapsed="false">
      <c r="A16" s="42" t="s">
        <v>96</v>
      </c>
      <c r="B16" s="42" t="s">
        <v>176</v>
      </c>
      <c r="C16" s="43" t="n">
        <f aca="false">IF(AND($A16&lt;&gt;"",$B16&lt;&gt;""),COUNTIFS('Leads Pipeline'!$D$5:$D$1004,$A16,'Leads Pipeline'!$E$5:$E$1004,$B16,'Leads Pipeline'!$F$5:$F$1004,"&lt;&gt;"),"")</f>
        <v>0</v>
      </c>
      <c r="D16" s="43" t="n">
        <f aca="false">IF(AND($A16&lt;&gt;"",$B16&lt;&gt;""),COUNTIFS('Leads Pipeline'!$D$5:$D$1004,$A16,'Leads Pipeline'!$E$5:$E$1004,$B16,'Leads Pipeline'!$F$5:$F$1004,"&lt;&gt;",'Leads Pipeline'!$O$5:$O$1004,"&lt;&gt;Won",'Leads Pipeline'!$O$5:$O$1004,"&lt;&gt;Lost"),"")</f>
        <v>0</v>
      </c>
      <c r="E16" s="43" t="n">
        <f aca="false">IF(AND($A16&lt;&gt;"",$B16&lt;&gt;""),COUNTIFS('Leads Pipeline'!$D$5:$D$1004,$A16,'Leads Pipeline'!$E$5:$E$1004,$B16,'Leads Pipeline'!$P$5:$P$1004,"Hot",'Leads Pipeline'!$O$5:$O$1004,"&lt;&gt;Won",'Leads Pipeline'!$O$5:$O$1004,"&lt;&gt;Lost"),"")</f>
        <v>0</v>
      </c>
      <c r="F16" s="43" t="n">
        <f aca="false">IF(AND($A16&lt;&gt;"",$B16&lt;&gt;""),COUNTIFS('Leads Pipeline'!$D$5:$D$1004,$A16,'Leads Pipeline'!$E$5:$E$1004,$B16,'Leads Pipeline'!$O$5:$O$1004,"Won"),"")</f>
        <v>0</v>
      </c>
      <c r="G16" s="44" t="n">
        <f aca="false">IF(AND($A16&lt;&gt;"",$B16&lt;&gt;""),SUMIFS('Leads Pipeline'!$U$5:$U$1004,'Leads Pipeline'!$D$5:$D$1004,$A16,'Leads Pipeline'!$E$5:$E$1004,$B16,'Leads Pipeline'!$O$5:$O$1004,"&lt;&gt;Won",'Leads Pipeline'!$O$5:$O$1004,"&lt;&gt;Lost"),"")</f>
        <v>0</v>
      </c>
      <c r="H16" s="43" t="n">
        <f aca="false">IF(AND($A16&lt;&gt;"",$B16&lt;&gt;""),COUNTIFS('Active Clients'!$B$5:$B$504,$A16,'Active Clients'!$C$5:$C$504,$B16,'Active Clients'!$T$5:$T$504,"Active"),"")</f>
        <v>0</v>
      </c>
      <c r="I16" s="44" t="n">
        <f aca="false">IF(AND($A16&lt;&gt;"",$B16&lt;&gt;""),SUMIFS('Active Clients'!$R$5:$R$504,'Active Clients'!$B$5:$B$504,$A16,'Active Clients'!$C$5:$C$504,$B16),"")</f>
        <v>0</v>
      </c>
      <c r="J16" s="43" t="n">
        <f aca="true">IF(AND($A16&lt;&gt;"",$B16&lt;&gt;""),COUNTIFS('Activity Log'!$E$5:$E$3004,$A16,'Activity Log'!$F$5:$F$3004,$B16,'Activity Log'!$A$5:$A$3004,"&gt;="&amp;(TODAY()-29),'Activity Log'!$A$5:$A$3004,"&lt;="&amp;TODAY()),"")</f>
        <v>0</v>
      </c>
    </row>
    <row r="17" customFormat="false" ht="15" hidden="false" customHeight="false" outlineLevel="0" collapsed="false">
      <c r="A17" s="42" t="s">
        <v>106</v>
      </c>
      <c r="B17" s="42" t="s">
        <v>177</v>
      </c>
      <c r="C17" s="43" t="n">
        <f aca="false">IF(AND($A17&lt;&gt;"",$B17&lt;&gt;""),COUNTIFS('Leads Pipeline'!$D$5:$D$1004,$A17,'Leads Pipeline'!$E$5:$E$1004,$B17,'Leads Pipeline'!$F$5:$F$1004,"&lt;&gt;"),"")</f>
        <v>0</v>
      </c>
      <c r="D17" s="43" t="n">
        <f aca="false">IF(AND($A17&lt;&gt;"",$B17&lt;&gt;""),COUNTIFS('Leads Pipeline'!$D$5:$D$1004,$A17,'Leads Pipeline'!$E$5:$E$1004,$B17,'Leads Pipeline'!$F$5:$F$1004,"&lt;&gt;",'Leads Pipeline'!$O$5:$O$1004,"&lt;&gt;Won",'Leads Pipeline'!$O$5:$O$1004,"&lt;&gt;Lost"),"")</f>
        <v>0</v>
      </c>
      <c r="E17" s="43" t="n">
        <f aca="false">IF(AND($A17&lt;&gt;"",$B17&lt;&gt;""),COUNTIFS('Leads Pipeline'!$D$5:$D$1004,$A17,'Leads Pipeline'!$E$5:$E$1004,$B17,'Leads Pipeline'!$P$5:$P$1004,"Hot",'Leads Pipeline'!$O$5:$O$1004,"&lt;&gt;Won",'Leads Pipeline'!$O$5:$O$1004,"&lt;&gt;Lost"),"")</f>
        <v>0</v>
      </c>
      <c r="F17" s="43" t="n">
        <f aca="false">IF(AND($A17&lt;&gt;"",$B17&lt;&gt;""),COUNTIFS('Leads Pipeline'!$D$5:$D$1004,$A17,'Leads Pipeline'!$E$5:$E$1004,$B17,'Leads Pipeline'!$O$5:$O$1004,"Won"),"")</f>
        <v>0</v>
      </c>
      <c r="G17" s="44" t="n">
        <f aca="false">IF(AND($A17&lt;&gt;"",$B17&lt;&gt;""),SUMIFS('Leads Pipeline'!$U$5:$U$1004,'Leads Pipeline'!$D$5:$D$1004,$A17,'Leads Pipeline'!$E$5:$E$1004,$B17,'Leads Pipeline'!$O$5:$O$1004,"&lt;&gt;Won",'Leads Pipeline'!$O$5:$O$1004,"&lt;&gt;Lost"),"")</f>
        <v>0</v>
      </c>
      <c r="H17" s="43" t="n">
        <f aca="false">IF(AND($A17&lt;&gt;"",$B17&lt;&gt;""),COUNTIFS('Active Clients'!$B$5:$B$504,$A17,'Active Clients'!$C$5:$C$504,$B17,'Active Clients'!$T$5:$T$504,"Active"),"")</f>
        <v>0</v>
      </c>
      <c r="I17" s="44" t="n">
        <f aca="false">IF(AND($A17&lt;&gt;"",$B17&lt;&gt;""),SUMIFS('Active Clients'!$R$5:$R$504,'Active Clients'!$B$5:$B$504,$A17,'Active Clients'!$C$5:$C$504,$B17),"")</f>
        <v>0</v>
      </c>
      <c r="J17" s="43" t="n">
        <f aca="true">IF(AND($A17&lt;&gt;"",$B17&lt;&gt;""),COUNTIFS('Activity Log'!$E$5:$E$3004,$A17,'Activity Log'!$F$5:$F$3004,$B17,'Activity Log'!$A$5:$A$3004,"&gt;="&amp;(TODAY()-29),'Activity Log'!$A$5:$A$3004,"&lt;="&amp;TODAY()),"")</f>
        <v>0</v>
      </c>
    </row>
    <row r="18" customFormat="false" ht="15" hidden="false" customHeight="false" outlineLevel="0" collapsed="false">
      <c r="A18" s="42" t="s">
        <v>106</v>
      </c>
      <c r="B18" s="42" t="s">
        <v>178</v>
      </c>
      <c r="C18" s="43" t="n">
        <f aca="false">IF(AND($A18&lt;&gt;"",$B18&lt;&gt;""),COUNTIFS('Leads Pipeline'!$D$5:$D$1004,$A18,'Leads Pipeline'!$E$5:$E$1004,$B18,'Leads Pipeline'!$F$5:$F$1004,"&lt;&gt;"),"")</f>
        <v>0</v>
      </c>
      <c r="D18" s="43" t="n">
        <f aca="false">IF(AND($A18&lt;&gt;"",$B18&lt;&gt;""),COUNTIFS('Leads Pipeline'!$D$5:$D$1004,$A18,'Leads Pipeline'!$E$5:$E$1004,$B18,'Leads Pipeline'!$F$5:$F$1004,"&lt;&gt;",'Leads Pipeline'!$O$5:$O$1004,"&lt;&gt;Won",'Leads Pipeline'!$O$5:$O$1004,"&lt;&gt;Lost"),"")</f>
        <v>0</v>
      </c>
      <c r="E18" s="43" t="n">
        <f aca="false">IF(AND($A18&lt;&gt;"",$B18&lt;&gt;""),COUNTIFS('Leads Pipeline'!$D$5:$D$1004,$A18,'Leads Pipeline'!$E$5:$E$1004,$B18,'Leads Pipeline'!$P$5:$P$1004,"Hot",'Leads Pipeline'!$O$5:$O$1004,"&lt;&gt;Won",'Leads Pipeline'!$O$5:$O$1004,"&lt;&gt;Lost"),"")</f>
        <v>0</v>
      </c>
      <c r="F18" s="43" t="n">
        <f aca="false">IF(AND($A18&lt;&gt;"",$B18&lt;&gt;""),COUNTIFS('Leads Pipeline'!$D$5:$D$1004,$A18,'Leads Pipeline'!$E$5:$E$1004,$B18,'Leads Pipeline'!$O$5:$O$1004,"Won"),"")</f>
        <v>0</v>
      </c>
      <c r="G18" s="44" t="n">
        <f aca="false">IF(AND($A18&lt;&gt;"",$B18&lt;&gt;""),SUMIFS('Leads Pipeline'!$U$5:$U$1004,'Leads Pipeline'!$D$5:$D$1004,$A18,'Leads Pipeline'!$E$5:$E$1004,$B18,'Leads Pipeline'!$O$5:$O$1004,"&lt;&gt;Won",'Leads Pipeline'!$O$5:$O$1004,"&lt;&gt;Lost"),"")</f>
        <v>0</v>
      </c>
      <c r="H18" s="43" t="n">
        <f aca="false">IF(AND($A18&lt;&gt;"",$B18&lt;&gt;""),COUNTIFS('Active Clients'!$B$5:$B$504,$A18,'Active Clients'!$C$5:$C$504,$B18,'Active Clients'!$T$5:$T$504,"Active"),"")</f>
        <v>0</v>
      </c>
      <c r="I18" s="44" t="n">
        <f aca="false">IF(AND($A18&lt;&gt;"",$B18&lt;&gt;""),SUMIFS('Active Clients'!$R$5:$R$504,'Active Clients'!$B$5:$B$504,$A18,'Active Clients'!$C$5:$C$504,$B18),"")</f>
        <v>0</v>
      </c>
      <c r="J18" s="43" t="n">
        <f aca="true">IF(AND($A18&lt;&gt;"",$B18&lt;&gt;""),COUNTIFS('Activity Log'!$E$5:$E$3004,$A18,'Activity Log'!$F$5:$F$3004,$B18,'Activity Log'!$A$5:$A$3004,"&gt;="&amp;(TODAY()-29),'Activity Log'!$A$5:$A$3004,"&lt;="&amp;TODAY()),"")</f>
        <v>0</v>
      </c>
    </row>
    <row r="19" customFormat="false" ht="15" hidden="false" customHeight="false" outlineLevel="0" collapsed="false">
      <c r="A19" s="42" t="s">
        <v>106</v>
      </c>
      <c r="B19" s="42" t="s">
        <v>179</v>
      </c>
      <c r="C19" s="43" t="n">
        <f aca="false">IF(AND($A19&lt;&gt;"",$B19&lt;&gt;""),COUNTIFS('Leads Pipeline'!$D$5:$D$1004,$A19,'Leads Pipeline'!$E$5:$E$1004,$B19,'Leads Pipeline'!$F$5:$F$1004,"&lt;&gt;"),"")</f>
        <v>0</v>
      </c>
      <c r="D19" s="43" t="n">
        <f aca="false">IF(AND($A19&lt;&gt;"",$B19&lt;&gt;""),COUNTIFS('Leads Pipeline'!$D$5:$D$1004,$A19,'Leads Pipeline'!$E$5:$E$1004,$B19,'Leads Pipeline'!$F$5:$F$1004,"&lt;&gt;",'Leads Pipeline'!$O$5:$O$1004,"&lt;&gt;Won",'Leads Pipeline'!$O$5:$O$1004,"&lt;&gt;Lost"),"")</f>
        <v>0</v>
      </c>
      <c r="E19" s="43" t="n">
        <f aca="false">IF(AND($A19&lt;&gt;"",$B19&lt;&gt;""),COUNTIFS('Leads Pipeline'!$D$5:$D$1004,$A19,'Leads Pipeline'!$E$5:$E$1004,$B19,'Leads Pipeline'!$P$5:$P$1004,"Hot",'Leads Pipeline'!$O$5:$O$1004,"&lt;&gt;Won",'Leads Pipeline'!$O$5:$O$1004,"&lt;&gt;Lost"),"")</f>
        <v>0</v>
      </c>
      <c r="F19" s="43" t="n">
        <f aca="false">IF(AND($A19&lt;&gt;"",$B19&lt;&gt;""),COUNTIFS('Leads Pipeline'!$D$5:$D$1004,$A19,'Leads Pipeline'!$E$5:$E$1004,$B19,'Leads Pipeline'!$O$5:$O$1004,"Won"),"")</f>
        <v>0</v>
      </c>
      <c r="G19" s="44" t="n">
        <f aca="false">IF(AND($A19&lt;&gt;"",$B19&lt;&gt;""),SUMIFS('Leads Pipeline'!$U$5:$U$1004,'Leads Pipeline'!$D$5:$D$1004,$A19,'Leads Pipeline'!$E$5:$E$1004,$B19,'Leads Pipeline'!$O$5:$O$1004,"&lt;&gt;Won",'Leads Pipeline'!$O$5:$O$1004,"&lt;&gt;Lost"),"")</f>
        <v>0</v>
      </c>
      <c r="H19" s="43" t="n">
        <f aca="false">IF(AND($A19&lt;&gt;"",$B19&lt;&gt;""),COUNTIFS('Active Clients'!$B$5:$B$504,$A19,'Active Clients'!$C$5:$C$504,$B19,'Active Clients'!$T$5:$T$504,"Active"),"")</f>
        <v>0</v>
      </c>
      <c r="I19" s="44" t="n">
        <f aca="false">IF(AND($A19&lt;&gt;"",$B19&lt;&gt;""),SUMIFS('Active Clients'!$R$5:$R$504,'Active Clients'!$B$5:$B$504,$A19,'Active Clients'!$C$5:$C$504,$B19),"")</f>
        <v>0</v>
      </c>
      <c r="J19" s="43" t="n">
        <f aca="true">IF(AND($A19&lt;&gt;"",$B19&lt;&gt;""),COUNTIFS('Activity Log'!$E$5:$E$3004,$A19,'Activity Log'!$F$5:$F$3004,$B19,'Activity Log'!$A$5:$A$3004,"&gt;="&amp;(TODAY()-29),'Activity Log'!$A$5:$A$3004,"&lt;="&amp;TODAY()),"")</f>
        <v>0</v>
      </c>
    </row>
    <row r="20" customFormat="false" ht="15" hidden="false" customHeight="false" outlineLevel="0" collapsed="false">
      <c r="A20" s="42" t="s">
        <v>115</v>
      </c>
      <c r="B20" s="42" t="s">
        <v>180</v>
      </c>
      <c r="C20" s="43" t="n">
        <f aca="false">IF(AND($A20&lt;&gt;"",$B20&lt;&gt;""),COUNTIFS('Leads Pipeline'!$D$5:$D$1004,$A20,'Leads Pipeline'!$E$5:$E$1004,$B20,'Leads Pipeline'!$F$5:$F$1004,"&lt;&gt;"),"")</f>
        <v>0</v>
      </c>
      <c r="D20" s="43" t="n">
        <f aca="false">IF(AND($A20&lt;&gt;"",$B20&lt;&gt;""),COUNTIFS('Leads Pipeline'!$D$5:$D$1004,$A20,'Leads Pipeline'!$E$5:$E$1004,$B20,'Leads Pipeline'!$F$5:$F$1004,"&lt;&gt;",'Leads Pipeline'!$O$5:$O$1004,"&lt;&gt;Won",'Leads Pipeline'!$O$5:$O$1004,"&lt;&gt;Lost"),"")</f>
        <v>0</v>
      </c>
      <c r="E20" s="43" t="n">
        <f aca="false">IF(AND($A20&lt;&gt;"",$B20&lt;&gt;""),COUNTIFS('Leads Pipeline'!$D$5:$D$1004,$A20,'Leads Pipeline'!$E$5:$E$1004,$B20,'Leads Pipeline'!$P$5:$P$1004,"Hot",'Leads Pipeline'!$O$5:$O$1004,"&lt;&gt;Won",'Leads Pipeline'!$O$5:$O$1004,"&lt;&gt;Lost"),"")</f>
        <v>0</v>
      </c>
      <c r="F20" s="43" t="n">
        <f aca="false">IF(AND($A20&lt;&gt;"",$B20&lt;&gt;""),COUNTIFS('Leads Pipeline'!$D$5:$D$1004,$A20,'Leads Pipeline'!$E$5:$E$1004,$B20,'Leads Pipeline'!$O$5:$O$1004,"Won"),"")</f>
        <v>0</v>
      </c>
      <c r="G20" s="44" t="n">
        <f aca="false">IF(AND($A20&lt;&gt;"",$B20&lt;&gt;""),SUMIFS('Leads Pipeline'!$U$5:$U$1004,'Leads Pipeline'!$D$5:$D$1004,$A20,'Leads Pipeline'!$E$5:$E$1004,$B20,'Leads Pipeline'!$O$5:$O$1004,"&lt;&gt;Won",'Leads Pipeline'!$O$5:$O$1004,"&lt;&gt;Lost"),"")</f>
        <v>0</v>
      </c>
      <c r="H20" s="43" t="n">
        <f aca="false">IF(AND($A20&lt;&gt;"",$B20&lt;&gt;""),COUNTIFS('Active Clients'!$B$5:$B$504,$A20,'Active Clients'!$C$5:$C$504,$B20,'Active Clients'!$T$5:$T$504,"Active"),"")</f>
        <v>0</v>
      </c>
      <c r="I20" s="44" t="n">
        <f aca="false">IF(AND($A20&lt;&gt;"",$B20&lt;&gt;""),SUMIFS('Active Clients'!$R$5:$R$504,'Active Clients'!$B$5:$B$504,$A20,'Active Clients'!$C$5:$C$504,$B20),"")</f>
        <v>0</v>
      </c>
      <c r="J20" s="43" t="n">
        <f aca="true">IF(AND($A20&lt;&gt;"",$B20&lt;&gt;""),COUNTIFS('Activity Log'!$E$5:$E$3004,$A20,'Activity Log'!$F$5:$F$3004,$B20,'Activity Log'!$A$5:$A$3004,"&gt;="&amp;(TODAY()-29),'Activity Log'!$A$5:$A$3004,"&lt;="&amp;TODAY()),"")</f>
        <v>0</v>
      </c>
    </row>
    <row r="21" customFormat="false" ht="15" hidden="false" customHeight="false" outlineLevel="0" collapsed="false">
      <c r="A21" s="42" t="s">
        <v>123</v>
      </c>
      <c r="B21" s="42" t="s">
        <v>181</v>
      </c>
      <c r="C21" s="43" t="n">
        <f aca="false">IF(AND($A21&lt;&gt;"",$B21&lt;&gt;""),COUNTIFS('Leads Pipeline'!$D$5:$D$1004,$A21,'Leads Pipeline'!$E$5:$E$1004,$B21,'Leads Pipeline'!$F$5:$F$1004,"&lt;&gt;"),"")</f>
        <v>0</v>
      </c>
      <c r="D21" s="43" t="n">
        <f aca="false">IF(AND($A21&lt;&gt;"",$B21&lt;&gt;""),COUNTIFS('Leads Pipeline'!$D$5:$D$1004,$A21,'Leads Pipeline'!$E$5:$E$1004,$B21,'Leads Pipeline'!$F$5:$F$1004,"&lt;&gt;",'Leads Pipeline'!$O$5:$O$1004,"&lt;&gt;Won",'Leads Pipeline'!$O$5:$O$1004,"&lt;&gt;Lost"),"")</f>
        <v>0</v>
      </c>
      <c r="E21" s="43" t="n">
        <f aca="false">IF(AND($A21&lt;&gt;"",$B21&lt;&gt;""),COUNTIFS('Leads Pipeline'!$D$5:$D$1004,$A21,'Leads Pipeline'!$E$5:$E$1004,$B21,'Leads Pipeline'!$P$5:$P$1004,"Hot",'Leads Pipeline'!$O$5:$O$1004,"&lt;&gt;Won",'Leads Pipeline'!$O$5:$O$1004,"&lt;&gt;Lost"),"")</f>
        <v>0</v>
      </c>
      <c r="F21" s="43" t="n">
        <f aca="false">IF(AND($A21&lt;&gt;"",$B21&lt;&gt;""),COUNTIFS('Leads Pipeline'!$D$5:$D$1004,$A21,'Leads Pipeline'!$E$5:$E$1004,$B21,'Leads Pipeline'!$O$5:$O$1004,"Won"),"")</f>
        <v>0</v>
      </c>
      <c r="G21" s="44" t="n">
        <f aca="false">IF(AND($A21&lt;&gt;"",$B21&lt;&gt;""),SUMIFS('Leads Pipeline'!$U$5:$U$1004,'Leads Pipeline'!$D$5:$D$1004,$A21,'Leads Pipeline'!$E$5:$E$1004,$B21,'Leads Pipeline'!$O$5:$O$1004,"&lt;&gt;Won",'Leads Pipeline'!$O$5:$O$1004,"&lt;&gt;Lost"),"")</f>
        <v>0</v>
      </c>
      <c r="H21" s="43" t="n">
        <f aca="false">IF(AND($A21&lt;&gt;"",$B21&lt;&gt;""),COUNTIFS('Active Clients'!$B$5:$B$504,$A21,'Active Clients'!$C$5:$C$504,$B21,'Active Clients'!$T$5:$T$504,"Active"),"")</f>
        <v>0</v>
      </c>
      <c r="I21" s="44" t="n">
        <f aca="false">IF(AND($A21&lt;&gt;"",$B21&lt;&gt;""),SUMIFS('Active Clients'!$R$5:$R$504,'Active Clients'!$B$5:$B$504,$A21,'Active Clients'!$C$5:$C$504,$B21),"")</f>
        <v>0</v>
      </c>
      <c r="J21" s="43" t="n">
        <f aca="true">IF(AND($A21&lt;&gt;"",$B21&lt;&gt;""),COUNTIFS('Activity Log'!$E$5:$E$3004,$A21,'Activity Log'!$F$5:$F$3004,$B21,'Activity Log'!$A$5:$A$3004,"&gt;="&amp;(TODAY()-29),'Activity Log'!$A$5:$A$3004,"&lt;="&amp;TODAY()),"")</f>
        <v>0</v>
      </c>
    </row>
    <row r="22" customFormat="false" ht="15" hidden="false" customHeight="false" outlineLevel="0" collapsed="false">
      <c r="A22" s="42" t="s">
        <v>129</v>
      </c>
      <c r="B22" s="42" t="s">
        <v>182</v>
      </c>
      <c r="C22" s="43" t="n">
        <f aca="false">IF(AND($A22&lt;&gt;"",$B22&lt;&gt;""),COUNTIFS('Leads Pipeline'!$D$5:$D$1004,$A22,'Leads Pipeline'!$E$5:$E$1004,$B22,'Leads Pipeline'!$F$5:$F$1004,"&lt;&gt;"),"")</f>
        <v>0</v>
      </c>
      <c r="D22" s="43" t="n">
        <f aca="false">IF(AND($A22&lt;&gt;"",$B22&lt;&gt;""),COUNTIFS('Leads Pipeline'!$D$5:$D$1004,$A22,'Leads Pipeline'!$E$5:$E$1004,$B22,'Leads Pipeline'!$F$5:$F$1004,"&lt;&gt;",'Leads Pipeline'!$O$5:$O$1004,"&lt;&gt;Won",'Leads Pipeline'!$O$5:$O$1004,"&lt;&gt;Lost"),"")</f>
        <v>0</v>
      </c>
      <c r="E22" s="43" t="n">
        <f aca="false">IF(AND($A22&lt;&gt;"",$B22&lt;&gt;""),COUNTIFS('Leads Pipeline'!$D$5:$D$1004,$A22,'Leads Pipeline'!$E$5:$E$1004,$B22,'Leads Pipeline'!$P$5:$P$1004,"Hot",'Leads Pipeline'!$O$5:$O$1004,"&lt;&gt;Won",'Leads Pipeline'!$O$5:$O$1004,"&lt;&gt;Lost"),"")</f>
        <v>0</v>
      </c>
      <c r="F22" s="43" t="n">
        <f aca="false">IF(AND($A22&lt;&gt;"",$B22&lt;&gt;""),COUNTIFS('Leads Pipeline'!$D$5:$D$1004,$A22,'Leads Pipeline'!$E$5:$E$1004,$B22,'Leads Pipeline'!$O$5:$O$1004,"Won"),"")</f>
        <v>0</v>
      </c>
      <c r="G22" s="44" t="n">
        <f aca="false">IF(AND($A22&lt;&gt;"",$B22&lt;&gt;""),SUMIFS('Leads Pipeline'!$U$5:$U$1004,'Leads Pipeline'!$D$5:$D$1004,$A22,'Leads Pipeline'!$E$5:$E$1004,$B22,'Leads Pipeline'!$O$5:$O$1004,"&lt;&gt;Won",'Leads Pipeline'!$O$5:$O$1004,"&lt;&gt;Lost"),"")</f>
        <v>0</v>
      </c>
      <c r="H22" s="43" t="n">
        <f aca="false">IF(AND($A22&lt;&gt;"",$B22&lt;&gt;""),COUNTIFS('Active Clients'!$B$5:$B$504,$A22,'Active Clients'!$C$5:$C$504,$B22,'Active Clients'!$T$5:$T$504,"Active"),"")</f>
        <v>0</v>
      </c>
      <c r="I22" s="44" t="n">
        <f aca="false">IF(AND($A22&lt;&gt;"",$B22&lt;&gt;""),SUMIFS('Active Clients'!$R$5:$R$504,'Active Clients'!$B$5:$B$504,$A22,'Active Clients'!$C$5:$C$504,$B22),"")</f>
        <v>0</v>
      </c>
      <c r="J22" s="43" t="n">
        <f aca="true">IF(AND($A22&lt;&gt;"",$B22&lt;&gt;""),COUNTIFS('Activity Log'!$E$5:$E$3004,$A22,'Activity Log'!$F$5:$F$3004,$B22,'Activity Log'!$A$5:$A$3004,"&gt;="&amp;(TODAY()-29),'Activity Log'!$A$5:$A$3004,"&lt;="&amp;TODAY()),"")</f>
        <v>0</v>
      </c>
    </row>
    <row r="23" customFormat="false" ht="15" hidden="false" customHeight="false" outlineLevel="0" collapsed="false">
      <c r="A23" s="42" t="s">
        <v>135</v>
      </c>
      <c r="B23" s="42" t="s">
        <v>183</v>
      </c>
      <c r="C23" s="43" t="n">
        <f aca="false">IF(AND($A23&lt;&gt;"",$B23&lt;&gt;""),COUNTIFS('Leads Pipeline'!$D$5:$D$1004,$A23,'Leads Pipeline'!$E$5:$E$1004,$B23,'Leads Pipeline'!$F$5:$F$1004,"&lt;&gt;"),"")</f>
        <v>0</v>
      </c>
      <c r="D23" s="43" t="n">
        <f aca="false">IF(AND($A23&lt;&gt;"",$B23&lt;&gt;""),COUNTIFS('Leads Pipeline'!$D$5:$D$1004,$A23,'Leads Pipeline'!$E$5:$E$1004,$B23,'Leads Pipeline'!$F$5:$F$1004,"&lt;&gt;",'Leads Pipeline'!$O$5:$O$1004,"&lt;&gt;Won",'Leads Pipeline'!$O$5:$O$1004,"&lt;&gt;Lost"),"")</f>
        <v>0</v>
      </c>
      <c r="E23" s="43" t="n">
        <f aca="false">IF(AND($A23&lt;&gt;"",$B23&lt;&gt;""),COUNTIFS('Leads Pipeline'!$D$5:$D$1004,$A23,'Leads Pipeline'!$E$5:$E$1004,$B23,'Leads Pipeline'!$P$5:$P$1004,"Hot",'Leads Pipeline'!$O$5:$O$1004,"&lt;&gt;Won",'Leads Pipeline'!$O$5:$O$1004,"&lt;&gt;Lost"),"")</f>
        <v>0</v>
      </c>
      <c r="F23" s="43" t="n">
        <f aca="false">IF(AND($A23&lt;&gt;"",$B23&lt;&gt;""),COUNTIFS('Leads Pipeline'!$D$5:$D$1004,$A23,'Leads Pipeline'!$E$5:$E$1004,$B23,'Leads Pipeline'!$O$5:$O$1004,"Won"),"")</f>
        <v>0</v>
      </c>
      <c r="G23" s="44" t="n">
        <f aca="false">IF(AND($A23&lt;&gt;"",$B23&lt;&gt;""),SUMIFS('Leads Pipeline'!$U$5:$U$1004,'Leads Pipeline'!$D$5:$D$1004,$A23,'Leads Pipeline'!$E$5:$E$1004,$B23,'Leads Pipeline'!$O$5:$O$1004,"&lt;&gt;Won",'Leads Pipeline'!$O$5:$O$1004,"&lt;&gt;Lost"),"")</f>
        <v>0</v>
      </c>
      <c r="H23" s="43" t="n">
        <f aca="false">IF(AND($A23&lt;&gt;"",$B23&lt;&gt;""),COUNTIFS('Active Clients'!$B$5:$B$504,$A23,'Active Clients'!$C$5:$C$504,$B23,'Active Clients'!$T$5:$T$504,"Active"),"")</f>
        <v>0</v>
      </c>
      <c r="I23" s="44" t="n">
        <f aca="false">IF(AND($A23&lt;&gt;"",$B23&lt;&gt;""),SUMIFS('Active Clients'!$R$5:$R$504,'Active Clients'!$B$5:$B$504,$A23,'Active Clients'!$C$5:$C$504,$B23),"")</f>
        <v>0</v>
      </c>
      <c r="J23" s="43" t="n">
        <f aca="true">IF(AND($A23&lt;&gt;"",$B23&lt;&gt;""),COUNTIFS('Activity Log'!$E$5:$E$3004,$A23,'Activity Log'!$F$5:$F$3004,$B23,'Activity Log'!$A$5:$A$3004,"&gt;="&amp;(TODAY()-29),'Activity Log'!$A$5:$A$3004,"&lt;="&amp;TODAY()),"")</f>
        <v>0</v>
      </c>
    </row>
    <row r="24" customFormat="false" ht="15" hidden="false" customHeight="false" outlineLevel="0" collapsed="false">
      <c r="A24" s="42" t="s">
        <v>135</v>
      </c>
      <c r="B24" s="42" t="s">
        <v>184</v>
      </c>
      <c r="C24" s="43" t="n">
        <f aca="false">IF(AND($A24&lt;&gt;"",$B24&lt;&gt;""),COUNTIFS('Leads Pipeline'!$D$5:$D$1004,$A24,'Leads Pipeline'!$E$5:$E$1004,$B24,'Leads Pipeline'!$F$5:$F$1004,"&lt;&gt;"),"")</f>
        <v>0</v>
      </c>
      <c r="D24" s="43" t="n">
        <f aca="false">IF(AND($A24&lt;&gt;"",$B24&lt;&gt;""),COUNTIFS('Leads Pipeline'!$D$5:$D$1004,$A24,'Leads Pipeline'!$E$5:$E$1004,$B24,'Leads Pipeline'!$F$5:$F$1004,"&lt;&gt;",'Leads Pipeline'!$O$5:$O$1004,"&lt;&gt;Won",'Leads Pipeline'!$O$5:$O$1004,"&lt;&gt;Lost"),"")</f>
        <v>0</v>
      </c>
      <c r="E24" s="43" t="n">
        <f aca="false">IF(AND($A24&lt;&gt;"",$B24&lt;&gt;""),COUNTIFS('Leads Pipeline'!$D$5:$D$1004,$A24,'Leads Pipeline'!$E$5:$E$1004,$B24,'Leads Pipeline'!$P$5:$P$1004,"Hot",'Leads Pipeline'!$O$5:$O$1004,"&lt;&gt;Won",'Leads Pipeline'!$O$5:$O$1004,"&lt;&gt;Lost"),"")</f>
        <v>0</v>
      </c>
      <c r="F24" s="43" t="n">
        <f aca="false">IF(AND($A24&lt;&gt;"",$B24&lt;&gt;""),COUNTIFS('Leads Pipeline'!$D$5:$D$1004,$A24,'Leads Pipeline'!$E$5:$E$1004,$B24,'Leads Pipeline'!$O$5:$O$1004,"Won"),"")</f>
        <v>0</v>
      </c>
      <c r="G24" s="44" t="n">
        <f aca="false">IF(AND($A24&lt;&gt;"",$B24&lt;&gt;""),SUMIFS('Leads Pipeline'!$U$5:$U$1004,'Leads Pipeline'!$D$5:$D$1004,$A24,'Leads Pipeline'!$E$5:$E$1004,$B24,'Leads Pipeline'!$O$5:$O$1004,"&lt;&gt;Won",'Leads Pipeline'!$O$5:$O$1004,"&lt;&gt;Lost"),"")</f>
        <v>0</v>
      </c>
      <c r="H24" s="43" t="n">
        <f aca="false">IF(AND($A24&lt;&gt;"",$B24&lt;&gt;""),COUNTIFS('Active Clients'!$B$5:$B$504,$A24,'Active Clients'!$C$5:$C$504,$B24,'Active Clients'!$T$5:$T$504,"Active"),"")</f>
        <v>0</v>
      </c>
      <c r="I24" s="44" t="n">
        <f aca="false">IF(AND($A24&lt;&gt;"",$B24&lt;&gt;""),SUMIFS('Active Clients'!$R$5:$R$504,'Active Clients'!$B$5:$B$504,$A24,'Active Clients'!$C$5:$C$504,$B24),"")</f>
        <v>0</v>
      </c>
      <c r="J24" s="43" t="n">
        <f aca="true">IF(AND($A24&lt;&gt;"",$B24&lt;&gt;""),COUNTIFS('Activity Log'!$E$5:$E$3004,$A24,'Activity Log'!$F$5:$F$3004,$B24,'Activity Log'!$A$5:$A$3004,"&gt;="&amp;(TODAY()-29),'Activity Log'!$A$5:$A$3004,"&lt;="&amp;TODAY()),"")</f>
        <v>0</v>
      </c>
    </row>
    <row r="25" customFormat="false" ht="15" hidden="false" customHeight="false" outlineLevel="0" collapsed="false">
      <c r="A25" s="42" t="s">
        <v>135</v>
      </c>
      <c r="B25" s="42" t="s">
        <v>185</v>
      </c>
      <c r="C25" s="43" t="n">
        <f aca="false">IF(AND($A25&lt;&gt;"",$B25&lt;&gt;""),COUNTIFS('Leads Pipeline'!$D$5:$D$1004,$A25,'Leads Pipeline'!$E$5:$E$1004,$B25,'Leads Pipeline'!$F$5:$F$1004,"&lt;&gt;"),"")</f>
        <v>0</v>
      </c>
      <c r="D25" s="43" t="n">
        <f aca="false">IF(AND($A25&lt;&gt;"",$B25&lt;&gt;""),COUNTIFS('Leads Pipeline'!$D$5:$D$1004,$A25,'Leads Pipeline'!$E$5:$E$1004,$B25,'Leads Pipeline'!$F$5:$F$1004,"&lt;&gt;",'Leads Pipeline'!$O$5:$O$1004,"&lt;&gt;Won",'Leads Pipeline'!$O$5:$O$1004,"&lt;&gt;Lost"),"")</f>
        <v>0</v>
      </c>
      <c r="E25" s="43" t="n">
        <f aca="false">IF(AND($A25&lt;&gt;"",$B25&lt;&gt;""),COUNTIFS('Leads Pipeline'!$D$5:$D$1004,$A25,'Leads Pipeline'!$E$5:$E$1004,$B25,'Leads Pipeline'!$P$5:$P$1004,"Hot",'Leads Pipeline'!$O$5:$O$1004,"&lt;&gt;Won",'Leads Pipeline'!$O$5:$O$1004,"&lt;&gt;Lost"),"")</f>
        <v>0</v>
      </c>
      <c r="F25" s="43" t="n">
        <f aca="false">IF(AND($A25&lt;&gt;"",$B25&lt;&gt;""),COUNTIFS('Leads Pipeline'!$D$5:$D$1004,$A25,'Leads Pipeline'!$E$5:$E$1004,$B25,'Leads Pipeline'!$O$5:$O$1004,"Won"),"")</f>
        <v>0</v>
      </c>
      <c r="G25" s="44" t="n">
        <f aca="false">IF(AND($A25&lt;&gt;"",$B25&lt;&gt;""),SUMIFS('Leads Pipeline'!$U$5:$U$1004,'Leads Pipeline'!$D$5:$D$1004,$A25,'Leads Pipeline'!$E$5:$E$1004,$B25,'Leads Pipeline'!$O$5:$O$1004,"&lt;&gt;Won",'Leads Pipeline'!$O$5:$O$1004,"&lt;&gt;Lost"),"")</f>
        <v>0</v>
      </c>
      <c r="H25" s="43" t="n">
        <f aca="false">IF(AND($A25&lt;&gt;"",$B25&lt;&gt;""),COUNTIFS('Active Clients'!$B$5:$B$504,$A25,'Active Clients'!$C$5:$C$504,$B25,'Active Clients'!$T$5:$T$504,"Active"),"")</f>
        <v>0</v>
      </c>
      <c r="I25" s="44" t="n">
        <f aca="false">IF(AND($A25&lt;&gt;"",$B25&lt;&gt;""),SUMIFS('Active Clients'!$R$5:$R$504,'Active Clients'!$B$5:$B$504,$A25,'Active Clients'!$C$5:$C$504,$B25),"")</f>
        <v>0</v>
      </c>
      <c r="J25" s="43" t="n">
        <f aca="true">IF(AND($A25&lt;&gt;"",$B25&lt;&gt;""),COUNTIFS('Activity Log'!$E$5:$E$3004,$A25,'Activity Log'!$F$5:$F$3004,$B25,'Activity Log'!$A$5:$A$3004,"&gt;="&amp;(TODAY()-29),'Activity Log'!$A$5:$A$3004,"&lt;="&amp;TODAY()),"")</f>
        <v>0</v>
      </c>
    </row>
    <row r="26" customFormat="false" ht="15" hidden="false" customHeight="false" outlineLevel="0" collapsed="false">
      <c r="A26" s="42" t="s">
        <v>139</v>
      </c>
      <c r="B26" s="42" t="s">
        <v>186</v>
      </c>
      <c r="C26" s="43" t="n">
        <f aca="false">IF(AND($A26&lt;&gt;"",$B26&lt;&gt;""),COUNTIFS('Leads Pipeline'!$D$5:$D$1004,$A26,'Leads Pipeline'!$E$5:$E$1004,$B26,'Leads Pipeline'!$F$5:$F$1004,"&lt;&gt;"),"")</f>
        <v>0</v>
      </c>
      <c r="D26" s="43" t="n">
        <f aca="false">IF(AND($A26&lt;&gt;"",$B26&lt;&gt;""),COUNTIFS('Leads Pipeline'!$D$5:$D$1004,$A26,'Leads Pipeline'!$E$5:$E$1004,$B26,'Leads Pipeline'!$F$5:$F$1004,"&lt;&gt;",'Leads Pipeline'!$O$5:$O$1004,"&lt;&gt;Won",'Leads Pipeline'!$O$5:$O$1004,"&lt;&gt;Lost"),"")</f>
        <v>0</v>
      </c>
      <c r="E26" s="43" t="n">
        <f aca="false">IF(AND($A26&lt;&gt;"",$B26&lt;&gt;""),COUNTIFS('Leads Pipeline'!$D$5:$D$1004,$A26,'Leads Pipeline'!$E$5:$E$1004,$B26,'Leads Pipeline'!$P$5:$P$1004,"Hot",'Leads Pipeline'!$O$5:$O$1004,"&lt;&gt;Won",'Leads Pipeline'!$O$5:$O$1004,"&lt;&gt;Lost"),"")</f>
        <v>0</v>
      </c>
      <c r="F26" s="43" t="n">
        <f aca="false">IF(AND($A26&lt;&gt;"",$B26&lt;&gt;""),COUNTIFS('Leads Pipeline'!$D$5:$D$1004,$A26,'Leads Pipeline'!$E$5:$E$1004,$B26,'Leads Pipeline'!$O$5:$O$1004,"Won"),"")</f>
        <v>0</v>
      </c>
      <c r="G26" s="44" t="n">
        <f aca="false">IF(AND($A26&lt;&gt;"",$B26&lt;&gt;""),SUMIFS('Leads Pipeline'!$U$5:$U$1004,'Leads Pipeline'!$D$5:$D$1004,$A26,'Leads Pipeline'!$E$5:$E$1004,$B26,'Leads Pipeline'!$O$5:$O$1004,"&lt;&gt;Won",'Leads Pipeline'!$O$5:$O$1004,"&lt;&gt;Lost"),"")</f>
        <v>0</v>
      </c>
      <c r="H26" s="43" t="n">
        <f aca="false">IF(AND($A26&lt;&gt;"",$B26&lt;&gt;""),COUNTIFS('Active Clients'!$B$5:$B$504,$A26,'Active Clients'!$C$5:$C$504,$B26,'Active Clients'!$T$5:$T$504,"Active"),"")</f>
        <v>0</v>
      </c>
      <c r="I26" s="44" t="n">
        <f aca="false">IF(AND($A26&lt;&gt;"",$B26&lt;&gt;""),SUMIFS('Active Clients'!$R$5:$R$504,'Active Clients'!$B$5:$B$504,$A26,'Active Clients'!$C$5:$C$504,$B26),"")</f>
        <v>0</v>
      </c>
      <c r="J26" s="43" t="n">
        <f aca="true">IF(AND($A26&lt;&gt;"",$B26&lt;&gt;""),COUNTIFS('Activity Log'!$E$5:$E$3004,$A26,'Activity Log'!$F$5:$F$3004,$B26,'Activity Log'!$A$5:$A$3004,"&gt;="&amp;(TODAY()-29),'Activity Log'!$A$5:$A$3004,"&lt;="&amp;TODAY()),"")</f>
        <v>0</v>
      </c>
    </row>
    <row r="27" customFormat="false" ht="15" hidden="false" customHeight="false" outlineLevel="0" collapsed="false">
      <c r="A27" s="42" t="s">
        <v>143</v>
      </c>
      <c r="B27" s="42" t="s">
        <v>187</v>
      </c>
      <c r="C27" s="43" t="n">
        <f aca="false">IF(AND($A27&lt;&gt;"",$B27&lt;&gt;""),COUNTIFS('Leads Pipeline'!$D$5:$D$1004,$A27,'Leads Pipeline'!$E$5:$E$1004,$B27,'Leads Pipeline'!$F$5:$F$1004,"&lt;&gt;"),"")</f>
        <v>0</v>
      </c>
      <c r="D27" s="43" t="n">
        <f aca="false">IF(AND($A27&lt;&gt;"",$B27&lt;&gt;""),COUNTIFS('Leads Pipeline'!$D$5:$D$1004,$A27,'Leads Pipeline'!$E$5:$E$1004,$B27,'Leads Pipeline'!$F$5:$F$1004,"&lt;&gt;",'Leads Pipeline'!$O$5:$O$1004,"&lt;&gt;Won",'Leads Pipeline'!$O$5:$O$1004,"&lt;&gt;Lost"),"")</f>
        <v>0</v>
      </c>
      <c r="E27" s="43" t="n">
        <f aca="false">IF(AND($A27&lt;&gt;"",$B27&lt;&gt;""),COUNTIFS('Leads Pipeline'!$D$5:$D$1004,$A27,'Leads Pipeline'!$E$5:$E$1004,$B27,'Leads Pipeline'!$P$5:$P$1004,"Hot",'Leads Pipeline'!$O$5:$O$1004,"&lt;&gt;Won",'Leads Pipeline'!$O$5:$O$1004,"&lt;&gt;Lost"),"")</f>
        <v>0</v>
      </c>
      <c r="F27" s="43" t="n">
        <f aca="false">IF(AND($A27&lt;&gt;"",$B27&lt;&gt;""),COUNTIFS('Leads Pipeline'!$D$5:$D$1004,$A27,'Leads Pipeline'!$E$5:$E$1004,$B27,'Leads Pipeline'!$O$5:$O$1004,"Won"),"")</f>
        <v>0</v>
      </c>
      <c r="G27" s="44" t="n">
        <f aca="false">IF(AND($A27&lt;&gt;"",$B27&lt;&gt;""),SUMIFS('Leads Pipeline'!$U$5:$U$1004,'Leads Pipeline'!$D$5:$D$1004,$A27,'Leads Pipeline'!$E$5:$E$1004,$B27,'Leads Pipeline'!$O$5:$O$1004,"&lt;&gt;Won",'Leads Pipeline'!$O$5:$O$1004,"&lt;&gt;Lost"),"")</f>
        <v>0</v>
      </c>
      <c r="H27" s="43" t="n">
        <f aca="false">IF(AND($A27&lt;&gt;"",$B27&lt;&gt;""),COUNTIFS('Active Clients'!$B$5:$B$504,$A27,'Active Clients'!$C$5:$C$504,$B27,'Active Clients'!$T$5:$T$504,"Active"),"")</f>
        <v>0</v>
      </c>
      <c r="I27" s="44" t="n">
        <f aca="false">IF(AND($A27&lt;&gt;"",$B27&lt;&gt;""),SUMIFS('Active Clients'!$R$5:$R$504,'Active Clients'!$B$5:$B$504,$A27,'Active Clients'!$C$5:$C$504,$B27),"")</f>
        <v>0</v>
      </c>
      <c r="J27" s="43" t="n">
        <f aca="true">IF(AND($A27&lt;&gt;"",$B27&lt;&gt;""),COUNTIFS('Activity Log'!$E$5:$E$3004,$A27,'Activity Log'!$F$5:$F$3004,$B27,'Activity Log'!$A$5:$A$3004,"&gt;="&amp;(TODAY()-29),'Activity Log'!$A$5:$A$3004,"&lt;="&amp;TODAY()),"")</f>
        <v>0</v>
      </c>
    </row>
    <row r="28" customFormat="false" ht="15" hidden="false" customHeight="false" outlineLevel="0" collapsed="false">
      <c r="A28" s="42" t="s">
        <v>146</v>
      </c>
      <c r="B28" s="42" t="s">
        <v>188</v>
      </c>
      <c r="C28" s="43" t="n">
        <f aca="false">IF(AND($A28&lt;&gt;"",$B28&lt;&gt;""),COUNTIFS('Leads Pipeline'!$D$5:$D$1004,$A28,'Leads Pipeline'!$E$5:$E$1004,$B28,'Leads Pipeline'!$F$5:$F$1004,"&lt;&gt;"),"")</f>
        <v>0</v>
      </c>
      <c r="D28" s="43" t="n">
        <f aca="false">IF(AND($A28&lt;&gt;"",$B28&lt;&gt;""),COUNTIFS('Leads Pipeline'!$D$5:$D$1004,$A28,'Leads Pipeline'!$E$5:$E$1004,$B28,'Leads Pipeline'!$F$5:$F$1004,"&lt;&gt;",'Leads Pipeline'!$O$5:$O$1004,"&lt;&gt;Won",'Leads Pipeline'!$O$5:$O$1004,"&lt;&gt;Lost"),"")</f>
        <v>0</v>
      </c>
      <c r="E28" s="43" t="n">
        <f aca="false">IF(AND($A28&lt;&gt;"",$B28&lt;&gt;""),COUNTIFS('Leads Pipeline'!$D$5:$D$1004,$A28,'Leads Pipeline'!$E$5:$E$1004,$B28,'Leads Pipeline'!$P$5:$P$1004,"Hot",'Leads Pipeline'!$O$5:$O$1004,"&lt;&gt;Won",'Leads Pipeline'!$O$5:$O$1004,"&lt;&gt;Lost"),"")</f>
        <v>0</v>
      </c>
      <c r="F28" s="43" t="n">
        <f aca="false">IF(AND($A28&lt;&gt;"",$B28&lt;&gt;""),COUNTIFS('Leads Pipeline'!$D$5:$D$1004,$A28,'Leads Pipeline'!$E$5:$E$1004,$B28,'Leads Pipeline'!$O$5:$O$1004,"Won"),"")</f>
        <v>0</v>
      </c>
      <c r="G28" s="44" t="n">
        <f aca="false">IF(AND($A28&lt;&gt;"",$B28&lt;&gt;""),SUMIFS('Leads Pipeline'!$U$5:$U$1004,'Leads Pipeline'!$D$5:$D$1004,$A28,'Leads Pipeline'!$E$5:$E$1004,$B28,'Leads Pipeline'!$O$5:$O$1004,"&lt;&gt;Won",'Leads Pipeline'!$O$5:$O$1004,"&lt;&gt;Lost"),"")</f>
        <v>0</v>
      </c>
      <c r="H28" s="43" t="n">
        <f aca="false">IF(AND($A28&lt;&gt;"",$B28&lt;&gt;""),COUNTIFS('Active Clients'!$B$5:$B$504,$A28,'Active Clients'!$C$5:$C$504,$B28,'Active Clients'!$T$5:$T$504,"Active"),"")</f>
        <v>0</v>
      </c>
      <c r="I28" s="44" t="n">
        <f aca="false">IF(AND($A28&lt;&gt;"",$B28&lt;&gt;""),SUMIFS('Active Clients'!$R$5:$R$504,'Active Clients'!$B$5:$B$504,$A28,'Active Clients'!$C$5:$C$504,$B28),"")</f>
        <v>0</v>
      </c>
      <c r="J28" s="43" t="n">
        <f aca="true">IF(AND($A28&lt;&gt;"",$B28&lt;&gt;""),COUNTIFS('Activity Log'!$E$5:$E$3004,$A28,'Activity Log'!$F$5:$F$3004,$B28,'Activity Log'!$A$5:$A$3004,"&gt;="&amp;(TODAY()-29),'Activity Log'!$A$5:$A$3004,"&lt;="&amp;TODAY()),"")</f>
        <v>0</v>
      </c>
    </row>
    <row r="29" customFormat="false" ht="15" hidden="false" customHeight="false" outlineLevel="0" collapsed="false">
      <c r="A29" s="42" t="s">
        <v>146</v>
      </c>
      <c r="B29" s="42" t="s">
        <v>189</v>
      </c>
      <c r="C29" s="43" t="n">
        <f aca="false">IF(AND($A29&lt;&gt;"",$B29&lt;&gt;""),COUNTIFS('Leads Pipeline'!$D$5:$D$1004,$A29,'Leads Pipeline'!$E$5:$E$1004,$B29,'Leads Pipeline'!$F$5:$F$1004,"&lt;&gt;"),"")</f>
        <v>0</v>
      </c>
      <c r="D29" s="43" t="n">
        <f aca="false">IF(AND($A29&lt;&gt;"",$B29&lt;&gt;""),COUNTIFS('Leads Pipeline'!$D$5:$D$1004,$A29,'Leads Pipeline'!$E$5:$E$1004,$B29,'Leads Pipeline'!$F$5:$F$1004,"&lt;&gt;",'Leads Pipeline'!$O$5:$O$1004,"&lt;&gt;Won",'Leads Pipeline'!$O$5:$O$1004,"&lt;&gt;Lost"),"")</f>
        <v>0</v>
      </c>
      <c r="E29" s="43" t="n">
        <f aca="false">IF(AND($A29&lt;&gt;"",$B29&lt;&gt;""),COUNTIFS('Leads Pipeline'!$D$5:$D$1004,$A29,'Leads Pipeline'!$E$5:$E$1004,$B29,'Leads Pipeline'!$P$5:$P$1004,"Hot",'Leads Pipeline'!$O$5:$O$1004,"&lt;&gt;Won",'Leads Pipeline'!$O$5:$O$1004,"&lt;&gt;Lost"),"")</f>
        <v>0</v>
      </c>
      <c r="F29" s="43" t="n">
        <f aca="false">IF(AND($A29&lt;&gt;"",$B29&lt;&gt;""),COUNTIFS('Leads Pipeline'!$D$5:$D$1004,$A29,'Leads Pipeline'!$E$5:$E$1004,$B29,'Leads Pipeline'!$O$5:$O$1004,"Won"),"")</f>
        <v>0</v>
      </c>
      <c r="G29" s="44" t="n">
        <f aca="false">IF(AND($A29&lt;&gt;"",$B29&lt;&gt;""),SUMIFS('Leads Pipeline'!$U$5:$U$1004,'Leads Pipeline'!$D$5:$D$1004,$A29,'Leads Pipeline'!$E$5:$E$1004,$B29,'Leads Pipeline'!$O$5:$O$1004,"&lt;&gt;Won",'Leads Pipeline'!$O$5:$O$1004,"&lt;&gt;Lost"),"")</f>
        <v>0</v>
      </c>
      <c r="H29" s="43" t="n">
        <f aca="false">IF(AND($A29&lt;&gt;"",$B29&lt;&gt;""),COUNTIFS('Active Clients'!$B$5:$B$504,$A29,'Active Clients'!$C$5:$C$504,$B29,'Active Clients'!$T$5:$T$504,"Active"),"")</f>
        <v>0</v>
      </c>
      <c r="I29" s="44" t="n">
        <f aca="false">IF(AND($A29&lt;&gt;"",$B29&lt;&gt;""),SUMIFS('Active Clients'!$R$5:$R$504,'Active Clients'!$B$5:$B$504,$A29,'Active Clients'!$C$5:$C$504,$B29),"")</f>
        <v>0</v>
      </c>
      <c r="J29" s="43" t="n">
        <f aca="true">IF(AND($A29&lt;&gt;"",$B29&lt;&gt;""),COUNTIFS('Activity Log'!$E$5:$E$3004,$A29,'Activity Log'!$F$5:$F$3004,$B29,'Activity Log'!$A$5:$A$3004,"&gt;="&amp;(TODAY()-29),'Activity Log'!$A$5:$A$3004,"&lt;="&amp;TODAY()),"")</f>
        <v>0</v>
      </c>
    </row>
    <row r="30" customFormat="false" ht="15" hidden="false" customHeight="false" outlineLevel="0" collapsed="false">
      <c r="A30" s="42" t="s">
        <v>147</v>
      </c>
      <c r="B30" s="42" t="s">
        <v>190</v>
      </c>
      <c r="C30" s="43" t="n">
        <f aca="false">IF(AND($A30&lt;&gt;"",$B30&lt;&gt;""),COUNTIFS('Leads Pipeline'!$D$5:$D$1004,$A30,'Leads Pipeline'!$E$5:$E$1004,$B30,'Leads Pipeline'!$F$5:$F$1004,"&lt;&gt;"),"")</f>
        <v>0</v>
      </c>
      <c r="D30" s="43" t="n">
        <f aca="false">IF(AND($A30&lt;&gt;"",$B30&lt;&gt;""),COUNTIFS('Leads Pipeline'!$D$5:$D$1004,$A30,'Leads Pipeline'!$E$5:$E$1004,$B30,'Leads Pipeline'!$F$5:$F$1004,"&lt;&gt;",'Leads Pipeline'!$O$5:$O$1004,"&lt;&gt;Won",'Leads Pipeline'!$O$5:$O$1004,"&lt;&gt;Lost"),"")</f>
        <v>0</v>
      </c>
      <c r="E30" s="43" t="n">
        <f aca="false">IF(AND($A30&lt;&gt;"",$B30&lt;&gt;""),COUNTIFS('Leads Pipeline'!$D$5:$D$1004,$A30,'Leads Pipeline'!$E$5:$E$1004,$B30,'Leads Pipeline'!$P$5:$P$1004,"Hot",'Leads Pipeline'!$O$5:$O$1004,"&lt;&gt;Won",'Leads Pipeline'!$O$5:$O$1004,"&lt;&gt;Lost"),"")</f>
        <v>0</v>
      </c>
      <c r="F30" s="43" t="n">
        <f aca="false">IF(AND($A30&lt;&gt;"",$B30&lt;&gt;""),COUNTIFS('Leads Pipeline'!$D$5:$D$1004,$A30,'Leads Pipeline'!$E$5:$E$1004,$B30,'Leads Pipeline'!$O$5:$O$1004,"Won"),"")</f>
        <v>0</v>
      </c>
      <c r="G30" s="44" t="n">
        <f aca="false">IF(AND($A30&lt;&gt;"",$B30&lt;&gt;""),SUMIFS('Leads Pipeline'!$U$5:$U$1004,'Leads Pipeline'!$D$5:$D$1004,$A30,'Leads Pipeline'!$E$5:$E$1004,$B30,'Leads Pipeline'!$O$5:$O$1004,"&lt;&gt;Won",'Leads Pipeline'!$O$5:$O$1004,"&lt;&gt;Lost"),"")</f>
        <v>0</v>
      </c>
      <c r="H30" s="43" t="n">
        <f aca="false">IF(AND($A30&lt;&gt;"",$B30&lt;&gt;""),COUNTIFS('Active Clients'!$B$5:$B$504,$A30,'Active Clients'!$C$5:$C$504,$B30,'Active Clients'!$T$5:$T$504,"Active"),"")</f>
        <v>0</v>
      </c>
      <c r="I30" s="44" t="n">
        <f aca="false">IF(AND($A30&lt;&gt;"",$B30&lt;&gt;""),SUMIFS('Active Clients'!$R$5:$R$504,'Active Clients'!$B$5:$B$504,$A30,'Active Clients'!$C$5:$C$504,$B30),"")</f>
        <v>0</v>
      </c>
      <c r="J30" s="43" t="n">
        <f aca="true">IF(AND($A30&lt;&gt;"",$B30&lt;&gt;""),COUNTIFS('Activity Log'!$E$5:$E$3004,$A30,'Activity Log'!$F$5:$F$3004,$B30,'Activity Log'!$A$5:$A$3004,"&gt;="&amp;(TODAY()-29),'Activity Log'!$A$5:$A$3004,"&lt;="&amp;TODAY()),"")</f>
        <v>0</v>
      </c>
    </row>
    <row r="31" customFormat="false" ht="15" hidden="false" customHeight="false" outlineLevel="0" collapsed="false">
      <c r="A31" s="42" t="s">
        <v>148</v>
      </c>
      <c r="B31" s="42" t="s">
        <v>191</v>
      </c>
      <c r="C31" s="43" t="n">
        <f aca="false">IF(AND($A31&lt;&gt;"",$B31&lt;&gt;""),COUNTIFS('Leads Pipeline'!$D$5:$D$1004,$A31,'Leads Pipeline'!$E$5:$E$1004,$B31,'Leads Pipeline'!$F$5:$F$1004,"&lt;&gt;"),"")</f>
        <v>0</v>
      </c>
      <c r="D31" s="43" t="n">
        <f aca="false">IF(AND($A31&lt;&gt;"",$B31&lt;&gt;""),COUNTIFS('Leads Pipeline'!$D$5:$D$1004,$A31,'Leads Pipeline'!$E$5:$E$1004,$B31,'Leads Pipeline'!$F$5:$F$1004,"&lt;&gt;",'Leads Pipeline'!$O$5:$O$1004,"&lt;&gt;Won",'Leads Pipeline'!$O$5:$O$1004,"&lt;&gt;Lost"),"")</f>
        <v>0</v>
      </c>
      <c r="E31" s="43" t="n">
        <f aca="false">IF(AND($A31&lt;&gt;"",$B31&lt;&gt;""),COUNTIFS('Leads Pipeline'!$D$5:$D$1004,$A31,'Leads Pipeline'!$E$5:$E$1004,$B31,'Leads Pipeline'!$P$5:$P$1004,"Hot",'Leads Pipeline'!$O$5:$O$1004,"&lt;&gt;Won",'Leads Pipeline'!$O$5:$O$1004,"&lt;&gt;Lost"),"")</f>
        <v>0</v>
      </c>
      <c r="F31" s="43" t="n">
        <f aca="false">IF(AND($A31&lt;&gt;"",$B31&lt;&gt;""),COUNTIFS('Leads Pipeline'!$D$5:$D$1004,$A31,'Leads Pipeline'!$E$5:$E$1004,$B31,'Leads Pipeline'!$O$5:$O$1004,"Won"),"")</f>
        <v>0</v>
      </c>
      <c r="G31" s="44" t="n">
        <f aca="false">IF(AND($A31&lt;&gt;"",$B31&lt;&gt;""),SUMIFS('Leads Pipeline'!$U$5:$U$1004,'Leads Pipeline'!$D$5:$D$1004,$A31,'Leads Pipeline'!$E$5:$E$1004,$B31,'Leads Pipeline'!$O$5:$O$1004,"&lt;&gt;Won",'Leads Pipeline'!$O$5:$O$1004,"&lt;&gt;Lost"),"")</f>
        <v>0</v>
      </c>
      <c r="H31" s="43" t="n">
        <f aca="false">IF(AND($A31&lt;&gt;"",$B31&lt;&gt;""),COUNTIFS('Active Clients'!$B$5:$B$504,$A31,'Active Clients'!$C$5:$C$504,$B31,'Active Clients'!$T$5:$T$504,"Active"),"")</f>
        <v>0</v>
      </c>
      <c r="I31" s="44" t="n">
        <f aca="false">IF(AND($A31&lt;&gt;"",$B31&lt;&gt;""),SUMIFS('Active Clients'!$R$5:$R$504,'Active Clients'!$B$5:$B$504,$A31,'Active Clients'!$C$5:$C$504,$B31),"")</f>
        <v>0</v>
      </c>
      <c r="J31" s="43" t="n">
        <f aca="true">IF(AND($A31&lt;&gt;"",$B31&lt;&gt;""),COUNTIFS('Activity Log'!$E$5:$E$3004,$A31,'Activity Log'!$F$5:$F$3004,$B31,'Activity Log'!$A$5:$A$3004,"&gt;="&amp;(TODAY()-29),'Activity Log'!$A$5:$A$3004,"&lt;="&amp;TODAY()),"")</f>
        <v>0</v>
      </c>
    </row>
    <row r="32" customFormat="false" ht="15" hidden="false" customHeight="false" outlineLevel="0" collapsed="false">
      <c r="A32" s="42" t="s">
        <v>148</v>
      </c>
      <c r="B32" s="42" t="s">
        <v>192</v>
      </c>
      <c r="C32" s="43" t="n">
        <f aca="false">IF(AND($A32&lt;&gt;"",$B32&lt;&gt;""),COUNTIFS('Leads Pipeline'!$D$5:$D$1004,$A32,'Leads Pipeline'!$E$5:$E$1004,$B32,'Leads Pipeline'!$F$5:$F$1004,"&lt;&gt;"),"")</f>
        <v>0</v>
      </c>
      <c r="D32" s="43" t="n">
        <f aca="false">IF(AND($A32&lt;&gt;"",$B32&lt;&gt;""),COUNTIFS('Leads Pipeline'!$D$5:$D$1004,$A32,'Leads Pipeline'!$E$5:$E$1004,$B32,'Leads Pipeline'!$F$5:$F$1004,"&lt;&gt;",'Leads Pipeline'!$O$5:$O$1004,"&lt;&gt;Won",'Leads Pipeline'!$O$5:$O$1004,"&lt;&gt;Lost"),"")</f>
        <v>0</v>
      </c>
      <c r="E32" s="43" t="n">
        <f aca="false">IF(AND($A32&lt;&gt;"",$B32&lt;&gt;""),COUNTIFS('Leads Pipeline'!$D$5:$D$1004,$A32,'Leads Pipeline'!$E$5:$E$1004,$B32,'Leads Pipeline'!$P$5:$P$1004,"Hot",'Leads Pipeline'!$O$5:$O$1004,"&lt;&gt;Won",'Leads Pipeline'!$O$5:$O$1004,"&lt;&gt;Lost"),"")</f>
        <v>0</v>
      </c>
      <c r="F32" s="43" t="n">
        <f aca="false">IF(AND($A32&lt;&gt;"",$B32&lt;&gt;""),COUNTIFS('Leads Pipeline'!$D$5:$D$1004,$A32,'Leads Pipeline'!$E$5:$E$1004,$B32,'Leads Pipeline'!$O$5:$O$1004,"Won"),"")</f>
        <v>0</v>
      </c>
      <c r="G32" s="44" t="n">
        <f aca="false">IF(AND($A32&lt;&gt;"",$B32&lt;&gt;""),SUMIFS('Leads Pipeline'!$U$5:$U$1004,'Leads Pipeline'!$D$5:$D$1004,$A32,'Leads Pipeline'!$E$5:$E$1004,$B32,'Leads Pipeline'!$O$5:$O$1004,"&lt;&gt;Won",'Leads Pipeline'!$O$5:$O$1004,"&lt;&gt;Lost"),"")</f>
        <v>0</v>
      </c>
      <c r="H32" s="43" t="n">
        <f aca="false">IF(AND($A32&lt;&gt;"",$B32&lt;&gt;""),COUNTIFS('Active Clients'!$B$5:$B$504,$A32,'Active Clients'!$C$5:$C$504,$B32,'Active Clients'!$T$5:$T$504,"Active"),"")</f>
        <v>0</v>
      </c>
      <c r="I32" s="44" t="n">
        <f aca="false">IF(AND($A32&lt;&gt;"",$B32&lt;&gt;""),SUMIFS('Active Clients'!$R$5:$R$504,'Active Clients'!$B$5:$B$504,$A32,'Active Clients'!$C$5:$C$504,$B32),"")</f>
        <v>0</v>
      </c>
      <c r="J32" s="43" t="n">
        <f aca="true">IF(AND($A32&lt;&gt;"",$B32&lt;&gt;""),COUNTIFS('Activity Log'!$E$5:$E$3004,$A32,'Activity Log'!$F$5:$F$3004,$B32,'Activity Log'!$A$5:$A$3004,"&gt;="&amp;(TODAY()-29),'Activity Log'!$A$5:$A$3004,"&lt;="&amp;TODAY()),"")</f>
        <v>0</v>
      </c>
    </row>
    <row r="33" customFormat="false" ht="15" hidden="false" customHeight="false" outlineLevel="0" collapsed="false">
      <c r="A33" s="42" t="s">
        <v>149</v>
      </c>
      <c r="B33" s="42" t="s">
        <v>193</v>
      </c>
      <c r="C33" s="43" t="n">
        <f aca="false">IF(AND($A33&lt;&gt;"",$B33&lt;&gt;""),COUNTIFS('Leads Pipeline'!$D$5:$D$1004,$A33,'Leads Pipeline'!$E$5:$E$1004,$B33,'Leads Pipeline'!$F$5:$F$1004,"&lt;&gt;"),"")</f>
        <v>0</v>
      </c>
      <c r="D33" s="43" t="n">
        <f aca="false">IF(AND($A33&lt;&gt;"",$B33&lt;&gt;""),COUNTIFS('Leads Pipeline'!$D$5:$D$1004,$A33,'Leads Pipeline'!$E$5:$E$1004,$B33,'Leads Pipeline'!$F$5:$F$1004,"&lt;&gt;",'Leads Pipeline'!$O$5:$O$1004,"&lt;&gt;Won",'Leads Pipeline'!$O$5:$O$1004,"&lt;&gt;Lost"),"")</f>
        <v>0</v>
      </c>
      <c r="E33" s="43" t="n">
        <f aca="false">IF(AND($A33&lt;&gt;"",$B33&lt;&gt;""),COUNTIFS('Leads Pipeline'!$D$5:$D$1004,$A33,'Leads Pipeline'!$E$5:$E$1004,$B33,'Leads Pipeline'!$P$5:$P$1004,"Hot",'Leads Pipeline'!$O$5:$O$1004,"&lt;&gt;Won",'Leads Pipeline'!$O$5:$O$1004,"&lt;&gt;Lost"),"")</f>
        <v>0</v>
      </c>
      <c r="F33" s="43" t="n">
        <f aca="false">IF(AND($A33&lt;&gt;"",$B33&lt;&gt;""),COUNTIFS('Leads Pipeline'!$D$5:$D$1004,$A33,'Leads Pipeline'!$E$5:$E$1004,$B33,'Leads Pipeline'!$O$5:$O$1004,"Won"),"")</f>
        <v>0</v>
      </c>
      <c r="G33" s="44" t="n">
        <f aca="false">IF(AND($A33&lt;&gt;"",$B33&lt;&gt;""),SUMIFS('Leads Pipeline'!$U$5:$U$1004,'Leads Pipeline'!$D$5:$D$1004,$A33,'Leads Pipeline'!$E$5:$E$1004,$B33,'Leads Pipeline'!$O$5:$O$1004,"&lt;&gt;Won",'Leads Pipeline'!$O$5:$O$1004,"&lt;&gt;Lost"),"")</f>
        <v>0</v>
      </c>
      <c r="H33" s="43" t="n">
        <f aca="false">IF(AND($A33&lt;&gt;"",$B33&lt;&gt;""),COUNTIFS('Active Clients'!$B$5:$B$504,$A33,'Active Clients'!$C$5:$C$504,$B33,'Active Clients'!$T$5:$T$504,"Active"),"")</f>
        <v>0</v>
      </c>
      <c r="I33" s="44" t="n">
        <f aca="false">IF(AND($A33&lt;&gt;"",$B33&lt;&gt;""),SUMIFS('Active Clients'!$R$5:$R$504,'Active Clients'!$B$5:$B$504,$A33,'Active Clients'!$C$5:$C$504,$B33),"")</f>
        <v>0</v>
      </c>
      <c r="J33" s="43" t="n">
        <f aca="true">IF(AND($A33&lt;&gt;"",$B33&lt;&gt;""),COUNTIFS('Activity Log'!$E$5:$E$3004,$A33,'Activity Log'!$F$5:$F$3004,$B33,'Activity Log'!$A$5:$A$3004,"&gt;="&amp;(TODAY()-29),'Activity Log'!$A$5:$A$3004,"&lt;="&amp;TODAY()),"")</f>
        <v>0</v>
      </c>
    </row>
    <row r="34" customFormat="false" ht="15" hidden="false" customHeight="false" outlineLevel="0" collapsed="false">
      <c r="A34" s="42" t="s">
        <v>149</v>
      </c>
      <c r="B34" s="42" t="s">
        <v>194</v>
      </c>
      <c r="C34" s="43" t="n">
        <f aca="false">IF(AND($A34&lt;&gt;"",$B34&lt;&gt;""),COUNTIFS('Leads Pipeline'!$D$5:$D$1004,$A34,'Leads Pipeline'!$E$5:$E$1004,$B34,'Leads Pipeline'!$F$5:$F$1004,"&lt;&gt;"),"")</f>
        <v>0</v>
      </c>
      <c r="D34" s="43" t="n">
        <f aca="false">IF(AND($A34&lt;&gt;"",$B34&lt;&gt;""),COUNTIFS('Leads Pipeline'!$D$5:$D$1004,$A34,'Leads Pipeline'!$E$5:$E$1004,$B34,'Leads Pipeline'!$F$5:$F$1004,"&lt;&gt;",'Leads Pipeline'!$O$5:$O$1004,"&lt;&gt;Won",'Leads Pipeline'!$O$5:$O$1004,"&lt;&gt;Lost"),"")</f>
        <v>0</v>
      </c>
      <c r="E34" s="43" t="n">
        <f aca="false">IF(AND($A34&lt;&gt;"",$B34&lt;&gt;""),COUNTIFS('Leads Pipeline'!$D$5:$D$1004,$A34,'Leads Pipeline'!$E$5:$E$1004,$B34,'Leads Pipeline'!$P$5:$P$1004,"Hot",'Leads Pipeline'!$O$5:$O$1004,"&lt;&gt;Won",'Leads Pipeline'!$O$5:$O$1004,"&lt;&gt;Lost"),"")</f>
        <v>0</v>
      </c>
      <c r="F34" s="43" t="n">
        <f aca="false">IF(AND($A34&lt;&gt;"",$B34&lt;&gt;""),COUNTIFS('Leads Pipeline'!$D$5:$D$1004,$A34,'Leads Pipeline'!$E$5:$E$1004,$B34,'Leads Pipeline'!$O$5:$O$1004,"Won"),"")</f>
        <v>0</v>
      </c>
      <c r="G34" s="44" t="n">
        <f aca="false">IF(AND($A34&lt;&gt;"",$B34&lt;&gt;""),SUMIFS('Leads Pipeline'!$U$5:$U$1004,'Leads Pipeline'!$D$5:$D$1004,$A34,'Leads Pipeline'!$E$5:$E$1004,$B34,'Leads Pipeline'!$O$5:$O$1004,"&lt;&gt;Won",'Leads Pipeline'!$O$5:$O$1004,"&lt;&gt;Lost"),"")</f>
        <v>0</v>
      </c>
      <c r="H34" s="43" t="n">
        <f aca="false">IF(AND($A34&lt;&gt;"",$B34&lt;&gt;""),COUNTIFS('Active Clients'!$B$5:$B$504,$A34,'Active Clients'!$C$5:$C$504,$B34,'Active Clients'!$T$5:$T$504,"Active"),"")</f>
        <v>0</v>
      </c>
      <c r="I34" s="44" t="n">
        <f aca="false">IF(AND($A34&lt;&gt;"",$B34&lt;&gt;""),SUMIFS('Active Clients'!$R$5:$R$504,'Active Clients'!$B$5:$B$504,$A34,'Active Clients'!$C$5:$C$504,$B34),"")</f>
        <v>0</v>
      </c>
      <c r="J34" s="43" t="n">
        <f aca="true">IF(AND($A34&lt;&gt;"",$B34&lt;&gt;""),COUNTIFS('Activity Log'!$E$5:$E$3004,$A34,'Activity Log'!$F$5:$F$3004,$B34,'Activity Log'!$A$5:$A$3004,"&gt;="&amp;(TODAY()-29),'Activity Log'!$A$5:$A$3004,"&lt;="&amp;TODAY()),"")</f>
        <v>0</v>
      </c>
    </row>
    <row r="35" customFormat="false" ht="15" hidden="false" customHeight="false" outlineLevel="0" collapsed="false">
      <c r="A35" s="42" t="s">
        <v>150</v>
      </c>
      <c r="B35" s="42" t="s">
        <v>195</v>
      </c>
      <c r="C35" s="43" t="n">
        <f aca="false">IF(AND($A35&lt;&gt;"",$B35&lt;&gt;""),COUNTIFS('Leads Pipeline'!$D$5:$D$1004,$A35,'Leads Pipeline'!$E$5:$E$1004,$B35,'Leads Pipeline'!$F$5:$F$1004,"&lt;&gt;"),"")</f>
        <v>0</v>
      </c>
      <c r="D35" s="43" t="n">
        <f aca="false">IF(AND($A35&lt;&gt;"",$B35&lt;&gt;""),COUNTIFS('Leads Pipeline'!$D$5:$D$1004,$A35,'Leads Pipeline'!$E$5:$E$1004,$B35,'Leads Pipeline'!$F$5:$F$1004,"&lt;&gt;",'Leads Pipeline'!$O$5:$O$1004,"&lt;&gt;Won",'Leads Pipeline'!$O$5:$O$1004,"&lt;&gt;Lost"),"")</f>
        <v>0</v>
      </c>
      <c r="E35" s="43" t="n">
        <f aca="false">IF(AND($A35&lt;&gt;"",$B35&lt;&gt;""),COUNTIFS('Leads Pipeline'!$D$5:$D$1004,$A35,'Leads Pipeline'!$E$5:$E$1004,$B35,'Leads Pipeline'!$P$5:$P$1004,"Hot",'Leads Pipeline'!$O$5:$O$1004,"&lt;&gt;Won",'Leads Pipeline'!$O$5:$O$1004,"&lt;&gt;Lost"),"")</f>
        <v>0</v>
      </c>
      <c r="F35" s="43" t="n">
        <f aca="false">IF(AND($A35&lt;&gt;"",$B35&lt;&gt;""),COUNTIFS('Leads Pipeline'!$D$5:$D$1004,$A35,'Leads Pipeline'!$E$5:$E$1004,$B35,'Leads Pipeline'!$O$5:$O$1004,"Won"),"")</f>
        <v>0</v>
      </c>
      <c r="G35" s="44" t="n">
        <f aca="false">IF(AND($A35&lt;&gt;"",$B35&lt;&gt;""),SUMIFS('Leads Pipeline'!$U$5:$U$1004,'Leads Pipeline'!$D$5:$D$1004,$A35,'Leads Pipeline'!$E$5:$E$1004,$B35,'Leads Pipeline'!$O$5:$O$1004,"&lt;&gt;Won",'Leads Pipeline'!$O$5:$O$1004,"&lt;&gt;Lost"),"")</f>
        <v>0</v>
      </c>
      <c r="H35" s="43" t="n">
        <f aca="false">IF(AND($A35&lt;&gt;"",$B35&lt;&gt;""),COUNTIFS('Active Clients'!$B$5:$B$504,$A35,'Active Clients'!$C$5:$C$504,$B35,'Active Clients'!$T$5:$T$504,"Active"),"")</f>
        <v>0</v>
      </c>
      <c r="I35" s="44" t="n">
        <f aca="false">IF(AND($A35&lt;&gt;"",$B35&lt;&gt;""),SUMIFS('Active Clients'!$R$5:$R$504,'Active Clients'!$B$5:$B$504,$A35,'Active Clients'!$C$5:$C$504,$B35),"")</f>
        <v>0</v>
      </c>
      <c r="J35" s="43" t="n">
        <f aca="true">IF(AND($A35&lt;&gt;"",$B35&lt;&gt;""),COUNTIFS('Activity Log'!$E$5:$E$3004,$A35,'Activity Log'!$F$5:$F$3004,$B35,'Activity Log'!$A$5:$A$3004,"&gt;="&amp;(TODAY()-29),'Activity Log'!$A$5:$A$3004,"&lt;="&amp;TODAY()),"")</f>
        <v>0</v>
      </c>
    </row>
    <row r="36" customFormat="false" ht="15" hidden="false" customHeight="false" outlineLevel="0" collapsed="false">
      <c r="A36" s="42" t="s">
        <v>151</v>
      </c>
      <c r="B36" s="42" t="s">
        <v>196</v>
      </c>
      <c r="C36" s="43" t="n">
        <f aca="false">IF(AND($A36&lt;&gt;"",$B36&lt;&gt;""),COUNTIFS('Leads Pipeline'!$D$5:$D$1004,$A36,'Leads Pipeline'!$E$5:$E$1004,$B36,'Leads Pipeline'!$F$5:$F$1004,"&lt;&gt;"),"")</f>
        <v>0</v>
      </c>
      <c r="D36" s="43" t="n">
        <f aca="false">IF(AND($A36&lt;&gt;"",$B36&lt;&gt;""),COUNTIFS('Leads Pipeline'!$D$5:$D$1004,$A36,'Leads Pipeline'!$E$5:$E$1004,$B36,'Leads Pipeline'!$F$5:$F$1004,"&lt;&gt;",'Leads Pipeline'!$O$5:$O$1004,"&lt;&gt;Won",'Leads Pipeline'!$O$5:$O$1004,"&lt;&gt;Lost"),"")</f>
        <v>0</v>
      </c>
      <c r="E36" s="43" t="n">
        <f aca="false">IF(AND($A36&lt;&gt;"",$B36&lt;&gt;""),COUNTIFS('Leads Pipeline'!$D$5:$D$1004,$A36,'Leads Pipeline'!$E$5:$E$1004,$B36,'Leads Pipeline'!$P$5:$P$1004,"Hot",'Leads Pipeline'!$O$5:$O$1004,"&lt;&gt;Won",'Leads Pipeline'!$O$5:$O$1004,"&lt;&gt;Lost"),"")</f>
        <v>0</v>
      </c>
      <c r="F36" s="43" t="n">
        <f aca="false">IF(AND($A36&lt;&gt;"",$B36&lt;&gt;""),COUNTIFS('Leads Pipeline'!$D$5:$D$1004,$A36,'Leads Pipeline'!$E$5:$E$1004,$B36,'Leads Pipeline'!$O$5:$O$1004,"Won"),"")</f>
        <v>0</v>
      </c>
      <c r="G36" s="44" t="n">
        <f aca="false">IF(AND($A36&lt;&gt;"",$B36&lt;&gt;""),SUMIFS('Leads Pipeline'!$U$5:$U$1004,'Leads Pipeline'!$D$5:$D$1004,$A36,'Leads Pipeline'!$E$5:$E$1004,$B36,'Leads Pipeline'!$O$5:$O$1004,"&lt;&gt;Won",'Leads Pipeline'!$O$5:$O$1004,"&lt;&gt;Lost"),"")</f>
        <v>0</v>
      </c>
      <c r="H36" s="43" t="n">
        <f aca="false">IF(AND($A36&lt;&gt;"",$B36&lt;&gt;""),COUNTIFS('Active Clients'!$B$5:$B$504,$A36,'Active Clients'!$C$5:$C$504,$B36,'Active Clients'!$T$5:$T$504,"Active"),"")</f>
        <v>0</v>
      </c>
      <c r="I36" s="44" t="n">
        <f aca="false">IF(AND($A36&lt;&gt;"",$B36&lt;&gt;""),SUMIFS('Active Clients'!$R$5:$R$504,'Active Clients'!$B$5:$B$504,$A36,'Active Clients'!$C$5:$C$504,$B36),"")</f>
        <v>0</v>
      </c>
      <c r="J36" s="43" t="n">
        <f aca="true">IF(AND($A36&lt;&gt;"",$B36&lt;&gt;""),COUNTIFS('Activity Log'!$E$5:$E$3004,$A36,'Activity Log'!$F$5:$F$3004,$B36,'Activity Log'!$A$5:$A$3004,"&gt;="&amp;(TODAY()-29),'Activity Log'!$A$5:$A$3004,"&lt;="&amp;TODAY()),"")</f>
        <v>0</v>
      </c>
    </row>
    <row r="37" customFormat="false" ht="15" hidden="false" customHeight="false" outlineLevel="0" collapsed="false">
      <c r="A37" s="42" t="s">
        <v>151</v>
      </c>
      <c r="B37" s="42" t="s">
        <v>197</v>
      </c>
      <c r="C37" s="43" t="n">
        <f aca="false">IF(AND($A37&lt;&gt;"",$B37&lt;&gt;""),COUNTIFS('Leads Pipeline'!$D$5:$D$1004,$A37,'Leads Pipeline'!$E$5:$E$1004,$B37,'Leads Pipeline'!$F$5:$F$1004,"&lt;&gt;"),"")</f>
        <v>0</v>
      </c>
      <c r="D37" s="43" t="n">
        <f aca="false">IF(AND($A37&lt;&gt;"",$B37&lt;&gt;""),COUNTIFS('Leads Pipeline'!$D$5:$D$1004,$A37,'Leads Pipeline'!$E$5:$E$1004,$B37,'Leads Pipeline'!$F$5:$F$1004,"&lt;&gt;",'Leads Pipeline'!$O$5:$O$1004,"&lt;&gt;Won",'Leads Pipeline'!$O$5:$O$1004,"&lt;&gt;Lost"),"")</f>
        <v>0</v>
      </c>
      <c r="E37" s="43" t="n">
        <f aca="false">IF(AND($A37&lt;&gt;"",$B37&lt;&gt;""),COUNTIFS('Leads Pipeline'!$D$5:$D$1004,$A37,'Leads Pipeline'!$E$5:$E$1004,$B37,'Leads Pipeline'!$P$5:$P$1004,"Hot",'Leads Pipeline'!$O$5:$O$1004,"&lt;&gt;Won",'Leads Pipeline'!$O$5:$O$1004,"&lt;&gt;Lost"),"")</f>
        <v>0</v>
      </c>
      <c r="F37" s="43" t="n">
        <f aca="false">IF(AND($A37&lt;&gt;"",$B37&lt;&gt;""),COUNTIFS('Leads Pipeline'!$D$5:$D$1004,$A37,'Leads Pipeline'!$E$5:$E$1004,$B37,'Leads Pipeline'!$O$5:$O$1004,"Won"),"")</f>
        <v>0</v>
      </c>
      <c r="G37" s="44" t="n">
        <f aca="false">IF(AND($A37&lt;&gt;"",$B37&lt;&gt;""),SUMIFS('Leads Pipeline'!$U$5:$U$1004,'Leads Pipeline'!$D$5:$D$1004,$A37,'Leads Pipeline'!$E$5:$E$1004,$B37,'Leads Pipeline'!$O$5:$O$1004,"&lt;&gt;Won",'Leads Pipeline'!$O$5:$O$1004,"&lt;&gt;Lost"),"")</f>
        <v>0</v>
      </c>
      <c r="H37" s="43" t="n">
        <f aca="false">IF(AND($A37&lt;&gt;"",$B37&lt;&gt;""),COUNTIFS('Active Clients'!$B$5:$B$504,$A37,'Active Clients'!$C$5:$C$504,$B37,'Active Clients'!$T$5:$T$504,"Active"),"")</f>
        <v>0</v>
      </c>
      <c r="I37" s="44" t="n">
        <f aca="false">IF(AND($A37&lt;&gt;"",$B37&lt;&gt;""),SUMIFS('Active Clients'!$R$5:$R$504,'Active Clients'!$B$5:$B$504,$A37,'Active Clients'!$C$5:$C$504,$B37),"")</f>
        <v>0</v>
      </c>
      <c r="J37" s="43" t="n">
        <f aca="true">IF(AND($A37&lt;&gt;"",$B37&lt;&gt;""),COUNTIFS('Activity Log'!$E$5:$E$3004,$A37,'Activity Log'!$F$5:$F$3004,$B37,'Activity Log'!$A$5:$A$3004,"&gt;="&amp;(TODAY()-29),'Activity Log'!$A$5:$A$3004,"&lt;="&amp;TODAY()),"")</f>
        <v>0</v>
      </c>
    </row>
    <row r="38" customFormat="false" ht="15" hidden="false" customHeight="false" outlineLevel="0" collapsed="false">
      <c r="A38" s="42" t="s">
        <v>152</v>
      </c>
      <c r="B38" s="42" t="s">
        <v>198</v>
      </c>
      <c r="C38" s="43" t="n">
        <f aca="false">IF(AND($A38&lt;&gt;"",$B38&lt;&gt;""),COUNTIFS('Leads Pipeline'!$D$5:$D$1004,$A38,'Leads Pipeline'!$E$5:$E$1004,$B38,'Leads Pipeline'!$F$5:$F$1004,"&lt;&gt;"),"")</f>
        <v>0</v>
      </c>
      <c r="D38" s="43" t="n">
        <f aca="false">IF(AND($A38&lt;&gt;"",$B38&lt;&gt;""),COUNTIFS('Leads Pipeline'!$D$5:$D$1004,$A38,'Leads Pipeline'!$E$5:$E$1004,$B38,'Leads Pipeline'!$F$5:$F$1004,"&lt;&gt;",'Leads Pipeline'!$O$5:$O$1004,"&lt;&gt;Won",'Leads Pipeline'!$O$5:$O$1004,"&lt;&gt;Lost"),"")</f>
        <v>0</v>
      </c>
      <c r="E38" s="43" t="n">
        <f aca="false">IF(AND($A38&lt;&gt;"",$B38&lt;&gt;""),COUNTIFS('Leads Pipeline'!$D$5:$D$1004,$A38,'Leads Pipeline'!$E$5:$E$1004,$B38,'Leads Pipeline'!$P$5:$P$1004,"Hot",'Leads Pipeline'!$O$5:$O$1004,"&lt;&gt;Won",'Leads Pipeline'!$O$5:$O$1004,"&lt;&gt;Lost"),"")</f>
        <v>0</v>
      </c>
      <c r="F38" s="43" t="n">
        <f aca="false">IF(AND($A38&lt;&gt;"",$B38&lt;&gt;""),COUNTIFS('Leads Pipeline'!$D$5:$D$1004,$A38,'Leads Pipeline'!$E$5:$E$1004,$B38,'Leads Pipeline'!$O$5:$O$1004,"Won"),"")</f>
        <v>0</v>
      </c>
      <c r="G38" s="44" t="n">
        <f aca="false">IF(AND($A38&lt;&gt;"",$B38&lt;&gt;""),SUMIFS('Leads Pipeline'!$U$5:$U$1004,'Leads Pipeline'!$D$5:$D$1004,$A38,'Leads Pipeline'!$E$5:$E$1004,$B38,'Leads Pipeline'!$O$5:$O$1004,"&lt;&gt;Won",'Leads Pipeline'!$O$5:$O$1004,"&lt;&gt;Lost"),"")</f>
        <v>0</v>
      </c>
      <c r="H38" s="43" t="n">
        <f aca="false">IF(AND($A38&lt;&gt;"",$B38&lt;&gt;""),COUNTIFS('Active Clients'!$B$5:$B$504,$A38,'Active Clients'!$C$5:$C$504,$B38,'Active Clients'!$T$5:$T$504,"Active"),"")</f>
        <v>0</v>
      </c>
      <c r="I38" s="44" t="n">
        <f aca="false">IF(AND($A38&lt;&gt;"",$B38&lt;&gt;""),SUMIFS('Active Clients'!$R$5:$R$504,'Active Clients'!$B$5:$B$504,$A38,'Active Clients'!$C$5:$C$504,$B38),"")</f>
        <v>0</v>
      </c>
      <c r="J38" s="43" t="n">
        <f aca="true">IF(AND($A38&lt;&gt;"",$B38&lt;&gt;""),COUNTIFS('Activity Log'!$E$5:$E$3004,$A38,'Activity Log'!$F$5:$F$3004,$B38,'Activity Log'!$A$5:$A$3004,"&gt;="&amp;(TODAY()-29),'Activity Log'!$A$5:$A$3004,"&lt;="&amp;TODAY()),"")</f>
        <v>0</v>
      </c>
    </row>
    <row r="39" customFormat="false" ht="15" hidden="false" customHeight="false" outlineLevel="0" collapsed="false">
      <c r="A39" s="42" t="s">
        <v>153</v>
      </c>
      <c r="B39" s="42" t="s">
        <v>199</v>
      </c>
      <c r="C39" s="43" t="n">
        <f aca="false">IF(AND($A39&lt;&gt;"",$B39&lt;&gt;""),COUNTIFS('Leads Pipeline'!$D$5:$D$1004,$A39,'Leads Pipeline'!$E$5:$E$1004,$B39,'Leads Pipeline'!$F$5:$F$1004,"&lt;&gt;"),"")</f>
        <v>0</v>
      </c>
      <c r="D39" s="43" t="n">
        <f aca="false">IF(AND($A39&lt;&gt;"",$B39&lt;&gt;""),COUNTIFS('Leads Pipeline'!$D$5:$D$1004,$A39,'Leads Pipeline'!$E$5:$E$1004,$B39,'Leads Pipeline'!$F$5:$F$1004,"&lt;&gt;",'Leads Pipeline'!$O$5:$O$1004,"&lt;&gt;Won",'Leads Pipeline'!$O$5:$O$1004,"&lt;&gt;Lost"),"")</f>
        <v>0</v>
      </c>
      <c r="E39" s="43" t="n">
        <f aca="false">IF(AND($A39&lt;&gt;"",$B39&lt;&gt;""),COUNTIFS('Leads Pipeline'!$D$5:$D$1004,$A39,'Leads Pipeline'!$E$5:$E$1004,$B39,'Leads Pipeline'!$P$5:$P$1004,"Hot",'Leads Pipeline'!$O$5:$O$1004,"&lt;&gt;Won",'Leads Pipeline'!$O$5:$O$1004,"&lt;&gt;Lost"),"")</f>
        <v>0</v>
      </c>
      <c r="F39" s="43" t="n">
        <f aca="false">IF(AND($A39&lt;&gt;"",$B39&lt;&gt;""),COUNTIFS('Leads Pipeline'!$D$5:$D$1004,$A39,'Leads Pipeline'!$E$5:$E$1004,$B39,'Leads Pipeline'!$O$5:$O$1004,"Won"),"")</f>
        <v>0</v>
      </c>
      <c r="G39" s="44" t="n">
        <f aca="false">IF(AND($A39&lt;&gt;"",$B39&lt;&gt;""),SUMIFS('Leads Pipeline'!$U$5:$U$1004,'Leads Pipeline'!$D$5:$D$1004,$A39,'Leads Pipeline'!$E$5:$E$1004,$B39,'Leads Pipeline'!$O$5:$O$1004,"&lt;&gt;Won",'Leads Pipeline'!$O$5:$O$1004,"&lt;&gt;Lost"),"")</f>
        <v>0</v>
      </c>
      <c r="H39" s="43" t="n">
        <f aca="false">IF(AND($A39&lt;&gt;"",$B39&lt;&gt;""),COUNTIFS('Active Clients'!$B$5:$B$504,$A39,'Active Clients'!$C$5:$C$504,$B39,'Active Clients'!$T$5:$T$504,"Active"),"")</f>
        <v>0</v>
      </c>
      <c r="I39" s="44" t="n">
        <f aca="false">IF(AND($A39&lt;&gt;"",$B39&lt;&gt;""),SUMIFS('Active Clients'!$R$5:$R$504,'Active Clients'!$B$5:$B$504,$A39,'Active Clients'!$C$5:$C$504,$B39),"")</f>
        <v>0</v>
      </c>
      <c r="J39" s="43" t="n">
        <f aca="true">IF(AND($A39&lt;&gt;"",$B39&lt;&gt;""),COUNTIFS('Activity Log'!$E$5:$E$3004,$A39,'Activity Log'!$F$5:$F$3004,$B39,'Activity Log'!$A$5:$A$3004,"&gt;="&amp;(TODAY()-29),'Activity Log'!$A$5:$A$3004,"&lt;="&amp;TODAY()),"")</f>
        <v>0</v>
      </c>
    </row>
    <row r="40" customFormat="false" ht="15" hidden="false" customHeight="false" outlineLevel="0" collapsed="false">
      <c r="A40" s="42" t="s">
        <v>154</v>
      </c>
      <c r="B40" s="42" t="s">
        <v>200</v>
      </c>
      <c r="C40" s="43" t="n">
        <f aca="false">IF(AND($A40&lt;&gt;"",$B40&lt;&gt;""),COUNTIFS('Leads Pipeline'!$D$5:$D$1004,$A40,'Leads Pipeline'!$E$5:$E$1004,$B40,'Leads Pipeline'!$F$5:$F$1004,"&lt;&gt;"),"")</f>
        <v>0</v>
      </c>
      <c r="D40" s="43" t="n">
        <f aca="false">IF(AND($A40&lt;&gt;"",$B40&lt;&gt;""),COUNTIFS('Leads Pipeline'!$D$5:$D$1004,$A40,'Leads Pipeline'!$E$5:$E$1004,$B40,'Leads Pipeline'!$F$5:$F$1004,"&lt;&gt;",'Leads Pipeline'!$O$5:$O$1004,"&lt;&gt;Won",'Leads Pipeline'!$O$5:$O$1004,"&lt;&gt;Lost"),"")</f>
        <v>0</v>
      </c>
      <c r="E40" s="43" t="n">
        <f aca="false">IF(AND($A40&lt;&gt;"",$B40&lt;&gt;""),COUNTIFS('Leads Pipeline'!$D$5:$D$1004,$A40,'Leads Pipeline'!$E$5:$E$1004,$B40,'Leads Pipeline'!$P$5:$P$1004,"Hot",'Leads Pipeline'!$O$5:$O$1004,"&lt;&gt;Won",'Leads Pipeline'!$O$5:$O$1004,"&lt;&gt;Lost"),"")</f>
        <v>0</v>
      </c>
      <c r="F40" s="43" t="n">
        <f aca="false">IF(AND($A40&lt;&gt;"",$B40&lt;&gt;""),COUNTIFS('Leads Pipeline'!$D$5:$D$1004,$A40,'Leads Pipeline'!$E$5:$E$1004,$B40,'Leads Pipeline'!$O$5:$O$1004,"Won"),"")</f>
        <v>0</v>
      </c>
      <c r="G40" s="44" t="n">
        <f aca="false">IF(AND($A40&lt;&gt;"",$B40&lt;&gt;""),SUMIFS('Leads Pipeline'!$U$5:$U$1004,'Leads Pipeline'!$D$5:$D$1004,$A40,'Leads Pipeline'!$E$5:$E$1004,$B40,'Leads Pipeline'!$O$5:$O$1004,"&lt;&gt;Won",'Leads Pipeline'!$O$5:$O$1004,"&lt;&gt;Lost"),"")</f>
        <v>0</v>
      </c>
      <c r="H40" s="43" t="n">
        <f aca="false">IF(AND($A40&lt;&gt;"",$B40&lt;&gt;""),COUNTIFS('Active Clients'!$B$5:$B$504,$A40,'Active Clients'!$C$5:$C$504,$B40,'Active Clients'!$T$5:$T$504,"Active"),"")</f>
        <v>0</v>
      </c>
      <c r="I40" s="44" t="n">
        <f aca="false">IF(AND($A40&lt;&gt;"",$B40&lt;&gt;""),SUMIFS('Active Clients'!$R$5:$R$504,'Active Clients'!$B$5:$B$504,$A40,'Active Clients'!$C$5:$C$504,$B40),"")</f>
        <v>0</v>
      </c>
      <c r="J40" s="43" t="n">
        <f aca="true">IF(AND($A40&lt;&gt;"",$B40&lt;&gt;""),COUNTIFS('Activity Log'!$E$5:$E$3004,$A40,'Activity Log'!$F$5:$F$3004,$B40,'Activity Log'!$A$5:$A$3004,"&gt;="&amp;(TODAY()-29),'Activity Log'!$A$5:$A$3004,"&lt;="&amp;TODAY()),"")</f>
        <v>0</v>
      </c>
    </row>
    <row r="41" customFormat="false" ht="15" hidden="false" customHeight="false" outlineLevel="0" collapsed="false">
      <c r="A41" s="42" t="s">
        <v>154</v>
      </c>
      <c r="B41" s="42" t="s">
        <v>201</v>
      </c>
      <c r="C41" s="43" t="n">
        <f aca="false">IF(AND($A41&lt;&gt;"",$B41&lt;&gt;""),COUNTIFS('Leads Pipeline'!$D$5:$D$1004,$A41,'Leads Pipeline'!$E$5:$E$1004,$B41,'Leads Pipeline'!$F$5:$F$1004,"&lt;&gt;"),"")</f>
        <v>0</v>
      </c>
      <c r="D41" s="43" t="n">
        <f aca="false">IF(AND($A41&lt;&gt;"",$B41&lt;&gt;""),COUNTIFS('Leads Pipeline'!$D$5:$D$1004,$A41,'Leads Pipeline'!$E$5:$E$1004,$B41,'Leads Pipeline'!$F$5:$F$1004,"&lt;&gt;",'Leads Pipeline'!$O$5:$O$1004,"&lt;&gt;Won",'Leads Pipeline'!$O$5:$O$1004,"&lt;&gt;Lost"),"")</f>
        <v>0</v>
      </c>
      <c r="E41" s="43" t="n">
        <f aca="false">IF(AND($A41&lt;&gt;"",$B41&lt;&gt;""),COUNTIFS('Leads Pipeline'!$D$5:$D$1004,$A41,'Leads Pipeline'!$E$5:$E$1004,$B41,'Leads Pipeline'!$P$5:$P$1004,"Hot",'Leads Pipeline'!$O$5:$O$1004,"&lt;&gt;Won",'Leads Pipeline'!$O$5:$O$1004,"&lt;&gt;Lost"),"")</f>
        <v>0</v>
      </c>
      <c r="F41" s="43" t="n">
        <f aca="false">IF(AND($A41&lt;&gt;"",$B41&lt;&gt;""),COUNTIFS('Leads Pipeline'!$D$5:$D$1004,$A41,'Leads Pipeline'!$E$5:$E$1004,$B41,'Leads Pipeline'!$O$5:$O$1004,"Won"),"")</f>
        <v>0</v>
      </c>
      <c r="G41" s="44" t="n">
        <f aca="false">IF(AND($A41&lt;&gt;"",$B41&lt;&gt;""),SUMIFS('Leads Pipeline'!$U$5:$U$1004,'Leads Pipeline'!$D$5:$D$1004,$A41,'Leads Pipeline'!$E$5:$E$1004,$B41,'Leads Pipeline'!$O$5:$O$1004,"&lt;&gt;Won",'Leads Pipeline'!$O$5:$O$1004,"&lt;&gt;Lost"),"")</f>
        <v>0</v>
      </c>
      <c r="H41" s="43" t="n">
        <f aca="false">IF(AND($A41&lt;&gt;"",$B41&lt;&gt;""),COUNTIFS('Active Clients'!$B$5:$B$504,$A41,'Active Clients'!$C$5:$C$504,$B41,'Active Clients'!$T$5:$T$504,"Active"),"")</f>
        <v>0</v>
      </c>
      <c r="I41" s="44" t="n">
        <f aca="false">IF(AND($A41&lt;&gt;"",$B41&lt;&gt;""),SUMIFS('Active Clients'!$R$5:$R$504,'Active Clients'!$B$5:$B$504,$A41,'Active Clients'!$C$5:$C$504,$B41),"")</f>
        <v>0</v>
      </c>
      <c r="J41" s="43" t="n">
        <f aca="true">IF(AND($A41&lt;&gt;"",$B41&lt;&gt;""),COUNTIFS('Activity Log'!$E$5:$E$3004,$A41,'Activity Log'!$F$5:$F$3004,$B41,'Activity Log'!$A$5:$A$3004,"&gt;="&amp;(TODAY()-29),'Activity Log'!$A$5:$A$3004,"&lt;="&amp;TODAY()),"")</f>
        <v>0</v>
      </c>
    </row>
    <row r="42" customFormat="false" ht="15" hidden="false" customHeight="false" outlineLevel="0" collapsed="false">
      <c r="A42" s="42" t="s">
        <v>155</v>
      </c>
      <c r="B42" s="42" t="s">
        <v>202</v>
      </c>
      <c r="C42" s="43" t="n">
        <f aca="false">IF(AND($A42&lt;&gt;"",$B42&lt;&gt;""),COUNTIFS('Leads Pipeline'!$D$5:$D$1004,$A42,'Leads Pipeline'!$E$5:$E$1004,$B42,'Leads Pipeline'!$F$5:$F$1004,"&lt;&gt;"),"")</f>
        <v>0</v>
      </c>
      <c r="D42" s="43" t="n">
        <f aca="false">IF(AND($A42&lt;&gt;"",$B42&lt;&gt;""),COUNTIFS('Leads Pipeline'!$D$5:$D$1004,$A42,'Leads Pipeline'!$E$5:$E$1004,$B42,'Leads Pipeline'!$F$5:$F$1004,"&lt;&gt;",'Leads Pipeline'!$O$5:$O$1004,"&lt;&gt;Won",'Leads Pipeline'!$O$5:$O$1004,"&lt;&gt;Lost"),"")</f>
        <v>0</v>
      </c>
      <c r="E42" s="43" t="n">
        <f aca="false">IF(AND($A42&lt;&gt;"",$B42&lt;&gt;""),COUNTIFS('Leads Pipeline'!$D$5:$D$1004,$A42,'Leads Pipeline'!$E$5:$E$1004,$B42,'Leads Pipeline'!$P$5:$P$1004,"Hot",'Leads Pipeline'!$O$5:$O$1004,"&lt;&gt;Won",'Leads Pipeline'!$O$5:$O$1004,"&lt;&gt;Lost"),"")</f>
        <v>0</v>
      </c>
      <c r="F42" s="43" t="n">
        <f aca="false">IF(AND($A42&lt;&gt;"",$B42&lt;&gt;""),COUNTIFS('Leads Pipeline'!$D$5:$D$1004,$A42,'Leads Pipeline'!$E$5:$E$1004,$B42,'Leads Pipeline'!$O$5:$O$1004,"Won"),"")</f>
        <v>0</v>
      </c>
      <c r="G42" s="44" t="n">
        <f aca="false">IF(AND($A42&lt;&gt;"",$B42&lt;&gt;""),SUMIFS('Leads Pipeline'!$U$5:$U$1004,'Leads Pipeline'!$D$5:$D$1004,$A42,'Leads Pipeline'!$E$5:$E$1004,$B42,'Leads Pipeline'!$O$5:$O$1004,"&lt;&gt;Won",'Leads Pipeline'!$O$5:$O$1004,"&lt;&gt;Lost"),"")</f>
        <v>0</v>
      </c>
      <c r="H42" s="43" t="n">
        <f aca="false">IF(AND($A42&lt;&gt;"",$B42&lt;&gt;""),COUNTIFS('Active Clients'!$B$5:$B$504,$A42,'Active Clients'!$C$5:$C$504,$B42,'Active Clients'!$T$5:$T$504,"Active"),"")</f>
        <v>0</v>
      </c>
      <c r="I42" s="44" t="n">
        <f aca="false">IF(AND($A42&lt;&gt;"",$B42&lt;&gt;""),SUMIFS('Active Clients'!$R$5:$R$504,'Active Clients'!$B$5:$B$504,$A42,'Active Clients'!$C$5:$C$504,$B42),"")</f>
        <v>0</v>
      </c>
      <c r="J42" s="43" t="n">
        <f aca="true">IF(AND($A42&lt;&gt;"",$B42&lt;&gt;""),COUNTIFS('Activity Log'!$E$5:$E$3004,$A42,'Activity Log'!$F$5:$F$3004,$B42,'Activity Log'!$A$5:$A$3004,"&gt;="&amp;(TODAY()-29),'Activity Log'!$A$5:$A$3004,"&lt;="&amp;TODAY()),"")</f>
        <v>0</v>
      </c>
    </row>
    <row r="43" customFormat="false" ht="15" hidden="false" customHeight="false" outlineLevel="0" collapsed="false">
      <c r="A43" s="42" t="s">
        <v>156</v>
      </c>
      <c r="B43" s="42" t="s">
        <v>203</v>
      </c>
      <c r="C43" s="43" t="n">
        <f aca="false">IF(AND($A43&lt;&gt;"",$B43&lt;&gt;""),COUNTIFS('Leads Pipeline'!$D$5:$D$1004,$A43,'Leads Pipeline'!$E$5:$E$1004,$B43,'Leads Pipeline'!$F$5:$F$1004,"&lt;&gt;"),"")</f>
        <v>0</v>
      </c>
      <c r="D43" s="43" t="n">
        <f aca="false">IF(AND($A43&lt;&gt;"",$B43&lt;&gt;""),COUNTIFS('Leads Pipeline'!$D$5:$D$1004,$A43,'Leads Pipeline'!$E$5:$E$1004,$B43,'Leads Pipeline'!$F$5:$F$1004,"&lt;&gt;",'Leads Pipeline'!$O$5:$O$1004,"&lt;&gt;Won",'Leads Pipeline'!$O$5:$O$1004,"&lt;&gt;Lost"),"")</f>
        <v>0</v>
      </c>
      <c r="E43" s="43" t="n">
        <f aca="false">IF(AND($A43&lt;&gt;"",$B43&lt;&gt;""),COUNTIFS('Leads Pipeline'!$D$5:$D$1004,$A43,'Leads Pipeline'!$E$5:$E$1004,$B43,'Leads Pipeline'!$P$5:$P$1004,"Hot",'Leads Pipeline'!$O$5:$O$1004,"&lt;&gt;Won",'Leads Pipeline'!$O$5:$O$1004,"&lt;&gt;Lost"),"")</f>
        <v>0</v>
      </c>
      <c r="F43" s="43" t="n">
        <f aca="false">IF(AND($A43&lt;&gt;"",$B43&lt;&gt;""),COUNTIFS('Leads Pipeline'!$D$5:$D$1004,$A43,'Leads Pipeline'!$E$5:$E$1004,$B43,'Leads Pipeline'!$O$5:$O$1004,"Won"),"")</f>
        <v>0</v>
      </c>
      <c r="G43" s="44" t="n">
        <f aca="false">IF(AND($A43&lt;&gt;"",$B43&lt;&gt;""),SUMIFS('Leads Pipeline'!$U$5:$U$1004,'Leads Pipeline'!$D$5:$D$1004,$A43,'Leads Pipeline'!$E$5:$E$1004,$B43,'Leads Pipeline'!$O$5:$O$1004,"&lt;&gt;Won",'Leads Pipeline'!$O$5:$O$1004,"&lt;&gt;Lost"),"")</f>
        <v>0</v>
      </c>
      <c r="H43" s="43" t="n">
        <f aca="false">IF(AND($A43&lt;&gt;"",$B43&lt;&gt;""),COUNTIFS('Active Clients'!$B$5:$B$504,$A43,'Active Clients'!$C$5:$C$504,$B43,'Active Clients'!$T$5:$T$504,"Active"),"")</f>
        <v>0</v>
      </c>
      <c r="I43" s="44" t="n">
        <f aca="false">IF(AND($A43&lt;&gt;"",$B43&lt;&gt;""),SUMIFS('Active Clients'!$R$5:$R$504,'Active Clients'!$B$5:$B$504,$A43,'Active Clients'!$C$5:$C$504,$B43),"")</f>
        <v>0</v>
      </c>
      <c r="J43" s="43" t="n">
        <f aca="true">IF(AND($A43&lt;&gt;"",$B43&lt;&gt;""),COUNTIFS('Activity Log'!$E$5:$E$3004,$A43,'Activity Log'!$F$5:$F$3004,$B43,'Activity Log'!$A$5:$A$3004,"&gt;="&amp;(TODAY()-29),'Activity Log'!$A$5:$A$3004,"&lt;="&amp;TODAY()),"")</f>
        <v>0</v>
      </c>
    </row>
    <row r="44" customFormat="false" ht="15" hidden="false" customHeight="false" outlineLevel="0" collapsed="false">
      <c r="A44" s="42"/>
      <c r="B44" s="42"/>
      <c r="C44" s="43" t="str">
        <f aca="false">IF(AND($A44&lt;&gt;"",$B44&lt;&gt;""),COUNTIFS('Leads Pipeline'!$D$5:$D$1004,$A44,'Leads Pipeline'!$E$5:$E$1004,$B44,'Leads Pipeline'!$F$5:$F$1004,"&lt;&gt;"),"")</f>
        <v/>
      </c>
      <c r="D44" s="43" t="str">
        <f aca="false">IF(AND($A44&lt;&gt;"",$B44&lt;&gt;""),COUNTIFS('Leads Pipeline'!$D$5:$D$1004,$A44,'Leads Pipeline'!$E$5:$E$1004,$B44,'Leads Pipeline'!$F$5:$F$1004,"&lt;&gt;",'Leads Pipeline'!$O$5:$O$1004,"&lt;&gt;Won",'Leads Pipeline'!$O$5:$O$1004,"&lt;&gt;Lost"),"")</f>
        <v/>
      </c>
      <c r="E44" s="43" t="str">
        <f aca="false">IF(AND($A44&lt;&gt;"",$B44&lt;&gt;""),COUNTIFS('Leads Pipeline'!$D$5:$D$1004,$A44,'Leads Pipeline'!$E$5:$E$1004,$B44,'Leads Pipeline'!$P$5:$P$1004,"Hot",'Leads Pipeline'!$O$5:$O$1004,"&lt;&gt;Won",'Leads Pipeline'!$O$5:$O$1004,"&lt;&gt;Lost"),"")</f>
        <v/>
      </c>
      <c r="F44" s="43" t="str">
        <f aca="false">IF(AND($A44&lt;&gt;"",$B44&lt;&gt;""),COUNTIFS('Leads Pipeline'!$D$5:$D$1004,$A44,'Leads Pipeline'!$E$5:$E$1004,$B44,'Leads Pipeline'!$O$5:$O$1004,"Won"),"")</f>
        <v/>
      </c>
      <c r="G44" s="44" t="str">
        <f aca="false">IF(AND($A44&lt;&gt;"",$B44&lt;&gt;""),SUMIFS('Leads Pipeline'!$U$5:$U$1004,'Leads Pipeline'!$D$5:$D$1004,$A44,'Leads Pipeline'!$E$5:$E$1004,$B44,'Leads Pipeline'!$O$5:$O$1004,"&lt;&gt;Won",'Leads Pipeline'!$O$5:$O$1004,"&lt;&gt;Lost"),"")</f>
        <v/>
      </c>
      <c r="H44" s="43" t="str">
        <f aca="false">IF(AND($A44&lt;&gt;"",$B44&lt;&gt;""),COUNTIFS('Active Clients'!$B$5:$B$504,$A44,'Active Clients'!$C$5:$C$504,$B44,'Active Clients'!$T$5:$T$504,"Active"),"")</f>
        <v/>
      </c>
      <c r="I44" s="44" t="str">
        <f aca="false">IF(AND($A44&lt;&gt;"",$B44&lt;&gt;""),SUMIFS('Active Clients'!$R$5:$R$504,'Active Clients'!$B$5:$B$504,$A44,'Active Clients'!$C$5:$C$504,$B44),"")</f>
        <v/>
      </c>
      <c r="J44" s="43" t="str">
        <f aca="true">IF(AND($A44&lt;&gt;"",$B44&lt;&gt;""),COUNTIFS('Activity Log'!$E$5:$E$3004,$A44,'Activity Log'!$F$5:$F$3004,$B44,'Activity Log'!$A$5:$A$3004,"&gt;="&amp;(TODAY()-29),'Activity Log'!$A$5:$A$3004,"&lt;="&amp;TODAY()),"")</f>
        <v/>
      </c>
    </row>
    <row r="45" customFormat="false" ht="15" hidden="false" customHeight="false" outlineLevel="0" collapsed="false">
      <c r="A45" s="42"/>
      <c r="B45" s="42"/>
      <c r="C45" s="43" t="str">
        <f aca="false">IF(AND($A45&lt;&gt;"",$B45&lt;&gt;""),COUNTIFS('Leads Pipeline'!$D$5:$D$1004,$A45,'Leads Pipeline'!$E$5:$E$1004,$B45,'Leads Pipeline'!$F$5:$F$1004,"&lt;&gt;"),"")</f>
        <v/>
      </c>
      <c r="D45" s="43" t="str">
        <f aca="false">IF(AND($A45&lt;&gt;"",$B45&lt;&gt;""),COUNTIFS('Leads Pipeline'!$D$5:$D$1004,$A45,'Leads Pipeline'!$E$5:$E$1004,$B45,'Leads Pipeline'!$F$5:$F$1004,"&lt;&gt;",'Leads Pipeline'!$O$5:$O$1004,"&lt;&gt;Won",'Leads Pipeline'!$O$5:$O$1004,"&lt;&gt;Lost"),"")</f>
        <v/>
      </c>
      <c r="E45" s="43" t="str">
        <f aca="false">IF(AND($A45&lt;&gt;"",$B45&lt;&gt;""),COUNTIFS('Leads Pipeline'!$D$5:$D$1004,$A45,'Leads Pipeline'!$E$5:$E$1004,$B45,'Leads Pipeline'!$P$5:$P$1004,"Hot",'Leads Pipeline'!$O$5:$O$1004,"&lt;&gt;Won",'Leads Pipeline'!$O$5:$O$1004,"&lt;&gt;Lost"),"")</f>
        <v/>
      </c>
      <c r="F45" s="43" t="str">
        <f aca="false">IF(AND($A45&lt;&gt;"",$B45&lt;&gt;""),COUNTIFS('Leads Pipeline'!$D$5:$D$1004,$A45,'Leads Pipeline'!$E$5:$E$1004,$B45,'Leads Pipeline'!$O$5:$O$1004,"Won"),"")</f>
        <v/>
      </c>
      <c r="G45" s="44" t="str">
        <f aca="false">IF(AND($A45&lt;&gt;"",$B45&lt;&gt;""),SUMIFS('Leads Pipeline'!$U$5:$U$1004,'Leads Pipeline'!$D$5:$D$1004,$A45,'Leads Pipeline'!$E$5:$E$1004,$B45,'Leads Pipeline'!$O$5:$O$1004,"&lt;&gt;Won",'Leads Pipeline'!$O$5:$O$1004,"&lt;&gt;Lost"),"")</f>
        <v/>
      </c>
      <c r="H45" s="43" t="str">
        <f aca="false">IF(AND($A45&lt;&gt;"",$B45&lt;&gt;""),COUNTIFS('Active Clients'!$B$5:$B$504,$A45,'Active Clients'!$C$5:$C$504,$B45,'Active Clients'!$T$5:$T$504,"Active"),"")</f>
        <v/>
      </c>
      <c r="I45" s="44" t="str">
        <f aca="false">IF(AND($A45&lt;&gt;"",$B45&lt;&gt;""),SUMIFS('Active Clients'!$R$5:$R$504,'Active Clients'!$B$5:$B$504,$A45,'Active Clients'!$C$5:$C$504,$B45),"")</f>
        <v/>
      </c>
      <c r="J45" s="43" t="str">
        <f aca="true">IF(AND($A45&lt;&gt;"",$B45&lt;&gt;""),COUNTIFS('Activity Log'!$E$5:$E$3004,$A45,'Activity Log'!$F$5:$F$3004,$B45,'Activity Log'!$A$5:$A$3004,"&gt;="&amp;(TODAY()-29),'Activity Log'!$A$5:$A$3004,"&lt;="&amp;TODAY()),"")</f>
        <v/>
      </c>
    </row>
    <row r="46" customFormat="false" ht="15" hidden="false" customHeight="false" outlineLevel="0" collapsed="false">
      <c r="A46" s="42"/>
      <c r="B46" s="42"/>
      <c r="C46" s="43" t="str">
        <f aca="false">IF(AND($A46&lt;&gt;"",$B46&lt;&gt;""),COUNTIFS('Leads Pipeline'!$D$5:$D$1004,$A46,'Leads Pipeline'!$E$5:$E$1004,$B46,'Leads Pipeline'!$F$5:$F$1004,"&lt;&gt;"),"")</f>
        <v/>
      </c>
      <c r="D46" s="43" t="str">
        <f aca="false">IF(AND($A46&lt;&gt;"",$B46&lt;&gt;""),COUNTIFS('Leads Pipeline'!$D$5:$D$1004,$A46,'Leads Pipeline'!$E$5:$E$1004,$B46,'Leads Pipeline'!$F$5:$F$1004,"&lt;&gt;",'Leads Pipeline'!$O$5:$O$1004,"&lt;&gt;Won",'Leads Pipeline'!$O$5:$O$1004,"&lt;&gt;Lost"),"")</f>
        <v/>
      </c>
      <c r="E46" s="43" t="str">
        <f aca="false">IF(AND($A46&lt;&gt;"",$B46&lt;&gt;""),COUNTIFS('Leads Pipeline'!$D$5:$D$1004,$A46,'Leads Pipeline'!$E$5:$E$1004,$B46,'Leads Pipeline'!$P$5:$P$1004,"Hot",'Leads Pipeline'!$O$5:$O$1004,"&lt;&gt;Won",'Leads Pipeline'!$O$5:$O$1004,"&lt;&gt;Lost"),"")</f>
        <v/>
      </c>
      <c r="F46" s="43" t="str">
        <f aca="false">IF(AND($A46&lt;&gt;"",$B46&lt;&gt;""),COUNTIFS('Leads Pipeline'!$D$5:$D$1004,$A46,'Leads Pipeline'!$E$5:$E$1004,$B46,'Leads Pipeline'!$O$5:$O$1004,"Won"),"")</f>
        <v/>
      </c>
      <c r="G46" s="44" t="str">
        <f aca="false">IF(AND($A46&lt;&gt;"",$B46&lt;&gt;""),SUMIFS('Leads Pipeline'!$U$5:$U$1004,'Leads Pipeline'!$D$5:$D$1004,$A46,'Leads Pipeline'!$E$5:$E$1004,$B46,'Leads Pipeline'!$O$5:$O$1004,"&lt;&gt;Won",'Leads Pipeline'!$O$5:$O$1004,"&lt;&gt;Lost"),"")</f>
        <v/>
      </c>
      <c r="H46" s="43" t="str">
        <f aca="false">IF(AND($A46&lt;&gt;"",$B46&lt;&gt;""),COUNTIFS('Active Clients'!$B$5:$B$504,$A46,'Active Clients'!$C$5:$C$504,$B46,'Active Clients'!$T$5:$T$504,"Active"),"")</f>
        <v/>
      </c>
      <c r="I46" s="44" t="str">
        <f aca="false">IF(AND($A46&lt;&gt;"",$B46&lt;&gt;""),SUMIFS('Active Clients'!$R$5:$R$504,'Active Clients'!$B$5:$B$504,$A46,'Active Clients'!$C$5:$C$504,$B46),"")</f>
        <v/>
      </c>
      <c r="J46" s="43" t="str">
        <f aca="true">IF(AND($A46&lt;&gt;"",$B46&lt;&gt;""),COUNTIFS('Activity Log'!$E$5:$E$3004,$A46,'Activity Log'!$F$5:$F$3004,$B46,'Activity Log'!$A$5:$A$3004,"&gt;="&amp;(TODAY()-29),'Activity Log'!$A$5:$A$3004,"&lt;="&amp;TODAY()),"")</f>
        <v/>
      </c>
    </row>
    <row r="47" customFormat="false" ht="15" hidden="false" customHeight="false" outlineLevel="0" collapsed="false">
      <c r="A47" s="42"/>
      <c r="B47" s="42"/>
      <c r="C47" s="43" t="str">
        <f aca="false">IF(AND($A47&lt;&gt;"",$B47&lt;&gt;""),COUNTIFS('Leads Pipeline'!$D$5:$D$1004,$A47,'Leads Pipeline'!$E$5:$E$1004,$B47,'Leads Pipeline'!$F$5:$F$1004,"&lt;&gt;"),"")</f>
        <v/>
      </c>
      <c r="D47" s="43" t="str">
        <f aca="false">IF(AND($A47&lt;&gt;"",$B47&lt;&gt;""),COUNTIFS('Leads Pipeline'!$D$5:$D$1004,$A47,'Leads Pipeline'!$E$5:$E$1004,$B47,'Leads Pipeline'!$F$5:$F$1004,"&lt;&gt;",'Leads Pipeline'!$O$5:$O$1004,"&lt;&gt;Won",'Leads Pipeline'!$O$5:$O$1004,"&lt;&gt;Lost"),"")</f>
        <v/>
      </c>
      <c r="E47" s="43" t="str">
        <f aca="false">IF(AND($A47&lt;&gt;"",$B47&lt;&gt;""),COUNTIFS('Leads Pipeline'!$D$5:$D$1004,$A47,'Leads Pipeline'!$E$5:$E$1004,$B47,'Leads Pipeline'!$P$5:$P$1004,"Hot",'Leads Pipeline'!$O$5:$O$1004,"&lt;&gt;Won",'Leads Pipeline'!$O$5:$O$1004,"&lt;&gt;Lost"),"")</f>
        <v/>
      </c>
      <c r="F47" s="43" t="str">
        <f aca="false">IF(AND($A47&lt;&gt;"",$B47&lt;&gt;""),COUNTIFS('Leads Pipeline'!$D$5:$D$1004,$A47,'Leads Pipeline'!$E$5:$E$1004,$B47,'Leads Pipeline'!$O$5:$O$1004,"Won"),"")</f>
        <v/>
      </c>
      <c r="G47" s="44" t="str">
        <f aca="false">IF(AND($A47&lt;&gt;"",$B47&lt;&gt;""),SUMIFS('Leads Pipeline'!$U$5:$U$1004,'Leads Pipeline'!$D$5:$D$1004,$A47,'Leads Pipeline'!$E$5:$E$1004,$B47,'Leads Pipeline'!$O$5:$O$1004,"&lt;&gt;Won",'Leads Pipeline'!$O$5:$O$1004,"&lt;&gt;Lost"),"")</f>
        <v/>
      </c>
      <c r="H47" s="43" t="str">
        <f aca="false">IF(AND($A47&lt;&gt;"",$B47&lt;&gt;""),COUNTIFS('Active Clients'!$B$5:$B$504,$A47,'Active Clients'!$C$5:$C$504,$B47,'Active Clients'!$T$5:$T$504,"Active"),"")</f>
        <v/>
      </c>
      <c r="I47" s="44" t="str">
        <f aca="false">IF(AND($A47&lt;&gt;"",$B47&lt;&gt;""),SUMIFS('Active Clients'!$R$5:$R$504,'Active Clients'!$B$5:$B$504,$A47,'Active Clients'!$C$5:$C$504,$B47),"")</f>
        <v/>
      </c>
      <c r="J47" s="43" t="str">
        <f aca="true">IF(AND($A47&lt;&gt;"",$B47&lt;&gt;""),COUNTIFS('Activity Log'!$E$5:$E$3004,$A47,'Activity Log'!$F$5:$F$3004,$B47,'Activity Log'!$A$5:$A$3004,"&gt;="&amp;(TODAY()-29),'Activity Log'!$A$5:$A$3004,"&lt;="&amp;TODAY()),"")</f>
        <v/>
      </c>
    </row>
    <row r="48" customFormat="false" ht="15" hidden="false" customHeight="false" outlineLevel="0" collapsed="false">
      <c r="A48" s="42"/>
      <c r="B48" s="42"/>
      <c r="C48" s="43" t="str">
        <f aca="false">IF(AND($A48&lt;&gt;"",$B48&lt;&gt;""),COUNTIFS('Leads Pipeline'!$D$5:$D$1004,$A48,'Leads Pipeline'!$E$5:$E$1004,$B48,'Leads Pipeline'!$F$5:$F$1004,"&lt;&gt;"),"")</f>
        <v/>
      </c>
      <c r="D48" s="43" t="str">
        <f aca="false">IF(AND($A48&lt;&gt;"",$B48&lt;&gt;""),COUNTIFS('Leads Pipeline'!$D$5:$D$1004,$A48,'Leads Pipeline'!$E$5:$E$1004,$B48,'Leads Pipeline'!$F$5:$F$1004,"&lt;&gt;",'Leads Pipeline'!$O$5:$O$1004,"&lt;&gt;Won",'Leads Pipeline'!$O$5:$O$1004,"&lt;&gt;Lost"),"")</f>
        <v/>
      </c>
      <c r="E48" s="43" t="str">
        <f aca="false">IF(AND($A48&lt;&gt;"",$B48&lt;&gt;""),COUNTIFS('Leads Pipeline'!$D$5:$D$1004,$A48,'Leads Pipeline'!$E$5:$E$1004,$B48,'Leads Pipeline'!$P$5:$P$1004,"Hot",'Leads Pipeline'!$O$5:$O$1004,"&lt;&gt;Won",'Leads Pipeline'!$O$5:$O$1004,"&lt;&gt;Lost"),"")</f>
        <v/>
      </c>
      <c r="F48" s="43" t="str">
        <f aca="false">IF(AND($A48&lt;&gt;"",$B48&lt;&gt;""),COUNTIFS('Leads Pipeline'!$D$5:$D$1004,$A48,'Leads Pipeline'!$E$5:$E$1004,$B48,'Leads Pipeline'!$O$5:$O$1004,"Won"),"")</f>
        <v/>
      </c>
      <c r="G48" s="44" t="str">
        <f aca="false">IF(AND($A48&lt;&gt;"",$B48&lt;&gt;""),SUMIFS('Leads Pipeline'!$U$5:$U$1004,'Leads Pipeline'!$D$5:$D$1004,$A48,'Leads Pipeline'!$E$5:$E$1004,$B48,'Leads Pipeline'!$O$5:$O$1004,"&lt;&gt;Won",'Leads Pipeline'!$O$5:$O$1004,"&lt;&gt;Lost"),"")</f>
        <v/>
      </c>
      <c r="H48" s="43" t="str">
        <f aca="false">IF(AND($A48&lt;&gt;"",$B48&lt;&gt;""),COUNTIFS('Active Clients'!$B$5:$B$504,$A48,'Active Clients'!$C$5:$C$504,$B48,'Active Clients'!$T$5:$T$504,"Active"),"")</f>
        <v/>
      </c>
      <c r="I48" s="44" t="str">
        <f aca="false">IF(AND($A48&lt;&gt;"",$B48&lt;&gt;""),SUMIFS('Active Clients'!$R$5:$R$504,'Active Clients'!$B$5:$B$504,$A48,'Active Clients'!$C$5:$C$504,$B48),"")</f>
        <v/>
      </c>
      <c r="J48" s="43" t="str">
        <f aca="true">IF(AND($A48&lt;&gt;"",$B48&lt;&gt;""),COUNTIFS('Activity Log'!$E$5:$E$3004,$A48,'Activity Log'!$F$5:$F$3004,$B48,'Activity Log'!$A$5:$A$3004,"&gt;="&amp;(TODAY()-29),'Activity Log'!$A$5:$A$3004,"&lt;="&amp;TODAY()),"")</f>
        <v/>
      </c>
    </row>
    <row r="49" customFormat="false" ht="15" hidden="false" customHeight="false" outlineLevel="0" collapsed="false">
      <c r="A49" s="42"/>
      <c r="B49" s="42"/>
      <c r="C49" s="43" t="str">
        <f aca="false">IF(AND($A49&lt;&gt;"",$B49&lt;&gt;""),COUNTIFS('Leads Pipeline'!$D$5:$D$1004,$A49,'Leads Pipeline'!$E$5:$E$1004,$B49,'Leads Pipeline'!$F$5:$F$1004,"&lt;&gt;"),"")</f>
        <v/>
      </c>
      <c r="D49" s="43" t="str">
        <f aca="false">IF(AND($A49&lt;&gt;"",$B49&lt;&gt;""),COUNTIFS('Leads Pipeline'!$D$5:$D$1004,$A49,'Leads Pipeline'!$E$5:$E$1004,$B49,'Leads Pipeline'!$F$5:$F$1004,"&lt;&gt;",'Leads Pipeline'!$O$5:$O$1004,"&lt;&gt;Won",'Leads Pipeline'!$O$5:$O$1004,"&lt;&gt;Lost"),"")</f>
        <v/>
      </c>
      <c r="E49" s="43" t="str">
        <f aca="false">IF(AND($A49&lt;&gt;"",$B49&lt;&gt;""),COUNTIFS('Leads Pipeline'!$D$5:$D$1004,$A49,'Leads Pipeline'!$E$5:$E$1004,$B49,'Leads Pipeline'!$P$5:$P$1004,"Hot",'Leads Pipeline'!$O$5:$O$1004,"&lt;&gt;Won",'Leads Pipeline'!$O$5:$O$1004,"&lt;&gt;Lost"),"")</f>
        <v/>
      </c>
      <c r="F49" s="43" t="str">
        <f aca="false">IF(AND($A49&lt;&gt;"",$B49&lt;&gt;""),COUNTIFS('Leads Pipeline'!$D$5:$D$1004,$A49,'Leads Pipeline'!$E$5:$E$1004,$B49,'Leads Pipeline'!$O$5:$O$1004,"Won"),"")</f>
        <v/>
      </c>
      <c r="G49" s="44" t="str">
        <f aca="false">IF(AND($A49&lt;&gt;"",$B49&lt;&gt;""),SUMIFS('Leads Pipeline'!$U$5:$U$1004,'Leads Pipeline'!$D$5:$D$1004,$A49,'Leads Pipeline'!$E$5:$E$1004,$B49,'Leads Pipeline'!$O$5:$O$1004,"&lt;&gt;Won",'Leads Pipeline'!$O$5:$O$1004,"&lt;&gt;Lost"),"")</f>
        <v/>
      </c>
      <c r="H49" s="43" t="str">
        <f aca="false">IF(AND($A49&lt;&gt;"",$B49&lt;&gt;""),COUNTIFS('Active Clients'!$B$5:$B$504,$A49,'Active Clients'!$C$5:$C$504,$B49,'Active Clients'!$T$5:$T$504,"Active"),"")</f>
        <v/>
      </c>
      <c r="I49" s="44" t="str">
        <f aca="false">IF(AND($A49&lt;&gt;"",$B49&lt;&gt;""),SUMIFS('Active Clients'!$R$5:$R$504,'Active Clients'!$B$5:$B$504,$A49,'Active Clients'!$C$5:$C$504,$B49),"")</f>
        <v/>
      </c>
      <c r="J49" s="43" t="str">
        <f aca="true">IF(AND($A49&lt;&gt;"",$B49&lt;&gt;""),COUNTIFS('Activity Log'!$E$5:$E$3004,$A49,'Activity Log'!$F$5:$F$3004,$B49,'Activity Log'!$A$5:$A$3004,"&gt;="&amp;(TODAY()-29),'Activity Log'!$A$5:$A$3004,"&lt;="&amp;TODAY()),"")</f>
        <v/>
      </c>
    </row>
    <row r="50" customFormat="false" ht="15" hidden="false" customHeight="false" outlineLevel="0" collapsed="false">
      <c r="A50" s="42"/>
      <c r="B50" s="42"/>
      <c r="C50" s="43" t="str">
        <f aca="false">IF(AND($A50&lt;&gt;"",$B50&lt;&gt;""),COUNTIFS('Leads Pipeline'!$D$5:$D$1004,$A50,'Leads Pipeline'!$E$5:$E$1004,$B50,'Leads Pipeline'!$F$5:$F$1004,"&lt;&gt;"),"")</f>
        <v/>
      </c>
      <c r="D50" s="43" t="str">
        <f aca="false">IF(AND($A50&lt;&gt;"",$B50&lt;&gt;""),COUNTIFS('Leads Pipeline'!$D$5:$D$1004,$A50,'Leads Pipeline'!$E$5:$E$1004,$B50,'Leads Pipeline'!$F$5:$F$1004,"&lt;&gt;",'Leads Pipeline'!$O$5:$O$1004,"&lt;&gt;Won",'Leads Pipeline'!$O$5:$O$1004,"&lt;&gt;Lost"),"")</f>
        <v/>
      </c>
      <c r="E50" s="43" t="str">
        <f aca="false">IF(AND($A50&lt;&gt;"",$B50&lt;&gt;""),COUNTIFS('Leads Pipeline'!$D$5:$D$1004,$A50,'Leads Pipeline'!$E$5:$E$1004,$B50,'Leads Pipeline'!$P$5:$P$1004,"Hot",'Leads Pipeline'!$O$5:$O$1004,"&lt;&gt;Won",'Leads Pipeline'!$O$5:$O$1004,"&lt;&gt;Lost"),"")</f>
        <v/>
      </c>
      <c r="F50" s="43" t="str">
        <f aca="false">IF(AND($A50&lt;&gt;"",$B50&lt;&gt;""),COUNTIFS('Leads Pipeline'!$D$5:$D$1004,$A50,'Leads Pipeline'!$E$5:$E$1004,$B50,'Leads Pipeline'!$O$5:$O$1004,"Won"),"")</f>
        <v/>
      </c>
      <c r="G50" s="44" t="str">
        <f aca="false">IF(AND($A50&lt;&gt;"",$B50&lt;&gt;""),SUMIFS('Leads Pipeline'!$U$5:$U$1004,'Leads Pipeline'!$D$5:$D$1004,$A50,'Leads Pipeline'!$E$5:$E$1004,$B50,'Leads Pipeline'!$O$5:$O$1004,"&lt;&gt;Won",'Leads Pipeline'!$O$5:$O$1004,"&lt;&gt;Lost"),"")</f>
        <v/>
      </c>
      <c r="H50" s="43" t="str">
        <f aca="false">IF(AND($A50&lt;&gt;"",$B50&lt;&gt;""),COUNTIFS('Active Clients'!$B$5:$B$504,$A50,'Active Clients'!$C$5:$C$504,$B50,'Active Clients'!$T$5:$T$504,"Active"),"")</f>
        <v/>
      </c>
      <c r="I50" s="44" t="str">
        <f aca="false">IF(AND($A50&lt;&gt;"",$B50&lt;&gt;""),SUMIFS('Active Clients'!$R$5:$R$504,'Active Clients'!$B$5:$B$504,$A50,'Active Clients'!$C$5:$C$504,$B50),"")</f>
        <v/>
      </c>
      <c r="J50" s="43" t="str">
        <f aca="true">IF(AND($A50&lt;&gt;"",$B50&lt;&gt;""),COUNTIFS('Activity Log'!$E$5:$E$3004,$A50,'Activity Log'!$F$5:$F$3004,$B50,'Activity Log'!$A$5:$A$3004,"&gt;="&amp;(TODAY()-29),'Activity Log'!$A$5:$A$3004,"&lt;="&amp;TODAY()),"")</f>
        <v/>
      </c>
    </row>
    <row r="51" customFormat="false" ht="15" hidden="false" customHeight="false" outlineLevel="0" collapsed="false">
      <c r="A51" s="42"/>
      <c r="B51" s="42"/>
      <c r="C51" s="43" t="str">
        <f aca="false">IF(AND($A51&lt;&gt;"",$B51&lt;&gt;""),COUNTIFS('Leads Pipeline'!$D$5:$D$1004,$A51,'Leads Pipeline'!$E$5:$E$1004,$B51,'Leads Pipeline'!$F$5:$F$1004,"&lt;&gt;"),"")</f>
        <v/>
      </c>
      <c r="D51" s="43" t="str">
        <f aca="false">IF(AND($A51&lt;&gt;"",$B51&lt;&gt;""),COUNTIFS('Leads Pipeline'!$D$5:$D$1004,$A51,'Leads Pipeline'!$E$5:$E$1004,$B51,'Leads Pipeline'!$F$5:$F$1004,"&lt;&gt;",'Leads Pipeline'!$O$5:$O$1004,"&lt;&gt;Won",'Leads Pipeline'!$O$5:$O$1004,"&lt;&gt;Lost"),"")</f>
        <v/>
      </c>
      <c r="E51" s="43" t="str">
        <f aca="false">IF(AND($A51&lt;&gt;"",$B51&lt;&gt;""),COUNTIFS('Leads Pipeline'!$D$5:$D$1004,$A51,'Leads Pipeline'!$E$5:$E$1004,$B51,'Leads Pipeline'!$P$5:$P$1004,"Hot",'Leads Pipeline'!$O$5:$O$1004,"&lt;&gt;Won",'Leads Pipeline'!$O$5:$O$1004,"&lt;&gt;Lost"),"")</f>
        <v/>
      </c>
      <c r="F51" s="43" t="str">
        <f aca="false">IF(AND($A51&lt;&gt;"",$B51&lt;&gt;""),COUNTIFS('Leads Pipeline'!$D$5:$D$1004,$A51,'Leads Pipeline'!$E$5:$E$1004,$B51,'Leads Pipeline'!$O$5:$O$1004,"Won"),"")</f>
        <v/>
      </c>
      <c r="G51" s="44" t="str">
        <f aca="false">IF(AND($A51&lt;&gt;"",$B51&lt;&gt;""),SUMIFS('Leads Pipeline'!$U$5:$U$1004,'Leads Pipeline'!$D$5:$D$1004,$A51,'Leads Pipeline'!$E$5:$E$1004,$B51,'Leads Pipeline'!$O$5:$O$1004,"&lt;&gt;Won",'Leads Pipeline'!$O$5:$O$1004,"&lt;&gt;Lost"),"")</f>
        <v/>
      </c>
      <c r="H51" s="43" t="str">
        <f aca="false">IF(AND($A51&lt;&gt;"",$B51&lt;&gt;""),COUNTIFS('Active Clients'!$B$5:$B$504,$A51,'Active Clients'!$C$5:$C$504,$B51,'Active Clients'!$T$5:$T$504,"Active"),"")</f>
        <v/>
      </c>
      <c r="I51" s="44" t="str">
        <f aca="false">IF(AND($A51&lt;&gt;"",$B51&lt;&gt;""),SUMIFS('Active Clients'!$R$5:$R$504,'Active Clients'!$B$5:$B$504,$A51,'Active Clients'!$C$5:$C$504,$B51),"")</f>
        <v/>
      </c>
      <c r="J51" s="43" t="str">
        <f aca="true">IF(AND($A51&lt;&gt;"",$B51&lt;&gt;""),COUNTIFS('Activity Log'!$E$5:$E$3004,$A51,'Activity Log'!$F$5:$F$3004,$B51,'Activity Log'!$A$5:$A$3004,"&gt;="&amp;(TODAY()-29),'Activity Log'!$A$5:$A$3004,"&lt;="&amp;TODAY()),"")</f>
        <v/>
      </c>
    </row>
    <row r="52" customFormat="false" ht="15" hidden="false" customHeight="false" outlineLevel="0" collapsed="false">
      <c r="A52" s="42"/>
      <c r="B52" s="42"/>
      <c r="C52" s="43" t="str">
        <f aca="false">IF(AND($A52&lt;&gt;"",$B52&lt;&gt;""),COUNTIFS('Leads Pipeline'!$D$5:$D$1004,$A52,'Leads Pipeline'!$E$5:$E$1004,$B52,'Leads Pipeline'!$F$5:$F$1004,"&lt;&gt;"),"")</f>
        <v/>
      </c>
      <c r="D52" s="43" t="str">
        <f aca="false">IF(AND($A52&lt;&gt;"",$B52&lt;&gt;""),COUNTIFS('Leads Pipeline'!$D$5:$D$1004,$A52,'Leads Pipeline'!$E$5:$E$1004,$B52,'Leads Pipeline'!$F$5:$F$1004,"&lt;&gt;",'Leads Pipeline'!$O$5:$O$1004,"&lt;&gt;Won",'Leads Pipeline'!$O$5:$O$1004,"&lt;&gt;Lost"),"")</f>
        <v/>
      </c>
      <c r="E52" s="43" t="str">
        <f aca="false">IF(AND($A52&lt;&gt;"",$B52&lt;&gt;""),COUNTIFS('Leads Pipeline'!$D$5:$D$1004,$A52,'Leads Pipeline'!$E$5:$E$1004,$B52,'Leads Pipeline'!$P$5:$P$1004,"Hot",'Leads Pipeline'!$O$5:$O$1004,"&lt;&gt;Won",'Leads Pipeline'!$O$5:$O$1004,"&lt;&gt;Lost"),"")</f>
        <v/>
      </c>
      <c r="F52" s="43" t="str">
        <f aca="false">IF(AND($A52&lt;&gt;"",$B52&lt;&gt;""),COUNTIFS('Leads Pipeline'!$D$5:$D$1004,$A52,'Leads Pipeline'!$E$5:$E$1004,$B52,'Leads Pipeline'!$O$5:$O$1004,"Won"),"")</f>
        <v/>
      </c>
      <c r="G52" s="44" t="str">
        <f aca="false">IF(AND($A52&lt;&gt;"",$B52&lt;&gt;""),SUMIFS('Leads Pipeline'!$U$5:$U$1004,'Leads Pipeline'!$D$5:$D$1004,$A52,'Leads Pipeline'!$E$5:$E$1004,$B52,'Leads Pipeline'!$O$5:$O$1004,"&lt;&gt;Won",'Leads Pipeline'!$O$5:$O$1004,"&lt;&gt;Lost"),"")</f>
        <v/>
      </c>
      <c r="H52" s="43" t="str">
        <f aca="false">IF(AND($A52&lt;&gt;"",$B52&lt;&gt;""),COUNTIFS('Active Clients'!$B$5:$B$504,$A52,'Active Clients'!$C$5:$C$504,$B52,'Active Clients'!$T$5:$T$504,"Active"),"")</f>
        <v/>
      </c>
      <c r="I52" s="44" t="str">
        <f aca="false">IF(AND($A52&lt;&gt;"",$B52&lt;&gt;""),SUMIFS('Active Clients'!$R$5:$R$504,'Active Clients'!$B$5:$B$504,$A52,'Active Clients'!$C$5:$C$504,$B52),"")</f>
        <v/>
      </c>
      <c r="J52" s="43" t="str">
        <f aca="true">IF(AND($A52&lt;&gt;"",$B52&lt;&gt;""),COUNTIFS('Activity Log'!$E$5:$E$3004,$A52,'Activity Log'!$F$5:$F$3004,$B52,'Activity Log'!$A$5:$A$3004,"&gt;="&amp;(TODAY()-29),'Activity Log'!$A$5:$A$3004,"&lt;="&amp;TODAY()),"")</f>
        <v/>
      </c>
    </row>
    <row r="53" customFormat="false" ht="15" hidden="false" customHeight="false" outlineLevel="0" collapsed="false">
      <c r="A53" s="42"/>
      <c r="B53" s="42"/>
      <c r="C53" s="43" t="str">
        <f aca="false">IF(AND($A53&lt;&gt;"",$B53&lt;&gt;""),COUNTIFS('Leads Pipeline'!$D$5:$D$1004,$A53,'Leads Pipeline'!$E$5:$E$1004,$B53,'Leads Pipeline'!$F$5:$F$1004,"&lt;&gt;"),"")</f>
        <v/>
      </c>
      <c r="D53" s="43" t="str">
        <f aca="false">IF(AND($A53&lt;&gt;"",$B53&lt;&gt;""),COUNTIFS('Leads Pipeline'!$D$5:$D$1004,$A53,'Leads Pipeline'!$E$5:$E$1004,$B53,'Leads Pipeline'!$F$5:$F$1004,"&lt;&gt;",'Leads Pipeline'!$O$5:$O$1004,"&lt;&gt;Won",'Leads Pipeline'!$O$5:$O$1004,"&lt;&gt;Lost"),"")</f>
        <v/>
      </c>
      <c r="E53" s="43" t="str">
        <f aca="false">IF(AND($A53&lt;&gt;"",$B53&lt;&gt;""),COUNTIFS('Leads Pipeline'!$D$5:$D$1004,$A53,'Leads Pipeline'!$E$5:$E$1004,$B53,'Leads Pipeline'!$P$5:$P$1004,"Hot",'Leads Pipeline'!$O$5:$O$1004,"&lt;&gt;Won",'Leads Pipeline'!$O$5:$O$1004,"&lt;&gt;Lost"),"")</f>
        <v/>
      </c>
      <c r="F53" s="43" t="str">
        <f aca="false">IF(AND($A53&lt;&gt;"",$B53&lt;&gt;""),COUNTIFS('Leads Pipeline'!$D$5:$D$1004,$A53,'Leads Pipeline'!$E$5:$E$1004,$B53,'Leads Pipeline'!$O$5:$O$1004,"Won"),"")</f>
        <v/>
      </c>
      <c r="G53" s="44" t="str">
        <f aca="false">IF(AND($A53&lt;&gt;"",$B53&lt;&gt;""),SUMIFS('Leads Pipeline'!$U$5:$U$1004,'Leads Pipeline'!$D$5:$D$1004,$A53,'Leads Pipeline'!$E$5:$E$1004,$B53,'Leads Pipeline'!$O$5:$O$1004,"&lt;&gt;Won",'Leads Pipeline'!$O$5:$O$1004,"&lt;&gt;Lost"),"")</f>
        <v/>
      </c>
      <c r="H53" s="43" t="str">
        <f aca="false">IF(AND($A53&lt;&gt;"",$B53&lt;&gt;""),COUNTIFS('Active Clients'!$B$5:$B$504,$A53,'Active Clients'!$C$5:$C$504,$B53,'Active Clients'!$T$5:$T$504,"Active"),"")</f>
        <v/>
      </c>
      <c r="I53" s="44" t="str">
        <f aca="false">IF(AND($A53&lt;&gt;"",$B53&lt;&gt;""),SUMIFS('Active Clients'!$R$5:$R$504,'Active Clients'!$B$5:$B$504,$A53,'Active Clients'!$C$5:$C$504,$B53),"")</f>
        <v/>
      </c>
      <c r="J53" s="43" t="str">
        <f aca="true">IF(AND($A53&lt;&gt;"",$B53&lt;&gt;""),COUNTIFS('Activity Log'!$E$5:$E$3004,$A53,'Activity Log'!$F$5:$F$3004,$B53,'Activity Log'!$A$5:$A$3004,"&gt;="&amp;(TODAY()-29),'Activity Log'!$A$5:$A$3004,"&lt;="&amp;TODAY()),"")</f>
        <v/>
      </c>
    </row>
    <row r="54" customFormat="false" ht="15" hidden="false" customHeight="false" outlineLevel="0" collapsed="false">
      <c r="A54" s="42"/>
      <c r="B54" s="42"/>
      <c r="C54" s="43" t="str">
        <f aca="false">IF(AND($A54&lt;&gt;"",$B54&lt;&gt;""),COUNTIFS('Leads Pipeline'!$D$5:$D$1004,$A54,'Leads Pipeline'!$E$5:$E$1004,$B54,'Leads Pipeline'!$F$5:$F$1004,"&lt;&gt;"),"")</f>
        <v/>
      </c>
      <c r="D54" s="43" t="str">
        <f aca="false">IF(AND($A54&lt;&gt;"",$B54&lt;&gt;""),COUNTIFS('Leads Pipeline'!$D$5:$D$1004,$A54,'Leads Pipeline'!$E$5:$E$1004,$B54,'Leads Pipeline'!$F$5:$F$1004,"&lt;&gt;",'Leads Pipeline'!$O$5:$O$1004,"&lt;&gt;Won",'Leads Pipeline'!$O$5:$O$1004,"&lt;&gt;Lost"),"")</f>
        <v/>
      </c>
      <c r="E54" s="43" t="str">
        <f aca="false">IF(AND($A54&lt;&gt;"",$B54&lt;&gt;""),COUNTIFS('Leads Pipeline'!$D$5:$D$1004,$A54,'Leads Pipeline'!$E$5:$E$1004,$B54,'Leads Pipeline'!$P$5:$P$1004,"Hot",'Leads Pipeline'!$O$5:$O$1004,"&lt;&gt;Won",'Leads Pipeline'!$O$5:$O$1004,"&lt;&gt;Lost"),"")</f>
        <v/>
      </c>
      <c r="F54" s="43" t="str">
        <f aca="false">IF(AND($A54&lt;&gt;"",$B54&lt;&gt;""),COUNTIFS('Leads Pipeline'!$D$5:$D$1004,$A54,'Leads Pipeline'!$E$5:$E$1004,$B54,'Leads Pipeline'!$O$5:$O$1004,"Won"),"")</f>
        <v/>
      </c>
      <c r="G54" s="44" t="str">
        <f aca="false">IF(AND($A54&lt;&gt;"",$B54&lt;&gt;""),SUMIFS('Leads Pipeline'!$U$5:$U$1004,'Leads Pipeline'!$D$5:$D$1004,$A54,'Leads Pipeline'!$E$5:$E$1004,$B54,'Leads Pipeline'!$O$5:$O$1004,"&lt;&gt;Won",'Leads Pipeline'!$O$5:$O$1004,"&lt;&gt;Lost"),"")</f>
        <v/>
      </c>
      <c r="H54" s="43" t="str">
        <f aca="false">IF(AND($A54&lt;&gt;"",$B54&lt;&gt;""),COUNTIFS('Active Clients'!$B$5:$B$504,$A54,'Active Clients'!$C$5:$C$504,$B54,'Active Clients'!$T$5:$T$504,"Active"),"")</f>
        <v/>
      </c>
      <c r="I54" s="44" t="str">
        <f aca="false">IF(AND($A54&lt;&gt;"",$B54&lt;&gt;""),SUMIFS('Active Clients'!$R$5:$R$504,'Active Clients'!$B$5:$B$504,$A54,'Active Clients'!$C$5:$C$504,$B54),"")</f>
        <v/>
      </c>
      <c r="J54" s="43" t="str">
        <f aca="true">IF(AND($A54&lt;&gt;"",$B54&lt;&gt;""),COUNTIFS('Activity Log'!$E$5:$E$3004,$A54,'Activity Log'!$F$5:$F$3004,$B54,'Activity Log'!$A$5:$A$3004,"&gt;="&amp;(TODAY()-29),'Activity Log'!$A$5:$A$3004,"&lt;="&amp;TODAY()),"")</f>
        <v/>
      </c>
    </row>
    <row r="55" customFormat="false" ht="15" hidden="false" customHeight="false" outlineLevel="0" collapsed="false">
      <c r="A55" s="42"/>
      <c r="B55" s="42"/>
      <c r="C55" s="43" t="str">
        <f aca="false">IF(AND($A55&lt;&gt;"",$B55&lt;&gt;""),COUNTIFS('Leads Pipeline'!$D$5:$D$1004,$A55,'Leads Pipeline'!$E$5:$E$1004,$B55,'Leads Pipeline'!$F$5:$F$1004,"&lt;&gt;"),"")</f>
        <v/>
      </c>
      <c r="D55" s="43" t="str">
        <f aca="false">IF(AND($A55&lt;&gt;"",$B55&lt;&gt;""),COUNTIFS('Leads Pipeline'!$D$5:$D$1004,$A55,'Leads Pipeline'!$E$5:$E$1004,$B55,'Leads Pipeline'!$F$5:$F$1004,"&lt;&gt;",'Leads Pipeline'!$O$5:$O$1004,"&lt;&gt;Won",'Leads Pipeline'!$O$5:$O$1004,"&lt;&gt;Lost"),"")</f>
        <v/>
      </c>
      <c r="E55" s="43" t="str">
        <f aca="false">IF(AND($A55&lt;&gt;"",$B55&lt;&gt;""),COUNTIFS('Leads Pipeline'!$D$5:$D$1004,$A55,'Leads Pipeline'!$E$5:$E$1004,$B55,'Leads Pipeline'!$P$5:$P$1004,"Hot",'Leads Pipeline'!$O$5:$O$1004,"&lt;&gt;Won",'Leads Pipeline'!$O$5:$O$1004,"&lt;&gt;Lost"),"")</f>
        <v/>
      </c>
      <c r="F55" s="43" t="str">
        <f aca="false">IF(AND($A55&lt;&gt;"",$B55&lt;&gt;""),COUNTIFS('Leads Pipeline'!$D$5:$D$1004,$A55,'Leads Pipeline'!$E$5:$E$1004,$B55,'Leads Pipeline'!$O$5:$O$1004,"Won"),"")</f>
        <v/>
      </c>
      <c r="G55" s="44" t="str">
        <f aca="false">IF(AND($A55&lt;&gt;"",$B55&lt;&gt;""),SUMIFS('Leads Pipeline'!$U$5:$U$1004,'Leads Pipeline'!$D$5:$D$1004,$A55,'Leads Pipeline'!$E$5:$E$1004,$B55,'Leads Pipeline'!$O$5:$O$1004,"&lt;&gt;Won",'Leads Pipeline'!$O$5:$O$1004,"&lt;&gt;Lost"),"")</f>
        <v/>
      </c>
      <c r="H55" s="43" t="str">
        <f aca="false">IF(AND($A55&lt;&gt;"",$B55&lt;&gt;""),COUNTIFS('Active Clients'!$B$5:$B$504,$A55,'Active Clients'!$C$5:$C$504,$B55,'Active Clients'!$T$5:$T$504,"Active"),"")</f>
        <v/>
      </c>
      <c r="I55" s="44" t="str">
        <f aca="false">IF(AND($A55&lt;&gt;"",$B55&lt;&gt;""),SUMIFS('Active Clients'!$R$5:$R$504,'Active Clients'!$B$5:$B$504,$A55,'Active Clients'!$C$5:$C$504,$B55),"")</f>
        <v/>
      </c>
      <c r="J55" s="43" t="str">
        <f aca="true">IF(AND($A55&lt;&gt;"",$B55&lt;&gt;""),COUNTIFS('Activity Log'!$E$5:$E$3004,$A55,'Activity Log'!$F$5:$F$3004,$B55,'Activity Log'!$A$5:$A$3004,"&gt;="&amp;(TODAY()-29),'Activity Log'!$A$5:$A$3004,"&lt;="&amp;TODAY()),"")</f>
        <v/>
      </c>
    </row>
    <row r="56" customFormat="false" ht="15" hidden="false" customHeight="false" outlineLevel="0" collapsed="false">
      <c r="A56" s="42"/>
      <c r="B56" s="42"/>
      <c r="C56" s="43" t="str">
        <f aca="false">IF(AND($A56&lt;&gt;"",$B56&lt;&gt;""),COUNTIFS('Leads Pipeline'!$D$5:$D$1004,$A56,'Leads Pipeline'!$E$5:$E$1004,$B56,'Leads Pipeline'!$F$5:$F$1004,"&lt;&gt;"),"")</f>
        <v/>
      </c>
      <c r="D56" s="43" t="str">
        <f aca="false">IF(AND($A56&lt;&gt;"",$B56&lt;&gt;""),COUNTIFS('Leads Pipeline'!$D$5:$D$1004,$A56,'Leads Pipeline'!$E$5:$E$1004,$B56,'Leads Pipeline'!$F$5:$F$1004,"&lt;&gt;",'Leads Pipeline'!$O$5:$O$1004,"&lt;&gt;Won",'Leads Pipeline'!$O$5:$O$1004,"&lt;&gt;Lost"),"")</f>
        <v/>
      </c>
      <c r="E56" s="43" t="str">
        <f aca="false">IF(AND($A56&lt;&gt;"",$B56&lt;&gt;""),COUNTIFS('Leads Pipeline'!$D$5:$D$1004,$A56,'Leads Pipeline'!$E$5:$E$1004,$B56,'Leads Pipeline'!$P$5:$P$1004,"Hot",'Leads Pipeline'!$O$5:$O$1004,"&lt;&gt;Won",'Leads Pipeline'!$O$5:$O$1004,"&lt;&gt;Lost"),"")</f>
        <v/>
      </c>
      <c r="F56" s="43" t="str">
        <f aca="false">IF(AND($A56&lt;&gt;"",$B56&lt;&gt;""),COUNTIFS('Leads Pipeline'!$D$5:$D$1004,$A56,'Leads Pipeline'!$E$5:$E$1004,$B56,'Leads Pipeline'!$O$5:$O$1004,"Won"),"")</f>
        <v/>
      </c>
      <c r="G56" s="44" t="str">
        <f aca="false">IF(AND($A56&lt;&gt;"",$B56&lt;&gt;""),SUMIFS('Leads Pipeline'!$U$5:$U$1004,'Leads Pipeline'!$D$5:$D$1004,$A56,'Leads Pipeline'!$E$5:$E$1004,$B56,'Leads Pipeline'!$O$5:$O$1004,"&lt;&gt;Won",'Leads Pipeline'!$O$5:$O$1004,"&lt;&gt;Lost"),"")</f>
        <v/>
      </c>
      <c r="H56" s="43" t="str">
        <f aca="false">IF(AND($A56&lt;&gt;"",$B56&lt;&gt;""),COUNTIFS('Active Clients'!$B$5:$B$504,$A56,'Active Clients'!$C$5:$C$504,$B56,'Active Clients'!$T$5:$T$504,"Active"),"")</f>
        <v/>
      </c>
      <c r="I56" s="44" t="str">
        <f aca="false">IF(AND($A56&lt;&gt;"",$B56&lt;&gt;""),SUMIFS('Active Clients'!$R$5:$R$504,'Active Clients'!$B$5:$B$504,$A56,'Active Clients'!$C$5:$C$504,$B56),"")</f>
        <v/>
      </c>
      <c r="J56" s="43" t="str">
        <f aca="true">IF(AND($A56&lt;&gt;"",$B56&lt;&gt;""),COUNTIFS('Activity Log'!$E$5:$E$3004,$A56,'Activity Log'!$F$5:$F$3004,$B56,'Activity Log'!$A$5:$A$3004,"&gt;="&amp;(TODAY()-29),'Activity Log'!$A$5:$A$3004,"&lt;="&amp;TODAY()),"")</f>
        <v/>
      </c>
    </row>
    <row r="57" customFormat="false" ht="15" hidden="false" customHeight="false" outlineLevel="0" collapsed="false">
      <c r="A57" s="42"/>
      <c r="B57" s="42"/>
      <c r="C57" s="43" t="str">
        <f aca="false">IF(AND($A57&lt;&gt;"",$B57&lt;&gt;""),COUNTIFS('Leads Pipeline'!$D$5:$D$1004,$A57,'Leads Pipeline'!$E$5:$E$1004,$B57,'Leads Pipeline'!$F$5:$F$1004,"&lt;&gt;"),"")</f>
        <v/>
      </c>
      <c r="D57" s="43" t="str">
        <f aca="false">IF(AND($A57&lt;&gt;"",$B57&lt;&gt;""),COUNTIFS('Leads Pipeline'!$D$5:$D$1004,$A57,'Leads Pipeline'!$E$5:$E$1004,$B57,'Leads Pipeline'!$F$5:$F$1004,"&lt;&gt;",'Leads Pipeline'!$O$5:$O$1004,"&lt;&gt;Won",'Leads Pipeline'!$O$5:$O$1004,"&lt;&gt;Lost"),"")</f>
        <v/>
      </c>
      <c r="E57" s="43" t="str">
        <f aca="false">IF(AND($A57&lt;&gt;"",$B57&lt;&gt;""),COUNTIFS('Leads Pipeline'!$D$5:$D$1004,$A57,'Leads Pipeline'!$E$5:$E$1004,$B57,'Leads Pipeline'!$P$5:$P$1004,"Hot",'Leads Pipeline'!$O$5:$O$1004,"&lt;&gt;Won",'Leads Pipeline'!$O$5:$O$1004,"&lt;&gt;Lost"),"")</f>
        <v/>
      </c>
      <c r="F57" s="43" t="str">
        <f aca="false">IF(AND($A57&lt;&gt;"",$B57&lt;&gt;""),COUNTIFS('Leads Pipeline'!$D$5:$D$1004,$A57,'Leads Pipeline'!$E$5:$E$1004,$B57,'Leads Pipeline'!$O$5:$O$1004,"Won"),"")</f>
        <v/>
      </c>
      <c r="G57" s="44" t="str">
        <f aca="false">IF(AND($A57&lt;&gt;"",$B57&lt;&gt;""),SUMIFS('Leads Pipeline'!$U$5:$U$1004,'Leads Pipeline'!$D$5:$D$1004,$A57,'Leads Pipeline'!$E$5:$E$1004,$B57,'Leads Pipeline'!$O$5:$O$1004,"&lt;&gt;Won",'Leads Pipeline'!$O$5:$O$1004,"&lt;&gt;Lost"),"")</f>
        <v/>
      </c>
      <c r="H57" s="43" t="str">
        <f aca="false">IF(AND($A57&lt;&gt;"",$B57&lt;&gt;""),COUNTIFS('Active Clients'!$B$5:$B$504,$A57,'Active Clients'!$C$5:$C$504,$B57,'Active Clients'!$T$5:$T$504,"Active"),"")</f>
        <v/>
      </c>
      <c r="I57" s="44" t="str">
        <f aca="false">IF(AND($A57&lt;&gt;"",$B57&lt;&gt;""),SUMIFS('Active Clients'!$R$5:$R$504,'Active Clients'!$B$5:$B$504,$A57,'Active Clients'!$C$5:$C$504,$B57),"")</f>
        <v/>
      </c>
      <c r="J57" s="43" t="str">
        <f aca="true">IF(AND($A57&lt;&gt;"",$B57&lt;&gt;""),COUNTIFS('Activity Log'!$E$5:$E$3004,$A57,'Activity Log'!$F$5:$F$3004,$B57,'Activity Log'!$A$5:$A$3004,"&gt;="&amp;(TODAY()-29),'Activity Log'!$A$5:$A$3004,"&lt;="&amp;TODAY()),"")</f>
        <v/>
      </c>
    </row>
    <row r="58" customFormat="false" ht="15" hidden="false" customHeight="false" outlineLevel="0" collapsed="false">
      <c r="A58" s="42"/>
      <c r="B58" s="42"/>
      <c r="C58" s="43" t="str">
        <f aca="false">IF(AND($A58&lt;&gt;"",$B58&lt;&gt;""),COUNTIFS('Leads Pipeline'!$D$5:$D$1004,$A58,'Leads Pipeline'!$E$5:$E$1004,$B58,'Leads Pipeline'!$F$5:$F$1004,"&lt;&gt;"),"")</f>
        <v/>
      </c>
      <c r="D58" s="43" t="str">
        <f aca="false">IF(AND($A58&lt;&gt;"",$B58&lt;&gt;""),COUNTIFS('Leads Pipeline'!$D$5:$D$1004,$A58,'Leads Pipeline'!$E$5:$E$1004,$B58,'Leads Pipeline'!$F$5:$F$1004,"&lt;&gt;",'Leads Pipeline'!$O$5:$O$1004,"&lt;&gt;Won",'Leads Pipeline'!$O$5:$O$1004,"&lt;&gt;Lost"),"")</f>
        <v/>
      </c>
      <c r="E58" s="43" t="str">
        <f aca="false">IF(AND($A58&lt;&gt;"",$B58&lt;&gt;""),COUNTIFS('Leads Pipeline'!$D$5:$D$1004,$A58,'Leads Pipeline'!$E$5:$E$1004,$B58,'Leads Pipeline'!$P$5:$P$1004,"Hot",'Leads Pipeline'!$O$5:$O$1004,"&lt;&gt;Won",'Leads Pipeline'!$O$5:$O$1004,"&lt;&gt;Lost"),"")</f>
        <v/>
      </c>
      <c r="F58" s="43" t="str">
        <f aca="false">IF(AND($A58&lt;&gt;"",$B58&lt;&gt;""),COUNTIFS('Leads Pipeline'!$D$5:$D$1004,$A58,'Leads Pipeline'!$E$5:$E$1004,$B58,'Leads Pipeline'!$O$5:$O$1004,"Won"),"")</f>
        <v/>
      </c>
      <c r="G58" s="44" t="str">
        <f aca="false">IF(AND($A58&lt;&gt;"",$B58&lt;&gt;""),SUMIFS('Leads Pipeline'!$U$5:$U$1004,'Leads Pipeline'!$D$5:$D$1004,$A58,'Leads Pipeline'!$E$5:$E$1004,$B58,'Leads Pipeline'!$O$5:$O$1004,"&lt;&gt;Won",'Leads Pipeline'!$O$5:$O$1004,"&lt;&gt;Lost"),"")</f>
        <v/>
      </c>
      <c r="H58" s="43" t="str">
        <f aca="false">IF(AND($A58&lt;&gt;"",$B58&lt;&gt;""),COUNTIFS('Active Clients'!$B$5:$B$504,$A58,'Active Clients'!$C$5:$C$504,$B58,'Active Clients'!$T$5:$T$504,"Active"),"")</f>
        <v/>
      </c>
      <c r="I58" s="44" t="str">
        <f aca="false">IF(AND($A58&lt;&gt;"",$B58&lt;&gt;""),SUMIFS('Active Clients'!$R$5:$R$504,'Active Clients'!$B$5:$B$504,$A58,'Active Clients'!$C$5:$C$504,$B58),"")</f>
        <v/>
      </c>
      <c r="J58" s="43" t="str">
        <f aca="true">IF(AND($A58&lt;&gt;"",$B58&lt;&gt;""),COUNTIFS('Activity Log'!$E$5:$E$3004,$A58,'Activity Log'!$F$5:$F$3004,$B58,'Activity Log'!$A$5:$A$3004,"&gt;="&amp;(TODAY()-29),'Activity Log'!$A$5:$A$3004,"&lt;="&amp;TODAY()),"")</f>
        <v/>
      </c>
    </row>
    <row r="59" customFormat="false" ht="15" hidden="false" customHeight="false" outlineLevel="0" collapsed="false">
      <c r="A59" s="42"/>
      <c r="B59" s="42"/>
      <c r="C59" s="43" t="str">
        <f aca="false">IF(AND($A59&lt;&gt;"",$B59&lt;&gt;""),COUNTIFS('Leads Pipeline'!$D$5:$D$1004,$A59,'Leads Pipeline'!$E$5:$E$1004,$B59,'Leads Pipeline'!$F$5:$F$1004,"&lt;&gt;"),"")</f>
        <v/>
      </c>
      <c r="D59" s="43" t="str">
        <f aca="false">IF(AND($A59&lt;&gt;"",$B59&lt;&gt;""),COUNTIFS('Leads Pipeline'!$D$5:$D$1004,$A59,'Leads Pipeline'!$E$5:$E$1004,$B59,'Leads Pipeline'!$F$5:$F$1004,"&lt;&gt;",'Leads Pipeline'!$O$5:$O$1004,"&lt;&gt;Won",'Leads Pipeline'!$O$5:$O$1004,"&lt;&gt;Lost"),"")</f>
        <v/>
      </c>
      <c r="E59" s="43" t="str">
        <f aca="false">IF(AND($A59&lt;&gt;"",$B59&lt;&gt;""),COUNTIFS('Leads Pipeline'!$D$5:$D$1004,$A59,'Leads Pipeline'!$E$5:$E$1004,$B59,'Leads Pipeline'!$P$5:$P$1004,"Hot",'Leads Pipeline'!$O$5:$O$1004,"&lt;&gt;Won",'Leads Pipeline'!$O$5:$O$1004,"&lt;&gt;Lost"),"")</f>
        <v/>
      </c>
      <c r="F59" s="43" t="str">
        <f aca="false">IF(AND($A59&lt;&gt;"",$B59&lt;&gt;""),COUNTIFS('Leads Pipeline'!$D$5:$D$1004,$A59,'Leads Pipeline'!$E$5:$E$1004,$B59,'Leads Pipeline'!$O$5:$O$1004,"Won"),"")</f>
        <v/>
      </c>
      <c r="G59" s="44" t="str">
        <f aca="false">IF(AND($A59&lt;&gt;"",$B59&lt;&gt;""),SUMIFS('Leads Pipeline'!$U$5:$U$1004,'Leads Pipeline'!$D$5:$D$1004,$A59,'Leads Pipeline'!$E$5:$E$1004,$B59,'Leads Pipeline'!$O$5:$O$1004,"&lt;&gt;Won",'Leads Pipeline'!$O$5:$O$1004,"&lt;&gt;Lost"),"")</f>
        <v/>
      </c>
      <c r="H59" s="43" t="str">
        <f aca="false">IF(AND($A59&lt;&gt;"",$B59&lt;&gt;""),COUNTIFS('Active Clients'!$B$5:$B$504,$A59,'Active Clients'!$C$5:$C$504,$B59,'Active Clients'!$T$5:$T$504,"Active"),"")</f>
        <v/>
      </c>
      <c r="I59" s="44" t="str">
        <f aca="false">IF(AND($A59&lt;&gt;"",$B59&lt;&gt;""),SUMIFS('Active Clients'!$R$5:$R$504,'Active Clients'!$B$5:$B$504,$A59,'Active Clients'!$C$5:$C$504,$B59),"")</f>
        <v/>
      </c>
      <c r="J59" s="43" t="str">
        <f aca="true">IF(AND($A59&lt;&gt;"",$B59&lt;&gt;""),COUNTIFS('Activity Log'!$E$5:$E$3004,$A59,'Activity Log'!$F$5:$F$3004,$B59,'Activity Log'!$A$5:$A$3004,"&gt;="&amp;(TODAY()-29),'Activity Log'!$A$5:$A$3004,"&lt;="&amp;TODAY()),"")</f>
        <v/>
      </c>
    </row>
    <row r="60" customFormat="false" ht="15" hidden="false" customHeight="false" outlineLevel="0" collapsed="false">
      <c r="A60" s="42"/>
      <c r="B60" s="42"/>
      <c r="C60" s="43" t="str">
        <f aca="false">IF(AND($A60&lt;&gt;"",$B60&lt;&gt;""),COUNTIFS('Leads Pipeline'!$D$5:$D$1004,$A60,'Leads Pipeline'!$E$5:$E$1004,$B60,'Leads Pipeline'!$F$5:$F$1004,"&lt;&gt;"),"")</f>
        <v/>
      </c>
      <c r="D60" s="43" t="str">
        <f aca="false">IF(AND($A60&lt;&gt;"",$B60&lt;&gt;""),COUNTIFS('Leads Pipeline'!$D$5:$D$1004,$A60,'Leads Pipeline'!$E$5:$E$1004,$B60,'Leads Pipeline'!$F$5:$F$1004,"&lt;&gt;",'Leads Pipeline'!$O$5:$O$1004,"&lt;&gt;Won",'Leads Pipeline'!$O$5:$O$1004,"&lt;&gt;Lost"),"")</f>
        <v/>
      </c>
      <c r="E60" s="43" t="str">
        <f aca="false">IF(AND($A60&lt;&gt;"",$B60&lt;&gt;""),COUNTIFS('Leads Pipeline'!$D$5:$D$1004,$A60,'Leads Pipeline'!$E$5:$E$1004,$B60,'Leads Pipeline'!$P$5:$P$1004,"Hot",'Leads Pipeline'!$O$5:$O$1004,"&lt;&gt;Won",'Leads Pipeline'!$O$5:$O$1004,"&lt;&gt;Lost"),"")</f>
        <v/>
      </c>
      <c r="F60" s="43" t="str">
        <f aca="false">IF(AND($A60&lt;&gt;"",$B60&lt;&gt;""),COUNTIFS('Leads Pipeline'!$D$5:$D$1004,$A60,'Leads Pipeline'!$E$5:$E$1004,$B60,'Leads Pipeline'!$O$5:$O$1004,"Won"),"")</f>
        <v/>
      </c>
      <c r="G60" s="44" t="str">
        <f aca="false">IF(AND($A60&lt;&gt;"",$B60&lt;&gt;""),SUMIFS('Leads Pipeline'!$U$5:$U$1004,'Leads Pipeline'!$D$5:$D$1004,$A60,'Leads Pipeline'!$E$5:$E$1004,$B60,'Leads Pipeline'!$O$5:$O$1004,"&lt;&gt;Won",'Leads Pipeline'!$O$5:$O$1004,"&lt;&gt;Lost"),"")</f>
        <v/>
      </c>
      <c r="H60" s="43" t="str">
        <f aca="false">IF(AND($A60&lt;&gt;"",$B60&lt;&gt;""),COUNTIFS('Active Clients'!$B$5:$B$504,$A60,'Active Clients'!$C$5:$C$504,$B60,'Active Clients'!$T$5:$T$504,"Active"),"")</f>
        <v/>
      </c>
      <c r="I60" s="44" t="str">
        <f aca="false">IF(AND($A60&lt;&gt;"",$B60&lt;&gt;""),SUMIFS('Active Clients'!$R$5:$R$504,'Active Clients'!$B$5:$B$504,$A60,'Active Clients'!$C$5:$C$504,$B60),"")</f>
        <v/>
      </c>
      <c r="J60" s="43" t="str">
        <f aca="true">IF(AND($A60&lt;&gt;"",$B60&lt;&gt;""),COUNTIFS('Activity Log'!$E$5:$E$3004,$A60,'Activity Log'!$F$5:$F$3004,$B60,'Activity Log'!$A$5:$A$3004,"&gt;="&amp;(TODAY()-29),'Activity Log'!$A$5:$A$3004,"&lt;="&amp;TODAY()),"")</f>
        <v/>
      </c>
    </row>
    <row r="61" customFormat="false" ht="15" hidden="false" customHeight="false" outlineLevel="0" collapsed="false">
      <c r="A61" s="42"/>
      <c r="B61" s="42"/>
      <c r="C61" s="43" t="str">
        <f aca="false">IF(AND($A61&lt;&gt;"",$B61&lt;&gt;""),COUNTIFS('Leads Pipeline'!$D$5:$D$1004,$A61,'Leads Pipeline'!$E$5:$E$1004,$B61,'Leads Pipeline'!$F$5:$F$1004,"&lt;&gt;"),"")</f>
        <v/>
      </c>
      <c r="D61" s="43" t="str">
        <f aca="false">IF(AND($A61&lt;&gt;"",$B61&lt;&gt;""),COUNTIFS('Leads Pipeline'!$D$5:$D$1004,$A61,'Leads Pipeline'!$E$5:$E$1004,$B61,'Leads Pipeline'!$F$5:$F$1004,"&lt;&gt;",'Leads Pipeline'!$O$5:$O$1004,"&lt;&gt;Won",'Leads Pipeline'!$O$5:$O$1004,"&lt;&gt;Lost"),"")</f>
        <v/>
      </c>
      <c r="E61" s="43" t="str">
        <f aca="false">IF(AND($A61&lt;&gt;"",$B61&lt;&gt;""),COUNTIFS('Leads Pipeline'!$D$5:$D$1004,$A61,'Leads Pipeline'!$E$5:$E$1004,$B61,'Leads Pipeline'!$P$5:$P$1004,"Hot",'Leads Pipeline'!$O$5:$O$1004,"&lt;&gt;Won",'Leads Pipeline'!$O$5:$O$1004,"&lt;&gt;Lost"),"")</f>
        <v/>
      </c>
      <c r="F61" s="43" t="str">
        <f aca="false">IF(AND($A61&lt;&gt;"",$B61&lt;&gt;""),COUNTIFS('Leads Pipeline'!$D$5:$D$1004,$A61,'Leads Pipeline'!$E$5:$E$1004,$B61,'Leads Pipeline'!$O$5:$O$1004,"Won"),"")</f>
        <v/>
      </c>
      <c r="G61" s="44" t="str">
        <f aca="false">IF(AND($A61&lt;&gt;"",$B61&lt;&gt;""),SUMIFS('Leads Pipeline'!$U$5:$U$1004,'Leads Pipeline'!$D$5:$D$1004,$A61,'Leads Pipeline'!$E$5:$E$1004,$B61,'Leads Pipeline'!$O$5:$O$1004,"&lt;&gt;Won",'Leads Pipeline'!$O$5:$O$1004,"&lt;&gt;Lost"),"")</f>
        <v/>
      </c>
      <c r="H61" s="43" t="str">
        <f aca="false">IF(AND($A61&lt;&gt;"",$B61&lt;&gt;""),COUNTIFS('Active Clients'!$B$5:$B$504,$A61,'Active Clients'!$C$5:$C$504,$B61,'Active Clients'!$T$5:$T$504,"Active"),"")</f>
        <v/>
      </c>
      <c r="I61" s="44" t="str">
        <f aca="false">IF(AND($A61&lt;&gt;"",$B61&lt;&gt;""),SUMIFS('Active Clients'!$R$5:$R$504,'Active Clients'!$B$5:$B$504,$A61,'Active Clients'!$C$5:$C$504,$B61),"")</f>
        <v/>
      </c>
      <c r="J61" s="43" t="str">
        <f aca="true">IF(AND($A61&lt;&gt;"",$B61&lt;&gt;""),COUNTIFS('Activity Log'!$E$5:$E$3004,$A61,'Activity Log'!$F$5:$F$3004,$B61,'Activity Log'!$A$5:$A$3004,"&gt;="&amp;(TODAY()-29),'Activity Log'!$A$5:$A$3004,"&lt;="&amp;TODAY()),"")</f>
        <v/>
      </c>
    </row>
    <row r="62" customFormat="false" ht="15" hidden="false" customHeight="false" outlineLevel="0" collapsed="false">
      <c r="A62" s="42"/>
      <c r="B62" s="42"/>
      <c r="C62" s="43" t="str">
        <f aca="false">IF(AND($A62&lt;&gt;"",$B62&lt;&gt;""),COUNTIFS('Leads Pipeline'!$D$5:$D$1004,$A62,'Leads Pipeline'!$E$5:$E$1004,$B62,'Leads Pipeline'!$F$5:$F$1004,"&lt;&gt;"),"")</f>
        <v/>
      </c>
      <c r="D62" s="43" t="str">
        <f aca="false">IF(AND($A62&lt;&gt;"",$B62&lt;&gt;""),COUNTIFS('Leads Pipeline'!$D$5:$D$1004,$A62,'Leads Pipeline'!$E$5:$E$1004,$B62,'Leads Pipeline'!$F$5:$F$1004,"&lt;&gt;",'Leads Pipeline'!$O$5:$O$1004,"&lt;&gt;Won",'Leads Pipeline'!$O$5:$O$1004,"&lt;&gt;Lost"),"")</f>
        <v/>
      </c>
      <c r="E62" s="43" t="str">
        <f aca="false">IF(AND($A62&lt;&gt;"",$B62&lt;&gt;""),COUNTIFS('Leads Pipeline'!$D$5:$D$1004,$A62,'Leads Pipeline'!$E$5:$E$1004,$B62,'Leads Pipeline'!$P$5:$P$1004,"Hot",'Leads Pipeline'!$O$5:$O$1004,"&lt;&gt;Won",'Leads Pipeline'!$O$5:$O$1004,"&lt;&gt;Lost"),"")</f>
        <v/>
      </c>
      <c r="F62" s="43" t="str">
        <f aca="false">IF(AND($A62&lt;&gt;"",$B62&lt;&gt;""),COUNTIFS('Leads Pipeline'!$D$5:$D$1004,$A62,'Leads Pipeline'!$E$5:$E$1004,$B62,'Leads Pipeline'!$O$5:$O$1004,"Won"),"")</f>
        <v/>
      </c>
      <c r="G62" s="44" t="str">
        <f aca="false">IF(AND($A62&lt;&gt;"",$B62&lt;&gt;""),SUMIFS('Leads Pipeline'!$U$5:$U$1004,'Leads Pipeline'!$D$5:$D$1004,$A62,'Leads Pipeline'!$E$5:$E$1004,$B62,'Leads Pipeline'!$O$5:$O$1004,"&lt;&gt;Won",'Leads Pipeline'!$O$5:$O$1004,"&lt;&gt;Lost"),"")</f>
        <v/>
      </c>
      <c r="H62" s="43" t="str">
        <f aca="false">IF(AND($A62&lt;&gt;"",$B62&lt;&gt;""),COUNTIFS('Active Clients'!$B$5:$B$504,$A62,'Active Clients'!$C$5:$C$504,$B62,'Active Clients'!$T$5:$T$504,"Active"),"")</f>
        <v/>
      </c>
      <c r="I62" s="44" t="str">
        <f aca="false">IF(AND($A62&lt;&gt;"",$B62&lt;&gt;""),SUMIFS('Active Clients'!$R$5:$R$504,'Active Clients'!$B$5:$B$504,$A62,'Active Clients'!$C$5:$C$504,$B62),"")</f>
        <v/>
      </c>
      <c r="J62" s="43" t="str">
        <f aca="true">IF(AND($A62&lt;&gt;"",$B62&lt;&gt;""),COUNTIFS('Activity Log'!$E$5:$E$3004,$A62,'Activity Log'!$F$5:$F$3004,$B62,'Activity Log'!$A$5:$A$3004,"&gt;="&amp;(TODAY()-29),'Activity Log'!$A$5:$A$3004,"&lt;="&amp;TODAY()),"")</f>
        <v/>
      </c>
    </row>
    <row r="63" customFormat="false" ht="15" hidden="false" customHeight="false" outlineLevel="0" collapsed="false">
      <c r="A63" s="42"/>
      <c r="B63" s="42"/>
      <c r="C63" s="43" t="str">
        <f aca="false">IF(AND($A63&lt;&gt;"",$B63&lt;&gt;""),COUNTIFS('Leads Pipeline'!$D$5:$D$1004,$A63,'Leads Pipeline'!$E$5:$E$1004,$B63,'Leads Pipeline'!$F$5:$F$1004,"&lt;&gt;"),"")</f>
        <v/>
      </c>
      <c r="D63" s="43" t="str">
        <f aca="false">IF(AND($A63&lt;&gt;"",$B63&lt;&gt;""),COUNTIFS('Leads Pipeline'!$D$5:$D$1004,$A63,'Leads Pipeline'!$E$5:$E$1004,$B63,'Leads Pipeline'!$F$5:$F$1004,"&lt;&gt;",'Leads Pipeline'!$O$5:$O$1004,"&lt;&gt;Won",'Leads Pipeline'!$O$5:$O$1004,"&lt;&gt;Lost"),"")</f>
        <v/>
      </c>
      <c r="E63" s="43" t="str">
        <f aca="false">IF(AND($A63&lt;&gt;"",$B63&lt;&gt;""),COUNTIFS('Leads Pipeline'!$D$5:$D$1004,$A63,'Leads Pipeline'!$E$5:$E$1004,$B63,'Leads Pipeline'!$P$5:$P$1004,"Hot",'Leads Pipeline'!$O$5:$O$1004,"&lt;&gt;Won",'Leads Pipeline'!$O$5:$O$1004,"&lt;&gt;Lost"),"")</f>
        <v/>
      </c>
      <c r="F63" s="43" t="str">
        <f aca="false">IF(AND($A63&lt;&gt;"",$B63&lt;&gt;""),COUNTIFS('Leads Pipeline'!$D$5:$D$1004,$A63,'Leads Pipeline'!$E$5:$E$1004,$B63,'Leads Pipeline'!$O$5:$O$1004,"Won"),"")</f>
        <v/>
      </c>
      <c r="G63" s="44" t="str">
        <f aca="false">IF(AND($A63&lt;&gt;"",$B63&lt;&gt;""),SUMIFS('Leads Pipeline'!$U$5:$U$1004,'Leads Pipeline'!$D$5:$D$1004,$A63,'Leads Pipeline'!$E$5:$E$1004,$B63,'Leads Pipeline'!$O$5:$O$1004,"&lt;&gt;Won",'Leads Pipeline'!$O$5:$O$1004,"&lt;&gt;Lost"),"")</f>
        <v/>
      </c>
      <c r="H63" s="43" t="str">
        <f aca="false">IF(AND($A63&lt;&gt;"",$B63&lt;&gt;""),COUNTIFS('Active Clients'!$B$5:$B$504,$A63,'Active Clients'!$C$5:$C$504,$B63,'Active Clients'!$T$5:$T$504,"Active"),"")</f>
        <v/>
      </c>
      <c r="I63" s="44" t="str">
        <f aca="false">IF(AND($A63&lt;&gt;"",$B63&lt;&gt;""),SUMIFS('Active Clients'!$R$5:$R$504,'Active Clients'!$B$5:$B$504,$A63,'Active Clients'!$C$5:$C$504,$B63),"")</f>
        <v/>
      </c>
      <c r="J63" s="43" t="str">
        <f aca="true">IF(AND($A63&lt;&gt;"",$B63&lt;&gt;""),COUNTIFS('Activity Log'!$E$5:$E$3004,$A63,'Activity Log'!$F$5:$F$3004,$B63,'Activity Log'!$A$5:$A$3004,"&gt;="&amp;(TODAY()-29),'Activity Log'!$A$5:$A$3004,"&lt;="&amp;TODAY()),"")</f>
        <v/>
      </c>
    </row>
    <row r="64" customFormat="false" ht="15" hidden="false" customHeight="false" outlineLevel="0" collapsed="false">
      <c r="A64" s="42"/>
      <c r="B64" s="42"/>
      <c r="C64" s="43" t="str">
        <f aca="false">IF(AND($A64&lt;&gt;"",$B64&lt;&gt;""),COUNTIFS('Leads Pipeline'!$D$5:$D$1004,$A64,'Leads Pipeline'!$E$5:$E$1004,$B64,'Leads Pipeline'!$F$5:$F$1004,"&lt;&gt;"),"")</f>
        <v/>
      </c>
      <c r="D64" s="43" t="str">
        <f aca="false">IF(AND($A64&lt;&gt;"",$B64&lt;&gt;""),COUNTIFS('Leads Pipeline'!$D$5:$D$1004,$A64,'Leads Pipeline'!$E$5:$E$1004,$B64,'Leads Pipeline'!$F$5:$F$1004,"&lt;&gt;",'Leads Pipeline'!$O$5:$O$1004,"&lt;&gt;Won",'Leads Pipeline'!$O$5:$O$1004,"&lt;&gt;Lost"),"")</f>
        <v/>
      </c>
      <c r="E64" s="43" t="str">
        <f aca="false">IF(AND($A64&lt;&gt;"",$B64&lt;&gt;""),COUNTIFS('Leads Pipeline'!$D$5:$D$1004,$A64,'Leads Pipeline'!$E$5:$E$1004,$B64,'Leads Pipeline'!$P$5:$P$1004,"Hot",'Leads Pipeline'!$O$5:$O$1004,"&lt;&gt;Won",'Leads Pipeline'!$O$5:$O$1004,"&lt;&gt;Lost"),"")</f>
        <v/>
      </c>
      <c r="F64" s="43" t="str">
        <f aca="false">IF(AND($A64&lt;&gt;"",$B64&lt;&gt;""),COUNTIFS('Leads Pipeline'!$D$5:$D$1004,$A64,'Leads Pipeline'!$E$5:$E$1004,$B64,'Leads Pipeline'!$O$5:$O$1004,"Won"),"")</f>
        <v/>
      </c>
      <c r="G64" s="44" t="str">
        <f aca="false">IF(AND($A64&lt;&gt;"",$B64&lt;&gt;""),SUMIFS('Leads Pipeline'!$U$5:$U$1004,'Leads Pipeline'!$D$5:$D$1004,$A64,'Leads Pipeline'!$E$5:$E$1004,$B64,'Leads Pipeline'!$O$5:$O$1004,"&lt;&gt;Won",'Leads Pipeline'!$O$5:$O$1004,"&lt;&gt;Lost"),"")</f>
        <v/>
      </c>
      <c r="H64" s="43" t="str">
        <f aca="false">IF(AND($A64&lt;&gt;"",$B64&lt;&gt;""),COUNTIFS('Active Clients'!$B$5:$B$504,$A64,'Active Clients'!$C$5:$C$504,$B64,'Active Clients'!$T$5:$T$504,"Active"),"")</f>
        <v/>
      </c>
      <c r="I64" s="44" t="str">
        <f aca="false">IF(AND($A64&lt;&gt;"",$B64&lt;&gt;""),SUMIFS('Active Clients'!$R$5:$R$504,'Active Clients'!$B$5:$B$504,$A64,'Active Clients'!$C$5:$C$504,$B64),"")</f>
        <v/>
      </c>
      <c r="J64" s="43" t="str">
        <f aca="true">IF(AND($A64&lt;&gt;"",$B64&lt;&gt;""),COUNTIFS('Activity Log'!$E$5:$E$3004,$A64,'Activity Log'!$F$5:$F$3004,$B64,'Activity Log'!$A$5:$A$3004,"&gt;="&amp;(TODAY()-29),'Activity Log'!$A$5:$A$3004,"&lt;="&amp;TODAY()),"")</f>
        <v/>
      </c>
    </row>
    <row r="65" customFormat="false" ht="15" hidden="false" customHeight="false" outlineLevel="0" collapsed="false">
      <c r="A65" s="42"/>
      <c r="B65" s="42"/>
      <c r="C65" s="43" t="str">
        <f aca="false">IF(AND($A65&lt;&gt;"",$B65&lt;&gt;""),COUNTIFS('Leads Pipeline'!$D$5:$D$1004,$A65,'Leads Pipeline'!$E$5:$E$1004,$B65,'Leads Pipeline'!$F$5:$F$1004,"&lt;&gt;"),"")</f>
        <v/>
      </c>
      <c r="D65" s="43" t="str">
        <f aca="false">IF(AND($A65&lt;&gt;"",$B65&lt;&gt;""),COUNTIFS('Leads Pipeline'!$D$5:$D$1004,$A65,'Leads Pipeline'!$E$5:$E$1004,$B65,'Leads Pipeline'!$F$5:$F$1004,"&lt;&gt;",'Leads Pipeline'!$O$5:$O$1004,"&lt;&gt;Won",'Leads Pipeline'!$O$5:$O$1004,"&lt;&gt;Lost"),"")</f>
        <v/>
      </c>
      <c r="E65" s="43" t="str">
        <f aca="false">IF(AND($A65&lt;&gt;"",$B65&lt;&gt;""),COUNTIFS('Leads Pipeline'!$D$5:$D$1004,$A65,'Leads Pipeline'!$E$5:$E$1004,$B65,'Leads Pipeline'!$P$5:$P$1004,"Hot",'Leads Pipeline'!$O$5:$O$1004,"&lt;&gt;Won",'Leads Pipeline'!$O$5:$O$1004,"&lt;&gt;Lost"),"")</f>
        <v/>
      </c>
      <c r="F65" s="43" t="str">
        <f aca="false">IF(AND($A65&lt;&gt;"",$B65&lt;&gt;""),COUNTIFS('Leads Pipeline'!$D$5:$D$1004,$A65,'Leads Pipeline'!$E$5:$E$1004,$B65,'Leads Pipeline'!$O$5:$O$1004,"Won"),"")</f>
        <v/>
      </c>
      <c r="G65" s="44" t="str">
        <f aca="false">IF(AND($A65&lt;&gt;"",$B65&lt;&gt;""),SUMIFS('Leads Pipeline'!$U$5:$U$1004,'Leads Pipeline'!$D$5:$D$1004,$A65,'Leads Pipeline'!$E$5:$E$1004,$B65,'Leads Pipeline'!$O$5:$O$1004,"&lt;&gt;Won",'Leads Pipeline'!$O$5:$O$1004,"&lt;&gt;Lost"),"")</f>
        <v/>
      </c>
      <c r="H65" s="43" t="str">
        <f aca="false">IF(AND($A65&lt;&gt;"",$B65&lt;&gt;""),COUNTIFS('Active Clients'!$B$5:$B$504,$A65,'Active Clients'!$C$5:$C$504,$B65,'Active Clients'!$T$5:$T$504,"Active"),"")</f>
        <v/>
      </c>
      <c r="I65" s="44" t="str">
        <f aca="false">IF(AND($A65&lt;&gt;"",$B65&lt;&gt;""),SUMIFS('Active Clients'!$R$5:$R$504,'Active Clients'!$B$5:$B$504,$A65,'Active Clients'!$C$5:$C$504,$B65),"")</f>
        <v/>
      </c>
      <c r="J65" s="43" t="str">
        <f aca="true">IF(AND($A65&lt;&gt;"",$B65&lt;&gt;""),COUNTIFS('Activity Log'!$E$5:$E$3004,$A65,'Activity Log'!$F$5:$F$3004,$B65,'Activity Log'!$A$5:$A$3004,"&gt;="&amp;(TODAY()-29),'Activity Log'!$A$5:$A$3004,"&lt;="&amp;TODAY()),"")</f>
        <v/>
      </c>
    </row>
    <row r="66" customFormat="false" ht="15" hidden="false" customHeight="false" outlineLevel="0" collapsed="false">
      <c r="A66" s="42"/>
      <c r="B66" s="42"/>
      <c r="C66" s="43" t="str">
        <f aca="false">IF(AND($A66&lt;&gt;"",$B66&lt;&gt;""),COUNTIFS('Leads Pipeline'!$D$5:$D$1004,$A66,'Leads Pipeline'!$E$5:$E$1004,$B66,'Leads Pipeline'!$F$5:$F$1004,"&lt;&gt;"),"")</f>
        <v/>
      </c>
      <c r="D66" s="43" t="str">
        <f aca="false">IF(AND($A66&lt;&gt;"",$B66&lt;&gt;""),COUNTIFS('Leads Pipeline'!$D$5:$D$1004,$A66,'Leads Pipeline'!$E$5:$E$1004,$B66,'Leads Pipeline'!$F$5:$F$1004,"&lt;&gt;",'Leads Pipeline'!$O$5:$O$1004,"&lt;&gt;Won",'Leads Pipeline'!$O$5:$O$1004,"&lt;&gt;Lost"),"")</f>
        <v/>
      </c>
      <c r="E66" s="43" t="str">
        <f aca="false">IF(AND($A66&lt;&gt;"",$B66&lt;&gt;""),COUNTIFS('Leads Pipeline'!$D$5:$D$1004,$A66,'Leads Pipeline'!$E$5:$E$1004,$B66,'Leads Pipeline'!$P$5:$P$1004,"Hot",'Leads Pipeline'!$O$5:$O$1004,"&lt;&gt;Won",'Leads Pipeline'!$O$5:$O$1004,"&lt;&gt;Lost"),"")</f>
        <v/>
      </c>
      <c r="F66" s="43" t="str">
        <f aca="false">IF(AND($A66&lt;&gt;"",$B66&lt;&gt;""),COUNTIFS('Leads Pipeline'!$D$5:$D$1004,$A66,'Leads Pipeline'!$E$5:$E$1004,$B66,'Leads Pipeline'!$O$5:$O$1004,"Won"),"")</f>
        <v/>
      </c>
      <c r="G66" s="44" t="str">
        <f aca="false">IF(AND($A66&lt;&gt;"",$B66&lt;&gt;""),SUMIFS('Leads Pipeline'!$U$5:$U$1004,'Leads Pipeline'!$D$5:$D$1004,$A66,'Leads Pipeline'!$E$5:$E$1004,$B66,'Leads Pipeline'!$O$5:$O$1004,"&lt;&gt;Won",'Leads Pipeline'!$O$5:$O$1004,"&lt;&gt;Lost"),"")</f>
        <v/>
      </c>
      <c r="H66" s="43" t="str">
        <f aca="false">IF(AND($A66&lt;&gt;"",$B66&lt;&gt;""),COUNTIFS('Active Clients'!$B$5:$B$504,$A66,'Active Clients'!$C$5:$C$504,$B66,'Active Clients'!$T$5:$T$504,"Active"),"")</f>
        <v/>
      </c>
      <c r="I66" s="44" t="str">
        <f aca="false">IF(AND($A66&lt;&gt;"",$B66&lt;&gt;""),SUMIFS('Active Clients'!$R$5:$R$504,'Active Clients'!$B$5:$B$504,$A66,'Active Clients'!$C$5:$C$504,$B66),"")</f>
        <v/>
      </c>
      <c r="J66" s="43" t="str">
        <f aca="true">IF(AND($A66&lt;&gt;"",$B66&lt;&gt;""),COUNTIFS('Activity Log'!$E$5:$E$3004,$A66,'Activity Log'!$F$5:$F$3004,$B66,'Activity Log'!$A$5:$A$3004,"&gt;="&amp;(TODAY()-29),'Activity Log'!$A$5:$A$3004,"&lt;="&amp;TODAY()),"")</f>
        <v/>
      </c>
    </row>
    <row r="67" customFormat="false" ht="15" hidden="false" customHeight="false" outlineLevel="0" collapsed="false">
      <c r="A67" s="42"/>
      <c r="B67" s="42"/>
      <c r="C67" s="43" t="str">
        <f aca="false">IF(AND($A67&lt;&gt;"",$B67&lt;&gt;""),COUNTIFS('Leads Pipeline'!$D$5:$D$1004,$A67,'Leads Pipeline'!$E$5:$E$1004,$B67,'Leads Pipeline'!$F$5:$F$1004,"&lt;&gt;"),"")</f>
        <v/>
      </c>
      <c r="D67" s="43" t="str">
        <f aca="false">IF(AND($A67&lt;&gt;"",$B67&lt;&gt;""),COUNTIFS('Leads Pipeline'!$D$5:$D$1004,$A67,'Leads Pipeline'!$E$5:$E$1004,$B67,'Leads Pipeline'!$F$5:$F$1004,"&lt;&gt;",'Leads Pipeline'!$O$5:$O$1004,"&lt;&gt;Won",'Leads Pipeline'!$O$5:$O$1004,"&lt;&gt;Lost"),"")</f>
        <v/>
      </c>
      <c r="E67" s="43" t="str">
        <f aca="false">IF(AND($A67&lt;&gt;"",$B67&lt;&gt;""),COUNTIFS('Leads Pipeline'!$D$5:$D$1004,$A67,'Leads Pipeline'!$E$5:$E$1004,$B67,'Leads Pipeline'!$P$5:$P$1004,"Hot",'Leads Pipeline'!$O$5:$O$1004,"&lt;&gt;Won",'Leads Pipeline'!$O$5:$O$1004,"&lt;&gt;Lost"),"")</f>
        <v/>
      </c>
      <c r="F67" s="43" t="str">
        <f aca="false">IF(AND($A67&lt;&gt;"",$B67&lt;&gt;""),COUNTIFS('Leads Pipeline'!$D$5:$D$1004,$A67,'Leads Pipeline'!$E$5:$E$1004,$B67,'Leads Pipeline'!$O$5:$O$1004,"Won"),"")</f>
        <v/>
      </c>
      <c r="G67" s="44" t="str">
        <f aca="false">IF(AND($A67&lt;&gt;"",$B67&lt;&gt;""),SUMIFS('Leads Pipeline'!$U$5:$U$1004,'Leads Pipeline'!$D$5:$D$1004,$A67,'Leads Pipeline'!$E$5:$E$1004,$B67,'Leads Pipeline'!$O$5:$O$1004,"&lt;&gt;Won",'Leads Pipeline'!$O$5:$O$1004,"&lt;&gt;Lost"),"")</f>
        <v/>
      </c>
      <c r="H67" s="43" t="str">
        <f aca="false">IF(AND($A67&lt;&gt;"",$B67&lt;&gt;""),COUNTIFS('Active Clients'!$B$5:$B$504,$A67,'Active Clients'!$C$5:$C$504,$B67,'Active Clients'!$T$5:$T$504,"Active"),"")</f>
        <v/>
      </c>
      <c r="I67" s="44" t="str">
        <f aca="false">IF(AND($A67&lt;&gt;"",$B67&lt;&gt;""),SUMIFS('Active Clients'!$R$5:$R$504,'Active Clients'!$B$5:$B$504,$A67,'Active Clients'!$C$5:$C$504,$B67),"")</f>
        <v/>
      </c>
      <c r="J67" s="43" t="str">
        <f aca="true">IF(AND($A67&lt;&gt;"",$B67&lt;&gt;""),COUNTIFS('Activity Log'!$E$5:$E$3004,$A67,'Activity Log'!$F$5:$F$3004,$B67,'Activity Log'!$A$5:$A$3004,"&gt;="&amp;(TODAY()-29),'Activity Log'!$A$5:$A$3004,"&lt;="&amp;TODAY()),"")</f>
        <v/>
      </c>
    </row>
    <row r="68" customFormat="false" ht="15" hidden="false" customHeight="false" outlineLevel="0" collapsed="false">
      <c r="A68" s="42"/>
      <c r="B68" s="42"/>
      <c r="C68" s="43" t="str">
        <f aca="false">IF(AND($A68&lt;&gt;"",$B68&lt;&gt;""),COUNTIFS('Leads Pipeline'!$D$5:$D$1004,$A68,'Leads Pipeline'!$E$5:$E$1004,$B68,'Leads Pipeline'!$F$5:$F$1004,"&lt;&gt;"),"")</f>
        <v/>
      </c>
      <c r="D68" s="43" t="str">
        <f aca="false">IF(AND($A68&lt;&gt;"",$B68&lt;&gt;""),COUNTIFS('Leads Pipeline'!$D$5:$D$1004,$A68,'Leads Pipeline'!$E$5:$E$1004,$B68,'Leads Pipeline'!$F$5:$F$1004,"&lt;&gt;",'Leads Pipeline'!$O$5:$O$1004,"&lt;&gt;Won",'Leads Pipeline'!$O$5:$O$1004,"&lt;&gt;Lost"),"")</f>
        <v/>
      </c>
      <c r="E68" s="43" t="str">
        <f aca="false">IF(AND($A68&lt;&gt;"",$B68&lt;&gt;""),COUNTIFS('Leads Pipeline'!$D$5:$D$1004,$A68,'Leads Pipeline'!$E$5:$E$1004,$B68,'Leads Pipeline'!$P$5:$P$1004,"Hot",'Leads Pipeline'!$O$5:$O$1004,"&lt;&gt;Won",'Leads Pipeline'!$O$5:$O$1004,"&lt;&gt;Lost"),"")</f>
        <v/>
      </c>
      <c r="F68" s="43" t="str">
        <f aca="false">IF(AND($A68&lt;&gt;"",$B68&lt;&gt;""),COUNTIFS('Leads Pipeline'!$D$5:$D$1004,$A68,'Leads Pipeline'!$E$5:$E$1004,$B68,'Leads Pipeline'!$O$5:$O$1004,"Won"),"")</f>
        <v/>
      </c>
      <c r="G68" s="44" t="str">
        <f aca="false">IF(AND($A68&lt;&gt;"",$B68&lt;&gt;""),SUMIFS('Leads Pipeline'!$U$5:$U$1004,'Leads Pipeline'!$D$5:$D$1004,$A68,'Leads Pipeline'!$E$5:$E$1004,$B68,'Leads Pipeline'!$O$5:$O$1004,"&lt;&gt;Won",'Leads Pipeline'!$O$5:$O$1004,"&lt;&gt;Lost"),"")</f>
        <v/>
      </c>
      <c r="H68" s="43" t="str">
        <f aca="false">IF(AND($A68&lt;&gt;"",$B68&lt;&gt;""),COUNTIFS('Active Clients'!$B$5:$B$504,$A68,'Active Clients'!$C$5:$C$504,$B68,'Active Clients'!$T$5:$T$504,"Active"),"")</f>
        <v/>
      </c>
      <c r="I68" s="44" t="str">
        <f aca="false">IF(AND($A68&lt;&gt;"",$B68&lt;&gt;""),SUMIFS('Active Clients'!$R$5:$R$504,'Active Clients'!$B$5:$B$504,$A68,'Active Clients'!$C$5:$C$504,$B68),"")</f>
        <v/>
      </c>
      <c r="J68" s="43" t="str">
        <f aca="true">IF(AND($A68&lt;&gt;"",$B68&lt;&gt;""),COUNTIFS('Activity Log'!$E$5:$E$3004,$A68,'Activity Log'!$F$5:$F$3004,$B68,'Activity Log'!$A$5:$A$3004,"&gt;="&amp;(TODAY()-29),'Activity Log'!$A$5:$A$3004,"&lt;="&amp;TODAY()),"")</f>
        <v/>
      </c>
    </row>
    <row r="69" customFormat="false" ht="15" hidden="false" customHeight="false" outlineLevel="0" collapsed="false">
      <c r="A69" s="42"/>
      <c r="B69" s="42"/>
      <c r="C69" s="43" t="str">
        <f aca="false">IF(AND($A69&lt;&gt;"",$B69&lt;&gt;""),COUNTIFS('Leads Pipeline'!$D$5:$D$1004,$A69,'Leads Pipeline'!$E$5:$E$1004,$B69,'Leads Pipeline'!$F$5:$F$1004,"&lt;&gt;"),"")</f>
        <v/>
      </c>
      <c r="D69" s="43" t="str">
        <f aca="false">IF(AND($A69&lt;&gt;"",$B69&lt;&gt;""),COUNTIFS('Leads Pipeline'!$D$5:$D$1004,$A69,'Leads Pipeline'!$E$5:$E$1004,$B69,'Leads Pipeline'!$F$5:$F$1004,"&lt;&gt;",'Leads Pipeline'!$O$5:$O$1004,"&lt;&gt;Won",'Leads Pipeline'!$O$5:$O$1004,"&lt;&gt;Lost"),"")</f>
        <v/>
      </c>
      <c r="E69" s="43" t="str">
        <f aca="false">IF(AND($A69&lt;&gt;"",$B69&lt;&gt;""),COUNTIFS('Leads Pipeline'!$D$5:$D$1004,$A69,'Leads Pipeline'!$E$5:$E$1004,$B69,'Leads Pipeline'!$P$5:$P$1004,"Hot",'Leads Pipeline'!$O$5:$O$1004,"&lt;&gt;Won",'Leads Pipeline'!$O$5:$O$1004,"&lt;&gt;Lost"),"")</f>
        <v/>
      </c>
      <c r="F69" s="43" t="str">
        <f aca="false">IF(AND($A69&lt;&gt;"",$B69&lt;&gt;""),COUNTIFS('Leads Pipeline'!$D$5:$D$1004,$A69,'Leads Pipeline'!$E$5:$E$1004,$B69,'Leads Pipeline'!$O$5:$O$1004,"Won"),"")</f>
        <v/>
      </c>
      <c r="G69" s="44" t="str">
        <f aca="false">IF(AND($A69&lt;&gt;"",$B69&lt;&gt;""),SUMIFS('Leads Pipeline'!$U$5:$U$1004,'Leads Pipeline'!$D$5:$D$1004,$A69,'Leads Pipeline'!$E$5:$E$1004,$B69,'Leads Pipeline'!$O$5:$O$1004,"&lt;&gt;Won",'Leads Pipeline'!$O$5:$O$1004,"&lt;&gt;Lost"),"")</f>
        <v/>
      </c>
      <c r="H69" s="43" t="str">
        <f aca="false">IF(AND($A69&lt;&gt;"",$B69&lt;&gt;""),COUNTIFS('Active Clients'!$B$5:$B$504,$A69,'Active Clients'!$C$5:$C$504,$B69,'Active Clients'!$T$5:$T$504,"Active"),"")</f>
        <v/>
      </c>
      <c r="I69" s="44" t="str">
        <f aca="false">IF(AND($A69&lt;&gt;"",$B69&lt;&gt;""),SUMIFS('Active Clients'!$R$5:$R$504,'Active Clients'!$B$5:$B$504,$A69,'Active Clients'!$C$5:$C$504,$B69),"")</f>
        <v/>
      </c>
      <c r="J69" s="43" t="str">
        <f aca="true">IF(AND($A69&lt;&gt;"",$B69&lt;&gt;""),COUNTIFS('Activity Log'!$E$5:$E$3004,$A69,'Activity Log'!$F$5:$F$3004,$B69,'Activity Log'!$A$5:$A$3004,"&gt;="&amp;(TODAY()-29),'Activity Log'!$A$5:$A$3004,"&lt;="&amp;TODAY()),"")</f>
        <v/>
      </c>
    </row>
    <row r="70" customFormat="false" ht="15" hidden="false" customHeight="false" outlineLevel="0" collapsed="false">
      <c r="A70" s="42"/>
      <c r="B70" s="42"/>
      <c r="C70" s="43" t="str">
        <f aca="false">IF(AND($A70&lt;&gt;"",$B70&lt;&gt;""),COUNTIFS('Leads Pipeline'!$D$5:$D$1004,$A70,'Leads Pipeline'!$E$5:$E$1004,$B70,'Leads Pipeline'!$F$5:$F$1004,"&lt;&gt;"),"")</f>
        <v/>
      </c>
      <c r="D70" s="43" t="str">
        <f aca="false">IF(AND($A70&lt;&gt;"",$B70&lt;&gt;""),COUNTIFS('Leads Pipeline'!$D$5:$D$1004,$A70,'Leads Pipeline'!$E$5:$E$1004,$B70,'Leads Pipeline'!$F$5:$F$1004,"&lt;&gt;",'Leads Pipeline'!$O$5:$O$1004,"&lt;&gt;Won",'Leads Pipeline'!$O$5:$O$1004,"&lt;&gt;Lost"),"")</f>
        <v/>
      </c>
      <c r="E70" s="43" t="str">
        <f aca="false">IF(AND($A70&lt;&gt;"",$B70&lt;&gt;""),COUNTIFS('Leads Pipeline'!$D$5:$D$1004,$A70,'Leads Pipeline'!$E$5:$E$1004,$B70,'Leads Pipeline'!$P$5:$P$1004,"Hot",'Leads Pipeline'!$O$5:$O$1004,"&lt;&gt;Won",'Leads Pipeline'!$O$5:$O$1004,"&lt;&gt;Lost"),"")</f>
        <v/>
      </c>
      <c r="F70" s="43" t="str">
        <f aca="false">IF(AND($A70&lt;&gt;"",$B70&lt;&gt;""),COUNTIFS('Leads Pipeline'!$D$5:$D$1004,$A70,'Leads Pipeline'!$E$5:$E$1004,$B70,'Leads Pipeline'!$O$5:$O$1004,"Won"),"")</f>
        <v/>
      </c>
      <c r="G70" s="44" t="str">
        <f aca="false">IF(AND($A70&lt;&gt;"",$B70&lt;&gt;""),SUMIFS('Leads Pipeline'!$U$5:$U$1004,'Leads Pipeline'!$D$5:$D$1004,$A70,'Leads Pipeline'!$E$5:$E$1004,$B70,'Leads Pipeline'!$O$5:$O$1004,"&lt;&gt;Won",'Leads Pipeline'!$O$5:$O$1004,"&lt;&gt;Lost"),"")</f>
        <v/>
      </c>
      <c r="H70" s="43" t="str">
        <f aca="false">IF(AND($A70&lt;&gt;"",$B70&lt;&gt;""),COUNTIFS('Active Clients'!$B$5:$B$504,$A70,'Active Clients'!$C$5:$C$504,$B70,'Active Clients'!$T$5:$T$504,"Active"),"")</f>
        <v/>
      </c>
      <c r="I70" s="44" t="str">
        <f aca="false">IF(AND($A70&lt;&gt;"",$B70&lt;&gt;""),SUMIFS('Active Clients'!$R$5:$R$504,'Active Clients'!$B$5:$B$504,$A70,'Active Clients'!$C$5:$C$504,$B70),"")</f>
        <v/>
      </c>
      <c r="J70" s="43" t="str">
        <f aca="true">IF(AND($A70&lt;&gt;"",$B70&lt;&gt;""),COUNTIFS('Activity Log'!$E$5:$E$3004,$A70,'Activity Log'!$F$5:$F$3004,$B70,'Activity Log'!$A$5:$A$3004,"&gt;="&amp;(TODAY()-29),'Activity Log'!$A$5:$A$3004,"&lt;="&amp;TODAY()),"")</f>
        <v/>
      </c>
    </row>
    <row r="71" customFormat="false" ht="15" hidden="false" customHeight="false" outlineLevel="0" collapsed="false">
      <c r="A71" s="42"/>
      <c r="B71" s="42"/>
      <c r="C71" s="43" t="str">
        <f aca="false">IF(AND($A71&lt;&gt;"",$B71&lt;&gt;""),COUNTIFS('Leads Pipeline'!$D$5:$D$1004,$A71,'Leads Pipeline'!$E$5:$E$1004,$B71,'Leads Pipeline'!$F$5:$F$1004,"&lt;&gt;"),"")</f>
        <v/>
      </c>
      <c r="D71" s="43" t="str">
        <f aca="false">IF(AND($A71&lt;&gt;"",$B71&lt;&gt;""),COUNTIFS('Leads Pipeline'!$D$5:$D$1004,$A71,'Leads Pipeline'!$E$5:$E$1004,$B71,'Leads Pipeline'!$F$5:$F$1004,"&lt;&gt;",'Leads Pipeline'!$O$5:$O$1004,"&lt;&gt;Won",'Leads Pipeline'!$O$5:$O$1004,"&lt;&gt;Lost"),"")</f>
        <v/>
      </c>
      <c r="E71" s="43" t="str">
        <f aca="false">IF(AND($A71&lt;&gt;"",$B71&lt;&gt;""),COUNTIFS('Leads Pipeline'!$D$5:$D$1004,$A71,'Leads Pipeline'!$E$5:$E$1004,$B71,'Leads Pipeline'!$P$5:$P$1004,"Hot",'Leads Pipeline'!$O$5:$O$1004,"&lt;&gt;Won",'Leads Pipeline'!$O$5:$O$1004,"&lt;&gt;Lost"),"")</f>
        <v/>
      </c>
      <c r="F71" s="43" t="str">
        <f aca="false">IF(AND($A71&lt;&gt;"",$B71&lt;&gt;""),COUNTIFS('Leads Pipeline'!$D$5:$D$1004,$A71,'Leads Pipeline'!$E$5:$E$1004,$B71,'Leads Pipeline'!$O$5:$O$1004,"Won"),"")</f>
        <v/>
      </c>
      <c r="G71" s="44" t="str">
        <f aca="false">IF(AND($A71&lt;&gt;"",$B71&lt;&gt;""),SUMIFS('Leads Pipeline'!$U$5:$U$1004,'Leads Pipeline'!$D$5:$D$1004,$A71,'Leads Pipeline'!$E$5:$E$1004,$B71,'Leads Pipeline'!$O$5:$O$1004,"&lt;&gt;Won",'Leads Pipeline'!$O$5:$O$1004,"&lt;&gt;Lost"),"")</f>
        <v/>
      </c>
      <c r="H71" s="43" t="str">
        <f aca="false">IF(AND($A71&lt;&gt;"",$B71&lt;&gt;""),COUNTIFS('Active Clients'!$B$5:$B$504,$A71,'Active Clients'!$C$5:$C$504,$B71,'Active Clients'!$T$5:$T$504,"Active"),"")</f>
        <v/>
      </c>
      <c r="I71" s="44" t="str">
        <f aca="false">IF(AND($A71&lt;&gt;"",$B71&lt;&gt;""),SUMIFS('Active Clients'!$R$5:$R$504,'Active Clients'!$B$5:$B$504,$A71,'Active Clients'!$C$5:$C$504,$B71),"")</f>
        <v/>
      </c>
      <c r="J71" s="43" t="str">
        <f aca="true">IF(AND($A71&lt;&gt;"",$B71&lt;&gt;""),COUNTIFS('Activity Log'!$E$5:$E$3004,$A71,'Activity Log'!$F$5:$F$3004,$B71,'Activity Log'!$A$5:$A$3004,"&gt;="&amp;(TODAY()-29),'Activity Log'!$A$5:$A$3004,"&lt;="&amp;TODAY()),"")</f>
        <v/>
      </c>
    </row>
    <row r="72" customFormat="false" ht="15" hidden="false" customHeight="false" outlineLevel="0" collapsed="false">
      <c r="A72" s="42"/>
      <c r="B72" s="42"/>
      <c r="C72" s="43" t="str">
        <f aca="false">IF(AND($A72&lt;&gt;"",$B72&lt;&gt;""),COUNTIFS('Leads Pipeline'!$D$5:$D$1004,$A72,'Leads Pipeline'!$E$5:$E$1004,$B72,'Leads Pipeline'!$F$5:$F$1004,"&lt;&gt;"),"")</f>
        <v/>
      </c>
      <c r="D72" s="43" t="str">
        <f aca="false">IF(AND($A72&lt;&gt;"",$B72&lt;&gt;""),COUNTIFS('Leads Pipeline'!$D$5:$D$1004,$A72,'Leads Pipeline'!$E$5:$E$1004,$B72,'Leads Pipeline'!$F$5:$F$1004,"&lt;&gt;",'Leads Pipeline'!$O$5:$O$1004,"&lt;&gt;Won",'Leads Pipeline'!$O$5:$O$1004,"&lt;&gt;Lost"),"")</f>
        <v/>
      </c>
      <c r="E72" s="43" t="str">
        <f aca="false">IF(AND($A72&lt;&gt;"",$B72&lt;&gt;""),COUNTIFS('Leads Pipeline'!$D$5:$D$1004,$A72,'Leads Pipeline'!$E$5:$E$1004,$B72,'Leads Pipeline'!$P$5:$P$1004,"Hot",'Leads Pipeline'!$O$5:$O$1004,"&lt;&gt;Won",'Leads Pipeline'!$O$5:$O$1004,"&lt;&gt;Lost"),"")</f>
        <v/>
      </c>
      <c r="F72" s="43" t="str">
        <f aca="false">IF(AND($A72&lt;&gt;"",$B72&lt;&gt;""),COUNTIFS('Leads Pipeline'!$D$5:$D$1004,$A72,'Leads Pipeline'!$E$5:$E$1004,$B72,'Leads Pipeline'!$O$5:$O$1004,"Won"),"")</f>
        <v/>
      </c>
      <c r="G72" s="44" t="str">
        <f aca="false">IF(AND($A72&lt;&gt;"",$B72&lt;&gt;""),SUMIFS('Leads Pipeline'!$U$5:$U$1004,'Leads Pipeline'!$D$5:$D$1004,$A72,'Leads Pipeline'!$E$5:$E$1004,$B72,'Leads Pipeline'!$O$5:$O$1004,"&lt;&gt;Won",'Leads Pipeline'!$O$5:$O$1004,"&lt;&gt;Lost"),"")</f>
        <v/>
      </c>
      <c r="H72" s="43" t="str">
        <f aca="false">IF(AND($A72&lt;&gt;"",$B72&lt;&gt;""),COUNTIFS('Active Clients'!$B$5:$B$504,$A72,'Active Clients'!$C$5:$C$504,$B72,'Active Clients'!$T$5:$T$504,"Active"),"")</f>
        <v/>
      </c>
      <c r="I72" s="44" t="str">
        <f aca="false">IF(AND($A72&lt;&gt;"",$B72&lt;&gt;""),SUMIFS('Active Clients'!$R$5:$R$504,'Active Clients'!$B$5:$B$504,$A72,'Active Clients'!$C$5:$C$504,$B72),"")</f>
        <v/>
      </c>
      <c r="J72" s="43" t="str">
        <f aca="true">IF(AND($A72&lt;&gt;"",$B72&lt;&gt;""),COUNTIFS('Activity Log'!$E$5:$E$3004,$A72,'Activity Log'!$F$5:$F$3004,$B72,'Activity Log'!$A$5:$A$3004,"&gt;="&amp;(TODAY()-29),'Activity Log'!$A$5:$A$3004,"&lt;="&amp;TODAY()),"")</f>
        <v/>
      </c>
    </row>
    <row r="73" customFormat="false" ht="15" hidden="false" customHeight="false" outlineLevel="0" collapsed="false">
      <c r="A73" s="42"/>
      <c r="B73" s="42"/>
      <c r="C73" s="43" t="str">
        <f aca="false">IF(AND($A73&lt;&gt;"",$B73&lt;&gt;""),COUNTIFS('Leads Pipeline'!$D$5:$D$1004,$A73,'Leads Pipeline'!$E$5:$E$1004,$B73,'Leads Pipeline'!$F$5:$F$1004,"&lt;&gt;"),"")</f>
        <v/>
      </c>
      <c r="D73" s="43" t="str">
        <f aca="false">IF(AND($A73&lt;&gt;"",$B73&lt;&gt;""),COUNTIFS('Leads Pipeline'!$D$5:$D$1004,$A73,'Leads Pipeline'!$E$5:$E$1004,$B73,'Leads Pipeline'!$F$5:$F$1004,"&lt;&gt;",'Leads Pipeline'!$O$5:$O$1004,"&lt;&gt;Won",'Leads Pipeline'!$O$5:$O$1004,"&lt;&gt;Lost"),"")</f>
        <v/>
      </c>
      <c r="E73" s="43" t="str">
        <f aca="false">IF(AND($A73&lt;&gt;"",$B73&lt;&gt;""),COUNTIFS('Leads Pipeline'!$D$5:$D$1004,$A73,'Leads Pipeline'!$E$5:$E$1004,$B73,'Leads Pipeline'!$P$5:$P$1004,"Hot",'Leads Pipeline'!$O$5:$O$1004,"&lt;&gt;Won",'Leads Pipeline'!$O$5:$O$1004,"&lt;&gt;Lost"),"")</f>
        <v/>
      </c>
      <c r="F73" s="43" t="str">
        <f aca="false">IF(AND($A73&lt;&gt;"",$B73&lt;&gt;""),COUNTIFS('Leads Pipeline'!$D$5:$D$1004,$A73,'Leads Pipeline'!$E$5:$E$1004,$B73,'Leads Pipeline'!$O$5:$O$1004,"Won"),"")</f>
        <v/>
      </c>
      <c r="G73" s="44" t="str">
        <f aca="false">IF(AND($A73&lt;&gt;"",$B73&lt;&gt;""),SUMIFS('Leads Pipeline'!$U$5:$U$1004,'Leads Pipeline'!$D$5:$D$1004,$A73,'Leads Pipeline'!$E$5:$E$1004,$B73,'Leads Pipeline'!$O$5:$O$1004,"&lt;&gt;Won",'Leads Pipeline'!$O$5:$O$1004,"&lt;&gt;Lost"),"")</f>
        <v/>
      </c>
      <c r="H73" s="43" t="str">
        <f aca="false">IF(AND($A73&lt;&gt;"",$B73&lt;&gt;""),COUNTIFS('Active Clients'!$B$5:$B$504,$A73,'Active Clients'!$C$5:$C$504,$B73,'Active Clients'!$T$5:$T$504,"Active"),"")</f>
        <v/>
      </c>
      <c r="I73" s="44" t="str">
        <f aca="false">IF(AND($A73&lt;&gt;"",$B73&lt;&gt;""),SUMIFS('Active Clients'!$R$5:$R$504,'Active Clients'!$B$5:$B$504,$A73,'Active Clients'!$C$5:$C$504,$B73),"")</f>
        <v/>
      </c>
      <c r="J73" s="43" t="str">
        <f aca="true">IF(AND($A73&lt;&gt;"",$B73&lt;&gt;""),COUNTIFS('Activity Log'!$E$5:$E$3004,$A73,'Activity Log'!$F$5:$F$3004,$B73,'Activity Log'!$A$5:$A$3004,"&gt;="&amp;(TODAY()-29),'Activity Log'!$A$5:$A$3004,"&lt;="&amp;TODAY()),"")</f>
        <v/>
      </c>
    </row>
    <row r="74" customFormat="false" ht="15" hidden="false" customHeight="false" outlineLevel="0" collapsed="false">
      <c r="A74" s="42"/>
      <c r="B74" s="42"/>
      <c r="C74" s="43" t="str">
        <f aca="false">IF(AND($A74&lt;&gt;"",$B74&lt;&gt;""),COUNTIFS('Leads Pipeline'!$D$5:$D$1004,$A74,'Leads Pipeline'!$E$5:$E$1004,$B74,'Leads Pipeline'!$F$5:$F$1004,"&lt;&gt;"),"")</f>
        <v/>
      </c>
      <c r="D74" s="43" t="str">
        <f aca="false">IF(AND($A74&lt;&gt;"",$B74&lt;&gt;""),COUNTIFS('Leads Pipeline'!$D$5:$D$1004,$A74,'Leads Pipeline'!$E$5:$E$1004,$B74,'Leads Pipeline'!$F$5:$F$1004,"&lt;&gt;",'Leads Pipeline'!$O$5:$O$1004,"&lt;&gt;Won",'Leads Pipeline'!$O$5:$O$1004,"&lt;&gt;Lost"),"")</f>
        <v/>
      </c>
      <c r="E74" s="43" t="str">
        <f aca="false">IF(AND($A74&lt;&gt;"",$B74&lt;&gt;""),COUNTIFS('Leads Pipeline'!$D$5:$D$1004,$A74,'Leads Pipeline'!$E$5:$E$1004,$B74,'Leads Pipeline'!$P$5:$P$1004,"Hot",'Leads Pipeline'!$O$5:$O$1004,"&lt;&gt;Won",'Leads Pipeline'!$O$5:$O$1004,"&lt;&gt;Lost"),"")</f>
        <v/>
      </c>
      <c r="F74" s="43" t="str">
        <f aca="false">IF(AND($A74&lt;&gt;"",$B74&lt;&gt;""),COUNTIFS('Leads Pipeline'!$D$5:$D$1004,$A74,'Leads Pipeline'!$E$5:$E$1004,$B74,'Leads Pipeline'!$O$5:$O$1004,"Won"),"")</f>
        <v/>
      </c>
      <c r="G74" s="44" t="str">
        <f aca="false">IF(AND($A74&lt;&gt;"",$B74&lt;&gt;""),SUMIFS('Leads Pipeline'!$U$5:$U$1004,'Leads Pipeline'!$D$5:$D$1004,$A74,'Leads Pipeline'!$E$5:$E$1004,$B74,'Leads Pipeline'!$O$5:$O$1004,"&lt;&gt;Won",'Leads Pipeline'!$O$5:$O$1004,"&lt;&gt;Lost"),"")</f>
        <v/>
      </c>
      <c r="H74" s="43" t="str">
        <f aca="false">IF(AND($A74&lt;&gt;"",$B74&lt;&gt;""),COUNTIFS('Active Clients'!$B$5:$B$504,$A74,'Active Clients'!$C$5:$C$504,$B74,'Active Clients'!$T$5:$T$504,"Active"),"")</f>
        <v/>
      </c>
      <c r="I74" s="44" t="str">
        <f aca="false">IF(AND($A74&lt;&gt;"",$B74&lt;&gt;""),SUMIFS('Active Clients'!$R$5:$R$504,'Active Clients'!$B$5:$B$504,$A74,'Active Clients'!$C$5:$C$504,$B74),"")</f>
        <v/>
      </c>
      <c r="J74" s="43" t="str">
        <f aca="true">IF(AND($A74&lt;&gt;"",$B74&lt;&gt;""),COUNTIFS('Activity Log'!$E$5:$E$3004,$A74,'Activity Log'!$F$5:$F$3004,$B74,'Activity Log'!$A$5:$A$3004,"&gt;="&amp;(TODAY()-29),'Activity Log'!$A$5:$A$3004,"&lt;="&amp;TODAY()),"")</f>
        <v/>
      </c>
    </row>
    <row r="75" customFormat="false" ht="15" hidden="false" customHeight="false" outlineLevel="0" collapsed="false">
      <c r="A75" s="42"/>
      <c r="B75" s="42"/>
      <c r="C75" s="43" t="str">
        <f aca="false">IF(AND($A75&lt;&gt;"",$B75&lt;&gt;""),COUNTIFS('Leads Pipeline'!$D$5:$D$1004,$A75,'Leads Pipeline'!$E$5:$E$1004,$B75,'Leads Pipeline'!$F$5:$F$1004,"&lt;&gt;"),"")</f>
        <v/>
      </c>
      <c r="D75" s="43" t="str">
        <f aca="false">IF(AND($A75&lt;&gt;"",$B75&lt;&gt;""),COUNTIFS('Leads Pipeline'!$D$5:$D$1004,$A75,'Leads Pipeline'!$E$5:$E$1004,$B75,'Leads Pipeline'!$F$5:$F$1004,"&lt;&gt;",'Leads Pipeline'!$O$5:$O$1004,"&lt;&gt;Won",'Leads Pipeline'!$O$5:$O$1004,"&lt;&gt;Lost"),"")</f>
        <v/>
      </c>
      <c r="E75" s="43" t="str">
        <f aca="false">IF(AND($A75&lt;&gt;"",$B75&lt;&gt;""),COUNTIFS('Leads Pipeline'!$D$5:$D$1004,$A75,'Leads Pipeline'!$E$5:$E$1004,$B75,'Leads Pipeline'!$P$5:$P$1004,"Hot",'Leads Pipeline'!$O$5:$O$1004,"&lt;&gt;Won",'Leads Pipeline'!$O$5:$O$1004,"&lt;&gt;Lost"),"")</f>
        <v/>
      </c>
      <c r="F75" s="43" t="str">
        <f aca="false">IF(AND($A75&lt;&gt;"",$B75&lt;&gt;""),COUNTIFS('Leads Pipeline'!$D$5:$D$1004,$A75,'Leads Pipeline'!$E$5:$E$1004,$B75,'Leads Pipeline'!$O$5:$O$1004,"Won"),"")</f>
        <v/>
      </c>
      <c r="G75" s="44" t="str">
        <f aca="false">IF(AND($A75&lt;&gt;"",$B75&lt;&gt;""),SUMIFS('Leads Pipeline'!$U$5:$U$1004,'Leads Pipeline'!$D$5:$D$1004,$A75,'Leads Pipeline'!$E$5:$E$1004,$B75,'Leads Pipeline'!$O$5:$O$1004,"&lt;&gt;Won",'Leads Pipeline'!$O$5:$O$1004,"&lt;&gt;Lost"),"")</f>
        <v/>
      </c>
      <c r="H75" s="43" t="str">
        <f aca="false">IF(AND($A75&lt;&gt;"",$B75&lt;&gt;""),COUNTIFS('Active Clients'!$B$5:$B$504,$A75,'Active Clients'!$C$5:$C$504,$B75,'Active Clients'!$T$5:$T$504,"Active"),"")</f>
        <v/>
      </c>
      <c r="I75" s="44" t="str">
        <f aca="false">IF(AND($A75&lt;&gt;"",$B75&lt;&gt;""),SUMIFS('Active Clients'!$R$5:$R$504,'Active Clients'!$B$5:$B$504,$A75,'Active Clients'!$C$5:$C$504,$B75),"")</f>
        <v/>
      </c>
      <c r="J75" s="43" t="str">
        <f aca="true">IF(AND($A75&lt;&gt;"",$B75&lt;&gt;""),COUNTIFS('Activity Log'!$E$5:$E$3004,$A75,'Activity Log'!$F$5:$F$3004,$B75,'Activity Log'!$A$5:$A$3004,"&gt;="&amp;(TODAY()-29),'Activity Log'!$A$5:$A$3004,"&lt;="&amp;TODAY()),"")</f>
        <v/>
      </c>
    </row>
    <row r="76" customFormat="false" ht="15" hidden="false" customHeight="false" outlineLevel="0" collapsed="false">
      <c r="A76" s="42"/>
      <c r="B76" s="42"/>
      <c r="C76" s="43" t="str">
        <f aca="false">IF(AND($A76&lt;&gt;"",$B76&lt;&gt;""),COUNTIFS('Leads Pipeline'!$D$5:$D$1004,$A76,'Leads Pipeline'!$E$5:$E$1004,$B76,'Leads Pipeline'!$F$5:$F$1004,"&lt;&gt;"),"")</f>
        <v/>
      </c>
      <c r="D76" s="43" t="str">
        <f aca="false">IF(AND($A76&lt;&gt;"",$B76&lt;&gt;""),COUNTIFS('Leads Pipeline'!$D$5:$D$1004,$A76,'Leads Pipeline'!$E$5:$E$1004,$B76,'Leads Pipeline'!$F$5:$F$1004,"&lt;&gt;",'Leads Pipeline'!$O$5:$O$1004,"&lt;&gt;Won",'Leads Pipeline'!$O$5:$O$1004,"&lt;&gt;Lost"),"")</f>
        <v/>
      </c>
      <c r="E76" s="43" t="str">
        <f aca="false">IF(AND($A76&lt;&gt;"",$B76&lt;&gt;""),COUNTIFS('Leads Pipeline'!$D$5:$D$1004,$A76,'Leads Pipeline'!$E$5:$E$1004,$B76,'Leads Pipeline'!$P$5:$P$1004,"Hot",'Leads Pipeline'!$O$5:$O$1004,"&lt;&gt;Won",'Leads Pipeline'!$O$5:$O$1004,"&lt;&gt;Lost"),"")</f>
        <v/>
      </c>
      <c r="F76" s="43" t="str">
        <f aca="false">IF(AND($A76&lt;&gt;"",$B76&lt;&gt;""),COUNTIFS('Leads Pipeline'!$D$5:$D$1004,$A76,'Leads Pipeline'!$E$5:$E$1004,$B76,'Leads Pipeline'!$O$5:$O$1004,"Won"),"")</f>
        <v/>
      </c>
      <c r="G76" s="44" t="str">
        <f aca="false">IF(AND($A76&lt;&gt;"",$B76&lt;&gt;""),SUMIFS('Leads Pipeline'!$U$5:$U$1004,'Leads Pipeline'!$D$5:$D$1004,$A76,'Leads Pipeline'!$E$5:$E$1004,$B76,'Leads Pipeline'!$O$5:$O$1004,"&lt;&gt;Won",'Leads Pipeline'!$O$5:$O$1004,"&lt;&gt;Lost"),"")</f>
        <v/>
      </c>
      <c r="H76" s="43" t="str">
        <f aca="false">IF(AND($A76&lt;&gt;"",$B76&lt;&gt;""),COUNTIFS('Active Clients'!$B$5:$B$504,$A76,'Active Clients'!$C$5:$C$504,$B76,'Active Clients'!$T$5:$T$504,"Active"),"")</f>
        <v/>
      </c>
      <c r="I76" s="44" t="str">
        <f aca="false">IF(AND($A76&lt;&gt;"",$B76&lt;&gt;""),SUMIFS('Active Clients'!$R$5:$R$504,'Active Clients'!$B$5:$B$504,$A76,'Active Clients'!$C$5:$C$504,$B76),"")</f>
        <v/>
      </c>
      <c r="J76" s="43" t="str">
        <f aca="true">IF(AND($A76&lt;&gt;"",$B76&lt;&gt;""),COUNTIFS('Activity Log'!$E$5:$E$3004,$A76,'Activity Log'!$F$5:$F$3004,$B76,'Activity Log'!$A$5:$A$3004,"&gt;="&amp;(TODAY()-29),'Activity Log'!$A$5:$A$3004,"&lt;="&amp;TODAY()),"")</f>
        <v/>
      </c>
    </row>
    <row r="77" customFormat="false" ht="15" hidden="false" customHeight="false" outlineLevel="0" collapsed="false">
      <c r="A77" s="42"/>
      <c r="B77" s="42"/>
      <c r="C77" s="43" t="str">
        <f aca="false">IF(AND($A77&lt;&gt;"",$B77&lt;&gt;""),COUNTIFS('Leads Pipeline'!$D$5:$D$1004,$A77,'Leads Pipeline'!$E$5:$E$1004,$B77,'Leads Pipeline'!$F$5:$F$1004,"&lt;&gt;"),"")</f>
        <v/>
      </c>
      <c r="D77" s="43" t="str">
        <f aca="false">IF(AND($A77&lt;&gt;"",$B77&lt;&gt;""),COUNTIFS('Leads Pipeline'!$D$5:$D$1004,$A77,'Leads Pipeline'!$E$5:$E$1004,$B77,'Leads Pipeline'!$F$5:$F$1004,"&lt;&gt;",'Leads Pipeline'!$O$5:$O$1004,"&lt;&gt;Won",'Leads Pipeline'!$O$5:$O$1004,"&lt;&gt;Lost"),"")</f>
        <v/>
      </c>
      <c r="E77" s="43" t="str">
        <f aca="false">IF(AND($A77&lt;&gt;"",$B77&lt;&gt;""),COUNTIFS('Leads Pipeline'!$D$5:$D$1004,$A77,'Leads Pipeline'!$E$5:$E$1004,$B77,'Leads Pipeline'!$P$5:$P$1004,"Hot",'Leads Pipeline'!$O$5:$O$1004,"&lt;&gt;Won",'Leads Pipeline'!$O$5:$O$1004,"&lt;&gt;Lost"),"")</f>
        <v/>
      </c>
      <c r="F77" s="43" t="str">
        <f aca="false">IF(AND($A77&lt;&gt;"",$B77&lt;&gt;""),COUNTIFS('Leads Pipeline'!$D$5:$D$1004,$A77,'Leads Pipeline'!$E$5:$E$1004,$B77,'Leads Pipeline'!$O$5:$O$1004,"Won"),"")</f>
        <v/>
      </c>
      <c r="G77" s="44" t="str">
        <f aca="false">IF(AND($A77&lt;&gt;"",$B77&lt;&gt;""),SUMIFS('Leads Pipeline'!$U$5:$U$1004,'Leads Pipeline'!$D$5:$D$1004,$A77,'Leads Pipeline'!$E$5:$E$1004,$B77,'Leads Pipeline'!$O$5:$O$1004,"&lt;&gt;Won",'Leads Pipeline'!$O$5:$O$1004,"&lt;&gt;Lost"),"")</f>
        <v/>
      </c>
      <c r="H77" s="43" t="str">
        <f aca="false">IF(AND($A77&lt;&gt;"",$B77&lt;&gt;""),COUNTIFS('Active Clients'!$B$5:$B$504,$A77,'Active Clients'!$C$5:$C$504,$B77,'Active Clients'!$T$5:$T$504,"Active"),"")</f>
        <v/>
      </c>
      <c r="I77" s="44" t="str">
        <f aca="false">IF(AND($A77&lt;&gt;"",$B77&lt;&gt;""),SUMIFS('Active Clients'!$R$5:$R$504,'Active Clients'!$B$5:$B$504,$A77,'Active Clients'!$C$5:$C$504,$B77),"")</f>
        <v/>
      </c>
      <c r="J77" s="43" t="str">
        <f aca="true">IF(AND($A77&lt;&gt;"",$B77&lt;&gt;""),COUNTIFS('Activity Log'!$E$5:$E$3004,$A77,'Activity Log'!$F$5:$F$3004,$B77,'Activity Log'!$A$5:$A$3004,"&gt;="&amp;(TODAY()-29),'Activity Log'!$A$5:$A$3004,"&lt;="&amp;TODAY()),"")</f>
        <v/>
      </c>
    </row>
    <row r="78" customFormat="false" ht="15" hidden="false" customHeight="false" outlineLevel="0" collapsed="false">
      <c r="A78" s="42"/>
      <c r="B78" s="42"/>
      <c r="C78" s="43" t="str">
        <f aca="false">IF(AND($A78&lt;&gt;"",$B78&lt;&gt;""),COUNTIFS('Leads Pipeline'!$D$5:$D$1004,$A78,'Leads Pipeline'!$E$5:$E$1004,$B78,'Leads Pipeline'!$F$5:$F$1004,"&lt;&gt;"),"")</f>
        <v/>
      </c>
      <c r="D78" s="43" t="str">
        <f aca="false">IF(AND($A78&lt;&gt;"",$B78&lt;&gt;""),COUNTIFS('Leads Pipeline'!$D$5:$D$1004,$A78,'Leads Pipeline'!$E$5:$E$1004,$B78,'Leads Pipeline'!$F$5:$F$1004,"&lt;&gt;",'Leads Pipeline'!$O$5:$O$1004,"&lt;&gt;Won",'Leads Pipeline'!$O$5:$O$1004,"&lt;&gt;Lost"),"")</f>
        <v/>
      </c>
      <c r="E78" s="43" t="str">
        <f aca="false">IF(AND($A78&lt;&gt;"",$B78&lt;&gt;""),COUNTIFS('Leads Pipeline'!$D$5:$D$1004,$A78,'Leads Pipeline'!$E$5:$E$1004,$B78,'Leads Pipeline'!$P$5:$P$1004,"Hot",'Leads Pipeline'!$O$5:$O$1004,"&lt;&gt;Won",'Leads Pipeline'!$O$5:$O$1004,"&lt;&gt;Lost"),"")</f>
        <v/>
      </c>
      <c r="F78" s="43" t="str">
        <f aca="false">IF(AND($A78&lt;&gt;"",$B78&lt;&gt;""),COUNTIFS('Leads Pipeline'!$D$5:$D$1004,$A78,'Leads Pipeline'!$E$5:$E$1004,$B78,'Leads Pipeline'!$O$5:$O$1004,"Won"),"")</f>
        <v/>
      </c>
      <c r="G78" s="44" t="str">
        <f aca="false">IF(AND($A78&lt;&gt;"",$B78&lt;&gt;""),SUMIFS('Leads Pipeline'!$U$5:$U$1004,'Leads Pipeline'!$D$5:$D$1004,$A78,'Leads Pipeline'!$E$5:$E$1004,$B78,'Leads Pipeline'!$O$5:$O$1004,"&lt;&gt;Won",'Leads Pipeline'!$O$5:$O$1004,"&lt;&gt;Lost"),"")</f>
        <v/>
      </c>
      <c r="H78" s="43" t="str">
        <f aca="false">IF(AND($A78&lt;&gt;"",$B78&lt;&gt;""),COUNTIFS('Active Clients'!$B$5:$B$504,$A78,'Active Clients'!$C$5:$C$504,$B78,'Active Clients'!$T$5:$T$504,"Active"),"")</f>
        <v/>
      </c>
      <c r="I78" s="44" t="str">
        <f aca="false">IF(AND($A78&lt;&gt;"",$B78&lt;&gt;""),SUMIFS('Active Clients'!$R$5:$R$504,'Active Clients'!$B$5:$B$504,$A78,'Active Clients'!$C$5:$C$504,$B78),"")</f>
        <v/>
      </c>
      <c r="J78" s="43" t="str">
        <f aca="true">IF(AND($A78&lt;&gt;"",$B78&lt;&gt;""),COUNTIFS('Activity Log'!$E$5:$E$3004,$A78,'Activity Log'!$F$5:$F$3004,$B78,'Activity Log'!$A$5:$A$3004,"&gt;="&amp;(TODAY()-29),'Activity Log'!$A$5:$A$3004,"&lt;="&amp;TODAY()),"")</f>
        <v/>
      </c>
    </row>
    <row r="79" customFormat="false" ht="15" hidden="false" customHeight="false" outlineLevel="0" collapsed="false">
      <c r="A79" s="42"/>
      <c r="B79" s="42"/>
      <c r="C79" s="43" t="str">
        <f aca="false">IF(AND($A79&lt;&gt;"",$B79&lt;&gt;""),COUNTIFS('Leads Pipeline'!$D$5:$D$1004,$A79,'Leads Pipeline'!$E$5:$E$1004,$B79,'Leads Pipeline'!$F$5:$F$1004,"&lt;&gt;"),"")</f>
        <v/>
      </c>
      <c r="D79" s="43" t="str">
        <f aca="false">IF(AND($A79&lt;&gt;"",$B79&lt;&gt;""),COUNTIFS('Leads Pipeline'!$D$5:$D$1004,$A79,'Leads Pipeline'!$E$5:$E$1004,$B79,'Leads Pipeline'!$F$5:$F$1004,"&lt;&gt;",'Leads Pipeline'!$O$5:$O$1004,"&lt;&gt;Won",'Leads Pipeline'!$O$5:$O$1004,"&lt;&gt;Lost"),"")</f>
        <v/>
      </c>
      <c r="E79" s="43" t="str">
        <f aca="false">IF(AND($A79&lt;&gt;"",$B79&lt;&gt;""),COUNTIFS('Leads Pipeline'!$D$5:$D$1004,$A79,'Leads Pipeline'!$E$5:$E$1004,$B79,'Leads Pipeline'!$P$5:$P$1004,"Hot",'Leads Pipeline'!$O$5:$O$1004,"&lt;&gt;Won",'Leads Pipeline'!$O$5:$O$1004,"&lt;&gt;Lost"),"")</f>
        <v/>
      </c>
      <c r="F79" s="43" t="str">
        <f aca="false">IF(AND($A79&lt;&gt;"",$B79&lt;&gt;""),COUNTIFS('Leads Pipeline'!$D$5:$D$1004,$A79,'Leads Pipeline'!$E$5:$E$1004,$B79,'Leads Pipeline'!$O$5:$O$1004,"Won"),"")</f>
        <v/>
      </c>
      <c r="G79" s="44" t="str">
        <f aca="false">IF(AND($A79&lt;&gt;"",$B79&lt;&gt;""),SUMIFS('Leads Pipeline'!$U$5:$U$1004,'Leads Pipeline'!$D$5:$D$1004,$A79,'Leads Pipeline'!$E$5:$E$1004,$B79,'Leads Pipeline'!$O$5:$O$1004,"&lt;&gt;Won",'Leads Pipeline'!$O$5:$O$1004,"&lt;&gt;Lost"),"")</f>
        <v/>
      </c>
      <c r="H79" s="43" t="str">
        <f aca="false">IF(AND($A79&lt;&gt;"",$B79&lt;&gt;""),COUNTIFS('Active Clients'!$B$5:$B$504,$A79,'Active Clients'!$C$5:$C$504,$B79,'Active Clients'!$T$5:$T$504,"Active"),"")</f>
        <v/>
      </c>
      <c r="I79" s="44" t="str">
        <f aca="false">IF(AND($A79&lt;&gt;"",$B79&lt;&gt;""),SUMIFS('Active Clients'!$R$5:$R$504,'Active Clients'!$B$5:$B$504,$A79,'Active Clients'!$C$5:$C$504,$B79),"")</f>
        <v/>
      </c>
      <c r="J79" s="43" t="str">
        <f aca="true">IF(AND($A79&lt;&gt;"",$B79&lt;&gt;""),COUNTIFS('Activity Log'!$E$5:$E$3004,$A79,'Activity Log'!$F$5:$F$3004,$B79,'Activity Log'!$A$5:$A$3004,"&gt;="&amp;(TODAY()-29),'Activity Log'!$A$5:$A$3004,"&lt;="&amp;TODAY()),"")</f>
        <v/>
      </c>
    </row>
    <row r="80" customFormat="false" ht="15" hidden="false" customHeight="false" outlineLevel="0" collapsed="false">
      <c r="A80" s="42"/>
      <c r="B80" s="42"/>
      <c r="C80" s="43" t="str">
        <f aca="false">IF(AND($A80&lt;&gt;"",$B80&lt;&gt;""),COUNTIFS('Leads Pipeline'!$D$5:$D$1004,$A80,'Leads Pipeline'!$E$5:$E$1004,$B80,'Leads Pipeline'!$F$5:$F$1004,"&lt;&gt;"),"")</f>
        <v/>
      </c>
      <c r="D80" s="43" t="str">
        <f aca="false">IF(AND($A80&lt;&gt;"",$B80&lt;&gt;""),COUNTIFS('Leads Pipeline'!$D$5:$D$1004,$A80,'Leads Pipeline'!$E$5:$E$1004,$B80,'Leads Pipeline'!$F$5:$F$1004,"&lt;&gt;",'Leads Pipeline'!$O$5:$O$1004,"&lt;&gt;Won",'Leads Pipeline'!$O$5:$O$1004,"&lt;&gt;Lost"),"")</f>
        <v/>
      </c>
      <c r="E80" s="43" t="str">
        <f aca="false">IF(AND($A80&lt;&gt;"",$B80&lt;&gt;""),COUNTIFS('Leads Pipeline'!$D$5:$D$1004,$A80,'Leads Pipeline'!$E$5:$E$1004,$B80,'Leads Pipeline'!$P$5:$P$1004,"Hot",'Leads Pipeline'!$O$5:$O$1004,"&lt;&gt;Won",'Leads Pipeline'!$O$5:$O$1004,"&lt;&gt;Lost"),"")</f>
        <v/>
      </c>
      <c r="F80" s="43" t="str">
        <f aca="false">IF(AND($A80&lt;&gt;"",$B80&lt;&gt;""),COUNTIFS('Leads Pipeline'!$D$5:$D$1004,$A80,'Leads Pipeline'!$E$5:$E$1004,$B80,'Leads Pipeline'!$O$5:$O$1004,"Won"),"")</f>
        <v/>
      </c>
      <c r="G80" s="44" t="str">
        <f aca="false">IF(AND($A80&lt;&gt;"",$B80&lt;&gt;""),SUMIFS('Leads Pipeline'!$U$5:$U$1004,'Leads Pipeline'!$D$5:$D$1004,$A80,'Leads Pipeline'!$E$5:$E$1004,$B80,'Leads Pipeline'!$O$5:$O$1004,"&lt;&gt;Won",'Leads Pipeline'!$O$5:$O$1004,"&lt;&gt;Lost"),"")</f>
        <v/>
      </c>
      <c r="H80" s="43" t="str">
        <f aca="false">IF(AND($A80&lt;&gt;"",$B80&lt;&gt;""),COUNTIFS('Active Clients'!$B$5:$B$504,$A80,'Active Clients'!$C$5:$C$504,$B80,'Active Clients'!$T$5:$T$504,"Active"),"")</f>
        <v/>
      </c>
      <c r="I80" s="44" t="str">
        <f aca="false">IF(AND($A80&lt;&gt;"",$B80&lt;&gt;""),SUMIFS('Active Clients'!$R$5:$R$504,'Active Clients'!$B$5:$B$504,$A80,'Active Clients'!$C$5:$C$504,$B80),"")</f>
        <v/>
      </c>
      <c r="J80" s="43" t="str">
        <f aca="true">IF(AND($A80&lt;&gt;"",$B80&lt;&gt;""),COUNTIFS('Activity Log'!$E$5:$E$3004,$A80,'Activity Log'!$F$5:$F$3004,$B80,'Activity Log'!$A$5:$A$3004,"&gt;="&amp;(TODAY()-29),'Activity Log'!$A$5:$A$3004,"&lt;="&amp;TODAY()),"")</f>
        <v/>
      </c>
    </row>
    <row r="81" customFormat="false" ht="15" hidden="false" customHeight="false" outlineLevel="0" collapsed="false">
      <c r="A81" s="42"/>
      <c r="B81" s="42"/>
      <c r="C81" s="43" t="str">
        <f aca="false">IF(AND($A81&lt;&gt;"",$B81&lt;&gt;""),COUNTIFS('Leads Pipeline'!$D$5:$D$1004,$A81,'Leads Pipeline'!$E$5:$E$1004,$B81,'Leads Pipeline'!$F$5:$F$1004,"&lt;&gt;"),"")</f>
        <v/>
      </c>
      <c r="D81" s="43" t="str">
        <f aca="false">IF(AND($A81&lt;&gt;"",$B81&lt;&gt;""),COUNTIFS('Leads Pipeline'!$D$5:$D$1004,$A81,'Leads Pipeline'!$E$5:$E$1004,$B81,'Leads Pipeline'!$F$5:$F$1004,"&lt;&gt;",'Leads Pipeline'!$O$5:$O$1004,"&lt;&gt;Won",'Leads Pipeline'!$O$5:$O$1004,"&lt;&gt;Lost"),"")</f>
        <v/>
      </c>
      <c r="E81" s="43" t="str">
        <f aca="false">IF(AND($A81&lt;&gt;"",$B81&lt;&gt;""),COUNTIFS('Leads Pipeline'!$D$5:$D$1004,$A81,'Leads Pipeline'!$E$5:$E$1004,$B81,'Leads Pipeline'!$P$5:$P$1004,"Hot",'Leads Pipeline'!$O$5:$O$1004,"&lt;&gt;Won",'Leads Pipeline'!$O$5:$O$1004,"&lt;&gt;Lost"),"")</f>
        <v/>
      </c>
      <c r="F81" s="43" t="str">
        <f aca="false">IF(AND($A81&lt;&gt;"",$B81&lt;&gt;""),COUNTIFS('Leads Pipeline'!$D$5:$D$1004,$A81,'Leads Pipeline'!$E$5:$E$1004,$B81,'Leads Pipeline'!$O$5:$O$1004,"Won"),"")</f>
        <v/>
      </c>
      <c r="G81" s="44" t="str">
        <f aca="false">IF(AND($A81&lt;&gt;"",$B81&lt;&gt;""),SUMIFS('Leads Pipeline'!$U$5:$U$1004,'Leads Pipeline'!$D$5:$D$1004,$A81,'Leads Pipeline'!$E$5:$E$1004,$B81,'Leads Pipeline'!$O$5:$O$1004,"&lt;&gt;Won",'Leads Pipeline'!$O$5:$O$1004,"&lt;&gt;Lost"),"")</f>
        <v/>
      </c>
      <c r="H81" s="43" t="str">
        <f aca="false">IF(AND($A81&lt;&gt;"",$B81&lt;&gt;""),COUNTIFS('Active Clients'!$B$5:$B$504,$A81,'Active Clients'!$C$5:$C$504,$B81,'Active Clients'!$T$5:$T$504,"Active"),"")</f>
        <v/>
      </c>
      <c r="I81" s="44" t="str">
        <f aca="false">IF(AND($A81&lt;&gt;"",$B81&lt;&gt;""),SUMIFS('Active Clients'!$R$5:$R$504,'Active Clients'!$B$5:$B$504,$A81,'Active Clients'!$C$5:$C$504,$B81),"")</f>
        <v/>
      </c>
      <c r="J81" s="43" t="str">
        <f aca="true">IF(AND($A81&lt;&gt;"",$B81&lt;&gt;""),COUNTIFS('Activity Log'!$E$5:$E$3004,$A81,'Activity Log'!$F$5:$F$3004,$B81,'Activity Log'!$A$5:$A$3004,"&gt;="&amp;(TODAY()-29),'Activity Log'!$A$5:$A$3004,"&lt;="&amp;TODAY()),"")</f>
        <v/>
      </c>
    </row>
    <row r="82" customFormat="false" ht="15" hidden="false" customHeight="false" outlineLevel="0" collapsed="false">
      <c r="A82" s="42"/>
      <c r="B82" s="42"/>
      <c r="C82" s="43" t="str">
        <f aca="false">IF(AND($A82&lt;&gt;"",$B82&lt;&gt;""),COUNTIFS('Leads Pipeline'!$D$5:$D$1004,$A82,'Leads Pipeline'!$E$5:$E$1004,$B82,'Leads Pipeline'!$F$5:$F$1004,"&lt;&gt;"),"")</f>
        <v/>
      </c>
      <c r="D82" s="43" t="str">
        <f aca="false">IF(AND($A82&lt;&gt;"",$B82&lt;&gt;""),COUNTIFS('Leads Pipeline'!$D$5:$D$1004,$A82,'Leads Pipeline'!$E$5:$E$1004,$B82,'Leads Pipeline'!$F$5:$F$1004,"&lt;&gt;",'Leads Pipeline'!$O$5:$O$1004,"&lt;&gt;Won",'Leads Pipeline'!$O$5:$O$1004,"&lt;&gt;Lost"),"")</f>
        <v/>
      </c>
      <c r="E82" s="43" t="str">
        <f aca="false">IF(AND($A82&lt;&gt;"",$B82&lt;&gt;""),COUNTIFS('Leads Pipeline'!$D$5:$D$1004,$A82,'Leads Pipeline'!$E$5:$E$1004,$B82,'Leads Pipeline'!$P$5:$P$1004,"Hot",'Leads Pipeline'!$O$5:$O$1004,"&lt;&gt;Won",'Leads Pipeline'!$O$5:$O$1004,"&lt;&gt;Lost"),"")</f>
        <v/>
      </c>
      <c r="F82" s="43" t="str">
        <f aca="false">IF(AND($A82&lt;&gt;"",$B82&lt;&gt;""),COUNTIFS('Leads Pipeline'!$D$5:$D$1004,$A82,'Leads Pipeline'!$E$5:$E$1004,$B82,'Leads Pipeline'!$O$5:$O$1004,"Won"),"")</f>
        <v/>
      </c>
      <c r="G82" s="44" t="str">
        <f aca="false">IF(AND($A82&lt;&gt;"",$B82&lt;&gt;""),SUMIFS('Leads Pipeline'!$U$5:$U$1004,'Leads Pipeline'!$D$5:$D$1004,$A82,'Leads Pipeline'!$E$5:$E$1004,$B82,'Leads Pipeline'!$O$5:$O$1004,"&lt;&gt;Won",'Leads Pipeline'!$O$5:$O$1004,"&lt;&gt;Lost"),"")</f>
        <v/>
      </c>
      <c r="H82" s="43" t="str">
        <f aca="false">IF(AND($A82&lt;&gt;"",$B82&lt;&gt;""),COUNTIFS('Active Clients'!$B$5:$B$504,$A82,'Active Clients'!$C$5:$C$504,$B82,'Active Clients'!$T$5:$T$504,"Active"),"")</f>
        <v/>
      </c>
      <c r="I82" s="44" t="str">
        <f aca="false">IF(AND($A82&lt;&gt;"",$B82&lt;&gt;""),SUMIFS('Active Clients'!$R$5:$R$504,'Active Clients'!$B$5:$B$504,$A82,'Active Clients'!$C$5:$C$504,$B82),"")</f>
        <v/>
      </c>
      <c r="J82" s="43" t="str">
        <f aca="true">IF(AND($A82&lt;&gt;"",$B82&lt;&gt;""),COUNTIFS('Activity Log'!$E$5:$E$3004,$A82,'Activity Log'!$F$5:$F$3004,$B82,'Activity Log'!$A$5:$A$3004,"&gt;="&amp;(TODAY()-29),'Activity Log'!$A$5:$A$3004,"&lt;="&amp;TODAY()),"")</f>
        <v/>
      </c>
    </row>
    <row r="83" customFormat="false" ht="15" hidden="false" customHeight="false" outlineLevel="0" collapsed="false">
      <c r="A83" s="42"/>
      <c r="B83" s="42"/>
      <c r="C83" s="43" t="str">
        <f aca="false">IF(AND($A83&lt;&gt;"",$B83&lt;&gt;""),COUNTIFS('Leads Pipeline'!$D$5:$D$1004,$A83,'Leads Pipeline'!$E$5:$E$1004,$B83,'Leads Pipeline'!$F$5:$F$1004,"&lt;&gt;"),"")</f>
        <v/>
      </c>
      <c r="D83" s="43" t="str">
        <f aca="false">IF(AND($A83&lt;&gt;"",$B83&lt;&gt;""),COUNTIFS('Leads Pipeline'!$D$5:$D$1004,$A83,'Leads Pipeline'!$E$5:$E$1004,$B83,'Leads Pipeline'!$F$5:$F$1004,"&lt;&gt;",'Leads Pipeline'!$O$5:$O$1004,"&lt;&gt;Won",'Leads Pipeline'!$O$5:$O$1004,"&lt;&gt;Lost"),"")</f>
        <v/>
      </c>
      <c r="E83" s="43" t="str">
        <f aca="false">IF(AND($A83&lt;&gt;"",$B83&lt;&gt;""),COUNTIFS('Leads Pipeline'!$D$5:$D$1004,$A83,'Leads Pipeline'!$E$5:$E$1004,$B83,'Leads Pipeline'!$P$5:$P$1004,"Hot",'Leads Pipeline'!$O$5:$O$1004,"&lt;&gt;Won",'Leads Pipeline'!$O$5:$O$1004,"&lt;&gt;Lost"),"")</f>
        <v/>
      </c>
      <c r="F83" s="43" t="str">
        <f aca="false">IF(AND($A83&lt;&gt;"",$B83&lt;&gt;""),COUNTIFS('Leads Pipeline'!$D$5:$D$1004,$A83,'Leads Pipeline'!$E$5:$E$1004,$B83,'Leads Pipeline'!$O$5:$O$1004,"Won"),"")</f>
        <v/>
      </c>
      <c r="G83" s="44" t="str">
        <f aca="false">IF(AND($A83&lt;&gt;"",$B83&lt;&gt;""),SUMIFS('Leads Pipeline'!$U$5:$U$1004,'Leads Pipeline'!$D$5:$D$1004,$A83,'Leads Pipeline'!$E$5:$E$1004,$B83,'Leads Pipeline'!$O$5:$O$1004,"&lt;&gt;Won",'Leads Pipeline'!$O$5:$O$1004,"&lt;&gt;Lost"),"")</f>
        <v/>
      </c>
      <c r="H83" s="43" t="str">
        <f aca="false">IF(AND($A83&lt;&gt;"",$B83&lt;&gt;""),COUNTIFS('Active Clients'!$B$5:$B$504,$A83,'Active Clients'!$C$5:$C$504,$B83,'Active Clients'!$T$5:$T$504,"Active"),"")</f>
        <v/>
      </c>
      <c r="I83" s="44" t="str">
        <f aca="false">IF(AND($A83&lt;&gt;"",$B83&lt;&gt;""),SUMIFS('Active Clients'!$R$5:$R$504,'Active Clients'!$B$5:$B$504,$A83,'Active Clients'!$C$5:$C$504,$B83),"")</f>
        <v/>
      </c>
      <c r="J83" s="43" t="str">
        <f aca="true">IF(AND($A83&lt;&gt;"",$B83&lt;&gt;""),COUNTIFS('Activity Log'!$E$5:$E$3004,$A83,'Activity Log'!$F$5:$F$3004,$B83,'Activity Log'!$A$5:$A$3004,"&gt;="&amp;(TODAY()-29),'Activity Log'!$A$5:$A$3004,"&lt;="&amp;TODAY()),"")</f>
        <v/>
      </c>
    </row>
    <row r="84" customFormat="false" ht="15" hidden="false" customHeight="false" outlineLevel="0" collapsed="false">
      <c r="A84" s="42"/>
      <c r="B84" s="42"/>
      <c r="C84" s="43" t="str">
        <f aca="false">IF(AND($A84&lt;&gt;"",$B84&lt;&gt;""),COUNTIFS('Leads Pipeline'!$D$5:$D$1004,$A84,'Leads Pipeline'!$E$5:$E$1004,$B84,'Leads Pipeline'!$F$5:$F$1004,"&lt;&gt;"),"")</f>
        <v/>
      </c>
      <c r="D84" s="43" t="str">
        <f aca="false">IF(AND($A84&lt;&gt;"",$B84&lt;&gt;""),COUNTIFS('Leads Pipeline'!$D$5:$D$1004,$A84,'Leads Pipeline'!$E$5:$E$1004,$B84,'Leads Pipeline'!$F$5:$F$1004,"&lt;&gt;",'Leads Pipeline'!$O$5:$O$1004,"&lt;&gt;Won",'Leads Pipeline'!$O$5:$O$1004,"&lt;&gt;Lost"),"")</f>
        <v/>
      </c>
      <c r="E84" s="43" t="str">
        <f aca="false">IF(AND($A84&lt;&gt;"",$B84&lt;&gt;""),COUNTIFS('Leads Pipeline'!$D$5:$D$1004,$A84,'Leads Pipeline'!$E$5:$E$1004,$B84,'Leads Pipeline'!$P$5:$P$1004,"Hot",'Leads Pipeline'!$O$5:$O$1004,"&lt;&gt;Won",'Leads Pipeline'!$O$5:$O$1004,"&lt;&gt;Lost"),"")</f>
        <v/>
      </c>
      <c r="F84" s="43" t="str">
        <f aca="false">IF(AND($A84&lt;&gt;"",$B84&lt;&gt;""),COUNTIFS('Leads Pipeline'!$D$5:$D$1004,$A84,'Leads Pipeline'!$E$5:$E$1004,$B84,'Leads Pipeline'!$O$5:$O$1004,"Won"),"")</f>
        <v/>
      </c>
      <c r="G84" s="44" t="str">
        <f aca="false">IF(AND($A84&lt;&gt;"",$B84&lt;&gt;""),SUMIFS('Leads Pipeline'!$U$5:$U$1004,'Leads Pipeline'!$D$5:$D$1004,$A84,'Leads Pipeline'!$E$5:$E$1004,$B84,'Leads Pipeline'!$O$5:$O$1004,"&lt;&gt;Won",'Leads Pipeline'!$O$5:$O$1004,"&lt;&gt;Lost"),"")</f>
        <v/>
      </c>
      <c r="H84" s="43" t="str">
        <f aca="false">IF(AND($A84&lt;&gt;"",$B84&lt;&gt;""),COUNTIFS('Active Clients'!$B$5:$B$504,$A84,'Active Clients'!$C$5:$C$504,$B84,'Active Clients'!$T$5:$T$504,"Active"),"")</f>
        <v/>
      </c>
      <c r="I84" s="44" t="str">
        <f aca="false">IF(AND($A84&lt;&gt;"",$B84&lt;&gt;""),SUMIFS('Active Clients'!$R$5:$R$504,'Active Clients'!$B$5:$B$504,$A84,'Active Clients'!$C$5:$C$504,$B84),"")</f>
        <v/>
      </c>
      <c r="J84" s="43" t="str">
        <f aca="true">IF(AND($A84&lt;&gt;"",$B84&lt;&gt;""),COUNTIFS('Activity Log'!$E$5:$E$3004,$A84,'Activity Log'!$F$5:$F$3004,$B84,'Activity Log'!$A$5:$A$3004,"&gt;="&amp;(TODAY()-29),'Activity Log'!$A$5:$A$3004,"&lt;="&amp;TODAY()),"")</f>
        <v/>
      </c>
    </row>
    <row r="85" customFormat="false" ht="15" hidden="false" customHeight="false" outlineLevel="0" collapsed="false">
      <c r="A85" s="42"/>
      <c r="B85" s="42"/>
      <c r="C85" s="43" t="str">
        <f aca="false">IF(AND($A85&lt;&gt;"",$B85&lt;&gt;""),COUNTIFS('Leads Pipeline'!$D$5:$D$1004,$A85,'Leads Pipeline'!$E$5:$E$1004,$B85,'Leads Pipeline'!$F$5:$F$1004,"&lt;&gt;"),"")</f>
        <v/>
      </c>
      <c r="D85" s="43" t="str">
        <f aca="false">IF(AND($A85&lt;&gt;"",$B85&lt;&gt;""),COUNTIFS('Leads Pipeline'!$D$5:$D$1004,$A85,'Leads Pipeline'!$E$5:$E$1004,$B85,'Leads Pipeline'!$F$5:$F$1004,"&lt;&gt;",'Leads Pipeline'!$O$5:$O$1004,"&lt;&gt;Won",'Leads Pipeline'!$O$5:$O$1004,"&lt;&gt;Lost"),"")</f>
        <v/>
      </c>
      <c r="E85" s="43" t="str">
        <f aca="false">IF(AND($A85&lt;&gt;"",$B85&lt;&gt;""),COUNTIFS('Leads Pipeline'!$D$5:$D$1004,$A85,'Leads Pipeline'!$E$5:$E$1004,$B85,'Leads Pipeline'!$P$5:$P$1004,"Hot",'Leads Pipeline'!$O$5:$O$1004,"&lt;&gt;Won",'Leads Pipeline'!$O$5:$O$1004,"&lt;&gt;Lost"),"")</f>
        <v/>
      </c>
      <c r="F85" s="43" t="str">
        <f aca="false">IF(AND($A85&lt;&gt;"",$B85&lt;&gt;""),COUNTIFS('Leads Pipeline'!$D$5:$D$1004,$A85,'Leads Pipeline'!$E$5:$E$1004,$B85,'Leads Pipeline'!$O$5:$O$1004,"Won"),"")</f>
        <v/>
      </c>
      <c r="G85" s="44" t="str">
        <f aca="false">IF(AND($A85&lt;&gt;"",$B85&lt;&gt;""),SUMIFS('Leads Pipeline'!$U$5:$U$1004,'Leads Pipeline'!$D$5:$D$1004,$A85,'Leads Pipeline'!$E$5:$E$1004,$B85,'Leads Pipeline'!$O$5:$O$1004,"&lt;&gt;Won",'Leads Pipeline'!$O$5:$O$1004,"&lt;&gt;Lost"),"")</f>
        <v/>
      </c>
      <c r="H85" s="43" t="str">
        <f aca="false">IF(AND($A85&lt;&gt;"",$B85&lt;&gt;""),COUNTIFS('Active Clients'!$B$5:$B$504,$A85,'Active Clients'!$C$5:$C$504,$B85,'Active Clients'!$T$5:$T$504,"Active"),"")</f>
        <v/>
      </c>
      <c r="I85" s="44" t="str">
        <f aca="false">IF(AND($A85&lt;&gt;"",$B85&lt;&gt;""),SUMIFS('Active Clients'!$R$5:$R$504,'Active Clients'!$B$5:$B$504,$A85,'Active Clients'!$C$5:$C$504,$B85),"")</f>
        <v/>
      </c>
      <c r="J85" s="43" t="str">
        <f aca="true">IF(AND($A85&lt;&gt;"",$B85&lt;&gt;""),COUNTIFS('Activity Log'!$E$5:$E$3004,$A85,'Activity Log'!$F$5:$F$3004,$B85,'Activity Log'!$A$5:$A$3004,"&gt;="&amp;(TODAY()-29),'Activity Log'!$A$5:$A$3004,"&lt;="&amp;TODAY()),"")</f>
        <v/>
      </c>
    </row>
    <row r="86" customFormat="false" ht="15" hidden="false" customHeight="false" outlineLevel="0" collapsed="false">
      <c r="A86" s="42"/>
      <c r="B86" s="42"/>
      <c r="C86" s="43" t="str">
        <f aca="false">IF(AND($A86&lt;&gt;"",$B86&lt;&gt;""),COUNTIFS('Leads Pipeline'!$D$5:$D$1004,$A86,'Leads Pipeline'!$E$5:$E$1004,$B86,'Leads Pipeline'!$F$5:$F$1004,"&lt;&gt;"),"")</f>
        <v/>
      </c>
      <c r="D86" s="43" t="str">
        <f aca="false">IF(AND($A86&lt;&gt;"",$B86&lt;&gt;""),COUNTIFS('Leads Pipeline'!$D$5:$D$1004,$A86,'Leads Pipeline'!$E$5:$E$1004,$B86,'Leads Pipeline'!$F$5:$F$1004,"&lt;&gt;",'Leads Pipeline'!$O$5:$O$1004,"&lt;&gt;Won",'Leads Pipeline'!$O$5:$O$1004,"&lt;&gt;Lost"),"")</f>
        <v/>
      </c>
      <c r="E86" s="43" t="str">
        <f aca="false">IF(AND($A86&lt;&gt;"",$B86&lt;&gt;""),COUNTIFS('Leads Pipeline'!$D$5:$D$1004,$A86,'Leads Pipeline'!$E$5:$E$1004,$B86,'Leads Pipeline'!$P$5:$P$1004,"Hot",'Leads Pipeline'!$O$5:$O$1004,"&lt;&gt;Won",'Leads Pipeline'!$O$5:$O$1004,"&lt;&gt;Lost"),"")</f>
        <v/>
      </c>
      <c r="F86" s="43" t="str">
        <f aca="false">IF(AND($A86&lt;&gt;"",$B86&lt;&gt;""),COUNTIFS('Leads Pipeline'!$D$5:$D$1004,$A86,'Leads Pipeline'!$E$5:$E$1004,$B86,'Leads Pipeline'!$O$5:$O$1004,"Won"),"")</f>
        <v/>
      </c>
      <c r="G86" s="44" t="str">
        <f aca="false">IF(AND($A86&lt;&gt;"",$B86&lt;&gt;""),SUMIFS('Leads Pipeline'!$U$5:$U$1004,'Leads Pipeline'!$D$5:$D$1004,$A86,'Leads Pipeline'!$E$5:$E$1004,$B86,'Leads Pipeline'!$O$5:$O$1004,"&lt;&gt;Won",'Leads Pipeline'!$O$5:$O$1004,"&lt;&gt;Lost"),"")</f>
        <v/>
      </c>
      <c r="H86" s="43" t="str">
        <f aca="false">IF(AND($A86&lt;&gt;"",$B86&lt;&gt;""),COUNTIFS('Active Clients'!$B$5:$B$504,$A86,'Active Clients'!$C$5:$C$504,$B86,'Active Clients'!$T$5:$T$504,"Active"),"")</f>
        <v/>
      </c>
      <c r="I86" s="44" t="str">
        <f aca="false">IF(AND($A86&lt;&gt;"",$B86&lt;&gt;""),SUMIFS('Active Clients'!$R$5:$R$504,'Active Clients'!$B$5:$B$504,$A86,'Active Clients'!$C$5:$C$504,$B86),"")</f>
        <v/>
      </c>
      <c r="J86" s="43" t="str">
        <f aca="true">IF(AND($A86&lt;&gt;"",$B86&lt;&gt;""),COUNTIFS('Activity Log'!$E$5:$E$3004,$A86,'Activity Log'!$F$5:$F$3004,$B86,'Activity Log'!$A$5:$A$3004,"&gt;="&amp;(TODAY()-29),'Activity Log'!$A$5:$A$3004,"&lt;="&amp;TODAY()),"")</f>
        <v/>
      </c>
    </row>
    <row r="87" customFormat="false" ht="15" hidden="false" customHeight="false" outlineLevel="0" collapsed="false">
      <c r="A87" s="42"/>
      <c r="B87" s="42"/>
      <c r="C87" s="43" t="str">
        <f aca="false">IF(AND($A87&lt;&gt;"",$B87&lt;&gt;""),COUNTIFS('Leads Pipeline'!$D$5:$D$1004,$A87,'Leads Pipeline'!$E$5:$E$1004,$B87,'Leads Pipeline'!$F$5:$F$1004,"&lt;&gt;"),"")</f>
        <v/>
      </c>
      <c r="D87" s="43" t="str">
        <f aca="false">IF(AND($A87&lt;&gt;"",$B87&lt;&gt;""),COUNTIFS('Leads Pipeline'!$D$5:$D$1004,$A87,'Leads Pipeline'!$E$5:$E$1004,$B87,'Leads Pipeline'!$F$5:$F$1004,"&lt;&gt;",'Leads Pipeline'!$O$5:$O$1004,"&lt;&gt;Won",'Leads Pipeline'!$O$5:$O$1004,"&lt;&gt;Lost"),"")</f>
        <v/>
      </c>
      <c r="E87" s="43" t="str">
        <f aca="false">IF(AND($A87&lt;&gt;"",$B87&lt;&gt;""),COUNTIFS('Leads Pipeline'!$D$5:$D$1004,$A87,'Leads Pipeline'!$E$5:$E$1004,$B87,'Leads Pipeline'!$P$5:$P$1004,"Hot",'Leads Pipeline'!$O$5:$O$1004,"&lt;&gt;Won",'Leads Pipeline'!$O$5:$O$1004,"&lt;&gt;Lost"),"")</f>
        <v/>
      </c>
      <c r="F87" s="43" t="str">
        <f aca="false">IF(AND($A87&lt;&gt;"",$B87&lt;&gt;""),COUNTIFS('Leads Pipeline'!$D$5:$D$1004,$A87,'Leads Pipeline'!$E$5:$E$1004,$B87,'Leads Pipeline'!$O$5:$O$1004,"Won"),"")</f>
        <v/>
      </c>
      <c r="G87" s="44" t="str">
        <f aca="false">IF(AND($A87&lt;&gt;"",$B87&lt;&gt;""),SUMIFS('Leads Pipeline'!$U$5:$U$1004,'Leads Pipeline'!$D$5:$D$1004,$A87,'Leads Pipeline'!$E$5:$E$1004,$B87,'Leads Pipeline'!$O$5:$O$1004,"&lt;&gt;Won",'Leads Pipeline'!$O$5:$O$1004,"&lt;&gt;Lost"),"")</f>
        <v/>
      </c>
      <c r="H87" s="43" t="str">
        <f aca="false">IF(AND($A87&lt;&gt;"",$B87&lt;&gt;""),COUNTIFS('Active Clients'!$B$5:$B$504,$A87,'Active Clients'!$C$5:$C$504,$B87,'Active Clients'!$T$5:$T$504,"Active"),"")</f>
        <v/>
      </c>
      <c r="I87" s="44" t="str">
        <f aca="false">IF(AND($A87&lt;&gt;"",$B87&lt;&gt;""),SUMIFS('Active Clients'!$R$5:$R$504,'Active Clients'!$B$5:$B$504,$A87,'Active Clients'!$C$5:$C$504,$B87),"")</f>
        <v/>
      </c>
      <c r="J87" s="43" t="str">
        <f aca="true">IF(AND($A87&lt;&gt;"",$B87&lt;&gt;""),COUNTIFS('Activity Log'!$E$5:$E$3004,$A87,'Activity Log'!$F$5:$F$3004,$B87,'Activity Log'!$A$5:$A$3004,"&gt;="&amp;(TODAY()-29),'Activity Log'!$A$5:$A$3004,"&lt;="&amp;TODAY()),"")</f>
        <v/>
      </c>
    </row>
    <row r="88" customFormat="false" ht="15" hidden="false" customHeight="false" outlineLevel="0" collapsed="false">
      <c r="A88" s="42"/>
      <c r="B88" s="42"/>
      <c r="C88" s="43" t="str">
        <f aca="false">IF(AND($A88&lt;&gt;"",$B88&lt;&gt;""),COUNTIFS('Leads Pipeline'!$D$5:$D$1004,$A88,'Leads Pipeline'!$E$5:$E$1004,$B88,'Leads Pipeline'!$F$5:$F$1004,"&lt;&gt;"),"")</f>
        <v/>
      </c>
      <c r="D88" s="43" t="str">
        <f aca="false">IF(AND($A88&lt;&gt;"",$B88&lt;&gt;""),COUNTIFS('Leads Pipeline'!$D$5:$D$1004,$A88,'Leads Pipeline'!$E$5:$E$1004,$B88,'Leads Pipeline'!$F$5:$F$1004,"&lt;&gt;",'Leads Pipeline'!$O$5:$O$1004,"&lt;&gt;Won",'Leads Pipeline'!$O$5:$O$1004,"&lt;&gt;Lost"),"")</f>
        <v/>
      </c>
      <c r="E88" s="43" t="str">
        <f aca="false">IF(AND($A88&lt;&gt;"",$B88&lt;&gt;""),COUNTIFS('Leads Pipeline'!$D$5:$D$1004,$A88,'Leads Pipeline'!$E$5:$E$1004,$B88,'Leads Pipeline'!$P$5:$P$1004,"Hot",'Leads Pipeline'!$O$5:$O$1004,"&lt;&gt;Won",'Leads Pipeline'!$O$5:$O$1004,"&lt;&gt;Lost"),"")</f>
        <v/>
      </c>
      <c r="F88" s="43" t="str">
        <f aca="false">IF(AND($A88&lt;&gt;"",$B88&lt;&gt;""),COUNTIFS('Leads Pipeline'!$D$5:$D$1004,$A88,'Leads Pipeline'!$E$5:$E$1004,$B88,'Leads Pipeline'!$O$5:$O$1004,"Won"),"")</f>
        <v/>
      </c>
      <c r="G88" s="44" t="str">
        <f aca="false">IF(AND($A88&lt;&gt;"",$B88&lt;&gt;""),SUMIFS('Leads Pipeline'!$U$5:$U$1004,'Leads Pipeline'!$D$5:$D$1004,$A88,'Leads Pipeline'!$E$5:$E$1004,$B88,'Leads Pipeline'!$O$5:$O$1004,"&lt;&gt;Won",'Leads Pipeline'!$O$5:$O$1004,"&lt;&gt;Lost"),"")</f>
        <v/>
      </c>
      <c r="H88" s="43" t="str">
        <f aca="false">IF(AND($A88&lt;&gt;"",$B88&lt;&gt;""),COUNTIFS('Active Clients'!$B$5:$B$504,$A88,'Active Clients'!$C$5:$C$504,$B88,'Active Clients'!$T$5:$T$504,"Active"),"")</f>
        <v/>
      </c>
      <c r="I88" s="44" t="str">
        <f aca="false">IF(AND($A88&lt;&gt;"",$B88&lt;&gt;""),SUMIFS('Active Clients'!$R$5:$R$504,'Active Clients'!$B$5:$B$504,$A88,'Active Clients'!$C$5:$C$504,$B88),"")</f>
        <v/>
      </c>
      <c r="J88" s="43" t="str">
        <f aca="true">IF(AND($A88&lt;&gt;"",$B88&lt;&gt;""),COUNTIFS('Activity Log'!$E$5:$E$3004,$A88,'Activity Log'!$F$5:$F$3004,$B88,'Activity Log'!$A$5:$A$3004,"&gt;="&amp;(TODAY()-29),'Activity Log'!$A$5:$A$3004,"&lt;="&amp;TODAY()),"")</f>
        <v/>
      </c>
    </row>
    <row r="89" customFormat="false" ht="15" hidden="false" customHeight="false" outlineLevel="0" collapsed="false">
      <c r="A89" s="42"/>
      <c r="B89" s="42"/>
      <c r="C89" s="43" t="str">
        <f aca="false">IF(AND($A89&lt;&gt;"",$B89&lt;&gt;""),COUNTIFS('Leads Pipeline'!$D$5:$D$1004,$A89,'Leads Pipeline'!$E$5:$E$1004,$B89,'Leads Pipeline'!$F$5:$F$1004,"&lt;&gt;"),"")</f>
        <v/>
      </c>
      <c r="D89" s="43" t="str">
        <f aca="false">IF(AND($A89&lt;&gt;"",$B89&lt;&gt;""),COUNTIFS('Leads Pipeline'!$D$5:$D$1004,$A89,'Leads Pipeline'!$E$5:$E$1004,$B89,'Leads Pipeline'!$F$5:$F$1004,"&lt;&gt;",'Leads Pipeline'!$O$5:$O$1004,"&lt;&gt;Won",'Leads Pipeline'!$O$5:$O$1004,"&lt;&gt;Lost"),"")</f>
        <v/>
      </c>
      <c r="E89" s="43" t="str">
        <f aca="false">IF(AND($A89&lt;&gt;"",$B89&lt;&gt;""),COUNTIFS('Leads Pipeline'!$D$5:$D$1004,$A89,'Leads Pipeline'!$E$5:$E$1004,$B89,'Leads Pipeline'!$P$5:$P$1004,"Hot",'Leads Pipeline'!$O$5:$O$1004,"&lt;&gt;Won",'Leads Pipeline'!$O$5:$O$1004,"&lt;&gt;Lost"),"")</f>
        <v/>
      </c>
      <c r="F89" s="43" t="str">
        <f aca="false">IF(AND($A89&lt;&gt;"",$B89&lt;&gt;""),COUNTIFS('Leads Pipeline'!$D$5:$D$1004,$A89,'Leads Pipeline'!$E$5:$E$1004,$B89,'Leads Pipeline'!$O$5:$O$1004,"Won"),"")</f>
        <v/>
      </c>
      <c r="G89" s="44" t="str">
        <f aca="false">IF(AND($A89&lt;&gt;"",$B89&lt;&gt;""),SUMIFS('Leads Pipeline'!$U$5:$U$1004,'Leads Pipeline'!$D$5:$D$1004,$A89,'Leads Pipeline'!$E$5:$E$1004,$B89,'Leads Pipeline'!$O$5:$O$1004,"&lt;&gt;Won",'Leads Pipeline'!$O$5:$O$1004,"&lt;&gt;Lost"),"")</f>
        <v/>
      </c>
      <c r="H89" s="43" t="str">
        <f aca="false">IF(AND($A89&lt;&gt;"",$B89&lt;&gt;""),COUNTIFS('Active Clients'!$B$5:$B$504,$A89,'Active Clients'!$C$5:$C$504,$B89,'Active Clients'!$T$5:$T$504,"Active"),"")</f>
        <v/>
      </c>
      <c r="I89" s="44" t="str">
        <f aca="false">IF(AND($A89&lt;&gt;"",$B89&lt;&gt;""),SUMIFS('Active Clients'!$R$5:$R$504,'Active Clients'!$B$5:$B$504,$A89,'Active Clients'!$C$5:$C$504,$B89),"")</f>
        <v/>
      </c>
      <c r="J89" s="43" t="str">
        <f aca="true">IF(AND($A89&lt;&gt;"",$B89&lt;&gt;""),COUNTIFS('Activity Log'!$E$5:$E$3004,$A89,'Activity Log'!$F$5:$F$3004,$B89,'Activity Log'!$A$5:$A$3004,"&gt;="&amp;(TODAY()-29),'Activity Log'!$A$5:$A$3004,"&lt;="&amp;TODAY()),"")</f>
        <v/>
      </c>
    </row>
    <row r="90" customFormat="false" ht="15" hidden="false" customHeight="false" outlineLevel="0" collapsed="false">
      <c r="A90" s="42"/>
      <c r="B90" s="42"/>
      <c r="C90" s="43" t="str">
        <f aca="false">IF(AND($A90&lt;&gt;"",$B90&lt;&gt;""),COUNTIFS('Leads Pipeline'!$D$5:$D$1004,$A90,'Leads Pipeline'!$E$5:$E$1004,$B90,'Leads Pipeline'!$F$5:$F$1004,"&lt;&gt;"),"")</f>
        <v/>
      </c>
      <c r="D90" s="43" t="str">
        <f aca="false">IF(AND($A90&lt;&gt;"",$B90&lt;&gt;""),COUNTIFS('Leads Pipeline'!$D$5:$D$1004,$A90,'Leads Pipeline'!$E$5:$E$1004,$B90,'Leads Pipeline'!$F$5:$F$1004,"&lt;&gt;",'Leads Pipeline'!$O$5:$O$1004,"&lt;&gt;Won",'Leads Pipeline'!$O$5:$O$1004,"&lt;&gt;Lost"),"")</f>
        <v/>
      </c>
      <c r="E90" s="43" t="str">
        <f aca="false">IF(AND($A90&lt;&gt;"",$B90&lt;&gt;""),COUNTIFS('Leads Pipeline'!$D$5:$D$1004,$A90,'Leads Pipeline'!$E$5:$E$1004,$B90,'Leads Pipeline'!$P$5:$P$1004,"Hot",'Leads Pipeline'!$O$5:$O$1004,"&lt;&gt;Won",'Leads Pipeline'!$O$5:$O$1004,"&lt;&gt;Lost"),"")</f>
        <v/>
      </c>
      <c r="F90" s="43" t="str">
        <f aca="false">IF(AND($A90&lt;&gt;"",$B90&lt;&gt;""),COUNTIFS('Leads Pipeline'!$D$5:$D$1004,$A90,'Leads Pipeline'!$E$5:$E$1004,$B90,'Leads Pipeline'!$O$5:$O$1004,"Won"),"")</f>
        <v/>
      </c>
      <c r="G90" s="44" t="str">
        <f aca="false">IF(AND($A90&lt;&gt;"",$B90&lt;&gt;""),SUMIFS('Leads Pipeline'!$U$5:$U$1004,'Leads Pipeline'!$D$5:$D$1004,$A90,'Leads Pipeline'!$E$5:$E$1004,$B90,'Leads Pipeline'!$O$5:$O$1004,"&lt;&gt;Won",'Leads Pipeline'!$O$5:$O$1004,"&lt;&gt;Lost"),"")</f>
        <v/>
      </c>
      <c r="H90" s="43" t="str">
        <f aca="false">IF(AND($A90&lt;&gt;"",$B90&lt;&gt;""),COUNTIFS('Active Clients'!$B$5:$B$504,$A90,'Active Clients'!$C$5:$C$504,$B90,'Active Clients'!$T$5:$T$504,"Active"),"")</f>
        <v/>
      </c>
      <c r="I90" s="44" t="str">
        <f aca="false">IF(AND($A90&lt;&gt;"",$B90&lt;&gt;""),SUMIFS('Active Clients'!$R$5:$R$504,'Active Clients'!$B$5:$B$504,$A90,'Active Clients'!$C$5:$C$504,$B90),"")</f>
        <v/>
      </c>
      <c r="J90" s="43" t="str">
        <f aca="true">IF(AND($A90&lt;&gt;"",$B90&lt;&gt;""),COUNTIFS('Activity Log'!$E$5:$E$3004,$A90,'Activity Log'!$F$5:$F$3004,$B90,'Activity Log'!$A$5:$A$3004,"&gt;="&amp;(TODAY()-29),'Activity Log'!$A$5:$A$3004,"&lt;="&amp;TODAY()),"")</f>
        <v/>
      </c>
    </row>
    <row r="91" customFormat="false" ht="15" hidden="false" customHeight="false" outlineLevel="0" collapsed="false">
      <c r="A91" s="42"/>
      <c r="B91" s="42"/>
      <c r="C91" s="43" t="str">
        <f aca="false">IF(AND($A91&lt;&gt;"",$B91&lt;&gt;""),COUNTIFS('Leads Pipeline'!$D$5:$D$1004,$A91,'Leads Pipeline'!$E$5:$E$1004,$B91,'Leads Pipeline'!$F$5:$F$1004,"&lt;&gt;"),"")</f>
        <v/>
      </c>
      <c r="D91" s="43" t="str">
        <f aca="false">IF(AND($A91&lt;&gt;"",$B91&lt;&gt;""),COUNTIFS('Leads Pipeline'!$D$5:$D$1004,$A91,'Leads Pipeline'!$E$5:$E$1004,$B91,'Leads Pipeline'!$F$5:$F$1004,"&lt;&gt;",'Leads Pipeline'!$O$5:$O$1004,"&lt;&gt;Won",'Leads Pipeline'!$O$5:$O$1004,"&lt;&gt;Lost"),"")</f>
        <v/>
      </c>
      <c r="E91" s="43" t="str">
        <f aca="false">IF(AND($A91&lt;&gt;"",$B91&lt;&gt;""),COUNTIFS('Leads Pipeline'!$D$5:$D$1004,$A91,'Leads Pipeline'!$E$5:$E$1004,$B91,'Leads Pipeline'!$P$5:$P$1004,"Hot",'Leads Pipeline'!$O$5:$O$1004,"&lt;&gt;Won",'Leads Pipeline'!$O$5:$O$1004,"&lt;&gt;Lost"),"")</f>
        <v/>
      </c>
      <c r="F91" s="43" t="str">
        <f aca="false">IF(AND($A91&lt;&gt;"",$B91&lt;&gt;""),COUNTIFS('Leads Pipeline'!$D$5:$D$1004,$A91,'Leads Pipeline'!$E$5:$E$1004,$B91,'Leads Pipeline'!$O$5:$O$1004,"Won"),"")</f>
        <v/>
      </c>
      <c r="G91" s="44" t="str">
        <f aca="false">IF(AND($A91&lt;&gt;"",$B91&lt;&gt;""),SUMIFS('Leads Pipeline'!$U$5:$U$1004,'Leads Pipeline'!$D$5:$D$1004,$A91,'Leads Pipeline'!$E$5:$E$1004,$B91,'Leads Pipeline'!$O$5:$O$1004,"&lt;&gt;Won",'Leads Pipeline'!$O$5:$O$1004,"&lt;&gt;Lost"),"")</f>
        <v/>
      </c>
      <c r="H91" s="43" t="str">
        <f aca="false">IF(AND($A91&lt;&gt;"",$B91&lt;&gt;""),COUNTIFS('Active Clients'!$B$5:$B$504,$A91,'Active Clients'!$C$5:$C$504,$B91,'Active Clients'!$T$5:$T$504,"Active"),"")</f>
        <v/>
      </c>
      <c r="I91" s="44" t="str">
        <f aca="false">IF(AND($A91&lt;&gt;"",$B91&lt;&gt;""),SUMIFS('Active Clients'!$R$5:$R$504,'Active Clients'!$B$5:$B$504,$A91,'Active Clients'!$C$5:$C$504,$B91),"")</f>
        <v/>
      </c>
      <c r="J91" s="43" t="str">
        <f aca="true">IF(AND($A91&lt;&gt;"",$B91&lt;&gt;""),COUNTIFS('Activity Log'!$E$5:$E$3004,$A91,'Activity Log'!$F$5:$F$3004,$B91,'Activity Log'!$A$5:$A$3004,"&gt;="&amp;(TODAY()-29),'Activity Log'!$A$5:$A$3004,"&lt;="&amp;TODAY()),"")</f>
        <v/>
      </c>
    </row>
    <row r="92" customFormat="false" ht="15" hidden="false" customHeight="false" outlineLevel="0" collapsed="false">
      <c r="A92" s="42"/>
      <c r="B92" s="42"/>
      <c r="C92" s="43" t="str">
        <f aca="false">IF(AND($A92&lt;&gt;"",$B92&lt;&gt;""),COUNTIFS('Leads Pipeline'!$D$5:$D$1004,$A92,'Leads Pipeline'!$E$5:$E$1004,$B92,'Leads Pipeline'!$F$5:$F$1004,"&lt;&gt;"),"")</f>
        <v/>
      </c>
      <c r="D92" s="43" t="str">
        <f aca="false">IF(AND($A92&lt;&gt;"",$B92&lt;&gt;""),COUNTIFS('Leads Pipeline'!$D$5:$D$1004,$A92,'Leads Pipeline'!$E$5:$E$1004,$B92,'Leads Pipeline'!$F$5:$F$1004,"&lt;&gt;",'Leads Pipeline'!$O$5:$O$1004,"&lt;&gt;Won",'Leads Pipeline'!$O$5:$O$1004,"&lt;&gt;Lost"),"")</f>
        <v/>
      </c>
      <c r="E92" s="43" t="str">
        <f aca="false">IF(AND($A92&lt;&gt;"",$B92&lt;&gt;""),COUNTIFS('Leads Pipeline'!$D$5:$D$1004,$A92,'Leads Pipeline'!$E$5:$E$1004,$B92,'Leads Pipeline'!$P$5:$P$1004,"Hot",'Leads Pipeline'!$O$5:$O$1004,"&lt;&gt;Won",'Leads Pipeline'!$O$5:$O$1004,"&lt;&gt;Lost"),"")</f>
        <v/>
      </c>
      <c r="F92" s="43" t="str">
        <f aca="false">IF(AND($A92&lt;&gt;"",$B92&lt;&gt;""),COUNTIFS('Leads Pipeline'!$D$5:$D$1004,$A92,'Leads Pipeline'!$E$5:$E$1004,$B92,'Leads Pipeline'!$O$5:$O$1004,"Won"),"")</f>
        <v/>
      </c>
      <c r="G92" s="44" t="str">
        <f aca="false">IF(AND($A92&lt;&gt;"",$B92&lt;&gt;""),SUMIFS('Leads Pipeline'!$U$5:$U$1004,'Leads Pipeline'!$D$5:$D$1004,$A92,'Leads Pipeline'!$E$5:$E$1004,$B92,'Leads Pipeline'!$O$5:$O$1004,"&lt;&gt;Won",'Leads Pipeline'!$O$5:$O$1004,"&lt;&gt;Lost"),"")</f>
        <v/>
      </c>
      <c r="H92" s="43" t="str">
        <f aca="false">IF(AND($A92&lt;&gt;"",$B92&lt;&gt;""),COUNTIFS('Active Clients'!$B$5:$B$504,$A92,'Active Clients'!$C$5:$C$504,$B92,'Active Clients'!$T$5:$T$504,"Active"),"")</f>
        <v/>
      </c>
      <c r="I92" s="44" t="str">
        <f aca="false">IF(AND($A92&lt;&gt;"",$B92&lt;&gt;""),SUMIFS('Active Clients'!$R$5:$R$504,'Active Clients'!$B$5:$B$504,$A92,'Active Clients'!$C$5:$C$504,$B92),"")</f>
        <v/>
      </c>
      <c r="J92" s="43" t="str">
        <f aca="true">IF(AND($A92&lt;&gt;"",$B92&lt;&gt;""),COUNTIFS('Activity Log'!$E$5:$E$3004,$A92,'Activity Log'!$F$5:$F$3004,$B92,'Activity Log'!$A$5:$A$3004,"&gt;="&amp;(TODAY()-29),'Activity Log'!$A$5:$A$3004,"&lt;="&amp;TODAY()),"")</f>
        <v/>
      </c>
    </row>
    <row r="93" customFormat="false" ht="15" hidden="false" customHeight="false" outlineLevel="0" collapsed="false">
      <c r="A93" s="42"/>
      <c r="B93" s="42"/>
      <c r="C93" s="43" t="str">
        <f aca="false">IF(AND($A93&lt;&gt;"",$B93&lt;&gt;""),COUNTIFS('Leads Pipeline'!$D$5:$D$1004,$A93,'Leads Pipeline'!$E$5:$E$1004,$B93,'Leads Pipeline'!$F$5:$F$1004,"&lt;&gt;"),"")</f>
        <v/>
      </c>
      <c r="D93" s="43" t="str">
        <f aca="false">IF(AND($A93&lt;&gt;"",$B93&lt;&gt;""),COUNTIFS('Leads Pipeline'!$D$5:$D$1004,$A93,'Leads Pipeline'!$E$5:$E$1004,$B93,'Leads Pipeline'!$F$5:$F$1004,"&lt;&gt;",'Leads Pipeline'!$O$5:$O$1004,"&lt;&gt;Won",'Leads Pipeline'!$O$5:$O$1004,"&lt;&gt;Lost"),"")</f>
        <v/>
      </c>
      <c r="E93" s="43" t="str">
        <f aca="false">IF(AND($A93&lt;&gt;"",$B93&lt;&gt;""),COUNTIFS('Leads Pipeline'!$D$5:$D$1004,$A93,'Leads Pipeline'!$E$5:$E$1004,$B93,'Leads Pipeline'!$P$5:$P$1004,"Hot",'Leads Pipeline'!$O$5:$O$1004,"&lt;&gt;Won",'Leads Pipeline'!$O$5:$O$1004,"&lt;&gt;Lost"),"")</f>
        <v/>
      </c>
      <c r="F93" s="43" t="str">
        <f aca="false">IF(AND($A93&lt;&gt;"",$B93&lt;&gt;""),COUNTIFS('Leads Pipeline'!$D$5:$D$1004,$A93,'Leads Pipeline'!$E$5:$E$1004,$B93,'Leads Pipeline'!$O$5:$O$1004,"Won"),"")</f>
        <v/>
      </c>
      <c r="G93" s="44" t="str">
        <f aca="false">IF(AND($A93&lt;&gt;"",$B93&lt;&gt;""),SUMIFS('Leads Pipeline'!$U$5:$U$1004,'Leads Pipeline'!$D$5:$D$1004,$A93,'Leads Pipeline'!$E$5:$E$1004,$B93,'Leads Pipeline'!$O$5:$O$1004,"&lt;&gt;Won",'Leads Pipeline'!$O$5:$O$1004,"&lt;&gt;Lost"),"")</f>
        <v/>
      </c>
      <c r="H93" s="43" t="str">
        <f aca="false">IF(AND($A93&lt;&gt;"",$B93&lt;&gt;""),COUNTIFS('Active Clients'!$B$5:$B$504,$A93,'Active Clients'!$C$5:$C$504,$B93,'Active Clients'!$T$5:$T$504,"Active"),"")</f>
        <v/>
      </c>
      <c r="I93" s="44" t="str">
        <f aca="false">IF(AND($A93&lt;&gt;"",$B93&lt;&gt;""),SUMIFS('Active Clients'!$R$5:$R$504,'Active Clients'!$B$5:$B$504,$A93,'Active Clients'!$C$5:$C$504,$B93),"")</f>
        <v/>
      </c>
      <c r="J93" s="43" t="str">
        <f aca="true">IF(AND($A93&lt;&gt;"",$B93&lt;&gt;""),COUNTIFS('Activity Log'!$E$5:$E$3004,$A93,'Activity Log'!$F$5:$F$3004,$B93,'Activity Log'!$A$5:$A$3004,"&gt;="&amp;(TODAY()-29),'Activity Log'!$A$5:$A$3004,"&lt;="&amp;TODAY()),"")</f>
        <v/>
      </c>
    </row>
    <row r="94" customFormat="false" ht="15" hidden="false" customHeight="false" outlineLevel="0" collapsed="false">
      <c r="A94" s="42"/>
      <c r="B94" s="42"/>
      <c r="C94" s="43" t="str">
        <f aca="false">IF(AND($A94&lt;&gt;"",$B94&lt;&gt;""),COUNTIFS('Leads Pipeline'!$D$5:$D$1004,$A94,'Leads Pipeline'!$E$5:$E$1004,$B94,'Leads Pipeline'!$F$5:$F$1004,"&lt;&gt;"),"")</f>
        <v/>
      </c>
      <c r="D94" s="43" t="str">
        <f aca="false">IF(AND($A94&lt;&gt;"",$B94&lt;&gt;""),COUNTIFS('Leads Pipeline'!$D$5:$D$1004,$A94,'Leads Pipeline'!$E$5:$E$1004,$B94,'Leads Pipeline'!$F$5:$F$1004,"&lt;&gt;",'Leads Pipeline'!$O$5:$O$1004,"&lt;&gt;Won",'Leads Pipeline'!$O$5:$O$1004,"&lt;&gt;Lost"),"")</f>
        <v/>
      </c>
      <c r="E94" s="43" t="str">
        <f aca="false">IF(AND($A94&lt;&gt;"",$B94&lt;&gt;""),COUNTIFS('Leads Pipeline'!$D$5:$D$1004,$A94,'Leads Pipeline'!$E$5:$E$1004,$B94,'Leads Pipeline'!$P$5:$P$1004,"Hot",'Leads Pipeline'!$O$5:$O$1004,"&lt;&gt;Won",'Leads Pipeline'!$O$5:$O$1004,"&lt;&gt;Lost"),"")</f>
        <v/>
      </c>
      <c r="F94" s="43" t="str">
        <f aca="false">IF(AND($A94&lt;&gt;"",$B94&lt;&gt;""),COUNTIFS('Leads Pipeline'!$D$5:$D$1004,$A94,'Leads Pipeline'!$E$5:$E$1004,$B94,'Leads Pipeline'!$O$5:$O$1004,"Won"),"")</f>
        <v/>
      </c>
      <c r="G94" s="44" t="str">
        <f aca="false">IF(AND($A94&lt;&gt;"",$B94&lt;&gt;""),SUMIFS('Leads Pipeline'!$U$5:$U$1004,'Leads Pipeline'!$D$5:$D$1004,$A94,'Leads Pipeline'!$E$5:$E$1004,$B94,'Leads Pipeline'!$O$5:$O$1004,"&lt;&gt;Won",'Leads Pipeline'!$O$5:$O$1004,"&lt;&gt;Lost"),"")</f>
        <v/>
      </c>
      <c r="H94" s="43" t="str">
        <f aca="false">IF(AND($A94&lt;&gt;"",$B94&lt;&gt;""),COUNTIFS('Active Clients'!$B$5:$B$504,$A94,'Active Clients'!$C$5:$C$504,$B94,'Active Clients'!$T$5:$T$504,"Active"),"")</f>
        <v/>
      </c>
      <c r="I94" s="44" t="str">
        <f aca="false">IF(AND($A94&lt;&gt;"",$B94&lt;&gt;""),SUMIFS('Active Clients'!$R$5:$R$504,'Active Clients'!$B$5:$B$504,$A94,'Active Clients'!$C$5:$C$504,$B94),"")</f>
        <v/>
      </c>
      <c r="J94" s="43" t="str">
        <f aca="true">IF(AND($A94&lt;&gt;"",$B94&lt;&gt;""),COUNTIFS('Activity Log'!$E$5:$E$3004,$A94,'Activity Log'!$F$5:$F$3004,$B94,'Activity Log'!$A$5:$A$3004,"&gt;="&amp;(TODAY()-29),'Activity Log'!$A$5:$A$3004,"&lt;="&amp;TODAY()),"")</f>
        <v/>
      </c>
    </row>
    <row r="95" customFormat="false" ht="15" hidden="false" customHeight="false" outlineLevel="0" collapsed="false">
      <c r="A95" s="42"/>
      <c r="B95" s="42"/>
      <c r="C95" s="43" t="str">
        <f aca="false">IF(AND($A95&lt;&gt;"",$B95&lt;&gt;""),COUNTIFS('Leads Pipeline'!$D$5:$D$1004,$A95,'Leads Pipeline'!$E$5:$E$1004,$B95,'Leads Pipeline'!$F$5:$F$1004,"&lt;&gt;"),"")</f>
        <v/>
      </c>
      <c r="D95" s="43" t="str">
        <f aca="false">IF(AND($A95&lt;&gt;"",$B95&lt;&gt;""),COUNTIFS('Leads Pipeline'!$D$5:$D$1004,$A95,'Leads Pipeline'!$E$5:$E$1004,$B95,'Leads Pipeline'!$F$5:$F$1004,"&lt;&gt;",'Leads Pipeline'!$O$5:$O$1004,"&lt;&gt;Won",'Leads Pipeline'!$O$5:$O$1004,"&lt;&gt;Lost"),"")</f>
        <v/>
      </c>
      <c r="E95" s="43" t="str">
        <f aca="false">IF(AND($A95&lt;&gt;"",$B95&lt;&gt;""),COUNTIFS('Leads Pipeline'!$D$5:$D$1004,$A95,'Leads Pipeline'!$E$5:$E$1004,$B95,'Leads Pipeline'!$P$5:$P$1004,"Hot",'Leads Pipeline'!$O$5:$O$1004,"&lt;&gt;Won",'Leads Pipeline'!$O$5:$O$1004,"&lt;&gt;Lost"),"")</f>
        <v/>
      </c>
      <c r="F95" s="43" t="str">
        <f aca="false">IF(AND($A95&lt;&gt;"",$B95&lt;&gt;""),COUNTIFS('Leads Pipeline'!$D$5:$D$1004,$A95,'Leads Pipeline'!$E$5:$E$1004,$B95,'Leads Pipeline'!$O$5:$O$1004,"Won"),"")</f>
        <v/>
      </c>
      <c r="G95" s="44" t="str">
        <f aca="false">IF(AND($A95&lt;&gt;"",$B95&lt;&gt;""),SUMIFS('Leads Pipeline'!$U$5:$U$1004,'Leads Pipeline'!$D$5:$D$1004,$A95,'Leads Pipeline'!$E$5:$E$1004,$B95,'Leads Pipeline'!$O$5:$O$1004,"&lt;&gt;Won",'Leads Pipeline'!$O$5:$O$1004,"&lt;&gt;Lost"),"")</f>
        <v/>
      </c>
      <c r="H95" s="43" t="str">
        <f aca="false">IF(AND($A95&lt;&gt;"",$B95&lt;&gt;""),COUNTIFS('Active Clients'!$B$5:$B$504,$A95,'Active Clients'!$C$5:$C$504,$B95,'Active Clients'!$T$5:$T$504,"Active"),"")</f>
        <v/>
      </c>
      <c r="I95" s="44" t="str">
        <f aca="false">IF(AND($A95&lt;&gt;"",$B95&lt;&gt;""),SUMIFS('Active Clients'!$R$5:$R$504,'Active Clients'!$B$5:$B$504,$A95,'Active Clients'!$C$5:$C$504,$B95),"")</f>
        <v/>
      </c>
      <c r="J95" s="43" t="str">
        <f aca="true">IF(AND($A95&lt;&gt;"",$B95&lt;&gt;""),COUNTIFS('Activity Log'!$E$5:$E$3004,$A95,'Activity Log'!$F$5:$F$3004,$B95,'Activity Log'!$A$5:$A$3004,"&gt;="&amp;(TODAY()-29),'Activity Log'!$A$5:$A$3004,"&lt;="&amp;TODAY()),"")</f>
        <v/>
      </c>
    </row>
    <row r="96" customFormat="false" ht="15" hidden="false" customHeight="false" outlineLevel="0" collapsed="false">
      <c r="A96" s="42"/>
      <c r="B96" s="42"/>
      <c r="C96" s="43" t="str">
        <f aca="false">IF(AND($A96&lt;&gt;"",$B96&lt;&gt;""),COUNTIFS('Leads Pipeline'!$D$5:$D$1004,$A96,'Leads Pipeline'!$E$5:$E$1004,$B96,'Leads Pipeline'!$F$5:$F$1004,"&lt;&gt;"),"")</f>
        <v/>
      </c>
      <c r="D96" s="43" t="str">
        <f aca="false">IF(AND($A96&lt;&gt;"",$B96&lt;&gt;""),COUNTIFS('Leads Pipeline'!$D$5:$D$1004,$A96,'Leads Pipeline'!$E$5:$E$1004,$B96,'Leads Pipeline'!$F$5:$F$1004,"&lt;&gt;",'Leads Pipeline'!$O$5:$O$1004,"&lt;&gt;Won",'Leads Pipeline'!$O$5:$O$1004,"&lt;&gt;Lost"),"")</f>
        <v/>
      </c>
      <c r="E96" s="43" t="str">
        <f aca="false">IF(AND($A96&lt;&gt;"",$B96&lt;&gt;""),COUNTIFS('Leads Pipeline'!$D$5:$D$1004,$A96,'Leads Pipeline'!$E$5:$E$1004,$B96,'Leads Pipeline'!$P$5:$P$1004,"Hot",'Leads Pipeline'!$O$5:$O$1004,"&lt;&gt;Won",'Leads Pipeline'!$O$5:$O$1004,"&lt;&gt;Lost"),"")</f>
        <v/>
      </c>
      <c r="F96" s="43" t="str">
        <f aca="false">IF(AND($A96&lt;&gt;"",$B96&lt;&gt;""),COUNTIFS('Leads Pipeline'!$D$5:$D$1004,$A96,'Leads Pipeline'!$E$5:$E$1004,$B96,'Leads Pipeline'!$O$5:$O$1004,"Won"),"")</f>
        <v/>
      </c>
      <c r="G96" s="44" t="str">
        <f aca="false">IF(AND($A96&lt;&gt;"",$B96&lt;&gt;""),SUMIFS('Leads Pipeline'!$U$5:$U$1004,'Leads Pipeline'!$D$5:$D$1004,$A96,'Leads Pipeline'!$E$5:$E$1004,$B96,'Leads Pipeline'!$O$5:$O$1004,"&lt;&gt;Won",'Leads Pipeline'!$O$5:$O$1004,"&lt;&gt;Lost"),"")</f>
        <v/>
      </c>
      <c r="H96" s="43" t="str">
        <f aca="false">IF(AND($A96&lt;&gt;"",$B96&lt;&gt;""),COUNTIFS('Active Clients'!$B$5:$B$504,$A96,'Active Clients'!$C$5:$C$504,$B96,'Active Clients'!$T$5:$T$504,"Active"),"")</f>
        <v/>
      </c>
      <c r="I96" s="44" t="str">
        <f aca="false">IF(AND($A96&lt;&gt;"",$B96&lt;&gt;""),SUMIFS('Active Clients'!$R$5:$R$504,'Active Clients'!$B$5:$B$504,$A96,'Active Clients'!$C$5:$C$504,$B96),"")</f>
        <v/>
      </c>
      <c r="J96" s="43" t="str">
        <f aca="true">IF(AND($A96&lt;&gt;"",$B96&lt;&gt;""),COUNTIFS('Activity Log'!$E$5:$E$3004,$A96,'Activity Log'!$F$5:$F$3004,$B96,'Activity Log'!$A$5:$A$3004,"&gt;="&amp;(TODAY()-29),'Activity Log'!$A$5:$A$3004,"&lt;="&amp;TODAY()),"")</f>
        <v/>
      </c>
    </row>
    <row r="97" customFormat="false" ht="15" hidden="false" customHeight="false" outlineLevel="0" collapsed="false">
      <c r="A97" s="42"/>
      <c r="B97" s="42"/>
      <c r="C97" s="43" t="str">
        <f aca="false">IF(AND($A97&lt;&gt;"",$B97&lt;&gt;""),COUNTIFS('Leads Pipeline'!$D$5:$D$1004,$A97,'Leads Pipeline'!$E$5:$E$1004,$B97,'Leads Pipeline'!$F$5:$F$1004,"&lt;&gt;"),"")</f>
        <v/>
      </c>
      <c r="D97" s="43" t="str">
        <f aca="false">IF(AND($A97&lt;&gt;"",$B97&lt;&gt;""),COUNTIFS('Leads Pipeline'!$D$5:$D$1004,$A97,'Leads Pipeline'!$E$5:$E$1004,$B97,'Leads Pipeline'!$F$5:$F$1004,"&lt;&gt;",'Leads Pipeline'!$O$5:$O$1004,"&lt;&gt;Won",'Leads Pipeline'!$O$5:$O$1004,"&lt;&gt;Lost"),"")</f>
        <v/>
      </c>
      <c r="E97" s="43" t="str">
        <f aca="false">IF(AND($A97&lt;&gt;"",$B97&lt;&gt;""),COUNTIFS('Leads Pipeline'!$D$5:$D$1004,$A97,'Leads Pipeline'!$E$5:$E$1004,$B97,'Leads Pipeline'!$P$5:$P$1004,"Hot",'Leads Pipeline'!$O$5:$O$1004,"&lt;&gt;Won",'Leads Pipeline'!$O$5:$O$1004,"&lt;&gt;Lost"),"")</f>
        <v/>
      </c>
      <c r="F97" s="43" t="str">
        <f aca="false">IF(AND($A97&lt;&gt;"",$B97&lt;&gt;""),COUNTIFS('Leads Pipeline'!$D$5:$D$1004,$A97,'Leads Pipeline'!$E$5:$E$1004,$B97,'Leads Pipeline'!$O$5:$O$1004,"Won"),"")</f>
        <v/>
      </c>
      <c r="G97" s="44" t="str">
        <f aca="false">IF(AND($A97&lt;&gt;"",$B97&lt;&gt;""),SUMIFS('Leads Pipeline'!$U$5:$U$1004,'Leads Pipeline'!$D$5:$D$1004,$A97,'Leads Pipeline'!$E$5:$E$1004,$B97,'Leads Pipeline'!$O$5:$O$1004,"&lt;&gt;Won",'Leads Pipeline'!$O$5:$O$1004,"&lt;&gt;Lost"),"")</f>
        <v/>
      </c>
      <c r="H97" s="43" t="str">
        <f aca="false">IF(AND($A97&lt;&gt;"",$B97&lt;&gt;""),COUNTIFS('Active Clients'!$B$5:$B$504,$A97,'Active Clients'!$C$5:$C$504,$B97,'Active Clients'!$T$5:$T$504,"Active"),"")</f>
        <v/>
      </c>
      <c r="I97" s="44" t="str">
        <f aca="false">IF(AND($A97&lt;&gt;"",$B97&lt;&gt;""),SUMIFS('Active Clients'!$R$5:$R$504,'Active Clients'!$B$5:$B$504,$A97,'Active Clients'!$C$5:$C$504,$B97),"")</f>
        <v/>
      </c>
      <c r="J97" s="43" t="str">
        <f aca="true">IF(AND($A97&lt;&gt;"",$B97&lt;&gt;""),COUNTIFS('Activity Log'!$E$5:$E$3004,$A97,'Activity Log'!$F$5:$F$3004,$B97,'Activity Log'!$A$5:$A$3004,"&gt;="&amp;(TODAY()-29),'Activity Log'!$A$5:$A$3004,"&lt;="&amp;TODAY()),"")</f>
        <v/>
      </c>
    </row>
    <row r="98" customFormat="false" ht="15" hidden="false" customHeight="false" outlineLevel="0" collapsed="false">
      <c r="A98" s="42"/>
      <c r="B98" s="42"/>
      <c r="C98" s="43" t="str">
        <f aca="false">IF(AND($A98&lt;&gt;"",$B98&lt;&gt;""),COUNTIFS('Leads Pipeline'!$D$5:$D$1004,$A98,'Leads Pipeline'!$E$5:$E$1004,$B98,'Leads Pipeline'!$F$5:$F$1004,"&lt;&gt;"),"")</f>
        <v/>
      </c>
      <c r="D98" s="43" t="str">
        <f aca="false">IF(AND($A98&lt;&gt;"",$B98&lt;&gt;""),COUNTIFS('Leads Pipeline'!$D$5:$D$1004,$A98,'Leads Pipeline'!$E$5:$E$1004,$B98,'Leads Pipeline'!$F$5:$F$1004,"&lt;&gt;",'Leads Pipeline'!$O$5:$O$1004,"&lt;&gt;Won",'Leads Pipeline'!$O$5:$O$1004,"&lt;&gt;Lost"),"")</f>
        <v/>
      </c>
      <c r="E98" s="43" t="str">
        <f aca="false">IF(AND($A98&lt;&gt;"",$B98&lt;&gt;""),COUNTIFS('Leads Pipeline'!$D$5:$D$1004,$A98,'Leads Pipeline'!$E$5:$E$1004,$B98,'Leads Pipeline'!$P$5:$P$1004,"Hot",'Leads Pipeline'!$O$5:$O$1004,"&lt;&gt;Won",'Leads Pipeline'!$O$5:$O$1004,"&lt;&gt;Lost"),"")</f>
        <v/>
      </c>
      <c r="F98" s="43" t="str">
        <f aca="false">IF(AND($A98&lt;&gt;"",$B98&lt;&gt;""),COUNTIFS('Leads Pipeline'!$D$5:$D$1004,$A98,'Leads Pipeline'!$E$5:$E$1004,$B98,'Leads Pipeline'!$O$5:$O$1004,"Won"),"")</f>
        <v/>
      </c>
      <c r="G98" s="44" t="str">
        <f aca="false">IF(AND($A98&lt;&gt;"",$B98&lt;&gt;""),SUMIFS('Leads Pipeline'!$U$5:$U$1004,'Leads Pipeline'!$D$5:$D$1004,$A98,'Leads Pipeline'!$E$5:$E$1004,$B98,'Leads Pipeline'!$O$5:$O$1004,"&lt;&gt;Won",'Leads Pipeline'!$O$5:$O$1004,"&lt;&gt;Lost"),"")</f>
        <v/>
      </c>
      <c r="H98" s="43" t="str">
        <f aca="false">IF(AND($A98&lt;&gt;"",$B98&lt;&gt;""),COUNTIFS('Active Clients'!$B$5:$B$504,$A98,'Active Clients'!$C$5:$C$504,$B98,'Active Clients'!$T$5:$T$504,"Active"),"")</f>
        <v/>
      </c>
      <c r="I98" s="44" t="str">
        <f aca="false">IF(AND($A98&lt;&gt;"",$B98&lt;&gt;""),SUMIFS('Active Clients'!$R$5:$R$504,'Active Clients'!$B$5:$B$504,$A98,'Active Clients'!$C$5:$C$504,$B98),"")</f>
        <v/>
      </c>
      <c r="J98" s="43" t="str">
        <f aca="true">IF(AND($A98&lt;&gt;"",$B98&lt;&gt;""),COUNTIFS('Activity Log'!$E$5:$E$3004,$A98,'Activity Log'!$F$5:$F$3004,$B98,'Activity Log'!$A$5:$A$3004,"&gt;="&amp;(TODAY()-29),'Activity Log'!$A$5:$A$3004,"&lt;="&amp;TODAY()),"")</f>
        <v/>
      </c>
    </row>
    <row r="99" customFormat="false" ht="15" hidden="false" customHeight="false" outlineLevel="0" collapsed="false">
      <c r="A99" s="42"/>
      <c r="B99" s="42"/>
      <c r="C99" s="43" t="str">
        <f aca="false">IF(AND($A99&lt;&gt;"",$B99&lt;&gt;""),COUNTIFS('Leads Pipeline'!$D$5:$D$1004,$A99,'Leads Pipeline'!$E$5:$E$1004,$B99,'Leads Pipeline'!$F$5:$F$1004,"&lt;&gt;"),"")</f>
        <v/>
      </c>
      <c r="D99" s="43" t="str">
        <f aca="false">IF(AND($A99&lt;&gt;"",$B99&lt;&gt;""),COUNTIFS('Leads Pipeline'!$D$5:$D$1004,$A99,'Leads Pipeline'!$E$5:$E$1004,$B99,'Leads Pipeline'!$F$5:$F$1004,"&lt;&gt;",'Leads Pipeline'!$O$5:$O$1004,"&lt;&gt;Won",'Leads Pipeline'!$O$5:$O$1004,"&lt;&gt;Lost"),"")</f>
        <v/>
      </c>
      <c r="E99" s="43" t="str">
        <f aca="false">IF(AND($A99&lt;&gt;"",$B99&lt;&gt;""),COUNTIFS('Leads Pipeline'!$D$5:$D$1004,$A99,'Leads Pipeline'!$E$5:$E$1004,$B99,'Leads Pipeline'!$P$5:$P$1004,"Hot",'Leads Pipeline'!$O$5:$O$1004,"&lt;&gt;Won",'Leads Pipeline'!$O$5:$O$1004,"&lt;&gt;Lost"),"")</f>
        <v/>
      </c>
      <c r="F99" s="43" t="str">
        <f aca="false">IF(AND($A99&lt;&gt;"",$B99&lt;&gt;""),COUNTIFS('Leads Pipeline'!$D$5:$D$1004,$A99,'Leads Pipeline'!$E$5:$E$1004,$B99,'Leads Pipeline'!$O$5:$O$1004,"Won"),"")</f>
        <v/>
      </c>
      <c r="G99" s="44" t="str">
        <f aca="false">IF(AND($A99&lt;&gt;"",$B99&lt;&gt;""),SUMIFS('Leads Pipeline'!$U$5:$U$1004,'Leads Pipeline'!$D$5:$D$1004,$A99,'Leads Pipeline'!$E$5:$E$1004,$B99,'Leads Pipeline'!$O$5:$O$1004,"&lt;&gt;Won",'Leads Pipeline'!$O$5:$O$1004,"&lt;&gt;Lost"),"")</f>
        <v/>
      </c>
      <c r="H99" s="43" t="str">
        <f aca="false">IF(AND($A99&lt;&gt;"",$B99&lt;&gt;""),COUNTIFS('Active Clients'!$B$5:$B$504,$A99,'Active Clients'!$C$5:$C$504,$B99,'Active Clients'!$T$5:$T$504,"Active"),"")</f>
        <v/>
      </c>
      <c r="I99" s="44" t="str">
        <f aca="false">IF(AND($A99&lt;&gt;"",$B99&lt;&gt;""),SUMIFS('Active Clients'!$R$5:$R$504,'Active Clients'!$B$5:$B$504,$A99,'Active Clients'!$C$5:$C$504,$B99),"")</f>
        <v/>
      </c>
      <c r="J99" s="43" t="str">
        <f aca="true">IF(AND($A99&lt;&gt;"",$B99&lt;&gt;""),COUNTIFS('Activity Log'!$E$5:$E$3004,$A99,'Activity Log'!$F$5:$F$3004,$B99,'Activity Log'!$A$5:$A$3004,"&gt;="&amp;(TODAY()-29),'Activity Log'!$A$5:$A$3004,"&lt;="&amp;TODAY()),"")</f>
        <v/>
      </c>
    </row>
    <row r="100" customFormat="false" ht="15" hidden="false" customHeight="false" outlineLevel="0" collapsed="false">
      <c r="A100" s="42"/>
      <c r="B100" s="42"/>
      <c r="C100" s="43" t="str">
        <f aca="false">IF(AND($A100&lt;&gt;"",$B100&lt;&gt;""),COUNTIFS('Leads Pipeline'!$D$5:$D$1004,$A100,'Leads Pipeline'!$E$5:$E$1004,$B100,'Leads Pipeline'!$F$5:$F$1004,"&lt;&gt;"),"")</f>
        <v/>
      </c>
      <c r="D100" s="43" t="str">
        <f aca="false">IF(AND($A100&lt;&gt;"",$B100&lt;&gt;""),COUNTIFS('Leads Pipeline'!$D$5:$D$1004,$A100,'Leads Pipeline'!$E$5:$E$1004,$B100,'Leads Pipeline'!$F$5:$F$1004,"&lt;&gt;",'Leads Pipeline'!$O$5:$O$1004,"&lt;&gt;Won",'Leads Pipeline'!$O$5:$O$1004,"&lt;&gt;Lost"),"")</f>
        <v/>
      </c>
      <c r="E100" s="43" t="str">
        <f aca="false">IF(AND($A100&lt;&gt;"",$B100&lt;&gt;""),COUNTIFS('Leads Pipeline'!$D$5:$D$1004,$A100,'Leads Pipeline'!$E$5:$E$1004,$B100,'Leads Pipeline'!$P$5:$P$1004,"Hot",'Leads Pipeline'!$O$5:$O$1004,"&lt;&gt;Won",'Leads Pipeline'!$O$5:$O$1004,"&lt;&gt;Lost"),"")</f>
        <v/>
      </c>
      <c r="F100" s="43" t="str">
        <f aca="false">IF(AND($A100&lt;&gt;"",$B100&lt;&gt;""),COUNTIFS('Leads Pipeline'!$D$5:$D$1004,$A100,'Leads Pipeline'!$E$5:$E$1004,$B100,'Leads Pipeline'!$O$5:$O$1004,"Won"),"")</f>
        <v/>
      </c>
      <c r="G100" s="44" t="str">
        <f aca="false">IF(AND($A100&lt;&gt;"",$B100&lt;&gt;""),SUMIFS('Leads Pipeline'!$U$5:$U$1004,'Leads Pipeline'!$D$5:$D$1004,$A100,'Leads Pipeline'!$E$5:$E$1004,$B100,'Leads Pipeline'!$O$5:$O$1004,"&lt;&gt;Won",'Leads Pipeline'!$O$5:$O$1004,"&lt;&gt;Lost"),"")</f>
        <v/>
      </c>
      <c r="H100" s="43" t="str">
        <f aca="false">IF(AND($A100&lt;&gt;"",$B100&lt;&gt;""),COUNTIFS('Active Clients'!$B$5:$B$504,$A100,'Active Clients'!$C$5:$C$504,$B100,'Active Clients'!$T$5:$T$504,"Active"),"")</f>
        <v/>
      </c>
      <c r="I100" s="44" t="str">
        <f aca="false">IF(AND($A100&lt;&gt;"",$B100&lt;&gt;""),SUMIFS('Active Clients'!$R$5:$R$504,'Active Clients'!$B$5:$B$504,$A100,'Active Clients'!$C$5:$C$504,$B100),"")</f>
        <v/>
      </c>
      <c r="J100" s="43" t="str">
        <f aca="true">IF(AND($A100&lt;&gt;"",$B100&lt;&gt;""),COUNTIFS('Activity Log'!$E$5:$E$3004,$A100,'Activity Log'!$F$5:$F$3004,$B100,'Activity Log'!$A$5:$A$3004,"&gt;="&amp;(TODAY()-29),'Activity Log'!$A$5:$A$3004,"&lt;="&amp;TODAY()),"")</f>
        <v/>
      </c>
    </row>
    <row r="101" customFormat="false" ht="15" hidden="false" customHeight="false" outlineLevel="0" collapsed="false">
      <c r="A101" s="42"/>
      <c r="B101" s="42"/>
      <c r="C101" s="43" t="str">
        <f aca="false">IF(AND($A101&lt;&gt;"",$B101&lt;&gt;""),COUNTIFS('Leads Pipeline'!$D$5:$D$1004,$A101,'Leads Pipeline'!$E$5:$E$1004,$B101,'Leads Pipeline'!$F$5:$F$1004,"&lt;&gt;"),"")</f>
        <v/>
      </c>
      <c r="D101" s="43" t="str">
        <f aca="false">IF(AND($A101&lt;&gt;"",$B101&lt;&gt;""),COUNTIFS('Leads Pipeline'!$D$5:$D$1004,$A101,'Leads Pipeline'!$E$5:$E$1004,$B101,'Leads Pipeline'!$F$5:$F$1004,"&lt;&gt;",'Leads Pipeline'!$O$5:$O$1004,"&lt;&gt;Won",'Leads Pipeline'!$O$5:$O$1004,"&lt;&gt;Lost"),"")</f>
        <v/>
      </c>
      <c r="E101" s="43" t="str">
        <f aca="false">IF(AND($A101&lt;&gt;"",$B101&lt;&gt;""),COUNTIFS('Leads Pipeline'!$D$5:$D$1004,$A101,'Leads Pipeline'!$E$5:$E$1004,$B101,'Leads Pipeline'!$P$5:$P$1004,"Hot",'Leads Pipeline'!$O$5:$O$1004,"&lt;&gt;Won",'Leads Pipeline'!$O$5:$O$1004,"&lt;&gt;Lost"),"")</f>
        <v/>
      </c>
      <c r="F101" s="43" t="str">
        <f aca="false">IF(AND($A101&lt;&gt;"",$B101&lt;&gt;""),COUNTIFS('Leads Pipeline'!$D$5:$D$1004,$A101,'Leads Pipeline'!$E$5:$E$1004,$B101,'Leads Pipeline'!$O$5:$O$1004,"Won"),"")</f>
        <v/>
      </c>
      <c r="G101" s="44" t="str">
        <f aca="false">IF(AND($A101&lt;&gt;"",$B101&lt;&gt;""),SUMIFS('Leads Pipeline'!$U$5:$U$1004,'Leads Pipeline'!$D$5:$D$1004,$A101,'Leads Pipeline'!$E$5:$E$1004,$B101,'Leads Pipeline'!$O$5:$O$1004,"&lt;&gt;Won",'Leads Pipeline'!$O$5:$O$1004,"&lt;&gt;Lost"),"")</f>
        <v/>
      </c>
      <c r="H101" s="43" t="str">
        <f aca="false">IF(AND($A101&lt;&gt;"",$B101&lt;&gt;""),COUNTIFS('Active Clients'!$B$5:$B$504,$A101,'Active Clients'!$C$5:$C$504,$B101,'Active Clients'!$T$5:$T$504,"Active"),"")</f>
        <v/>
      </c>
      <c r="I101" s="44" t="str">
        <f aca="false">IF(AND($A101&lt;&gt;"",$B101&lt;&gt;""),SUMIFS('Active Clients'!$R$5:$R$504,'Active Clients'!$B$5:$B$504,$A101,'Active Clients'!$C$5:$C$504,$B101),"")</f>
        <v/>
      </c>
      <c r="J101" s="43" t="str">
        <f aca="true">IF(AND($A101&lt;&gt;"",$B101&lt;&gt;""),COUNTIFS('Activity Log'!$E$5:$E$3004,$A101,'Activity Log'!$F$5:$F$3004,$B101,'Activity Log'!$A$5:$A$3004,"&gt;="&amp;(TODAY()-29),'Activity Log'!$A$5:$A$3004,"&lt;="&amp;TODAY()),"")</f>
        <v/>
      </c>
    </row>
    <row r="102" customFormat="false" ht="15" hidden="false" customHeight="false" outlineLevel="0" collapsed="false">
      <c r="A102" s="42"/>
      <c r="B102" s="42"/>
      <c r="C102" s="43" t="str">
        <f aca="false">IF(AND($A102&lt;&gt;"",$B102&lt;&gt;""),COUNTIFS('Leads Pipeline'!$D$5:$D$1004,$A102,'Leads Pipeline'!$E$5:$E$1004,$B102,'Leads Pipeline'!$F$5:$F$1004,"&lt;&gt;"),"")</f>
        <v/>
      </c>
      <c r="D102" s="43" t="str">
        <f aca="false">IF(AND($A102&lt;&gt;"",$B102&lt;&gt;""),COUNTIFS('Leads Pipeline'!$D$5:$D$1004,$A102,'Leads Pipeline'!$E$5:$E$1004,$B102,'Leads Pipeline'!$F$5:$F$1004,"&lt;&gt;",'Leads Pipeline'!$O$5:$O$1004,"&lt;&gt;Won",'Leads Pipeline'!$O$5:$O$1004,"&lt;&gt;Lost"),"")</f>
        <v/>
      </c>
      <c r="E102" s="43" t="str">
        <f aca="false">IF(AND($A102&lt;&gt;"",$B102&lt;&gt;""),COUNTIFS('Leads Pipeline'!$D$5:$D$1004,$A102,'Leads Pipeline'!$E$5:$E$1004,$B102,'Leads Pipeline'!$P$5:$P$1004,"Hot",'Leads Pipeline'!$O$5:$O$1004,"&lt;&gt;Won",'Leads Pipeline'!$O$5:$O$1004,"&lt;&gt;Lost"),"")</f>
        <v/>
      </c>
      <c r="F102" s="43" t="str">
        <f aca="false">IF(AND($A102&lt;&gt;"",$B102&lt;&gt;""),COUNTIFS('Leads Pipeline'!$D$5:$D$1004,$A102,'Leads Pipeline'!$E$5:$E$1004,$B102,'Leads Pipeline'!$O$5:$O$1004,"Won"),"")</f>
        <v/>
      </c>
      <c r="G102" s="44" t="str">
        <f aca="false">IF(AND($A102&lt;&gt;"",$B102&lt;&gt;""),SUMIFS('Leads Pipeline'!$U$5:$U$1004,'Leads Pipeline'!$D$5:$D$1004,$A102,'Leads Pipeline'!$E$5:$E$1004,$B102,'Leads Pipeline'!$O$5:$O$1004,"&lt;&gt;Won",'Leads Pipeline'!$O$5:$O$1004,"&lt;&gt;Lost"),"")</f>
        <v/>
      </c>
      <c r="H102" s="43" t="str">
        <f aca="false">IF(AND($A102&lt;&gt;"",$B102&lt;&gt;""),COUNTIFS('Active Clients'!$B$5:$B$504,$A102,'Active Clients'!$C$5:$C$504,$B102,'Active Clients'!$T$5:$T$504,"Active"),"")</f>
        <v/>
      </c>
      <c r="I102" s="44" t="str">
        <f aca="false">IF(AND($A102&lt;&gt;"",$B102&lt;&gt;""),SUMIFS('Active Clients'!$R$5:$R$504,'Active Clients'!$B$5:$B$504,$A102,'Active Clients'!$C$5:$C$504,$B102),"")</f>
        <v/>
      </c>
      <c r="J102" s="43" t="str">
        <f aca="true">IF(AND($A102&lt;&gt;"",$B102&lt;&gt;""),COUNTIFS('Activity Log'!$E$5:$E$3004,$A102,'Activity Log'!$F$5:$F$3004,$B102,'Activity Log'!$A$5:$A$3004,"&gt;="&amp;(TODAY()-29),'Activity Log'!$A$5:$A$3004,"&lt;="&amp;TODAY()),"")</f>
        <v/>
      </c>
    </row>
    <row r="103" customFormat="false" ht="15" hidden="false" customHeight="false" outlineLevel="0" collapsed="false">
      <c r="A103" s="42"/>
      <c r="B103" s="42"/>
      <c r="C103" s="43" t="str">
        <f aca="false">IF(AND($A103&lt;&gt;"",$B103&lt;&gt;""),COUNTIFS('Leads Pipeline'!$D$5:$D$1004,$A103,'Leads Pipeline'!$E$5:$E$1004,$B103,'Leads Pipeline'!$F$5:$F$1004,"&lt;&gt;"),"")</f>
        <v/>
      </c>
      <c r="D103" s="43" t="str">
        <f aca="false">IF(AND($A103&lt;&gt;"",$B103&lt;&gt;""),COUNTIFS('Leads Pipeline'!$D$5:$D$1004,$A103,'Leads Pipeline'!$E$5:$E$1004,$B103,'Leads Pipeline'!$F$5:$F$1004,"&lt;&gt;",'Leads Pipeline'!$O$5:$O$1004,"&lt;&gt;Won",'Leads Pipeline'!$O$5:$O$1004,"&lt;&gt;Lost"),"")</f>
        <v/>
      </c>
      <c r="E103" s="43" t="str">
        <f aca="false">IF(AND($A103&lt;&gt;"",$B103&lt;&gt;""),COUNTIFS('Leads Pipeline'!$D$5:$D$1004,$A103,'Leads Pipeline'!$E$5:$E$1004,$B103,'Leads Pipeline'!$P$5:$P$1004,"Hot",'Leads Pipeline'!$O$5:$O$1004,"&lt;&gt;Won",'Leads Pipeline'!$O$5:$O$1004,"&lt;&gt;Lost"),"")</f>
        <v/>
      </c>
      <c r="F103" s="43" t="str">
        <f aca="false">IF(AND($A103&lt;&gt;"",$B103&lt;&gt;""),COUNTIFS('Leads Pipeline'!$D$5:$D$1004,$A103,'Leads Pipeline'!$E$5:$E$1004,$B103,'Leads Pipeline'!$O$5:$O$1004,"Won"),"")</f>
        <v/>
      </c>
      <c r="G103" s="44" t="str">
        <f aca="false">IF(AND($A103&lt;&gt;"",$B103&lt;&gt;""),SUMIFS('Leads Pipeline'!$U$5:$U$1004,'Leads Pipeline'!$D$5:$D$1004,$A103,'Leads Pipeline'!$E$5:$E$1004,$B103,'Leads Pipeline'!$O$5:$O$1004,"&lt;&gt;Won",'Leads Pipeline'!$O$5:$O$1004,"&lt;&gt;Lost"),"")</f>
        <v/>
      </c>
      <c r="H103" s="43" t="str">
        <f aca="false">IF(AND($A103&lt;&gt;"",$B103&lt;&gt;""),COUNTIFS('Active Clients'!$B$5:$B$504,$A103,'Active Clients'!$C$5:$C$504,$B103,'Active Clients'!$T$5:$T$504,"Active"),"")</f>
        <v/>
      </c>
      <c r="I103" s="44" t="str">
        <f aca="false">IF(AND($A103&lt;&gt;"",$B103&lt;&gt;""),SUMIFS('Active Clients'!$R$5:$R$504,'Active Clients'!$B$5:$B$504,$A103,'Active Clients'!$C$5:$C$504,$B103),"")</f>
        <v/>
      </c>
      <c r="J103" s="43" t="str">
        <f aca="true">IF(AND($A103&lt;&gt;"",$B103&lt;&gt;""),COUNTIFS('Activity Log'!$E$5:$E$3004,$A103,'Activity Log'!$F$5:$F$3004,$B103,'Activity Log'!$A$5:$A$3004,"&gt;="&amp;(TODAY()-29),'Activity Log'!$A$5:$A$3004,"&lt;="&amp;TODAY()),"")</f>
        <v/>
      </c>
    </row>
    <row r="104" customFormat="false" ht="15" hidden="false" customHeight="false" outlineLevel="0" collapsed="false">
      <c r="A104" s="42"/>
      <c r="B104" s="42"/>
      <c r="C104" s="43" t="str">
        <f aca="false">IF(AND($A104&lt;&gt;"",$B104&lt;&gt;""),COUNTIFS('Leads Pipeline'!$D$5:$D$1004,$A104,'Leads Pipeline'!$E$5:$E$1004,$B104,'Leads Pipeline'!$F$5:$F$1004,"&lt;&gt;"),"")</f>
        <v/>
      </c>
      <c r="D104" s="43" t="str">
        <f aca="false">IF(AND($A104&lt;&gt;"",$B104&lt;&gt;""),COUNTIFS('Leads Pipeline'!$D$5:$D$1004,$A104,'Leads Pipeline'!$E$5:$E$1004,$B104,'Leads Pipeline'!$F$5:$F$1004,"&lt;&gt;",'Leads Pipeline'!$O$5:$O$1004,"&lt;&gt;Won",'Leads Pipeline'!$O$5:$O$1004,"&lt;&gt;Lost"),"")</f>
        <v/>
      </c>
      <c r="E104" s="43" t="str">
        <f aca="false">IF(AND($A104&lt;&gt;"",$B104&lt;&gt;""),COUNTIFS('Leads Pipeline'!$D$5:$D$1004,$A104,'Leads Pipeline'!$E$5:$E$1004,$B104,'Leads Pipeline'!$P$5:$P$1004,"Hot",'Leads Pipeline'!$O$5:$O$1004,"&lt;&gt;Won",'Leads Pipeline'!$O$5:$O$1004,"&lt;&gt;Lost"),"")</f>
        <v/>
      </c>
      <c r="F104" s="43" t="str">
        <f aca="false">IF(AND($A104&lt;&gt;"",$B104&lt;&gt;""),COUNTIFS('Leads Pipeline'!$D$5:$D$1004,$A104,'Leads Pipeline'!$E$5:$E$1004,$B104,'Leads Pipeline'!$O$5:$O$1004,"Won"),"")</f>
        <v/>
      </c>
      <c r="G104" s="44" t="str">
        <f aca="false">IF(AND($A104&lt;&gt;"",$B104&lt;&gt;""),SUMIFS('Leads Pipeline'!$U$5:$U$1004,'Leads Pipeline'!$D$5:$D$1004,$A104,'Leads Pipeline'!$E$5:$E$1004,$B104,'Leads Pipeline'!$O$5:$O$1004,"&lt;&gt;Won",'Leads Pipeline'!$O$5:$O$1004,"&lt;&gt;Lost"),"")</f>
        <v/>
      </c>
      <c r="H104" s="43" t="str">
        <f aca="false">IF(AND($A104&lt;&gt;"",$B104&lt;&gt;""),COUNTIFS('Active Clients'!$B$5:$B$504,$A104,'Active Clients'!$C$5:$C$504,$B104,'Active Clients'!$T$5:$T$504,"Active"),"")</f>
        <v/>
      </c>
      <c r="I104" s="44" t="str">
        <f aca="false">IF(AND($A104&lt;&gt;"",$B104&lt;&gt;""),SUMIFS('Active Clients'!$R$5:$R$504,'Active Clients'!$B$5:$B$504,$A104,'Active Clients'!$C$5:$C$504,$B104),"")</f>
        <v/>
      </c>
      <c r="J104" s="43" t="str">
        <f aca="true">IF(AND($A104&lt;&gt;"",$B104&lt;&gt;""),COUNTIFS('Activity Log'!$E$5:$E$3004,$A104,'Activity Log'!$F$5:$F$3004,$B104,'Activity Log'!$A$5:$A$3004,"&gt;="&amp;(TODAY()-29),'Activity Log'!$A$5:$A$3004,"&lt;="&amp;TODAY()),"")</f>
        <v/>
      </c>
    </row>
    <row r="105" customFormat="false" ht="15" hidden="false" customHeight="false" outlineLevel="0" collapsed="false">
      <c r="A105" s="42"/>
      <c r="B105" s="42"/>
      <c r="C105" s="43" t="str">
        <f aca="false">IF(AND($A105&lt;&gt;"",$B105&lt;&gt;""),COUNTIFS('Leads Pipeline'!$D$5:$D$1004,$A105,'Leads Pipeline'!$E$5:$E$1004,$B105,'Leads Pipeline'!$F$5:$F$1004,"&lt;&gt;"),"")</f>
        <v/>
      </c>
      <c r="D105" s="43" t="str">
        <f aca="false">IF(AND($A105&lt;&gt;"",$B105&lt;&gt;""),COUNTIFS('Leads Pipeline'!$D$5:$D$1004,$A105,'Leads Pipeline'!$E$5:$E$1004,$B105,'Leads Pipeline'!$F$5:$F$1004,"&lt;&gt;",'Leads Pipeline'!$O$5:$O$1004,"&lt;&gt;Won",'Leads Pipeline'!$O$5:$O$1004,"&lt;&gt;Lost"),"")</f>
        <v/>
      </c>
      <c r="E105" s="43" t="str">
        <f aca="false">IF(AND($A105&lt;&gt;"",$B105&lt;&gt;""),COUNTIFS('Leads Pipeline'!$D$5:$D$1004,$A105,'Leads Pipeline'!$E$5:$E$1004,$B105,'Leads Pipeline'!$P$5:$P$1004,"Hot",'Leads Pipeline'!$O$5:$O$1004,"&lt;&gt;Won",'Leads Pipeline'!$O$5:$O$1004,"&lt;&gt;Lost"),"")</f>
        <v/>
      </c>
      <c r="F105" s="43" t="str">
        <f aca="false">IF(AND($A105&lt;&gt;"",$B105&lt;&gt;""),COUNTIFS('Leads Pipeline'!$D$5:$D$1004,$A105,'Leads Pipeline'!$E$5:$E$1004,$B105,'Leads Pipeline'!$O$5:$O$1004,"Won"),"")</f>
        <v/>
      </c>
      <c r="G105" s="44" t="str">
        <f aca="false">IF(AND($A105&lt;&gt;"",$B105&lt;&gt;""),SUMIFS('Leads Pipeline'!$U$5:$U$1004,'Leads Pipeline'!$D$5:$D$1004,$A105,'Leads Pipeline'!$E$5:$E$1004,$B105,'Leads Pipeline'!$O$5:$O$1004,"&lt;&gt;Won",'Leads Pipeline'!$O$5:$O$1004,"&lt;&gt;Lost"),"")</f>
        <v/>
      </c>
      <c r="H105" s="43" t="str">
        <f aca="false">IF(AND($A105&lt;&gt;"",$B105&lt;&gt;""),COUNTIFS('Active Clients'!$B$5:$B$504,$A105,'Active Clients'!$C$5:$C$504,$B105,'Active Clients'!$T$5:$T$504,"Active"),"")</f>
        <v/>
      </c>
      <c r="I105" s="44" t="str">
        <f aca="false">IF(AND($A105&lt;&gt;"",$B105&lt;&gt;""),SUMIFS('Active Clients'!$R$5:$R$504,'Active Clients'!$B$5:$B$504,$A105,'Active Clients'!$C$5:$C$504,$B105),"")</f>
        <v/>
      </c>
      <c r="J105" s="43" t="str">
        <f aca="true">IF(AND($A105&lt;&gt;"",$B105&lt;&gt;""),COUNTIFS('Activity Log'!$E$5:$E$3004,$A105,'Activity Log'!$F$5:$F$3004,$B105,'Activity Log'!$A$5:$A$3004,"&gt;="&amp;(TODAY()-29),'Activity Log'!$A$5:$A$3004,"&lt;="&amp;TODAY()),"")</f>
        <v/>
      </c>
    </row>
    <row r="106" customFormat="false" ht="15" hidden="false" customHeight="false" outlineLevel="0" collapsed="false">
      <c r="A106" s="42"/>
      <c r="B106" s="42"/>
      <c r="C106" s="43" t="str">
        <f aca="false">IF(AND($A106&lt;&gt;"",$B106&lt;&gt;""),COUNTIFS('Leads Pipeline'!$D$5:$D$1004,$A106,'Leads Pipeline'!$E$5:$E$1004,$B106,'Leads Pipeline'!$F$5:$F$1004,"&lt;&gt;"),"")</f>
        <v/>
      </c>
      <c r="D106" s="43" t="str">
        <f aca="false">IF(AND($A106&lt;&gt;"",$B106&lt;&gt;""),COUNTIFS('Leads Pipeline'!$D$5:$D$1004,$A106,'Leads Pipeline'!$E$5:$E$1004,$B106,'Leads Pipeline'!$F$5:$F$1004,"&lt;&gt;",'Leads Pipeline'!$O$5:$O$1004,"&lt;&gt;Won",'Leads Pipeline'!$O$5:$O$1004,"&lt;&gt;Lost"),"")</f>
        <v/>
      </c>
      <c r="E106" s="43" t="str">
        <f aca="false">IF(AND($A106&lt;&gt;"",$B106&lt;&gt;""),COUNTIFS('Leads Pipeline'!$D$5:$D$1004,$A106,'Leads Pipeline'!$E$5:$E$1004,$B106,'Leads Pipeline'!$P$5:$P$1004,"Hot",'Leads Pipeline'!$O$5:$O$1004,"&lt;&gt;Won",'Leads Pipeline'!$O$5:$O$1004,"&lt;&gt;Lost"),"")</f>
        <v/>
      </c>
      <c r="F106" s="43" t="str">
        <f aca="false">IF(AND($A106&lt;&gt;"",$B106&lt;&gt;""),COUNTIFS('Leads Pipeline'!$D$5:$D$1004,$A106,'Leads Pipeline'!$E$5:$E$1004,$B106,'Leads Pipeline'!$O$5:$O$1004,"Won"),"")</f>
        <v/>
      </c>
      <c r="G106" s="44" t="str">
        <f aca="false">IF(AND($A106&lt;&gt;"",$B106&lt;&gt;""),SUMIFS('Leads Pipeline'!$U$5:$U$1004,'Leads Pipeline'!$D$5:$D$1004,$A106,'Leads Pipeline'!$E$5:$E$1004,$B106,'Leads Pipeline'!$O$5:$O$1004,"&lt;&gt;Won",'Leads Pipeline'!$O$5:$O$1004,"&lt;&gt;Lost"),"")</f>
        <v/>
      </c>
      <c r="H106" s="43" t="str">
        <f aca="false">IF(AND($A106&lt;&gt;"",$B106&lt;&gt;""),COUNTIFS('Active Clients'!$B$5:$B$504,$A106,'Active Clients'!$C$5:$C$504,$B106,'Active Clients'!$T$5:$T$504,"Active"),"")</f>
        <v/>
      </c>
      <c r="I106" s="44" t="str">
        <f aca="false">IF(AND($A106&lt;&gt;"",$B106&lt;&gt;""),SUMIFS('Active Clients'!$R$5:$R$504,'Active Clients'!$B$5:$B$504,$A106,'Active Clients'!$C$5:$C$504,$B106),"")</f>
        <v/>
      </c>
      <c r="J106" s="43" t="str">
        <f aca="true">IF(AND($A106&lt;&gt;"",$B106&lt;&gt;""),COUNTIFS('Activity Log'!$E$5:$E$3004,$A106,'Activity Log'!$F$5:$F$3004,$B106,'Activity Log'!$A$5:$A$3004,"&gt;="&amp;(TODAY()-29),'Activity Log'!$A$5:$A$3004,"&lt;="&amp;TODAY()),"")</f>
        <v/>
      </c>
    </row>
    <row r="107" customFormat="false" ht="15" hidden="false" customHeight="false" outlineLevel="0" collapsed="false">
      <c r="A107" s="42"/>
      <c r="B107" s="42"/>
      <c r="C107" s="43" t="str">
        <f aca="false">IF(AND($A107&lt;&gt;"",$B107&lt;&gt;""),COUNTIFS('Leads Pipeline'!$D$5:$D$1004,$A107,'Leads Pipeline'!$E$5:$E$1004,$B107,'Leads Pipeline'!$F$5:$F$1004,"&lt;&gt;"),"")</f>
        <v/>
      </c>
      <c r="D107" s="43" t="str">
        <f aca="false">IF(AND($A107&lt;&gt;"",$B107&lt;&gt;""),COUNTIFS('Leads Pipeline'!$D$5:$D$1004,$A107,'Leads Pipeline'!$E$5:$E$1004,$B107,'Leads Pipeline'!$F$5:$F$1004,"&lt;&gt;",'Leads Pipeline'!$O$5:$O$1004,"&lt;&gt;Won",'Leads Pipeline'!$O$5:$O$1004,"&lt;&gt;Lost"),"")</f>
        <v/>
      </c>
      <c r="E107" s="43" t="str">
        <f aca="false">IF(AND($A107&lt;&gt;"",$B107&lt;&gt;""),COUNTIFS('Leads Pipeline'!$D$5:$D$1004,$A107,'Leads Pipeline'!$E$5:$E$1004,$B107,'Leads Pipeline'!$P$5:$P$1004,"Hot",'Leads Pipeline'!$O$5:$O$1004,"&lt;&gt;Won",'Leads Pipeline'!$O$5:$O$1004,"&lt;&gt;Lost"),"")</f>
        <v/>
      </c>
      <c r="F107" s="43" t="str">
        <f aca="false">IF(AND($A107&lt;&gt;"",$B107&lt;&gt;""),COUNTIFS('Leads Pipeline'!$D$5:$D$1004,$A107,'Leads Pipeline'!$E$5:$E$1004,$B107,'Leads Pipeline'!$O$5:$O$1004,"Won"),"")</f>
        <v/>
      </c>
      <c r="G107" s="44" t="str">
        <f aca="false">IF(AND($A107&lt;&gt;"",$B107&lt;&gt;""),SUMIFS('Leads Pipeline'!$U$5:$U$1004,'Leads Pipeline'!$D$5:$D$1004,$A107,'Leads Pipeline'!$E$5:$E$1004,$B107,'Leads Pipeline'!$O$5:$O$1004,"&lt;&gt;Won",'Leads Pipeline'!$O$5:$O$1004,"&lt;&gt;Lost"),"")</f>
        <v/>
      </c>
      <c r="H107" s="43" t="str">
        <f aca="false">IF(AND($A107&lt;&gt;"",$B107&lt;&gt;""),COUNTIFS('Active Clients'!$B$5:$B$504,$A107,'Active Clients'!$C$5:$C$504,$B107,'Active Clients'!$T$5:$T$504,"Active"),"")</f>
        <v/>
      </c>
      <c r="I107" s="44" t="str">
        <f aca="false">IF(AND($A107&lt;&gt;"",$B107&lt;&gt;""),SUMIFS('Active Clients'!$R$5:$R$504,'Active Clients'!$B$5:$B$504,$A107,'Active Clients'!$C$5:$C$504,$B107),"")</f>
        <v/>
      </c>
      <c r="J107" s="43" t="str">
        <f aca="true">IF(AND($A107&lt;&gt;"",$B107&lt;&gt;""),COUNTIFS('Activity Log'!$E$5:$E$3004,$A107,'Activity Log'!$F$5:$F$3004,$B107,'Activity Log'!$A$5:$A$3004,"&gt;="&amp;(TODAY()-29),'Activity Log'!$A$5:$A$3004,"&lt;="&amp;TODAY()),"")</f>
        <v/>
      </c>
    </row>
    <row r="108" customFormat="false" ht="15" hidden="false" customHeight="false" outlineLevel="0" collapsed="false">
      <c r="A108" s="42"/>
      <c r="B108" s="42"/>
      <c r="C108" s="43" t="str">
        <f aca="false">IF(AND($A108&lt;&gt;"",$B108&lt;&gt;""),COUNTIFS('Leads Pipeline'!$D$5:$D$1004,$A108,'Leads Pipeline'!$E$5:$E$1004,$B108,'Leads Pipeline'!$F$5:$F$1004,"&lt;&gt;"),"")</f>
        <v/>
      </c>
      <c r="D108" s="43" t="str">
        <f aca="false">IF(AND($A108&lt;&gt;"",$B108&lt;&gt;""),COUNTIFS('Leads Pipeline'!$D$5:$D$1004,$A108,'Leads Pipeline'!$E$5:$E$1004,$B108,'Leads Pipeline'!$F$5:$F$1004,"&lt;&gt;",'Leads Pipeline'!$O$5:$O$1004,"&lt;&gt;Won",'Leads Pipeline'!$O$5:$O$1004,"&lt;&gt;Lost"),"")</f>
        <v/>
      </c>
      <c r="E108" s="43" t="str">
        <f aca="false">IF(AND($A108&lt;&gt;"",$B108&lt;&gt;""),COUNTIFS('Leads Pipeline'!$D$5:$D$1004,$A108,'Leads Pipeline'!$E$5:$E$1004,$B108,'Leads Pipeline'!$P$5:$P$1004,"Hot",'Leads Pipeline'!$O$5:$O$1004,"&lt;&gt;Won",'Leads Pipeline'!$O$5:$O$1004,"&lt;&gt;Lost"),"")</f>
        <v/>
      </c>
      <c r="F108" s="43" t="str">
        <f aca="false">IF(AND($A108&lt;&gt;"",$B108&lt;&gt;""),COUNTIFS('Leads Pipeline'!$D$5:$D$1004,$A108,'Leads Pipeline'!$E$5:$E$1004,$B108,'Leads Pipeline'!$O$5:$O$1004,"Won"),"")</f>
        <v/>
      </c>
      <c r="G108" s="44" t="str">
        <f aca="false">IF(AND($A108&lt;&gt;"",$B108&lt;&gt;""),SUMIFS('Leads Pipeline'!$U$5:$U$1004,'Leads Pipeline'!$D$5:$D$1004,$A108,'Leads Pipeline'!$E$5:$E$1004,$B108,'Leads Pipeline'!$O$5:$O$1004,"&lt;&gt;Won",'Leads Pipeline'!$O$5:$O$1004,"&lt;&gt;Lost"),"")</f>
        <v/>
      </c>
      <c r="H108" s="43" t="str">
        <f aca="false">IF(AND($A108&lt;&gt;"",$B108&lt;&gt;""),COUNTIFS('Active Clients'!$B$5:$B$504,$A108,'Active Clients'!$C$5:$C$504,$B108,'Active Clients'!$T$5:$T$504,"Active"),"")</f>
        <v/>
      </c>
      <c r="I108" s="44" t="str">
        <f aca="false">IF(AND($A108&lt;&gt;"",$B108&lt;&gt;""),SUMIFS('Active Clients'!$R$5:$R$504,'Active Clients'!$B$5:$B$504,$A108,'Active Clients'!$C$5:$C$504,$B108),"")</f>
        <v/>
      </c>
      <c r="J108" s="43" t="str">
        <f aca="true">IF(AND($A108&lt;&gt;"",$B108&lt;&gt;""),COUNTIFS('Activity Log'!$E$5:$E$3004,$A108,'Activity Log'!$F$5:$F$3004,$B108,'Activity Log'!$A$5:$A$3004,"&gt;="&amp;(TODAY()-29),'Activity Log'!$A$5:$A$3004,"&lt;="&amp;TODAY()),"")</f>
        <v/>
      </c>
    </row>
    <row r="109" customFormat="false" ht="15" hidden="false" customHeight="false" outlineLevel="0" collapsed="false">
      <c r="A109" s="42"/>
      <c r="B109" s="42"/>
      <c r="C109" s="43" t="str">
        <f aca="false">IF(AND($A109&lt;&gt;"",$B109&lt;&gt;""),COUNTIFS('Leads Pipeline'!$D$5:$D$1004,$A109,'Leads Pipeline'!$E$5:$E$1004,$B109,'Leads Pipeline'!$F$5:$F$1004,"&lt;&gt;"),"")</f>
        <v/>
      </c>
      <c r="D109" s="43" t="str">
        <f aca="false">IF(AND($A109&lt;&gt;"",$B109&lt;&gt;""),COUNTIFS('Leads Pipeline'!$D$5:$D$1004,$A109,'Leads Pipeline'!$E$5:$E$1004,$B109,'Leads Pipeline'!$F$5:$F$1004,"&lt;&gt;",'Leads Pipeline'!$O$5:$O$1004,"&lt;&gt;Won",'Leads Pipeline'!$O$5:$O$1004,"&lt;&gt;Lost"),"")</f>
        <v/>
      </c>
      <c r="E109" s="43" t="str">
        <f aca="false">IF(AND($A109&lt;&gt;"",$B109&lt;&gt;""),COUNTIFS('Leads Pipeline'!$D$5:$D$1004,$A109,'Leads Pipeline'!$E$5:$E$1004,$B109,'Leads Pipeline'!$P$5:$P$1004,"Hot",'Leads Pipeline'!$O$5:$O$1004,"&lt;&gt;Won",'Leads Pipeline'!$O$5:$O$1004,"&lt;&gt;Lost"),"")</f>
        <v/>
      </c>
      <c r="F109" s="43" t="str">
        <f aca="false">IF(AND($A109&lt;&gt;"",$B109&lt;&gt;""),COUNTIFS('Leads Pipeline'!$D$5:$D$1004,$A109,'Leads Pipeline'!$E$5:$E$1004,$B109,'Leads Pipeline'!$O$5:$O$1004,"Won"),"")</f>
        <v/>
      </c>
      <c r="G109" s="44" t="str">
        <f aca="false">IF(AND($A109&lt;&gt;"",$B109&lt;&gt;""),SUMIFS('Leads Pipeline'!$U$5:$U$1004,'Leads Pipeline'!$D$5:$D$1004,$A109,'Leads Pipeline'!$E$5:$E$1004,$B109,'Leads Pipeline'!$O$5:$O$1004,"&lt;&gt;Won",'Leads Pipeline'!$O$5:$O$1004,"&lt;&gt;Lost"),"")</f>
        <v/>
      </c>
      <c r="H109" s="43" t="str">
        <f aca="false">IF(AND($A109&lt;&gt;"",$B109&lt;&gt;""),COUNTIFS('Active Clients'!$B$5:$B$504,$A109,'Active Clients'!$C$5:$C$504,$B109,'Active Clients'!$T$5:$T$504,"Active"),"")</f>
        <v/>
      </c>
      <c r="I109" s="44" t="str">
        <f aca="false">IF(AND($A109&lt;&gt;"",$B109&lt;&gt;""),SUMIFS('Active Clients'!$R$5:$R$504,'Active Clients'!$B$5:$B$504,$A109,'Active Clients'!$C$5:$C$504,$B109),"")</f>
        <v/>
      </c>
      <c r="J109" s="43" t="str">
        <f aca="true">IF(AND($A109&lt;&gt;"",$B109&lt;&gt;""),COUNTIFS('Activity Log'!$E$5:$E$3004,$A109,'Activity Log'!$F$5:$F$3004,$B109,'Activity Log'!$A$5:$A$3004,"&gt;="&amp;(TODAY()-29),'Activity Log'!$A$5:$A$3004,"&lt;="&amp;TODAY()),"")</f>
        <v/>
      </c>
    </row>
    <row r="110" customFormat="false" ht="15" hidden="false" customHeight="false" outlineLevel="0" collapsed="false">
      <c r="A110" s="42"/>
      <c r="B110" s="42"/>
      <c r="C110" s="43" t="str">
        <f aca="false">IF(AND($A110&lt;&gt;"",$B110&lt;&gt;""),COUNTIFS('Leads Pipeline'!$D$5:$D$1004,$A110,'Leads Pipeline'!$E$5:$E$1004,$B110,'Leads Pipeline'!$F$5:$F$1004,"&lt;&gt;"),"")</f>
        <v/>
      </c>
      <c r="D110" s="43" t="str">
        <f aca="false">IF(AND($A110&lt;&gt;"",$B110&lt;&gt;""),COUNTIFS('Leads Pipeline'!$D$5:$D$1004,$A110,'Leads Pipeline'!$E$5:$E$1004,$B110,'Leads Pipeline'!$F$5:$F$1004,"&lt;&gt;",'Leads Pipeline'!$O$5:$O$1004,"&lt;&gt;Won",'Leads Pipeline'!$O$5:$O$1004,"&lt;&gt;Lost"),"")</f>
        <v/>
      </c>
      <c r="E110" s="43" t="str">
        <f aca="false">IF(AND($A110&lt;&gt;"",$B110&lt;&gt;""),COUNTIFS('Leads Pipeline'!$D$5:$D$1004,$A110,'Leads Pipeline'!$E$5:$E$1004,$B110,'Leads Pipeline'!$P$5:$P$1004,"Hot",'Leads Pipeline'!$O$5:$O$1004,"&lt;&gt;Won",'Leads Pipeline'!$O$5:$O$1004,"&lt;&gt;Lost"),"")</f>
        <v/>
      </c>
      <c r="F110" s="43" t="str">
        <f aca="false">IF(AND($A110&lt;&gt;"",$B110&lt;&gt;""),COUNTIFS('Leads Pipeline'!$D$5:$D$1004,$A110,'Leads Pipeline'!$E$5:$E$1004,$B110,'Leads Pipeline'!$O$5:$O$1004,"Won"),"")</f>
        <v/>
      </c>
      <c r="G110" s="44" t="str">
        <f aca="false">IF(AND($A110&lt;&gt;"",$B110&lt;&gt;""),SUMIFS('Leads Pipeline'!$U$5:$U$1004,'Leads Pipeline'!$D$5:$D$1004,$A110,'Leads Pipeline'!$E$5:$E$1004,$B110,'Leads Pipeline'!$O$5:$O$1004,"&lt;&gt;Won",'Leads Pipeline'!$O$5:$O$1004,"&lt;&gt;Lost"),"")</f>
        <v/>
      </c>
      <c r="H110" s="43" t="str">
        <f aca="false">IF(AND($A110&lt;&gt;"",$B110&lt;&gt;""),COUNTIFS('Active Clients'!$B$5:$B$504,$A110,'Active Clients'!$C$5:$C$504,$B110,'Active Clients'!$T$5:$T$504,"Active"),"")</f>
        <v/>
      </c>
      <c r="I110" s="44" t="str">
        <f aca="false">IF(AND($A110&lt;&gt;"",$B110&lt;&gt;""),SUMIFS('Active Clients'!$R$5:$R$504,'Active Clients'!$B$5:$B$504,$A110,'Active Clients'!$C$5:$C$504,$B110),"")</f>
        <v/>
      </c>
      <c r="J110" s="43" t="str">
        <f aca="true">IF(AND($A110&lt;&gt;"",$B110&lt;&gt;""),COUNTIFS('Activity Log'!$E$5:$E$3004,$A110,'Activity Log'!$F$5:$F$3004,$B110,'Activity Log'!$A$5:$A$3004,"&gt;="&amp;(TODAY()-29),'Activity Log'!$A$5:$A$3004,"&lt;="&amp;TODAY()),"")</f>
        <v/>
      </c>
    </row>
    <row r="111" customFormat="false" ht="15" hidden="false" customHeight="false" outlineLevel="0" collapsed="false">
      <c r="A111" s="42"/>
      <c r="B111" s="42"/>
      <c r="C111" s="43" t="str">
        <f aca="false">IF(AND($A111&lt;&gt;"",$B111&lt;&gt;""),COUNTIFS('Leads Pipeline'!$D$5:$D$1004,$A111,'Leads Pipeline'!$E$5:$E$1004,$B111,'Leads Pipeline'!$F$5:$F$1004,"&lt;&gt;"),"")</f>
        <v/>
      </c>
      <c r="D111" s="43" t="str">
        <f aca="false">IF(AND($A111&lt;&gt;"",$B111&lt;&gt;""),COUNTIFS('Leads Pipeline'!$D$5:$D$1004,$A111,'Leads Pipeline'!$E$5:$E$1004,$B111,'Leads Pipeline'!$F$5:$F$1004,"&lt;&gt;",'Leads Pipeline'!$O$5:$O$1004,"&lt;&gt;Won",'Leads Pipeline'!$O$5:$O$1004,"&lt;&gt;Lost"),"")</f>
        <v/>
      </c>
      <c r="E111" s="43" t="str">
        <f aca="false">IF(AND($A111&lt;&gt;"",$B111&lt;&gt;""),COUNTIFS('Leads Pipeline'!$D$5:$D$1004,$A111,'Leads Pipeline'!$E$5:$E$1004,$B111,'Leads Pipeline'!$P$5:$P$1004,"Hot",'Leads Pipeline'!$O$5:$O$1004,"&lt;&gt;Won",'Leads Pipeline'!$O$5:$O$1004,"&lt;&gt;Lost"),"")</f>
        <v/>
      </c>
      <c r="F111" s="43" t="str">
        <f aca="false">IF(AND($A111&lt;&gt;"",$B111&lt;&gt;""),COUNTIFS('Leads Pipeline'!$D$5:$D$1004,$A111,'Leads Pipeline'!$E$5:$E$1004,$B111,'Leads Pipeline'!$O$5:$O$1004,"Won"),"")</f>
        <v/>
      </c>
      <c r="G111" s="44" t="str">
        <f aca="false">IF(AND($A111&lt;&gt;"",$B111&lt;&gt;""),SUMIFS('Leads Pipeline'!$U$5:$U$1004,'Leads Pipeline'!$D$5:$D$1004,$A111,'Leads Pipeline'!$E$5:$E$1004,$B111,'Leads Pipeline'!$O$5:$O$1004,"&lt;&gt;Won",'Leads Pipeline'!$O$5:$O$1004,"&lt;&gt;Lost"),"")</f>
        <v/>
      </c>
      <c r="H111" s="43" t="str">
        <f aca="false">IF(AND($A111&lt;&gt;"",$B111&lt;&gt;""),COUNTIFS('Active Clients'!$B$5:$B$504,$A111,'Active Clients'!$C$5:$C$504,$B111,'Active Clients'!$T$5:$T$504,"Active"),"")</f>
        <v/>
      </c>
      <c r="I111" s="44" t="str">
        <f aca="false">IF(AND($A111&lt;&gt;"",$B111&lt;&gt;""),SUMIFS('Active Clients'!$R$5:$R$504,'Active Clients'!$B$5:$B$504,$A111,'Active Clients'!$C$5:$C$504,$B111),"")</f>
        <v/>
      </c>
      <c r="J111" s="43" t="str">
        <f aca="true">IF(AND($A111&lt;&gt;"",$B111&lt;&gt;""),COUNTIFS('Activity Log'!$E$5:$E$3004,$A111,'Activity Log'!$F$5:$F$3004,$B111,'Activity Log'!$A$5:$A$3004,"&gt;="&amp;(TODAY()-29),'Activity Log'!$A$5:$A$3004,"&lt;="&amp;TODAY()),"")</f>
        <v/>
      </c>
    </row>
    <row r="112" customFormat="false" ht="15" hidden="false" customHeight="false" outlineLevel="0" collapsed="false">
      <c r="A112" s="42"/>
      <c r="B112" s="42"/>
      <c r="C112" s="43" t="str">
        <f aca="false">IF(AND($A112&lt;&gt;"",$B112&lt;&gt;""),COUNTIFS('Leads Pipeline'!$D$5:$D$1004,$A112,'Leads Pipeline'!$E$5:$E$1004,$B112,'Leads Pipeline'!$F$5:$F$1004,"&lt;&gt;"),"")</f>
        <v/>
      </c>
      <c r="D112" s="43" t="str">
        <f aca="false">IF(AND($A112&lt;&gt;"",$B112&lt;&gt;""),COUNTIFS('Leads Pipeline'!$D$5:$D$1004,$A112,'Leads Pipeline'!$E$5:$E$1004,$B112,'Leads Pipeline'!$F$5:$F$1004,"&lt;&gt;",'Leads Pipeline'!$O$5:$O$1004,"&lt;&gt;Won",'Leads Pipeline'!$O$5:$O$1004,"&lt;&gt;Lost"),"")</f>
        <v/>
      </c>
      <c r="E112" s="43" t="str">
        <f aca="false">IF(AND($A112&lt;&gt;"",$B112&lt;&gt;""),COUNTIFS('Leads Pipeline'!$D$5:$D$1004,$A112,'Leads Pipeline'!$E$5:$E$1004,$B112,'Leads Pipeline'!$P$5:$P$1004,"Hot",'Leads Pipeline'!$O$5:$O$1004,"&lt;&gt;Won",'Leads Pipeline'!$O$5:$O$1004,"&lt;&gt;Lost"),"")</f>
        <v/>
      </c>
      <c r="F112" s="43" t="str">
        <f aca="false">IF(AND($A112&lt;&gt;"",$B112&lt;&gt;""),COUNTIFS('Leads Pipeline'!$D$5:$D$1004,$A112,'Leads Pipeline'!$E$5:$E$1004,$B112,'Leads Pipeline'!$O$5:$O$1004,"Won"),"")</f>
        <v/>
      </c>
      <c r="G112" s="44" t="str">
        <f aca="false">IF(AND($A112&lt;&gt;"",$B112&lt;&gt;""),SUMIFS('Leads Pipeline'!$U$5:$U$1004,'Leads Pipeline'!$D$5:$D$1004,$A112,'Leads Pipeline'!$E$5:$E$1004,$B112,'Leads Pipeline'!$O$5:$O$1004,"&lt;&gt;Won",'Leads Pipeline'!$O$5:$O$1004,"&lt;&gt;Lost"),"")</f>
        <v/>
      </c>
      <c r="H112" s="43" t="str">
        <f aca="false">IF(AND($A112&lt;&gt;"",$B112&lt;&gt;""),COUNTIFS('Active Clients'!$B$5:$B$504,$A112,'Active Clients'!$C$5:$C$504,$B112,'Active Clients'!$T$5:$T$504,"Active"),"")</f>
        <v/>
      </c>
      <c r="I112" s="44" t="str">
        <f aca="false">IF(AND($A112&lt;&gt;"",$B112&lt;&gt;""),SUMIFS('Active Clients'!$R$5:$R$504,'Active Clients'!$B$5:$B$504,$A112,'Active Clients'!$C$5:$C$504,$B112),"")</f>
        <v/>
      </c>
      <c r="J112" s="43" t="str">
        <f aca="true">IF(AND($A112&lt;&gt;"",$B112&lt;&gt;""),COUNTIFS('Activity Log'!$E$5:$E$3004,$A112,'Activity Log'!$F$5:$F$3004,$B112,'Activity Log'!$A$5:$A$3004,"&gt;="&amp;(TODAY()-29),'Activity Log'!$A$5:$A$3004,"&lt;="&amp;TODAY()),"")</f>
        <v/>
      </c>
    </row>
    <row r="113" customFormat="false" ht="15" hidden="false" customHeight="false" outlineLevel="0" collapsed="false">
      <c r="A113" s="42"/>
      <c r="B113" s="42"/>
      <c r="C113" s="43" t="str">
        <f aca="false">IF(AND($A113&lt;&gt;"",$B113&lt;&gt;""),COUNTIFS('Leads Pipeline'!$D$5:$D$1004,$A113,'Leads Pipeline'!$E$5:$E$1004,$B113,'Leads Pipeline'!$F$5:$F$1004,"&lt;&gt;"),"")</f>
        <v/>
      </c>
      <c r="D113" s="43" t="str">
        <f aca="false">IF(AND($A113&lt;&gt;"",$B113&lt;&gt;""),COUNTIFS('Leads Pipeline'!$D$5:$D$1004,$A113,'Leads Pipeline'!$E$5:$E$1004,$B113,'Leads Pipeline'!$F$5:$F$1004,"&lt;&gt;",'Leads Pipeline'!$O$5:$O$1004,"&lt;&gt;Won",'Leads Pipeline'!$O$5:$O$1004,"&lt;&gt;Lost"),"")</f>
        <v/>
      </c>
      <c r="E113" s="43" t="str">
        <f aca="false">IF(AND($A113&lt;&gt;"",$B113&lt;&gt;""),COUNTIFS('Leads Pipeline'!$D$5:$D$1004,$A113,'Leads Pipeline'!$E$5:$E$1004,$B113,'Leads Pipeline'!$P$5:$P$1004,"Hot",'Leads Pipeline'!$O$5:$O$1004,"&lt;&gt;Won",'Leads Pipeline'!$O$5:$O$1004,"&lt;&gt;Lost"),"")</f>
        <v/>
      </c>
      <c r="F113" s="43" t="str">
        <f aca="false">IF(AND($A113&lt;&gt;"",$B113&lt;&gt;""),COUNTIFS('Leads Pipeline'!$D$5:$D$1004,$A113,'Leads Pipeline'!$E$5:$E$1004,$B113,'Leads Pipeline'!$O$5:$O$1004,"Won"),"")</f>
        <v/>
      </c>
      <c r="G113" s="44" t="str">
        <f aca="false">IF(AND($A113&lt;&gt;"",$B113&lt;&gt;""),SUMIFS('Leads Pipeline'!$U$5:$U$1004,'Leads Pipeline'!$D$5:$D$1004,$A113,'Leads Pipeline'!$E$5:$E$1004,$B113,'Leads Pipeline'!$O$5:$O$1004,"&lt;&gt;Won",'Leads Pipeline'!$O$5:$O$1004,"&lt;&gt;Lost"),"")</f>
        <v/>
      </c>
      <c r="H113" s="43" t="str">
        <f aca="false">IF(AND($A113&lt;&gt;"",$B113&lt;&gt;""),COUNTIFS('Active Clients'!$B$5:$B$504,$A113,'Active Clients'!$C$5:$C$504,$B113,'Active Clients'!$T$5:$T$504,"Active"),"")</f>
        <v/>
      </c>
      <c r="I113" s="44" t="str">
        <f aca="false">IF(AND($A113&lt;&gt;"",$B113&lt;&gt;""),SUMIFS('Active Clients'!$R$5:$R$504,'Active Clients'!$B$5:$B$504,$A113,'Active Clients'!$C$5:$C$504,$B113),"")</f>
        <v/>
      </c>
      <c r="J113" s="43" t="str">
        <f aca="true">IF(AND($A113&lt;&gt;"",$B113&lt;&gt;""),COUNTIFS('Activity Log'!$E$5:$E$3004,$A113,'Activity Log'!$F$5:$F$3004,$B113,'Activity Log'!$A$5:$A$3004,"&gt;="&amp;(TODAY()-29),'Activity Log'!$A$5:$A$3004,"&lt;="&amp;TODAY()),"")</f>
        <v/>
      </c>
    </row>
    <row r="114" customFormat="false" ht="15" hidden="false" customHeight="false" outlineLevel="0" collapsed="false">
      <c r="A114" s="42"/>
      <c r="B114" s="42"/>
      <c r="C114" s="43" t="str">
        <f aca="false">IF(AND($A114&lt;&gt;"",$B114&lt;&gt;""),COUNTIFS('Leads Pipeline'!$D$5:$D$1004,$A114,'Leads Pipeline'!$E$5:$E$1004,$B114,'Leads Pipeline'!$F$5:$F$1004,"&lt;&gt;"),"")</f>
        <v/>
      </c>
      <c r="D114" s="43" t="str">
        <f aca="false">IF(AND($A114&lt;&gt;"",$B114&lt;&gt;""),COUNTIFS('Leads Pipeline'!$D$5:$D$1004,$A114,'Leads Pipeline'!$E$5:$E$1004,$B114,'Leads Pipeline'!$F$5:$F$1004,"&lt;&gt;",'Leads Pipeline'!$O$5:$O$1004,"&lt;&gt;Won",'Leads Pipeline'!$O$5:$O$1004,"&lt;&gt;Lost"),"")</f>
        <v/>
      </c>
      <c r="E114" s="43" t="str">
        <f aca="false">IF(AND($A114&lt;&gt;"",$B114&lt;&gt;""),COUNTIFS('Leads Pipeline'!$D$5:$D$1004,$A114,'Leads Pipeline'!$E$5:$E$1004,$B114,'Leads Pipeline'!$P$5:$P$1004,"Hot",'Leads Pipeline'!$O$5:$O$1004,"&lt;&gt;Won",'Leads Pipeline'!$O$5:$O$1004,"&lt;&gt;Lost"),"")</f>
        <v/>
      </c>
      <c r="F114" s="43" t="str">
        <f aca="false">IF(AND($A114&lt;&gt;"",$B114&lt;&gt;""),COUNTIFS('Leads Pipeline'!$D$5:$D$1004,$A114,'Leads Pipeline'!$E$5:$E$1004,$B114,'Leads Pipeline'!$O$5:$O$1004,"Won"),"")</f>
        <v/>
      </c>
      <c r="G114" s="44" t="str">
        <f aca="false">IF(AND($A114&lt;&gt;"",$B114&lt;&gt;""),SUMIFS('Leads Pipeline'!$U$5:$U$1004,'Leads Pipeline'!$D$5:$D$1004,$A114,'Leads Pipeline'!$E$5:$E$1004,$B114,'Leads Pipeline'!$O$5:$O$1004,"&lt;&gt;Won",'Leads Pipeline'!$O$5:$O$1004,"&lt;&gt;Lost"),"")</f>
        <v/>
      </c>
      <c r="H114" s="43" t="str">
        <f aca="false">IF(AND($A114&lt;&gt;"",$B114&lt;&gt;""),COUNTIFS('Active Clients'!$B$5:$B$504,$A114,'Active Clients'!$C$5:$C$504,$B114,'Active Clients'!$T$5:$T$504,"Active"),"")</f>
        <v/>
      </c>
      <c r="I114" s="44" t="str">
        <f aca="false">IF(AND($A114&lt;&gt;"",$B114&lt;&gt;""),SUMIFS('Active Clients'!$R$5:$R$504,'Active Clients'!$B$5:$B$504,$A114,'Active Clients'!$C$5:$C$504,$B114),"")</f>
        <v/>
      </c>
      <c r="J114" s="43" t="str">
        <f aca="true">IF(AND($A114&lt;&gt;"",$B114&lt;&gt;""),COUNTIFS('Activity Log'!$E$5:$E$3004,$A114,'Activity Log'!$F$5:$F$3004,$B114,'Activity Log'!$A$5:$A$3004,"&gt;="&amp;(TODAY()-29),'Activity Log'!$A$5:$A$3004,"&lt;="&amp;TODAY()),"")</f>
        <v/>
      </c>
    </row>
    <row r="115" customFormat="false" ht="15" hidden="false" customHeight="false" outlineLevel="0" collapsed="false">
      <c r="A115" s="42"/>
      <c r="B115" s="42"/>
      <c r="C115" s="43" t="str">
        <f aca="false">IF(AND($A115&lt;&gt;"",$B115&lt;&gt;""),COUNTIFS('Leads Pipeline'!$D$5:$D$1004,$A115,'Leads Pipeline'!$E$5:$E$1004,$B115,'Leads Pipeline'!$F$5:$F$1004,"&lt;&gt;"),"")</f>
        <v/>
      </c>
      <c r="D115" s="43" t="str">
        <f aca="false">IF(AND($A115&lt;&gt;"",$B115&lt;&gt;""),COUNTIFS('Leads Pipeline'!$D$5:$D$1004,$A115,'Leads Pipeline'!$E$5:$E$1004,$B115,'Leads Pipeline'!$F$5:$F$1004,"&lt;&gt;",'Leads Pipeline'!$O$5:$O$1004,"&lt;&gt;Won",'Leads Pipeline'!$O$5:$O$1004,"&lt;&gt;Lost"),"")</f>
        <v/>
      </c>
      <c r="E115" s="43" t="str">
        <f aca="false">IF(AND($A115&lt;&gt;"",$B115&lt;&gt;""),COUNTIFS('Leads Pipeline'!$D$5:$D$1004,$A115,'Leads Pipeline'!$E$5:$E$1004,$B115,'Leads Pipeline'!$P$5:$P$1004,"Hot",'Leads Pipeline'!$O$5:$O$1004,"&lt;&gt;Won",'Leads Pipeline'!$O$5:$O$1004,"&lt;&gt;Lost"),"")</f>
        <v/>
      </c>
      <c r="F115" s="43" t="str">
        <f aca="false">IF(AND($A115&lt;&gt;"",$B115&lt;&gt;""),COUNTIFS('Leads Pipeline'!$D$5:$D$1004,$A115,'Leads Pipeline'!$E$5:$E$1004,$B115,'Leads Pipeline'!$O$5:$O$1004,"Won"),"")</f>
        <v/>
      </c>
      <c r="G115" s="44" t="str">
        <f aca="false">IF(AND($A115&lt;&gt;"",$B115&lt;&gt;""),SUMIFS('Leads Pipeline'!$U$5:$U$1004,'Leads Pipeline'!$D$5:$D$1004,$A115,'Leads Pipeline'!$E$5:$E$1004,$B115,'Leads Pipeline'!$O$5:$O$1004,"&lt;&gt;Won",'Leads Pipeline'!$O$5:$O$1004,"&lt;&gt;Lost"),"")</f>
        <v/>
      </c>
      <c r="H115" s="43" t="str">
        <f aca="false">IF(AND($A115&lt;&gt;"",$B115&lt;&gt;""),COUNTIFS('Active Clients'!$B$5:$B$504,$A115,'Active Clients'!$C$5:$C$504,$B115,'Active Clients'!$T$5:$T$504,"Active"),"")</f>
        <v/>
      </c>
      <c r="I115" s="44" t="str">
        <f aca="false">IF(AND($A115&lt;&gt;"",$B115&lt;&gt;""),SUMIFS('Active Clients'!$R$5:$R$504,'Active Clients'!$B$5:$B$504,$A115,'Active Clients'!$C$5:$C$504,$B115),"")</f>
        <v/>
      </c>
      <c r="J115" s="43" t="str">
        <f aca="true">IF(AND($A115&lt;&gt;"",$B115&lt;&gt;""),COUNTIFS('Activity Log'!$E$5:$E$3004,$A115,'Activity Log'!$F$5:$F$3004,$B115,'Activity Log'!$A$5:$A$3004,"&gt;="&amp;(TODAY()-29),'Activity Log'!$A$5:$A$3004,"&lt;="&amp;TODAY()),"")</f>
        <v/>
      </c>
    </row>
    <row r="116" customFormat="false" ht="15" hidden="false" customHeight="false" outlineLevel="0" collapsed="false">
      <c r="A116" s="42"/>
      <c r="B116" s="42"/>
      <c r="C116" s="43" t="str">
        <f aca="false">IF(AND($A116&lt;&gt;"",$B116&lt;&gt;""),COUNTIFS('Leads Pipeline'!$D$5:$D$1004,$A116,'Leads Pipeline'!$E$5:$E$1004,$B116,'Leads Pipeline'!$F$5:$F$1004,"&lt;&gt;"),"")</f>
        <v/>
      </c>
      <c r="D116" s="43" t="str">
        <f aca="false">IF(AND($A116&lt;&gt;"",$B116&lt;&gt;""),COUNTIFS('Leads Pipeline'!$D$5:$D$1004,$A116,'Leads Pipeline'!$E$5:$E$1004,$B116,'Leads Pipeline'!$F$5:$F$1004,"&lt;&gt;",'Leads Pipeline'!$O$5:$O$1004,"&lt;&gt;Won",'Leads Pipeline'!$O$5:$O$1004,"&lt;&gt;Lost"),"")</f>
        <v/>
      </c>
      <c r="E116" s="43" t="str">
        <f aca="false">IF(AND($A116&lt;&gt;"",$B116&lt;&gt;""),COUNTIFS('Leads Pipeline'!$D$5:$D$1004,$A116,'Leads Pipeline'!$E$5:$E$1004,$B116,'Leads Pipeline'!$P$5:$P$1004,"Hot",'Leads Pipeline'!$O$5:$O$1004,"&lt;&gt;Won",'Leads Pipeline'!$O$5:$O$1004,"&lt;&gt;Lost"),"")</f>
        <v/>
      </c>
      <c r="F116" s="43" t="str">
        <f aca="false">IF(AND($A116&lt;&gt;"",$B116&lt;&gt;""),COUNTIFS('Leads Pipeline'!$D$5:$D$1004,$A116,'Leads Pipeline'!$E$5:$E$1004,$B116,'Leads Pipeline'!$O$5:$O$1004,"Won"),"")</f>
        <v/>
      </c>
      <c r="G116" s="44" t="str">
        <f aca="false">IF(AND($A116&lt;&gt;"",$B116&lt;&gt;""),SUMIFS('Leads Pipeline'!$U$5:$U$1004,'Leads Pipeline'!$D$5:$D$1004,$A116,'Leads Pipeline'!$E$5:$E$1004,$B116,'Leads Pipeline'!$O$5:$O$1004,"&lt;&gt;Won",'Leads Pipeline'!$O$5:$O$1004,"&lt;&gt;Lost"),"")</f>
        <v/>
      </c>
      <c r="H116" s="43" t="str">
        <f aca="false">IF(AND($A116&lt;&gt;"",$B116&lt;&gt;""),COUNTIFS('Active Clients'!$B$5:$B$504,$A116,'Active Clients'!$C$5:$C$504,$B116,'Active Clients'!$T$5:$T$504,"Active"),"")</f>
        <v/>
      </c>
      <c r="I116" s="44" t="str">
        <f aca="false">IF(AND($A116&lt;&gt;"",$B116&lt;&gt;""),SUMIFS('Active Clients'!$R$5:$R$504,'Active Clients'!$B$5:$B$504,$A116,'Active Clients'!$C$5:$C$504,$B116),"")</f>
        <v/>
      </c>
      <c r="J116" s="43" t="str">
        <f aca="true">IF(AND($A116&lt;&gt;"",$B116&lt;&gt;""),COUNTIFS('Activity Log'!$E$5:$E$3004,$A116,'Activity Log'!$F$5:$F$3004,$B116,'Activity Log'!$A$5:$A$3004,"&gt;="&amp;(TODAY()-29),'Activity Log'!$A$5:$A$3004,"&lt;="&amp;TODAY()),"")</f>
        <v/>
      </c>
    </row>
    <row r="117" customFormat="false" ht="15" hidden="false" customHeight="false" outlineLevel="0" collapsed="false">
      <c r="A117" s="42"/>
      <c r="B117" s="42"/>
      <c r="C117" s="43" t="str">
        <f aca="false">IF(AND($A117&lt;&gt;"",$B117&lt;&gt;""),COUNTIFS('Leads Pipeline'!$D$5:$D$1004,$A117,'Leads Pipeline'!$E$5:$E$1004,$B117,'Leads Pipeline'!$F$5:$F$1004,"&lt;&gt;"),"")</f>
        <v/>
      </c>
      <c r="D117" s="43" t="str">
        <f aca="false">IF(AND($A117&lt;&gt;"",$B117&lt;&gt;""),COUNTIFS('Leads Pipeline'!$D$5:$D$1004,$A117,'Leads Pipeline'!$E$5:$E$1004,$B117,'Leads Pipeline'!$F$5:$F$1004,"&lt;&gt;",'Leads Pipeline'!$O$5:$O$1004,"&lt;&gt;Won",'Leads Pipeline'!$O$5:$O$1004,"&lt;&gt;Lost"),"")</f>
        <v/>
      </c>
      <c r="E117" s="43" t="str">
        <f aca="false">IF(AND($A117&lt;&gt;"",$B117&lt;&gt;""),COUNTIFS('Leads Pipeline'!$D$5:$D$1004,$A117,'Leads Pipeline'!$E$5:$E$1004,$B117,'Leads Pipeline'!$P$5:$P$1004,"Hot",'Leads Pipeline'!$O$5:$O$1004,"&lt;&gt;Won",'Leads Pipeline'!$O$5:$O$1004,"&lt;&gt;Lost"),"")</f>
        <v/>
      </c>
      <c r="F117" s="43" t="str">
        <f aca="false">IF(AND($A117&lt;&gt;"",$B117&lt;&gt;""),COUNTIFS('Leads Pipeline'!$D$5:$D$1004,$A117,'Leads Pipeline'!$E$5:$E$1004,$B117,'Leads Pipeline'!$O$5:$O$1004,"Won"),"")</f>
        <v/>
      </c>
      <c r="G117" s="44" t="str">
        <f aca="false">IF(AND($A117&lt;&gt;"",$B117&lt;&gt;""),SUMIFS('Leads Pipeline'!$U$5:$U$1004,'Leads Pipeline'!$D$5:$D$1004,$A117,'Leads Pipeline'!$E$5:$E$1004,$B117,'Leads Pipeline'!$O$5:$O$1004,"&lt;&gt;Won",'Leads Pipeline'!$O$5:$O$1004,"&lt;&gt;Lost"),"")</f>
        <v/>
      </c>
      <c r="H117" s="43" t="str">
        <f aca="false">IF(AND($A117&lt;&gt;"",$B117&lt;&gt;""),COUNTIFS('Active Clients'!$B$5:$B$504,$A117,'Active Clients'!$C$5:$C$504,$B117,'Active Clients'!$T$5:$T$504,"Active"),"")</f>
        <v/>
      </c>
      <c r="I117" s="44" t="str">
        <f aca="false">IF(AND($A117&lt;&gt;"",$B117&lt;&gt;""),SUMIFS('Active Clients'!$R$5:$R$504,'Active Clients'!$B$5:$B$504,$A117,'Active Clients'!$C$5:$C$504,$B117),"")</f>
        <v/>
      </c>
      <c r="J117" s="43" t="str">
        <f aca="true">IF(AND($A117&lt;&gt;"",$B117&lt;&gt;""),COUNTIFS('Activity Log'!$E$5:$E$3004,$A117,'Activity Log'!$F$5:$F$3004,$B117,'Activity Log'!$A$5:$A$3004,"&gt;="&amp;(TODAY()-29),'Activity Log'!$A$5:$A$3004,"&lt;="&amp;TODAY()),"")</f>
        <v/>
      </c>
    </row>
    <row r="118" customFormat="false" ht="15" hidden="false" customHeight="false" outlineLevel="0" collapsed="false">
      <c r="A118" s="42"/>
      <c r="B118" s="42"/>
      <c r="C118" s="43" t="str">
        <f aca="false">IF(AND($A118&lt;&gt;"",$B118&lt;&gt;""),COUNTIFS('Leads Pipeline'!$D$5:$D$1004,$A118,'Leads Pipeline'!$E$5:$E$1004,$B118,'Leads Pipeline'!$F$5:$F$1004,"&lt;&gt;"),"")</f>
        <v/>
      </c>
      <c r="D118" s="43" t="str">
        <f aca="false">IF(AND($A118&lt;&gt;"",$B118&lt;&gt;""),COUNTIFS('Leads Pipeline'!$D$5:$D$1004,$A118,'Leads Pipeline'!$E$5:$E$1004,$B118,'Leads Pipeline'!$F$5:$F$1004,"&lt;&gt;",'Leads Pipeline'!$O$5:$O$1004,"&lt;&gt;Won",'Leads Pipeline'!$O$5:$O$1004,"&lt;&gt;Lost"),"")</f>
        <v/>
      </c>
      <c r="E118" s="43" t="str">
        <f aca="false">IF(AND($A118&lt;&gt;"",$B118&lt;&gt;""),COUNTIFS('Leads Pipeline'!$D$5:$D$1004,$A118,'Leads Pipeline'!$E$5:$E$1004,$B118,'Leads Pipeline'!$P$5:$P$1004,"Hot",'Leads Pipeline'!$O$5:$O$1004,"&lt;&gt;Won",'Leads Pipeline'!$O$5:$O$1004,"&lt;&gt;Lost"),"")</f>
        <v/>
      </c>
      <c r="F118" s="43" t="str">
        <f aca="false">IF(AND($A118&lt;&gt;"",$B118&lt;&gt;""),COUNTIFS('Leads Pipeline'!$D$5:$D$1004,$A118,'Leads Pipeline'!$E$5:$E$1004,$B118,'Leads Pipeline'!$O$5:$O$1004,"Won"),"")</f>
        <v/>
      </c>
      <c r="G118" s="44" t="str">
        <f aca="false">IF(AND($A118&lt;&gt;"",$B118&lt;&gt;""),SUMIFS('Leads Pipeline'!$U$5:$U$1004,'Leads Pipeline'!$D$5:$D$1004,$A118,'Leads Pipeline'!$E$5:$E$1004,$B118,'Leads Pipeline'!$O$5:$O$1004,"&lt;&gt;Won",'Leads Pipeline'!$O$5:$O$1004,"&lt;&gt;Lost"),"")</f>
        <v/>
      </c>
      <c r="H118" s="43" t="str">
        <f aca="false">IF(AND($A118&lt;&gt;"",$B118&lt;&gt;""),COUNTIFS('Active Clients'!$B$5:$B$504,$A118,'Active Clients'!$C$5:$C$504,$B118,'Active Clients'!$T$5:$T$504,"Active"),"")</f>
        <v/>
      </c>
      <c r="I118" s="44" t="str">
        <f aca="false">IF(AND($A118&lt;&gt;"",$B118&lt;&gt;""),SUMIFS('Active Clients'!$R$5:$R$504,'Active Clients'!$B$5:$B$504,$A118,'Active Clients'!$C$5:$C$504,$B118),"")</f>
        <v/>
      </c>
      <c r="J118" s="43" t="str">
        <f aca="true">IF(AND($A118&lt;&gt;"",$B118&lt;&gt;""),COUNTIFS('Activity Log'!$E$5:$E$3004,$A118,'Activity Log'!$F$5:$F$3004,$B118,'Activity Log'!$A$5:$A$3004,"&gt;="&amp;(TODAY()-29),'Activity Log'!$A$5:$A$3004,"&lt;="&amp;TODAY()),"")</f>
        <v/>
      </c>
    </row>
    <row r="119" customFormat="false" ht="15" hidden="false" customHeight="false" outlineLevel="0" collapsed="false">
      <c r="A119" s="42"/>
      <c r="B119" s="42"/>
      <c r="C119" s="43" t="str">
        <f aca="false">IF(AND($A119&lt;&gt;"",$B119&lt;&gt;""),COUNTIFS('Leads Pipeline'!$D$5:$D$1004,$A119,'Leads Pipeline'!$E$5:$E$1004,$B119,'Leads Pipeline'!$F$5:$F$1004,"&lt;&gt;"),"")</f>
        <v/>
      </c>
      <c r="D119" s="43" t="str">
        <f aca="false">IF(AND($A119&lt;&gt;"",$B119&lt;&gt;""),COUNTIFS('Leads Pipeline'!$D$5:$D$1004,$A119,'Leads Pipeline'!$E$5:$E$1004,$B119,'Leads Pipeline'!$F$5:$F$1004,"&lt;&gt;",'Leads Pipeline'!$O$5:$O$1004,"&lt;&gt;Won",'Leads Pipeline'!$O$5:$O$1004,"&lt;&gt;Lost"),"")</f>
        <v/>
      </c>
      <c r="E119" s="43" t="str">
        <f aca="false">IF(AND($A119&lt;&gt;"",$B119&lt;&gt;""),COUNTIFS('Leads Pipeline'!$D$5:$D$1004,$A119,'Leads Pipeline'!$E$5:$E$1004,$B119,'Leads Pipeline'!$P$5:$P$1004,"Hot",'Leads Pipeline'!$O$5:$O$1004,"&lt;&gt;Won",'Leads Pipeline'!$O$5:$O$1004,"&lt;&gt;Lost"),"")</f>
        <v/>
      </c>
      <c r="F119" s="43" t="str">
        <f aca="false">IF(AND($A119&lt;&gt;"",$B119&lt;&gt;""),COUNTIFS('Leads Pipeline'!$D$5:$D$1004,$A119,'Leads Pipeline'!$E$5:$E$1004,$B119,'Leads Pipeline'!$O$5:$O$1004,"Won"),"")</f>
        <v/>
      </c>
      <c r="G119" s="44" t="str">
        <f aca="false">IF(AND($A119&lt;&gt;"",$B119&lt;&gt;""),SUMIFS('Leads Pipeline'!$U$5:$U$1004,'Leads Pipeline'!$D$5:$D$1004,$A119,'Leads Pipeline'!$E$5:$E$1004,$B119,'Leads Pipeline'!$O$5:$O$1004,"&lt;&gt;Won",'Leads Pipeline'!$O$5:$O$1004,"&lt;&gt;Lost"),"")</f>
        <v/>
      </c>
      <c r="H119" s="43" t="str">
        <f aca="false">IF(AND($A119&lt;&gt;"",$B119&lt;&gt;""),COUNTIFS('Active Clients'!$B$5:$B$504,$A119,'Active Clients'!$C$5:$C$504,$B119,'Active Clients'!$T$5:$T$504,"Active"),"")</f>
        <v/>
      </c>
      <c r="I119" s="44" t="str">
        <f aca="false">IF(AND($A119&lt;&gt;"",$B119&lt;&gt;""),SUMIFS('Active Clients'!$R$5:$R$504,'Active Clients'!$B$5:$B$504,$A119,'Active Clients'!$C$5:$C$504,$B119),"")</f>
        <v/>
      </c>
      <c r="J119" s="43" t="str">
        <f aca="true">IF(AND($A119&lt;&gt;"",$B119&lt;&gt;""),COUNTIFS('Activity Log'!$E$5:$E$3004,$A119,'Activity Log'!$F$5:$F$3004,$B119,'Activity Log'!$A$5:$A$3004,"&gt;="&amp;(TODAY()-29),'Activity Log'!$A$5:$A$3004,"&lt;="&amp;TODAY()),"")</f>
        <v/>
      </c>
    </row>
    <row r="120" customFormat="false" ht="15" hidden="false" customHeight="false" outlineLevel="0" collapsed="false">
      <c r="A120" s="42"/>
      <c r="B120" s="42"/>
      <c r="C120" s="43" t="str">
        <f aca="false">IF(AND($A120&lt;&gt;"",$B120&lt;&gt;""),COUNTIFS('Leads Pipeline'!$D$5:$D$1004,$A120,'Leads Pipeline'!$E$5:$E$1004,$B120,'Leads Pipeline'!$F$5:$F$1004,"&lt;&gt;"),"")</f>
        <v/>
      </c>
      <c r="D120" s="43" t="str">
        <f aca="false">IF(AND($A120&lt;&gt;"",$B120&lt;&gt;""),COUNTIFS('Leads Pipeline'!$D$5:$D$1004,$A120,'Leads Pipeline'!$E$5:$E$1004,$B120,'Leads Pipeline'!$F$5:$F$1004,"&lt;&gt;",'Leads Pipeline'!$O$5:$O$1004,"&lt;&gt;Won",'Leads Pipeline'!$O$5:$O$1004,"&lt;&gt;Lost"),"")</f>
        <v/>
      </c>
      <c r="E120" s="43" t="str">
        <f aca="false">IF(AND($A120&lt;&gt;"",$B120&lt;&gt;""),COUNTIFS('Leads Pipeline'!$D$5:$D$1004,$A120,'Leads Pipeline'!$E$5:$E$1004,$B120,'Leads Pipeline'!$P$5:$P$1004,"Hot",'Leads Pipeline'!$O$5:$O$1004,"&lt;&gt;Won",'Leads Pipeline'!$O$5:$O$1004,"&lt;&gt;Lost"),"")</f>
        <v/>
      </c>
      <c r="F120" s="43" t="str">
        <f aca="false">IF(AND($A120&lt;&gt;"",$B120&lt;&gt;""),COUNTIFS('Leads Pipeline'!$D$5:$D$1004,$A120,'Leads Pipeline'!$E$5:$E$1004,$B120,'Leads Pipeline'!$O$5:$O$1004,"Won"),"")</f>
        <v/>
      </c>
      <c r="G120" s="44" t="str">
        <f aca="false">IF(AND($A120&lt;&gt;"",$B120&lt;&gt;""),SUMIFS('Leads Pipeline'!$U$5:$U$1004,'Leads Pipeline'!$D$5:$D$1004,$A120,'Leads Pipeline'!$E$5:$E$1004,$B120,'Leads Pipeline'!$O$5:$O$1004,"&lt;&gt;Won",'Leads Pipeline'!$O$5:$O$1004,"&lt;&gt;Lost"),"")</f>
        <v/>
      </c>
      <c r="H120" s="43" t="str">
        <f aca="false">IF(AND($A120&lt;&gt;"",$B120&lt;&gt;""),COUNTIFS('Active Clients'!$B$5:$B$504,$A120,'Active Clients'!$C$5:$C$504,$B120,'Active Clients'!$T$5:$T$504,"Active"),"")</f>
        <v/>
      </c>
      <c r="I120" s="44" t="str">
        <f aca="false">IF(AND($A120&lt;&gt;"",$B120&lt;&gt;""),SUMIFS('Active Clients'!$R$5:$R$504,'Active Clients'!$B$5:$B$504,$A120,'Active Clients'!$C$5:$C$504,$B120),"")</f>
        <v/>
      </c>
      <c r="J120" s="43" t="str">
        <f aca="true">IF(AND($A120&lt;&gt;"",$B120&lt;&gt;""),COUNTIFS('Activity Log'!$E$5:$E$3004,$A120,'Activity Log'!$F$5:$F$3004,$B120,'Activity Log'!$A$5:$A$3004,"&gt;="&amp;(TODAY()-29),'Activity Log'!$A$5:$A$3004,"&lt;="&amp;TODAY()),"")</f>
        <v/>
      </c>
    </row>
    <row r="121" customFormat="false" ht="15" hidden="false" customHeight="false" outlineLevel="0" collapsed="false">
      <c r="A121" s="42"/>
      <c r="B121" s="42"/>
      <c r="C121" s="43" t="str">
        <f aca="false">IF(AND($A121&lt;&gt;"",$B121&lt;&gt;""),COUNTIFS('Leads Pipeline'!$D$5:$D$1004,$A121,'Leads Pipeline'!$E$5:$E$1004,$B121,'Leads Pipeline'!$F$5:$F$1004,"&lt;&gt;"),"")</f>
        <v/>
      </c>
      <c r="D121" s="43" t="str">
        <f aca="false">IF(AND($A121&lt;&gt;"",$B121&lt;&gt;""),COUNTIFS('Leads Pipeline'!$D$5:$D$1004,$A121,'Leads Pipeline'!$E$5:$E$1004,$B121,'Leads Pipeline'!$F$5:$F$1004,"&lt;&gt;",'Leads Pipeline'!$O$5:$O$1004,"&lt;&gt;Won",'Leads Pipeline'!$O$5:$O$1004,"&lt;&gt;Lost"),"")</f>
        <v/>
      </c>
      <c r="E121" s="43" t="str">
        <f aca="false">IF(AND($A121&lt;&gt;"",$B121&lt;&gt;""),COUNTIFS('Leads Pipeline'!$D$5:$D$1004,$A121,'Leads Pipeline'!$E$5:$E$1004,$B121,'Leads Pipeline'!$P$5:$P$1004,"Hot",'Leads Pipeline'!$O$5:$O$1004,"&lt;&gt;Won",'Leads Pipeline'!$O$5:$O$1004,"&lt;&gt;Lost"),"")</f>
        <v/>
      </c>
      <c r="F121" s="43" t="str">
        <f aca="false">IF(AND($A121&lt;&gt;"",$B121&lt;&gt;""),COUNTIFS('Leads Pipeline'!$D$5:$D$1004,$A121,'Leads Pipeline'!$E$5:$E$1004,$B121,'Leads Pipeline'!$O$5:$O$1004,"Won"),"")</f>
        <v/>
      </c>
      <c r="G121" s="44" t="str">
        <f aca="false">IF(AND($A121&lt;&gt;"",$B121&lt;&gt;""),SUMIFS('Leads Pipeline'!$U$5:$U$1004,'Leads Pipeline'!$D$5:$D$1004,$A121,'Leads Pipeline'!$E$5:$E$1004,$B121,'Leads Pipeline'!$O$5:$O$1004,"&lt;&gt;Won",'Leads Pipeline'!$O$5:$O$1004,"&lt;&gt;Lost"),"")</f>
        <v/>
      </c>
      <c r="H121" s="43" t="str">
        <f aca="false">IF(AND($A121&lt;&gt;"",$B121&lt;&gt;""),COUNTIFS('Active Clients'!$B$5:$B$504,$A121,'Active Clients'!$C$5:$C$504,$B121,'Active Clients'!$T$5:$T$504,"Active"),"")</f>
        <v/>
      </c>
      <c r="I121" s="44" t="str">
        <f aca="false">IF(AND($A121&lt;&gt;"",$B121&lt;&gt;""),SUMIFS('Active Clients'!$R$5:$R$504,'Active Clients'!$B$5:$B$504,$A121,'Active Clients'!$C$5:$C$504,$B121),"")</f>
        <v/>
      </c>
      <c r="J121" s="43" t="str">
        <f aca="true">IF(AND($A121&lt;&gt;"",$B121&lt;&gt;""),COUNTIFS('Activity Log'!$E$5:$E$3004,$A121,'Activity Log'!$F$5:$F$3004,$B121,'Activity Log'!$A$5:$A$3004,"&gt;="&amp;(TODAY()-29),'Activity Log'!$A$5:$A$3004,"&lt;="&amp;TODAY()),"")</f>
        <v/>
      </c>
    </row>
    <row r="122" customFormat="false" ht="15" hidden="false" customHeight="false" outlineLevel="0" collapsed="false">
      <c r="A122" s="42"/>
      <c r="B122" s="42"/>
      <c r="C122" s="43" t="str">
        <f aca="false">IF(AND($A122&lt;&gt;"",$B122&lt;&gt;""),COUNTIFS('Leads Pipeline'!$D$5:$D$1004,$A122,'Leads Pipeline'!$E$5:$E$1004,$B122,'Leads Pipeline'!$F$5:$F$1004,"&lt;&gt;"),"")</f>
        <v/>
      </c>
      <c r="D122" s="43" t="str">
        <f aca="false">IF(AND($A122&lt;&gt;"",$B122&lt;&gt;""),COUNTIFS('Leads Pipeline'!$D$5:$D$1004,$A122,'Leads Pipeline'!$E$5:$E$1004,$B122,'Leads Pipeline'!$F$5:$F$1004,"&lt;&gt;",'Leads Pipeline'!$O$5:$O$1004,"&lt;&gt;Won",'Leads Pipeline'!$O$5:$O$1004,"&lt;&gt;Lost"),"")</f>
        <v/>
      </c>
      <c r="E122" s="43" t="str">
        <f aca="false">IF(AND($A122&lt;&gt;"",$B122&lt;&gt;""),COUNTIFS('Leads Pipeline'!$D$5:$D$1004,$A122,'Leads Pipeline'!$E$5:$E$1004,$B122,'Leads Pipeline'!$P$5:$P$1004,"Hot",'Leads Pipeline'!$O$5:$O$1004,"&lt;&gt;Won",'Leads Pipeline'!$O$5:$O$1004,"&lt;&gt;Lost"),"")</f>
        <v/>
      </c>
      <c r="F122" s="43" t="str">
        <f aca="false">IF(AND($A122&lt;&gt;"",$B122&lt;&gt;""),COUNTIFS('Leads Pipeline'!$D$5:$D$1004,$A122,'Leads Pipeline'!$E$5:$E$1004,$B122,'Leads Pipeline'!$O$5:$O$1004,"Won"),"")</f>
        <v/>
      </c>
      <c r="G122" s="44" t="str">
        <f aca="false">IF(AND($A122&lt;&gt;"",$B122&lt;&gt;""),SUMIFS('Leads Pipeline'!$U$5:$U$1004,'Leads Pipeline'!$D$5:$D$1004,$A122,'Leads Pipeline'!$E$5:$E$1004,$B122,'Leads Pipeline'!$O$5:$O$1004,"&lt;&gt;Won",'Leads Pipeline'!$O$5:$O$1004,"&lt;&gt;Lost"),"")</f>
        <v/>
      </c>
      <c r="H122" s="43" t="str">
        <f aca="false">IF(AND($A122&lt;&gt;"",$B122&lt;&gt;""),COUNTIFS('Active Clients'!$B$5:$B$504,$A122,'Active Clients'!$C$5:$C$504,$B122,'Active Clients'!$T$5:$T$504,"Active"),"")</f>
        <v/>
      </c>
      <c r="I122" s="44" t="str">
        <f aca="false">IF(AND($A122&lt;&gt;"",$B122&lt;&gt;""),SUMIFS('Active Clients'!$R$5:$R$504,'Active Clients'!$B$5:$B$504,$A122,'Active Clients'!$C$5:$C$504,$B122),"")</f>
        <v/>
      </c>
      <c r="J122" s="43" t="str">
        <f aca="true">IF(AND($A122&lt;&gt;"",$B122&lt;&gt;""),COUNTIFS('Activity Log'!$E$5:$E$3004,$A122,'Activity Log'!$F$5:$F$3004,$B122,'Activity Log'!$A$5:$A$3004,"&gt;="&amp;(TODAY()-29),'Activity Log'!$A$5:$A$3004,"&lt;="&amp;TODAY()),"")</f>
        <v/>
      </c>
    </row>
    <row r="123" customFormat="false" ht="15" hidden="false" customHeight="false" outlineLevel="0" collapsed="false">
      <c r="A123" s="42"/>
      <c r="B123" s="42"/>
      <c r="C123" s="43" t="str">
        <f aca="false">IF(AND($A123&lt;&gt;"",$B123&lt;&gt;""),COUNTIFS('Leads Pipeline'!$D$5:$D$1004,$A123,'Leads Pipeline'!$E$5:$E$1004,$B123,'Leads Pipeline'!$F$5:$F$1004,"&lt;&gt;"),"")</f>
        <v/>
      </c>
      <c r="D123" s="43" t="str">
        <f aca="false">IF(AND($A123&lt;&gt;"",$B123&lt;&gt;""),COUNTIFS('Leads Pipeline'!$D$5:$D$1004,$A123,'Leads Pipeline'!$E$5:$E$1004,$B123,'Leads Pipeline'!$F$5:$F$1004,"&lt;&gt;",'Leads Pipeline'!$O$5:$O$1004,"&lt;&gt;Won",'Leads Pipeline'!$O$5:$O$1004,"&lt;&gt;Lost"),"")</f>
        <v/>
      </c>
      <c r="E123" s="43" t="str">
        <f aca="false">IF(AND($A123&lt;&gt;"",$B123&lt;&gt;""),COUNTIFS('Leads Pipeline'!$D$5:$D$1004,$A123,'Leads Pipeline'!$E$5:$E$1004,$B123,'Leads Pipeline'!$P$5:$P$1004,"Hot",'Leads Pipeline'!$O$5:$O$1004,"&lt;&gt;Won",'Leads Pipeline'!$O$5:$O$1004,"&lt;&gt;Lost"),"")</f>
        <v/>
      </c>
      <c r="F123" s="43" t="str">
        <f aca="false">IF(AND($A123&lt;&gt;"",$B123&lt;&gt;""),COUNTIFS('Leads Pipeline'!$D$5:$D$1004,$A123,'Leads Pipeline'!$E$5:$E$1004,$B123,'Leads Pipeline'!$O$5:$O$1004,"Won"),"")</f>
        <v/>
      </c>
      <c r="G123" s="44" t="str">
        <f aca="false">IF(AND($A123&lt;&gt;"",$B123&lt;&gt;""),SUMIFS('Leads Pipeline'!$U$5:$U$1004,'Leads Pipeline'!$D$5:$D$1004,$A123,'Leads Pipeline'!$E$5:$E$1004,$B123,'Leads Pipeline'!$O$5:$O$1004,"&lt;&gt;Won",'Leads Pipeline'!$O$5:$O$1004,"&lt;&gt;Lost"),"")</f>
        <v/>
      </c>
      <c r="H123" s="43" t="str">
        <f aca="false">IF(AND($A123&lt;&gt;"",$B123&lt;&gt;""),COUNTIFS('Active Clients'!$B$5:$B$504,$A123,'Active Clients'!$C$5:$C$504,$B123,'Active Clients'!$T$5:$T$504,"Active"),"")</f>
        <v/>
      </c>
      <c r="I123" s="44" t="str">
        <f aca="false">IF(AND($A123&lt;&gt;"",$B123&lt;&gt;""),SUMIFS('Active Clients'!$R$5:$R$504,'Active Clients'!$B$5:$B$504,$A123,'Active Clients'!$C$5:$C$504,$B123),"")</f>
        <v/>
      </c>
      <c r="J123" s="43" t="str">
        <f aca="true">IF(AND($A123&lt;&gt;"",$B123&lt;&gt;""),COUNTIFS('Activity Log'!$E$5:$E$3004,$A123,'Activity Log'!$F$5:$F$3004,$B123,'Activity Log'!$A$5:$A$3004,"&gt;="&amp;(TODAY()-29),'Activity Log'!$A$5:$A$3004,"&lt;="&amp;TODAY()),"")</f>
        <v/>
      </c>
    </row>
    <row r="124" customFormat="false" ht="15" hidden="false" customHeight="false" outlineLevel="0" collapsed="false">
      <c r="A124" s="42"/>
      <c r="B124" s="42"/>
      <c r="C124" s="43" t="str">
        <f aca="false">IF(AND($A124&lt;&gt;"",$B124&lt;&gt;""),COUNTIFS('Leads Pipeline'!$D$5:$D$1004,$A124,'Leads Pipeline'!$E$5:$E$1004,$B124,'Leads Pipeline'!$F$5:$F$1004,"&lt;&gt;"),"")</f>
        <v/>
      </c>
      <c r="D124" s="43" t="str">
        <f aca="false">IF(AND($A124&lt;&gt;"",$B124&lt;&gt;""),COUNTIFS('Leads Pipeline'!$D$5:$D$1004,$A124,'Leads Pipeline'!$E$5:$E$1004,$B124,'Leads Pipeline'!$F$5:$F$1004,"&lt;&gt;",'Leads Pipeline'!$O$5:$O$1004,"&lt;&gt;Won",'Leads Pipeline'!$O$5:$O$1004,"&lt;&gt;Lost"),"")</f>
        <v/>
      </c>
      <c r="E124" s="43" t="str">
        <f aca="false">IF(AND($A124&lt;&gt;"",$B124&lt;&gt;""),COUNTIFS('Leads Pipeline'!$D$5:$D$1004,$A124,'Leads Pipeline'!$E$5:$E$1004,$B124,'Leads Pipeline'!$P$5:$P$1004,"Hot",'Leads Pipeline'!$O$5:$O$1004,"&lt;&gt;Won",'Leads Pipeline'!$O$5:$O$1004,"&lt;&gt;Lost"),"")</f>
        <v/>
      </c>
      <c r="F124" s="43" t="str">
        <f aca="false">IF(AND($A124&lt;&gt;"",$B124&lt;&gt;""),COUNTIFS('Leads Pipeline'!$D$5:$D$1004,$A124,'Leads Pipeline'!$E$5:$E$1004,$B124,'Leads Pipeline'!$O$5:$O$1004,"Won"),"")</f>
        <v/>
      </c>
      <c r="G124" s="44" t="str">
        <f aca="false">IF(AND($A124&lt;&gt;"",$B124&lt;&gt;""),SUMIFS('Leads Pipeline'!$U$5:$U$1004,'Leads Pipeline'!$D$5:$D$1004,$A124,'Leads Pipeline'!$E$5:$E$1004,$B124,'Leads Pipeline'!$O$5:$O$1004,"&lt;&gt;Won",'Leads Pipeline'!$O$5:$O$1004,"&lt;&gt;Lost"),"")</f>
        <v/>
      </c>
      <c r="H124" s="43" t="str">
        <f aca="false">IF(AND($A124&lt;&gt;"",$B124&lt;&gt;""),COUNTIFS('Active Clients'!$B$5:$B$504,$A124,'Active Clients'!$C$5:$C$504,$B124,'Active Clients'!$T$5:$T$504,"Active"),"")</f>
        <v/>
      </c>
      <c r="I124" s="44" t="str">
        <f aca="false">IF(AND($A124&lt;&gt;"",$B124&lt;&gt;""),SUMIFS('Active Clients'!$R$5:$R$504,'Active Clients'!$B$5:$B$504,$A124,'Active Clients'!$C$5:$C$504,$B124),"")</f>
        <v/>
      </c>
      <c r="J124" s="43" t="str">
        <f aca="true">IF(AND($A124&lt;&gt;"",$B124&lt;&gt;""),COUNTIFS('Activity Log'!$E$5:$E$3004,$A124,'Activity Log'!$F$5:$F$3004,$B124,'Activity Log'!$A$5:$A$3004,"&gt;="&amp;(TODAY()-29),'Activity Log'!$A$5:$A$3004,"&lt;="&amp;TODAY()),"")</f>
        <v/>
      </c>
    </row>
    <row r="125" customFormat="false" ht="15" hidden="false" customHeight="false" outlineLevel="0" collapsed="false">
      <c r="A125" s="42"/>
      <c r="B125" s="42"/>
      <c r="C125" s="43" t="str">
        <f aca="false">IF(AND($A125&lt;&gt;"",$B125&lt;&gt;""),COUNTIFS('Leads Pipeline'!$D$5:$D$1004,$A125,'Leads Pipeline'!$E$5:$E$1004,$B125,'Leads Pipeline'!$F$5:$F$1004,"&lt;&gt;"),"")</f>
        <v/>
      </c>
      <c r="D125" s="43" t="str">
        <f aca="false">IF(AND($A125&lt;&gt;"",$B125&lt;&gt;""),COUNTIFS('Leads Pipeline'!$D$5:$D$1004,$A125,'Leads Pipeline'!$E$5:$E$1004,$B125,'Leads Pipeline'!$F$5:$F$1004,"&lt;&gt;",'Leads Pipeline'!$O$5:$O$1004,"&lt;&gt;Won",'Leads Pipeline'!$O$5:$O$1004,"&lt;&gt;Lost"),"")</f>
        <v/>
      </c>
      <c r="E125" s="43" t="str">
        <f aca="false">IF(AND($A125&lt;&gt;"",$B125&lt;&gt;""),COUNTIFS('Leads Pipeline'!$D$5:$D$1004,$A125,'Leads Pipeline'!$E$5:$E$1004,$B125,'Leads Pipeline'!$P$5:$P$1004,"Hot",'Leads Pipeline'!$O$5:$O$1004,"&lt;&gt;Won",'Leads Pipeline'!$O$5:$O$1004,"&lt;&gt;Lost"),"")</f>
        <v/>
      </c>
      <c r="F125" s="43" t="str">
        <f aca="false">IF(AND($A125&lt;&gt;"",$B125&lt;&gt;""),COUNTIFS('Leads Pipeline'!$D$5:$D$1004,$A125,'Leads Pipeline'!$E$5:$E$1004,$B125,'Leads Pipeline'!$O$5:$O$1004,"Won"),"")</f>
        <v/>
      </c>
      <c r="G125" s="44" t="str">
        <f aca="false">IF(AND($A125&lt;&gt;"",$B125&lt;&gt;""),SUMIFS('Leads Pipeline'!$U$5:$U$1004,'Leads Pipeline'!$D$5:$D$1004,$A125,'Leads Pipeline'!$E$5:$E$1004,$B125,'Leads Pipeline'!$O$5:$O$1004,"&lt;&gt;Won",'Leads Pipeline'!$O$5:$O$1004,"&lt;&gt;Lost"),"")</f>
        <v/>
      </c>
      <c r="H125" s="43" t="str">
        <f aca="false">IF(AND($A125&lt;&gt;"",$B125&lt;&gt;""),COUNTIFS('Active Clients'!$B$5:$B$504,$A125,'Active Clients'!$C$5:$C$504,$B125,'Active Clients'!$T$5:$T$504,"Active"),"")</f>
        <v/>
      </c>
      <c r="I125" s="44" t="str">
        <f aca="false">IF(AND($A125&lt;&gt;"",$B125&lt;&gt;""),SUMIFS('Active Clients'!$R$5:$R$504,'Active Clients'!$B$5:$B$504,$A125,'Active Clients'!$C$5:$C$504,$B125),"")</f>
        <v/>
      </c>
      <c r="J125" s="43" t="str">
        <f aca="true">IF(AND($A125&lt;&gt;"",$B125&lt;&gt;""),COUNTIFS('Activity Log'!$E$5:$E$3004,$A125,'Activity Log'!$F$5:$F$3004,$B125,'Activity Log'!$A$5:$A$3004,"&gt;="&amp;(TODAY()-29),'Activity Log'!$A$5:$A$3004,"&lt;="&amp;TODAY()),"")</f>
        <v/>
      </c>
    </row>
    <row r="126" customFormat="false" ht="15" hidden="false" customHeight="false" outlineLevel="0" collapsed="false">
      <c r="A126" s="42"/>
      <c r="B126" s="42"/>
      <c r="C126" s="43" t="str">
        <f aca="false">IF(AND($A126&lt;&gt;"",$B126&lt;&gt;""),COUNTIFS('Leads Pipeline'!$D$5:$D$1004,$A126,'Leads Pipeline'!$E$5:$E$1004,$B126,'Leads Pipeline'!$F$5:$F$1004,"&lt;&gt;"),"")</f>
        <v/>
      </c>
      <c r="D126" s="43" t="str">
        <f aca="false">IF(AND($A126&lt;&gt;"",$B126&lt;&gt;""),COUNTIFS('Leads Pipeline'!$D$5:$D$1004,$A126,'Leads Pipeline'!$E$5:$E$1004,$B126,'Leads Pipeline'!$F$5:$F$1004,"&lt;&gt;",'Leads Pipeline'!$O$5:$O$1004,"&lt;&gt;Won",'Leads Pipeline'!$O$5:$O$1004,"&lt;&gt;Lost"),"")</f>
        <v/>
      </c>
      <c r="E126" s="43" t="str">
        <f aca="false">IF(AND($A126&lt;&gt;"",$B126&lt;&gt;""),COUNTIFS('Leads Pipeline'!$D$5:$D$1004,$A126,'Leads Pipeline'!$E$5:$E$1004,$B126,'Leads Pipeline'!$P$5:$P$1004,"Hot",'Leads Pipeline'!$O$5:$O$1004,"&lt;&gt;Won",'Leads Pipeline'!$O$5:$O$1004,"&lt;&gt;Lost"),"")</f>
        <v/>
      </c>
      <c r="F126" s="43" t="str">
        <f aca="false">IF(AND($A126&lt;&gt;"",$B126&lt;&gt;""),COUNTIFS('Leads Pipeline'!$D$5:$D$1004,$A126,'Leads Pipeline'!$E$5:$E$1004,$B126,'Leads Pipeline'!$O$5:$O$1004,"Won"),"")</f>
        <v/>
      </c>
      <c r="G126" s="44" t="str">
        <f aca="false">IF(AND($A126&lt;&gt;"",$B126&lt;&gt;""),SUMIFS('Leads Pipeline'!$U$5:$U$1004,'Leads Pipeline'!$D$5:$D$1004,$A126,'Leads Pipeline'!$E$5:$E$1004,$B126,'Leads Pipeline'!$O$5:$O$1004,"&lt;&gt;Won",'Leads Pipeline'!$O$5:$O$1004,"&lt;&gt;Lost"),"")</f>
        <v/>
      </c>
      <c r="H126" s="43" t="str">
        <f aca="false">IF(AND($A126&lt;&gt;"",$B126&lt;&gt;""),COUNTIFS('Active Clients'!$B$5:$B$504,$A126,'Active Clients'!$C$5:$C$504,$B126,'Active Clients'!$T$5:$T$504,"Active"),"")</f>
        <v/>
      </c>
      <c r="I126" s="44" t="str">
        <f aca="false">IF(AND($A126&lt;&gt;"",$B126&lt;&gt;""),SUMIFS('Active Clients'!$R$5:$R$504,'Active Clients'!$B$5:$B$504,$A126,'Active Clients'!$C$5:$C$504,$B126),"")</f>
        <v/>
      </c>
      <c r="J126" s="43" t="str">
        <f aca="true">IF(AND($A126&lt;&gt;"",$B126&lt;&gt;""),COUNTIFS('Activity Log'!$E$5:$E$3004,$A126,'Activity Log'!$F$5:$F$3004,$B126,'Activity Log'!$A$5:$A$3004,"&gt;="&amp;(TODAY()-29),'Activity Log'!$A$5:$A$3004,"&lt;="&amp;TODAY()),"")</f>
        <v/>
      </c>
    </row>
    <row r="127" customFormat="false" ht="15" hidden="false" customHeight="false" outlineLevel="0" collapsed="false">
      <c r="A127" s="42"/>
      <c r="B127" s="42"/>
      <c r="C127" s="43" t="str">
        <f aca="false">IF(AND($A127&lt;&gt;"",$B127&lt;&gt;""),COUNTIFS('Leads Pipeline'!$D$5:$D$1004,$A127,'Leads Pipeline'!$E$5:$E$1004,$B127,'Leads Pipeline'!$F$5:$F$1004,"&lt;&gt;"),"")</f>
        <v/>
      </c>
      <c r="D127" s="43" t="str">
        <f aca="false">IF(AND($A127&lt;&gt;"",$B127&lt;&gt;""),COUNTIFS('Leads Pipeline'!$D$5:$D$1004,$A127,'Leads Pipeline'!$E$5:$E$1004,$B127,'Leads Pipeline'!$F$5:$F$1004,"&lt;&gt;",'Leads Pipeline'!$O$5:$O$1004,"&lt;&gt;Won",'Leads Pipeline'!$O$5:$O$1004,"&lt;&gt;Lost"),"")</f>
        <v/>
      </c>
      <c r="E127" s="43" t="str">
        <f aca="false">IF(AND($A127&lt;&gt;"",$B127&lt;&gt;""),COUNTIFS('Leads Pipeline'!$D$5:$D$1004,$A127,'Leads Pipeline'!$E$5:$E$1004,$B127,'Leads Pipeline'!$P$5:$P$1004,"Hot",'Leads Pipeline'!$O$5:$O$1004,"&lt;&gt;Won",'Leads Pipeline'!$O$5:$O$1004,"&lt;&gt;Lost"),"")</f>
        <v/>
      </c>
      <c r="F127" s="43" t="str">
        <f aca="false">IF(AND($A127&lt;&gt;"",$B127&lt;&gt;""),COUNTIFS('Leads Pipeline'!$D$5:$D$1004,$A127,'Leads Pipeline'!$E$5:$E$1004,$B127,'Leads Pipeline'!$O$5:$O$1004,"Won"),"")</f>
        <v/>
      </c>
      <c r="G127" s="44" t="str">
        <f aca="false">IF(AND($A127&lt;&gt;"",$B127&lt;&gt;""),SUMIFS('Leads Pipeline'!$U$5:$U$1004,'Leads Pipeline'!$D$5:$D$1004,$A127,'Leads Pipeline'!$E$5:$E$1004,$B127,'Leads Pipeline'!$O$5:$O$1004,"&lt;&gt;Won",'Leads Pipeline'!$O$5:$O$1004,"&lt;&gt;Lost"),"")</f>
        <v/>
      </c>
      <c r="H127" s="43" t="str">
        <f aca="false">IF(AND($A127&lt;&gt;"",$B127&lt;&gt;""),COUNTIFS('Active Clients'!$B$5:$B$504,$A127,'Active Clients'!$C$5:$C$504,$B127,'Active Clients'!$T$5:$T$504,"Active"),"")</f>
        <v/>
      </c>
      <c r="I127" s="44" t="str">
        <f aca="false">IF(AND($A127&lt;&gt;"",$B127&lt;&gt;""),SUMIFS('Active Clients'!$R$5:$R$504,'Active Clients'!$B$5:$B$504,$A127,'Active Clients'!$C$5:$C$504,$B127),"")</f>
        <v/>
      </c>
      <c r="J127" s="43" t="str">
        <f aca="true">IF(AND($A127&lt;&gt;"",$B127&lt;&gt;""),COUNTIFS('Activity Log'!$E$5:$E$3004,$A127,'Activity Log'!$F$5:$F$3004,$B127,'Activity Log'!$A$5:$A$3004,"&gt;="&amp;(TODAY()-29),'Activity Log'!$A$5:$A$3004,"&lt;="&amp;TODAY()),"")</f>
        <v/>
      </c>
    </row>
    <row r="128" customFormat="false" ht="15" hidden="false" customHeight="false" outlineLevel="0" collapsed="false">
      <c r="A128" s="42"/>
      <c r="B128" s="42"/>
      <c r="C128" s="43" t="str">
        <f aca="false">IF(AND($A128&lt;&gt;"",$B128&lt;&gt;""),COUNTIFS('Leads Pipeline'!$D$5:$D$1004,$A128,'Leads Pipeline'!$E$5:$E$1004,$B128,'Leads Pipeline'!$F$5:$F$1004,"&lt;&gt;"),"")</f>
        <v/>
      </c>
      <c r="D128" s="43" t="str">
        <f aca="false">IF(AND($A128&lt;&gt;"",$B128&lt;&gt;""),COUNTIFS('Leads Pipeline'!$D$5:$D$1004,$A128,'Leads Pipeline'!$E$5:$E$1004,$B128,'Leads Pipeline'!$F$5:$F$1004,"&lt;&gt;",'Leads Pipeline'!$O$5:$O$1004,"&lt;&gt;Won",'Leads Pipeline'!$O$5:$O$1004,"&lt;&gt;Lost"),"")</f>
        <v/>
      </c>
      <c r="E128" s="43" t="str">
        <f aca="false">IF(AND($A128&lt;&gt;"",$B128&lt;&gt;""),COUNTIFS('Leads Pipeline'!$D$5:$D$1004,$A128,'Leads Pipeline'!$E$5:$E$1004,$B128,'Leads Pipeline'!$P$5:$P$1004,"Hot",'Leads Pipeline'!$O$5:$O$1004,"&lt;&gt;Won",'Leads Pipeline'!$O$5:$O$1004,"&lt;&gt;Lost"),"")</f>
        <v/>
      </c>
      <c r="F128" s="43" t="str">
        <f aca="false">IF(AND($A128&lt;&gt;"",$B128&lt;&gt;""),COUNTIFS('Leads Pipeline'!$D$5:$D$1004,$A128,'Leads Pipeline'!$E$5:$E$1004,$B128,'Leads Pipeline'!$O$5:$O$1004,"Won"),"")</f>
        <v/>
      </c>
      <c r="G128" s="44" t="str">
        <f aca="false">IF(AND($A128&lt;&gt;"",$B128&lt;&gt;""),SUMIFS('Leads Pipeline'!$U$5:$U$1004,'Leads Pipeline'!$D$5:$D$1004,$A128,'Leads Pipeline'!$E$5:$E$1004,$B128,'Leads Pipeline'!$O$5:$O$1004,"&lt;&gt;Won",'Leads Pipeline'!$O$5:$O$1004,"&lt;&gt;Lost"),"")</f>
        <v/>
      </c>
      <c r="H128" s="43" t="str">
        <f aca="false">IF(AND($A128&lt;&gt;"",$B128&lt;&gt;""),COUNTIFS('Active Clients'!$B$5:$B$504,$A128,'Active Clients'!$C$5:$C$504,$B128,'Active Clients'!$T$5:$T$504,"Active"),"")</f>
        <v/>
      </c>
      <c r="I128" s="44" t="str">
        <f aca="false">IF(AND($A128&lt;&gt;"",$B128&lt;&gt;""),SUMIFS('Active Clients'!$R$5:$R$504,'Active Clients'!$B$5:$B$504,$A128,'Active Clients'!$C$5:$C$504,$B128),"")</f>
        <v/>
      </c>
      <c r="J128" s="43" t="str">
        <f aca="true">IF(AND($A128&lt;&gt;"",$B128&lt;&gt;""),COUNTIFS('Activity Log'!$E$5:$E$3004,$A128,'Activity Log'!$F$5:$F$3004,$B128,'Activity Log'!$A$5:$A$3004,"&gt;="&amp;(TODAY()-29),'Activity Log'!$A$5:$A$3004,"&lt;="&amp;TODAY()),"")</f>
        <v/>
      </c>
    </row>
    <row r="129" customFormat="false" ht="15" hidden="false" customHeight="false" outlineLevel="0" collapsed="false">
      <c r="A129" s="42"/>
      <c r="B129" s="42"/>
      <c r="C129" s="43" t="str">
        <f aca="false">IF(AND($A129&lt;&gt;"",$B129&lt;&gt;""),COUNTIFS('Leads Pipeline'!$D$5:$D$1004,$A129,'Leads Pipeline'!$E$5:$E$1004,$B129,'Leads Pipeline'!$F$5:$F$1004,"&lt;&gt;"),"")</f>
        <v/>
      </c>
      <c r="D129" s="43" t="str">
        <f aca="false">IF(AND($A129&lt;&gt;"",$B129&lt;&gt;""),COUNTIFS('Leads Pipeline'!$D$5:$D$1004,$A129,'Leads Pipeline'!$E$5:$E$1004,$B129,'Leads Pipeline'!$F$5:$F$1004,"&lt;&gt;",'Leads Pipeline'!$O$5:$O$1004,"&lt;&gt;Won",'Leads Pipeline'!$O$5:$O$1004,"&lt;&gt;Lost"),"")</f>
        <v/>
      </c>
      <c r="E129" s="43" t="str">
        <f aca="false">IF(AND($A129&lt;&gt;"",$B129&lt;&gt;""),COUNTIFS('Leads Pipeline'!$D$5:$D$1004,$A129,'Leads Pipeline'!$E$5:$E$1004,$B129,'Leads Pipeline'!$P$5:$P$1004,"Hot",'Leads Pipeline'!$O$5:$O$1004,"&lt;&gt;Won",'Leads Pipeline'!$O$5:$O$1004,"&lt;&gt;Lost"),"")</f>
        <v/>
      </c>
      <c r="F129" s="43" t="str">
        <f aca="false">IF(AND($A129&lt;&gt;"",$B129&lt;&gt;""),COUNTIFS('Leads Pipeline'!$D$5:$D$1004,$A129,'Leads Pipeline'!$E$5:$E$1004,$B129,'Leads Pipeline'!$O$5:$O$1004,"Won"),"")</f>
        <v/>
      </c>
      <c r="G129" s="44" t="str">
        <f aca="false">IF(AND($A129&lt;&gt;"",$B129&lt;&gt;""),SUMIFS('Leads Pipeline'!$U$5:$U$1004,'Leads Pipeline'!$D$5:$D$1004,$A129,'Leads Pipeline'!$E$5:$E$1004,$B129,'Leads Pipeline'!$O$5:$O$1004,"&lt;&gt;Won",'Leads Pipeline'!$O$5:$O$1004,"&lt;&gt;Lost"),"")</f>
        <v/>
      </c>
      <c r="H129" s="43" t="str">
        <f aca="false">IF(AND($A129&lt;&gt;"",$B129&lt;&gt;""),COUNTIFS('Active Clients'!$B$5:$B$504,$A129,'Active Clients'!$C$5:$C$504,$B129,'Active Clients'!$T$5:$T$504,"Active"),"")</f>
        <v/>
      </c>
      <c r="I129" s="44" t="str">
        <f aca="false">IF(AND($A129&lt;&gt;"",$B129&lt;&gt;""),SUMIFS('Active Clients'!$R$5:$R$504,'Active Clients'!$B$5:$B$504,$A129,'Active Clients'!$C$5:$C$504,$B129),"")</f>
        <v/>
      </c>
      <c r="J129" s="43" t="str">
        <f aca="true">IF(AND($A129&lt;&gt;"",$B129&lt;&gt;""),COUNTIFS('Activity Log'!$E$5:$E$3004,$A129,'Activity Log'!$F$5:$F$3004,$B129,'Activity Log'!$A$5:$A$3004,"&gt;="&amp;(TODAY()-29),'Activity Log'!$A$5:$A$3004,"&lt;="&amp;TODAY()),"")</f>
        <v/>
      </c>
    </row>
    <row r="130" customFormat="false" ht="15" hidden="false" customHeight="false" outlineLevel="0" collapsed="false">
      <c r="A130" s="42"/>
      <c r="B130" s="42"/>
      <c r="C130" s="43" t="str">
        <f aca="false">IF(AND($A130&lt;&gt;"",$B130&lt;&gt;""),COUNTIFS('Leads Pipeline'!$D$5:$D$1004,$A130,'Leads Pipeline'!$E$5:$E$1004,$B130,'Leads Pipeline'!$F$5:$F$1004,"&lt;&gt;"),"")</f>
        <v/>
      </c>
      <c r="D130" s="43" t="str">
        <f aca="false">IF(AND($A130&lt;&gt;"",$B130&lt;&gt;""),COUNTIFS('Leads Pipeline'!$D$5:$D$1004,$A130,'Leads Pipeline'!$E$5:$E$1004,$B130,'Leads Pipeline'!$F$5:$F$1004,"&lt;&gt;",'Leads Pipeline'!$O$5:$O$1004,"&lt;&gt;Won",'Leads Pipeline'!$O$5:$O$1004,"&lt;&gt;Lost"),"")</f>
        <v/>
      </c>
      <c r="E130" s="43" t="str">
        <f aca="false">IF(AND($A130&lt;&gt;"",$B130&lt;&gt;""),COUNTIFS('Leads Pipeline'!$D$5:$D$1004,$A130,'Leads Pipeline'!$E$5:$E$1004,$B130,'Leads Pipeline'!$P$5:$P$1004,"Hot",'Leads Pipeline'!$O$5:$O$1004,"&lt;&gt;Won",'Leads Pipeline'!$O$5:$O$1004,"&lt;&gt;Lost"),"")</f>
        <v/>
      </c>
      <c r="F130" s="43" t="str">
        <f aca="false">IF(AND($A130&lt;&gt;"",$B130&lt;&gt;""),COUNTIFS('Leads Pipeline'!$D$5:$D$1004,$A130,'Leads Pipeline'!$E$5:$E$1004,$B130,'Leads Pipeline'!$O$5:$O$1004,"Won"),"")</f>
        <v/>
      </c>
      <c r="G130" s="44" t="str">
        <f aca="false">IF(AND($A130&lt;&gt;"",$B130&lt;&gt;""),SUMIFS('Leads Pipeline'!$U$5:$U$1004,'Leads Pipeline'!$D$5:$D$1004,$A130,'Leads Pipeline'!$E$5:$E$1004,$B130,'Leads Pipeline'!$O$5:$O$1004,"&lt;&gt;Won",'Leads Pipeline'!$O$5:$O$1004,"&lt;&gt;Lost"),"")</f>
        <v/>
      </c>
      <c r="H130" s="43" t="str">
        <f aca="false">IF(AND($A130&lt;&gt;"",$B130&lt;&gt;""),COUNTIFS('Active Clients'!$B$5:$B$504,$A130,'Active Clients'!$C$5:$C$504,$B130,'Active Clients'!$T$5:$T$504,"Active"),"")</f>
        <v/>
      </c>
      <c r="I130" s="44" t="str">
        <f aca="false">IF(AND($A130&lt;&gt;"",$B130&lt;&gt;""),SUMIFS('Active Clients'!$R$5:$R$504,'Active Clients'!$B$5:$B$504,$A130,'Active Clients'!$C$5:$C$504,$B130),"")</f>
        <v/>
      </c>
      <c r="J130" s="43" t="str">
        <f aca="true">IF(AND($A130&lt;&gt;"",$B130&lt;&gt;""),COUNTIFS('Activity Log'!$E$5:$E$3004,$A130,'Activity Log'!$F$5:$F$3004,$B130,'Activity Log'!$A$5:$A$3004,"&gt;="&amp;(TODAY()-29),'Activity Log'!$A$5:$A$3004,"&lt;="&amp;TODAY()),"")</f>
        <v/>
      </c>
    </row>
    <row r="131" customFormat="false" ht="15" hidden="false" customHeight="false" outlineLevel="0" collapsed="false">
      <c r="A131" s="42"/>
      <c r="B131" s="42"/>
      <c r="C131" s="43" t="str">
        <f aca="false">IF(AND($A131&lt;&gt;"",$B131&lt;&gt;""),COUNTIFS('Leads Pipeline'!$D$5:$D$1004,$A131,'Leads Pipeline'!$E$5:$E$1004,$B131,'Leads Pipeline'!$F$5:$F$1004,"&lt;&gt;"),"")</f>
        <v/>
      </c>
      <c r="D131" s="43" t="str">
        <f aca="false">IF(AND($A131&lt;&gt;"",$B131&lt;&gt;""),COUNTIFS('Leads Pipeline'!$D$5:$D$1004,$A131,'Leads Pipeline'!$E$5:$E$1004,$B131,'Leads Pipeline'!$F$5:$F$1004,"&lt;&gt;",'Leads Pipeline'!$O$5:$O$1004,"&lt;&gt;Won",'Leads Pipeline'!$O$5:$O$1004,"&lt;&gt;Lost"),"")</f>
        <v/>
      </c>
      <c r="E131" s="43" t="str">
        <f aca="false">IF(AND($A131&lt;&gt;"",$B131&lt;&gt;""),COUNTIFS('Leads Pipeline'!$D$5:$D$1004,$A131,'Leads Pipeline'!$E$5:$E$1004,$B131,'Leads Pipeline'!$P$5:$P$1004,"Hot",'Leads Pipeline'!$O$5:$O$1004,"&lt;&gt;Won",'Leads Pipeline'!$O$5:$O$1004,"&lt;&gt;Lost"),"")</f>
        <v/>
      </c>
      <c r="F131" s="43" t="str">
        <f aca="false">IF(AND($A131&lt;&gt;"",$B131&lt;&gt;""),COUNTIFS('Leads Pipeline'!$D$5:$D$1004,$A131,'Leads Pipeline'!$E$5:$E$1004,$B131,'Leads Pipeline'!$O$5:$O$1004,"Won"),"")</f>
        <v/>
      </c>
      <c r="G131" s="44" t="str">
        <f aca="false">IF(AND($A131&lt;&gt;"",$B131&lt;&gt;""),SUMIFS('Leads Pipeline'!$U$5:$U$1004,'Leads Pipeline'!$D$5:$D$1004,$A131,'Leads Pipeline'!$E$5:$E$1004,$B131,'Leads Pipeline'!$O$5:$O$1004,"&lt;&gt;Won",'Leads Pipeline'!$O$5:$O$1004,"&lt;&gt;Lost"),"")</f>
        <v/>
      </c>
      <c r="H131" s="43" t="str">
        <f aca="false">IF(AND($A131&lt;&gt;"",$B131&lt;&gt;""),COUNTIFS('Active Clients'!$B$5:$B$504,$A131,'Active Clients'!$C$5:$C$504,$B131,'Active Clients'!$T$5:$T$504,"Active"),"")</f>
        <v/>
      </c>
      <c r="I131" s="44" t="str">
        <f aca="false">IF(AND($A131&lt;&gt;"",$B131&lt;&gt;""),SUMIFS('Active Clients'!$R$5:$R$504,'Active Clients'!$B$5:$B$504,$A131,'Active Clients'!$C$5:$C$504,$B131),"")</f>
        <v/>
      </c>
      <c r="J131" s="43" t="str">
        <f aca="true">IF(AND($A131&lt;&gt;"",$B131&lt;&gt;""),COUNTIFS('Activity Log'!$E$5:$E$3004,$A131,'Activity Log'!$F$5:$F$3004,$B131,'Activity Log'!$A$5:$A$3004,"&gt;="&amp;(TODAY()-29),'Activity Log'!$A$5:$A$3004,"&lt;="&amp;TODAY()),"")</f>
        <v/>
      </c>
    </row>
    <row r="132" customFormat="false" ht="15" hidden="false" customHeight="false" outlineLevel="0" collapsed="false">
      <c r="A132" s="42"/>
      <c r="B132" s="42"/>
      <c r="C132" s="43" t="str">
        <f aca="false">IF(AND($A132&lt;&gt;"",$B132&lt;&gt;""),COUNTIFS('Leads Pipeline'!$D$5:$D$1004,$A132,'Leads Pipeline'!$E$5:$E$1004,$B132,'Leads Pipeline'!$F$5:$F$1004,"&lt;&gt;"),"")</f>
        <v/>
      </c>
      <c r="D132" s="43" t="str">
        <f aca="false">IF(AND($A132&lt;&gt;"",$B132&lt;&gt;""),COUNTIFS('Leads Pipeline'!$D$5:$D$1004,$A132,'Leads Pipeline'!$E$5:$E$1004,$B132,'Leads Pipeline'!$F$5:$F$1004,"&lt;&gt;",'Leads Pipeline'!$O$5:$O$1004,"&lt;&gt;Won",'Leads Pipeline'!$O$5:$O$1004,"&lt;&gt;Lost"),"")</f>
        <v/>
      </c>
      <c r="E132" s="43" t="str">
        <f aca="false">IF(AND($A132&lt;&gt;"",$B132&lt;&gt;""),COUNTIFS('Leads Pipeline'!$D$5:$D$1004,$A132,'Leads Pipeline'!$E$5:$E$1004,$B132,'Leads Pipeline'!$P$5:$P$1004,"Hot",'Leads Pipeline'!$O$5:$O$1004,"&lt;&gt;Won",'Leads Pipeline'!$O$5:$O$1004,"&lt;&gt;Lost"),"")</f>
        <v/>
      </c>
      <c r="F132" s="43" t="str">
        <f aca="false">IF(AND($A132&lt;&gt;"",$B132&lt;&gt;""),COUNTIFS('Leads Pipeline'!$D$5:$D$1004,$A132,'Leads Pipeline'!$E$5:$E$1004,$B132,'Leads Pipeline'!$O$5:$O$1004,"Won"),"")</f>
        <v/>
      </c>
      <c r="G132" s="44" t="str">
        <f aca="false">IF(AND($A132&lt;&gt;"",$B132&lt;&gt;""),SUMIFS('Leads Pipeline'!$U$5:$U$1004,'Leads Pipeline'!$D$5:$D$1004,$A132,'Leads Pipeline'!$E$5:$E$1004,$B132,'Leads Pipeline'!$O$5:$O$1004,"&lt;&gt;Won",'Leads Pipeline'!$O$5:$O$1004,"&lt;&gt;Lost"),"")</f>
        <v/>
      </c>
      <c r="H132" s="43" t="str">
        <f aca="false">IF(AND($A132&lt;&gt;"",$B132&lt;&gt;""),COUNTIFS('Active Clients'!$B$5:$B$504,$A132,'Active Clients'!$C$5:$C$504,$B132,'Active Clients'!$T$5:$T$504,"Active"),"")</f>
        <v/>
      </c>
      <c r="I132" s="44" t="str">
        <f aca="false">IF(AND($A132&lt;&gt;"",$B132&lt;&gt;""),SUMIFS('Active Clients'!$R$5:$R$504,'Active Clients'!$B$5:$B$504,$A132,'Active Clients'!$C$5:$C$504,$B132),"")</f>
        <v/>
      </c>
      <c r="J132" s="43" t="str">
        <f aca="true">IF(AND($A132&lt;&gt;"",$B132&lt;&gt;""),COUNTIFS('Activity Log'!$E$5:$E$3004,$A132,'Activity Log'!$F$5:$F$3004,$B132,'Activity Log'!$A$5:$A$3004,"&gt;="&amp;(TODAY()-29),'Activity Log'!$A$5:$A$3004,"&lt;="&amp;TODAY()),"")</f>
        <v/>
      </c>
    </row>
    <row r="133" customFormat="false" ht="15" hidden="false" customHeight="false" outlineLevel="0" collapsed="false">
      <c r="A133" s="42"/>
      <c r="B133" s="42"/>
      <c r="C133" s="43" t="str">
        <f aca="false">IF(AND($A133&lt;&gt;"",$B133&lt;&gt;""),COUNTIFS('Leads Pipeline'!$D$5:$D$1004,$A133,'Leads Pipeline'!$E$5:$E$1004,$B133,'Leads Pipeline'!$F$5:$F$1004,"&lt;&gt;"),"")</f>
        <v/>
      </c>
      <c r="D133" s="43" t="str">
        <f aca="false">IF(AND($A133&lt;&gt;"",$B133&lt;&gt;""),COUNTIFS('Leads Pipeline'!$D$5:$D$1004,$A133,'Leads Pipeline'!$E$5:$E$1004,$B133,'Leads Pipeline'!$F$5:$F$1004,"&lt;&gt;",'Leads Pipeline'!$O$5:$O$1004,"&lt;&gt;Won",'Leads Pipeline'!$O$5:$O$1004,"&lt;&gt;Lost"),"")</f>
        <v/>
      </c>
      <c r="E133" s="43" t="str">
        <f aca="false">IF(AND($A133&lt;&gt;"",$B133&lt;&gt;""),COUNTIFS('Leads Pipeline'!$D$5:$D$1004,$A133,'Leads Pipeline'!$E$5:$E$1004,$B133,'Leads Pipeline'!$P$5:$P$1004,"Hot",'Leads Pipeline'!$O$5:$O$1004,"&lt;&gt;Won",'Leads Pipeline'!$O$5:$O$1004,"&lt;&gt;Lost"),"")</f>
        <v/>
      </c>
      <c r="F133" s="43" t="str">
        <f aca="false">IF(AND($A133&lt;&gt;"",$B133&lt;&gt;""),COUNTIFS('Leads Pipeline'!$D$5:$D$1004,$A133,'Leads Pipeline'!$E$5:$E$1004,$B133,'Leads Pipeline'!$O$5:$O$1004,"Won"),"")</f>
        <v/>
      </c>
      <c r="G133" s="44" t="str">
        <f aca="false">IF(AND($A133&lt;&gt;"",$B133&lt;&gt;""),SUMIFS('Leads Pipeline'!$U$5:$U$1004,'Leads Pipeline'!$D$5:$D$1004,$A133,'Leads Pipeline'!$E$5:$E$1004,$B133,'Leads Pipeline'!$O$5:$O$1004,"&lt;&gt;Won",'Leads Pipeline'!$O$5:$O$1004,"&lt;&gt;Lost"),"")</f>
        <v/>
      </c>
      <c r="H133" s="43" t="str">
        <f aca="false">IF(AND($A133&lt;&gt;"",$B133&lt;&gt;""),COUNTIFS('Active Clients'!$B$5:$B$504,$A133,'Active Clients'!$C$5:$C$504,$B133,'Active Clients'!$T$5:$T$504,"Active"),"")</f>
        <v/>
      </c>
      <c r="I133" s="44" t="str">
        <f aca="false">IF(AND($A133&lt;&gt;"",$B133&lt;&gt;""),SUMIFS('Active Clients'!$R$5:$R$504,'Active Clients'!$B$5:$B$504,$A133,'Active Clients'!$C$5:$C$504,$B133),"")</f>
        <v/>
      </c>
      <c r="J133" s="43" t="str">
        <f aca="true">IF(AND($A133&lt;&gt;"",$B133&lt;&gt;""),COUNTIFS('Activity Log'!$E$5:$E$3004,$A133,'Activity Log'!$F$5:$F$3004,$B133,'Activity Log'!$A$5:$A$3004,"&gt;="&amp;(TODAY()-29),'Activity Log'!$A$5:$A$3004,"&lt;="&amp;TODAY()),"")</f>
        <v/>
      </c>
    </row>
    <row r="134" customFormat="false" ht="15" hidden="false" customHeight="false" outlineLevel="0" collapsed="false">
      <c r="A134" s="42"/>
      <c r="B134" s="42"/>
      <c r="C134" s="43" t="str">
        <f aca="false">IF(AND($A134&lt;&gt;"",$B134&lt;&gt;""),COUNTIFS('Leads Pipeline'!$D$5:$D$1004,$A134,'Leads Pipeline'!$E$5:$E$1004,$B134,'Leads Pipeline'!$F$5:$F$1004,"&lt;&gt;"),"")</f>
        <v/>
      </c>
      <c r="D134" s="43" t="str">
        <f aca="false">IF(AND($A134&lt;&gt;"",$B134&lt;&gt;""),COUNTIFS('Leads Pipeline'!$D$5:$D$1004,$A134,'Leads Pipeline'!$E$5:$E$1004,$B134,'Leads Pipeline'!$F$5:$F$1004,"&lt;&gt;",'Leads Pipeline'!$O$5:$O$1004,"&lt;&gt;Won",'Leads Pipeline'!$O$5:$O$1004,"&lt;&gt;Lost"),"")</f>
        <v/>
      </c>
      <c r="E134" s="43" t="str">
        <f aca="false">IF(AND($A134&lt;&gt;"",$B134&lt;&gt;""),COUNTIFS('Leads Pipeline'!$D$5:$D$1004,$A134,'Leads Pipeline'!$E$5:$E$1004,$B134,'Leads Pipeline'!$P$5:$P$1004,"Hot",'Leads Pipeline'!$O$5:$O$1004,"&lt;&gt;Won",'Leads Pipeline'!$O$5:$O$1004,"&lt;&gt;Lost"),"")</f>
        <v/>
      </c>
      <c r="F134" s="43" t="str">
        <f aca="false">IF(AND($A134&lt;&gt;"",$B134&lt;&gt;""),COUNTIFS('Leads Pipeline'!$D$5:$D$1004,$A134,'Leads Pipeline'!$E$5:$E$1004,$B134,'Leads Pipeline'!$O$5:$O$1004,"Won"),"")</f>
        <v/>
      </c>
      <c r="G134" s="44" t="str">
        <f aca="false">IF(AND($A134&lt;&gt;"",$B134&lt;&gt;""),SUMIFS('Leads Pipeline'!$U$5:$U$1004,'Leads Pipeline'!$D$5:$D$1004,$A134,'Leads Pipeline'!$E$5:$E$1004,$B134,'Leads Pipeline'!$O$5:$O$1004,"&lt;&gt;Won",'Leads Pipeline'!$O$5:$O$1004,"&lt;&gt;Lost"),"")</f>
        <v/>
      </c>
      <c r="H134" s="43" t="str">
        <f aca="false">IF(AND($A134&lt;&gt;"",$B134&lt;&gt;""),COUNTIFS('Active Clients'!$B$5:$B$504,$A134,'Active Clients'!$C$5:$C$504,$B134,'Active Clients'!$T$5:$T$504,"Active"),"")</f>
        <v/>
      </c>
      <c r="I134" s="44" t="str">
        <f aca="false">IF(AND($A134&lt;&gt;"",$B134&lt;&gt;""),SUMIFS('Active Clients'!$R$5:$R$504,'Active Clients'!$B$5:$B$504,$A134,'Active Clients'!$C$5:$C$504,$B134),"")</f>
        <v/>
      </c>
      <c r="J134" s="43" t="str">
        <f aca="true">IF(AND($A134&lt;&gt;"",$B134&lt;&gt;""),COUNTIFS('Activity Log'!$E$5:$E$3004,$A134,'Activity Log'!$F$5:$F$3004,$B134,'Activity Log'!$A$5:$A$3004,"&gt;="&amp;(TODAY()-29),'Activity Log'!$A$5:$A$3004,"&lt;="&amp;TODAY()),"")</f>
        <v/>
      </c>
    </row>
    <row r="135" customFormat="false" ht="15" hidden="false" customHeight="false" outlineLevel="0" collapsed="false">
      <c r="A135" s="42"/>
      <c r="B135" s="42"/>
      <c r="C135" s="43" t="str">
        <f aca="false">IF(AND($A135&lt;&gt;"",$B135&lt;&gt;""),COUNTIFS('Leads Pipeline'!$D$5:$D$1004,$A135,'Leads Pipeline'!$E$5:$E$1004,$B135,'Leads Pipeline'!$F$5:$F$1004,"&lt;&gt;"),"")</f>
        <v/>
      </c>
      <c r="D135" s="43" t="str">
        <f aca="false">IF(AND($A135&lt;&gt;"",$B135&lt;&gt;""),COUNTIFS('Leads Pipeline'!$D$5:$D$1004,$A135,'Leads Pipeline'!$E$5:$E$1004,$B135,'Leads Pipeline'!$F$5:$F$1004,"&lt;&gt;",'Leads Pipeline'!$O$5:$O$1004,"&lt;&gt;Won",'Leads Pipeline'!$O$5:$O$1004,"&lt;&gt;Lost"),"")</f>
        <v/>
      </c>
      <c r="E135" s="43" t="str">
        <f aca="false">IF(AND($A135&lt;&gt;"",$B135&lt;&gt;""),COUNTIFS('Leads Pipeline'!$D$5:$D$1004,$A135,'Leads Pipeline'!$E$5:$E$1004,$B135,'Leads Pipeline'!$P$5:$P$1004,"Hot",'Leads Pipeline'!$O$5:$O$1004,"&lt;&gt;Won",'Leads Pipeline'!$O$5:$O$1004,"&lt;&gt;Lost"),"")</f>
        <v/>
      </c>
      <c r="F135" s="43" t="str">
        <f aca="false">IF(AND($A135&lt;&gt;"",$B135&lt;&gt;""),COUNTIFS('Leads Pipeline'!$D$5:$D$1004,$A135,'Leads Pipeline'!$E$5:$E$1004,$B135,'Leads Pipeline'!$O$5:$O$1004,"Won"),"")</f>
        <v/>
      </c>
      <c r="G135" s="44" t="str">
        <f aca="false">IF(AND($A135&lt;&gt;"",$B135&lt;&gt;""),SUMIFS('Leads Pipeline'!$U$5:$U$1004,'Leads Pipeline'!$D$5:$D$1004,$A135,'Leads Pipeline'!$E$5:$E$1004,$B135,'Leads Pipeline'!$O$5:$O$1004,"&lt;&gt;Won",'Leads Pipeline'!$O$5:$O$1004,"&lt;&gt;Lost"),"")</f>
        <v/>
      </c>
      <c r="H135" s="43" t="str">
        <f aca="false">IF(AND($A135&lt;&gt;"",$B135&lt;&gt;""),COUNTIFS('Active Clients'!$B$5:$B$504,$A135,'Active Clients'!$C$5:$C$504,$B135,'Active Clients'!$T$5:$T$504,"Active"),"")</f>
        <v/>
      </c>
      <c r="I135" s="44" t="str">
        <f aca="false">IF(AND($A135&lt;&gt;"",$B135&lt;&gt;""),SUMIFS('Active Clients'!$R$5:$R$504,'Active Clients'!$B$5:$B$504,$A135,'Active Clients'!$C$5:$C$504,$B135),"")</f>
        <v/>
      </c>
      <c r="J135" s="43" t="str">
        <f aca="true">IF(AND($A135&lt;&gt;"",$B135&lt;&gt;""),COUNTIFS('Activity Log'!$E$5:$E$3004,$A135,'Activity Log'!$F$5:$F$3004,$B135,'Activity Log'!$A$5:$A$3004,"&gt;="&amp;(TODAY()-29),'Activity Log'!$A$5:$A$3004,"&lt;="&amp;TODAY()),"")</f>
        <v/>
      </c>
    </row>
    <row r="136" customFormat="false" ht="15" hidden="false" customHeight="false" outlineLevel="0" collapsed="false">
      <c r="A136" s="42"/>
      <c r="B136" s="42"/>
      <c r="C136" s="43" t="str">
        <f aca="false">IF(AND($A136&lt;&gt;"",$B136&lt;&gt;""),COUNTIFS('Leads Pipeline'!$D$5:$D$1004,$A136,'Leads Pipeline'!$E$5:$E$1004,$B136,'Leads Pipeline'!$F$5:$F$1004,"&lt;&gt;"),"")</f>
        <v/>
      </c>
      <c r="D136" s="43" t="str">
        <f aca="false">IF(AND($A136&lt;&gt;"",$B136&lt;&gt;""),COUNTIFS('Leads Pipeline'!$D$5:$D$1004,$A136,'Leads Pipeline'!$E$5:$E$1004,$B136,'Leads Pipeline'!$F$5:$F$1004,"&lt;&gt;",'Leads Pipeline'!$O$5:$O$1004,"&lt;&gt;Won",'Leads Pipeline'!$O$5:$O$1004,"&lt;&gt;Lost"),"")</f>
        <v/>
      </c>
      <c r="E136" s="43" t="str">
        <f aca="false">IF(AND($A136&lt;&gt;"",$B136&lt;&gt;""),COUNTIFS('Leads Pipeline'!$D$5:$D$1004,$A136,'Leads Pipeline'!$E$5:$E$1004,$B136,'Leads Pipeline'!$P$5:$P$1004,"Hot",'Leads Pipeline'!$O$5:$O$1004,"&lt;&gt;Won",'Leads Pipeline'!$O$5:$O$1004,"&lt;&gt;Lost"),"")</f>
        <v/>
      </c>
      <c r="F136" s="43" t="str">
        <f aca="false">IF(AND($A136&lt;&gt;"",$B136&lt;&gt;""),COUNTIFS('Leads Pipeline'!$D$5:$D$1004,$A136,'Leads Pipeline'!$E$5:$E$1004,$B136,'Leads Pipeline'!$O$5:$O$1004,"Won"),"")</f>
        <v/>
      </c>
      <c r="G136" s="44" t="str">
        <f aca="false">IF(AND($A136&lt;&gt;"",$B136&lt;&gt;""),SUMIFS('Leads Pipeline'!$U$5:$U$1004,'Leads Pipeline'!$D$5:$D$1004,$A136,'Leads Pipeline'!$E$5:$E$1004,$B136,'Leads Pipeline'!$O$5:$O$1004,"&lt;&gt;Won",'Leads Pipeline'!$O$5:$O$1004,"&lt;&gt;Lost"),"")</f>
        <v/>
      </c>
      <c r="H136" s="43" t="str">
        <f aca="false">IF(AND($A136&lt;&gt;"",$B136&lt;&gt;""),COUNTIFS('Active Clients'!$B$5:$B$504,$A136,'Active Clients'!$C$5:$C$504,$B136,'Active Clients'!$T$5:$T$504,"Active"),"")</f>
        <v/>
      </c>
      <c r="I136" s="44" t="str">
        <f aca="false">IF(AND($A136&lt;&gt;"",$B136&lt;&gt;""),SUMIFS('Active Clients'!$R$5:$R$504,'Active Clients'!$B$5:$B$504,$A136,'Active Clients'!$C$5:$C$504,$B136),"")</f>
        <v/>
      </c>
      <c r="J136" s="43" t="str">
        <f aca="true">IF(AND($A136&lt;&gt;"",$B136&lt;&gt;""),COUNTIFS('Activity Log'!$E$5:$E$3004,$A136,'Activity Log'!$F$5:$F$3004,$B136,'Activity Log'!$A$5:$A$3004,"&gt;="&amp;(TODAY()-29),'Activity Log'!$A$5:$A$3004,"&lt;="&amp;TODAY()),"")</f>
        <v/>
      </c>
    </row>
    <row r="137" customFormat="false" ht="15" hidden="false" customHeight="false" outlineLevel="0" collapsed="false">
      <c r="A137" s="42"/>
      <c r="B137" s="42"/>
      <c r="C137" s="43" t="str">
        <f aca="false">IF(AND($A137&lt;&gt;"",$B137&lt;&gt;""),COUNTIFS('Leads Pipeline'!$D$5:$D$1004,$A137,'Leads Pipeline'!$E$5:$E$1004,$B137,'Leads Pipeline'!$F$5:$F$1004,"&lt;&gt;"),"")</f>
        <v/>
      </c>
      <c r="D137" s="43" t="str">
        <f aca="false">IF(AND($A137&lt;&gt;"",$B137&lt;&gt;""),COUNTIFS('Leads Pipeline'!$D$5:$D$1004,$A137,'Leads Pipeline'!$E$5:$E$1004,$B137,'Leads Pipeline'!$F$5:$F$1004,"&lt;&gt;",'Leads Pipeline'!$O$5:$O$1004,"&lt;&gt;Won",'Leads Pipeline'!$O$5:$O$1004,"&lt;&gt;Lost"),"")</f>
        <v/>
      </c>
      <c r="E137" s="43" t="str">
        <f aca="false">IF(AND($A137&lt;&gt;"",$B137&lt;&gt;""),COUNTIFS('Leads Pipeline'!$D$5:$D$1004,$A137,'Leads Pipeline'!$E$5:$E$1004,$B137,'Leads Pipeline'!$P$5:$P$1004,"Hot",'Leads Pipeline'!$O$5:$O$1004,"&lt;&gt;Won",'Leads Pipeline'!$O$5:$O$1004,"&lt;&gt;Lost"),"")</f>
        <v/>
      </c>
      <c r="F137" s="43" t="str">
        <f aca="false">IF(AND($A137&lt;&gt;"",$B137&lt;&gt;""),COUNTIFS('Leads Pipeline'!$D$5:$D$1004,$A137,'Leads Pipeline'!$E$5:$E$1004,$B137,'Leads Pipeline'!$O$5:$O$1004,"Won"),"")</f>
        <v/>
      </c>
      <c r="G137" s="44" t="str">
        <f aca="false">IF(AND($A137&lt;&gt;"",$B137&lt;&gt;""),SUMIFS('Leads Pipeline'!$U$5:$U$1004,'Leads Pipeline'!$D$5:$D$1004,$A137,'Leads Pipeline'!$E$5:$E$1004,$B137,'Leads Pipeline'!$O$5:$O$1004,"&lt;&gt;Won",'Leads Pipeline'!$O$5:$O$1004,"&lt;&gt;Lost"),"")</f>
        <v/>
      </c>
      <c r="H137" s="43" t="str">
        <f aca="false">IF(AND($A137&lt;&gt;"",$B137&lt;&gt;""),COUNTIFS('Active Clients'!$B$5:$B$504,$A137,'Active Clients'!$C$5:$C$504,$B137,'Active Clients'!$T$5:$T$504,"Active"),"")</f>
        <v/>
      </c>
      <c r="I137" s="44" t="str">
        <f aca="false">IF(AND($A137&lt;&gt;"",$B137&lt;&gt;""),SUMIFS('Active Clients'!$R$5:$R$504,'Active Clients'!$B$5:$B$504,$A137,'Active Clients'!$C$5:$C$504,$B137),"")</f>
        <v/>
      </c>
      <c r="J137" s="43" t="str">
        <f aca="true">IF(AND($A137&lt;&gt;"",$B137&lt;&gt;""),COUNTIFS('Activity Log'!$E$5:$E$3004,$A137,'Activity Log'!$F$5:$F$3004,$B137,'Activity Log'!$A$5:$A$3004,"&gt;="&amp;(TODAY()-29),'Activity Log'!$A$5:$A$3004,"&lt;="&amp;TODAY()),"")</f>
        <v/>
      </c>
    </row>
    <row r="138" customFormat="false" ht="15" hidden="false" customHeight="false" outlineLevel="0" collapsed="false">
      <c r="A138" s="42"/>
      <c r="B138" s="42"/>
      <c r="C138" s="43" t="str">
        <f aca="false">IF(AND($A138&lt;&gt;"",$B138&lt;&gt;""),COUNTIFS('Leads Pipeline'!$D$5:$D$1004,$A138,'Leads Pipeline'!$E$5:$E$1004,$B138,'Leads Pipeline'!$F$5:$F$1004,"&lt;&gt;"),"")</f>
        <v/>
      </c>
      <c r="D138" s="43" t="str">
        <f aca="false">IF(AND($A138&lt;&gt;"",$B138&lt;&gt;""),COUNTIFS('Leads Pipeline'!$D$5:$D$1004,$A138,'Leads Pipeline'!$E$5:$E$1004,$B138,'Leads Pipeline'!$F$5:$F$1004,"&lt;&gt;",'Leads Pipeline'!$O$5:$O$1004,"&lt;&gt;Won",'Leads Pipeline'!$O$5:$O$1004,"&lt;&gt;Lost"),"")</f>
        <v/>
      </c>
      <c r="E138" s="43" t="str">
        <f aca="false">IF(AND($A138&lt;&gt;"",$B138&lt;&gt;""),COUNTIFS('Leads Pipeline'!$D$5:$D$1004,$A138,'Leads Pipeline'!$E$5:$E$1004,$B138,'Leads Pipeline'!$P$5:$P$1004,"Hot",'Leads Pipeline'!$O$5:$O$1004,"&lt;&gt;Won",'Leads Pipeline'!$O$5:$O$1004,"&lt;&gt;Lost"),"")</f>
        <v/>
      </c>
      <c r="F138" s="43" t="str">
        <f aca="false">IF(AND($A138&lt;&gt;"",$B138&lt;&gt;""),COUNTIFS('Leads Pipeline'!$D$5:$D$1004,$A138,'Leads Pipeline'!$E$5:$E$1004,$B138,'Leads Pipeline'!$O$5:$O$1004,"Won"),"")</f>
        <v/>
      </c>
      <c r="G138" s="44" t="str">
        <f aca="false">IF(AND($A138&lt;&gt;"",$B138&lt;&gt;""),SUMIFS('Leads Pipeline'!$U$5:$U$1004,'Leads Pipeline'!$D$5:$D$1004,$A138,'Leads Pipeline'!$E$5:$E$1004,$B138,'Leads Pipeline'!$O$5:$O$1004,"&lt;&gt;Won",'Leads Pipeline'!$O$5:$O$1004,"&lt;&gt;Lost"),"")</f>
        <v/>
      </c>
      <c r="H138" s="43" t="str">
        <f aca="false">IF(AND($A138&lt;&gt;"",$B138&lt;&gt;""),COUNTIFS('Active Clients'!$B$5:$B$504,$A138,'Active Clients'!$C$5:$C$504,$B138,'Active Clients'!$T$5:$T$504,"Active"),"")</f>
        <v/>
      </c>
      <c r="I138" s="44" t="str">
        <f aca="false">IF(AND($A138&lt;&gt;"",$B138&lt;&gt;""),SUMIFS('Active Clients'!$R$5:$R$504,'Active Clients'!$B$5:$B$504,$A138,'Active Clients'!$C$5:$C$504,$B138),"")</f>
        <v/>
      </c>
      <c r="J138" s="43" t="str">
        <f aca="true">IF(AND($A138&lt;&gt;"",$B138&lt;&gt;""),COUNTIFS('Activity Log'!$E$5:$E$3004,$A138,'Activity Log'!$F$5:$F$3004,$B138,'Activity Log'!$A$5:$A$3004,"&gt;="&amp;(TODAY()-29),'Activity Log'!$A$5:$A$3004,"&lt;="&amp;TODAY()),"")</f>
        <v/>
      </c>
    </row>
    <row r="139" customFormat="false" ht="15" hidden="false" customHeight="false" outlineLevel="0" collapsed="false">
      <c r="A139" s="42"/>
      <c r="B139" s="42"/>
      <c r="C139" s="43" t="str">
        <f aca="false">IF(AND($A139&lt;&gt;"",$B139&lt;&gt;""),COUNTIFS('Leads Pipeline'!$D$5:$D$1004,$A139,'Leads Pipeline'!$E$5:$E$1004,$B139,'Leads Pipeline'!$F$5:$F$1004,"&lt;&gt;"),"")</f>
        <v/>
      </c>
      <c r="D139" s="43" t="str">
        <f aca="false">IF(AND($A139&lt;&gt;"",$B139&lt;&gt;""),COUNTIFS('Leads Pipeline'!$D$5:$D$1004,$A139,'Leads Pipeline'!$E$5:$E$1004,$B139,'Leads Pipeline'!$F$5:$F$1004,"&lt;&gt;",'Leads Pipeline'!$O$5:$O$1004,"&lt;&gt;Won",'Leads Pipeline'!$O$5:$O$1004,"&lt;&gt;Lost"),"")</f>
        <v/>
      </c>
      <c r="E139" s="43" t="str">
        <f aca="false">IF(AND($A139&lt;&gt;"",$B139&lt;&gt;""),COUNTIFS('Leads Pipeline'!$D$5:$D$1004,$A139,'Leads Pipeline'!$E$5:$E$1004,$B139,'Leads Pipeline'!$P$5:$P$1004,"Hot",'Leads Pipeline'!$O$5:$O$1004,"&lt;&gt;Won",'Leads Pipeline'!$O$5:$O$1004,"&lt;&gt;Lost"),"")</f>
        <v/>
      </c>
      <c r="F139" s="43" t="str">
        <f aca="false">IF(AND($A139&lt;&gt;"",$B139&lt;&gt;""),COUNTIFS('Leads Pipeline'!$D$5:$D$1004,$A139,'Leads Pipeline'!$E$5:$E$1004,$B139,'Leads Pipeline'!$O$5:$O$1004,"Won"),"")</f>
        <v/>
      </c>
      <c r="G139" s="44" t="str">
        <f aca="false">IF(AND($A139&lt;&gt;"",$B139&lt;&gt;""),SUMIFS('Leads Pipeline'!$U$5:$U$1004,'Leads Pipeline'!$D$5:$D$1004,$A139,'Leads Pipeline'!$E$5:$E$1004,$B139,'Leads Pipeline'!$O$5:$O$1004,"&lt;&gt;Won",'Leads Pipeline'!$O$5:$O$1004,"&lt;&gt;Lost"),"")</f>
        <v/>
      </c>
      <c r="H139" s="43" t="str">
        <f aca="false">IF(AND($A139&lt;&gt;"",$B139&lt;&gt;""),COUNTIFS('Active Clients'!$B$5:$B$504,$A139,'Active Clients'!$C$5:$C$504,$B139,'Active Clients'!$T$5:$T$504,"Active"),"")</f>
        <v/>
      </c>
      <c r="I139" s="44" t="str">
        <f aca="false">IF(AND($A139&lt;&gt;"",$B139&lt;&gt;""),SUMIFS('Active Clients'!$R$5:$R$504,'Active Clients'!$B$5:$B$504,$A139,'Active Clients'!$C$5:$C$504,$B139),"")</f>
        <v/>
      </c>
      <c r="J139" s="43" t="str">
        <f aca="true">IF(AND($A139&lt;&gt;"",$B139&lt;&gt;""),COUNTIFS('Activity Log'!$E$5:$E$3004,$A139,'Activity Log'!$F$5:$F$3004,$B139,'Activity Log'!$A$5:$A$3004,"&gt;="&amp;(TODAY()-29),'Activity Log'!$A$5:$A$3004,"&lt;="&amp;TODAY()),"")</f>
        <v/>
      </c>
    </row>
    <row r="140" customFormat="false" ht="15" hidden="false" customHeight="false" outlineLevel="0" collapsed="false">
      <c r="A140" s="42"/>
      <c r="B140" s="42"/>
      <c r="C140" s="43" t="str">
        <f aca="false">IF(AND($A140&lt;&gt;"",$B140&lt;&gt;""),COUNTIFS('Leads Pipeline'!$D$5:$D$1004,$A140,'Leads Pipeline'!$E$5:$E$1004,$B140,'Leads Pipeline'!$F$5:$F$1004,"&lt;&gt;"),"")</f>
        <v/>
      </c>
      <c r="D140" s="43" t="str">
        <f aca="false">IF(AND($A140&lt;&gt;"",$B140&lt;&gt;""),COUNTIFS('Leads Pipeline'!$D$5:$D$1004,$A140,'Leads Pipeline'!$E$5:$E$1004,$B140,'Leads Pipeline'!$F$5:$F$1004,"&lt;&gt;",'Leads Pipeline'!$O$5:$O$1004,"&lt;&gt;Won",'Leads Pipeline'!$O$5:$O$1004,"&lt;&gt;Lost"),"")</f>
        <v/>
      </c>
      <c r="E140" s="43" t="str">
        <f aca="false">IF(AND($A140&lt;&gt;"",$B140&lt;&gt;""),COUNTIFS('Leads Pipeline'!$D$5:$D$1004,$A140,'Leads Pipeline'!$E$5:$E$1004,$B140,'Leads Pipeline'!$P$5:$P$1004,"Hot",'Leads Pipeline'!$O$5:$O$1004,"&lt;&gt;Won",'Leads Pipeline'!$O$5:$O$1004,"&lt;&gt;Lost"),"")</f>
        <v/>
      </c>
      <c r="F140" s="43" t="str">
        <f aca="false">IF(AND($A140&lt;&gt;"",$B140&lt;&gt;""),COUNTIFS('Leads Pipeline'!$D$5:$D$1004,$A140,'Leads Pipeline'!$E$5:$E$1004,$B140,'Leads Pipeline'!$O$5:$O$1004,"Won"),"")</f>
        <v/>
      </c>
      <c r="G140" s="44" t="str">
        <f aca="false">IF(AND($A140&lt;&gt;"",$B140&lt;&gt;""),SUMIFS('Leads Pipeline'!$U$5:$U$1004,'Leads Pipeline'!$D$5:$D$1004,$A140,'Leads Pipeline'!$E$5:$E$1004,$B140,'Leads Pipeline'!$O$5:$O$1004,"&lt;&gt;Won",'Leads Pipeline'!$O$5:$O$1004,"&lt;&gt;Lost"),"")</f>
        <v/>
      </c>
      <c r="H140" s="43" t="str">
        <f aca="false">IF(AND($A140&lt;&gt;"",$B140&lt;&gt;""),COUNTIFS('Active Clients'!$B$5:$B$504,$A140,'Active Clients'!$C$5:$C$504,$B140,'Active Clients'!$T$5:$T$504,"Active"),"")</f>
        <v/>
      </c>
      <c r="I140" s="44" t="str">
        <f aca="false">IF(AND($A140&lt;&gt;"",$B140&lt;&gt;""),SUMIFS('Active Clients'!$R$5:$R$504,'Active Clients'!$B$5:$B$504,$A140,'Active Clients'!$C$5:$C$504,$B140),"")</f>
        <v/>
      </c>
      <c r="J140" s="43" t="str">
        <f aca="true">IF(AND($A140&lt;&gt;"",$B140&lt;&gt;""),COUNTIFS('Activity Log'!$E$5:$E$3004,$A140,'Activity Log'!$F$5:$F$3004,$B140,'Activity Log'!$A$5:$A$3004,"&gt;="&amp;(TODAY()-29),'Activity Log'!$A$5:$A$3004,"&lt;="&amp;TODAY()),"")</f>
        <v/>
      </c>
    </row>
    <row r="141" customFormat="false" ht="15" hidden="false" customHeight="false" outlineLevel="0" collapsed="false">
      <c r="A141" s="42"/>
      <c r="B141" s="42"/>
      <c r="C141" s="43" t="str">
        <f aca="false">IF(AND($A141&lt;&gt;"",$B141&lt;&gt;""),COUNTIFS('Leads Pipeline'!$D$5:$D$1004,$A141,'Leads Pipeline'!$E$5:$E$1004,$B141,'Leads Pipeline'!$F$5:$F$1004,"&lt;&gt;"),"")</f>
        <v/>
      </c>
      <c r="D141" s="43" t="str">
        <f aca="false">IF(AND($A141&lt;&gt;"",$B141&lt;&gt;""),COUNTIFS('Leads Pipeline'!$D$5:$D$1004,$A141,'Leads Pipeline'!$E$5:$E$1004,$B141,'Leads Pipeline'!$F$5:$F$1004,"&lt;&gt;",'Leads Pipeline'!$O$5:$O$1004,"&lt;&gt;Won",'Leads Pipeline'!$O$5:$O$1004,"&lt;&gt;Lost"),"")</f>
        <v/>
      </c>
      <c r="E141" s="43" t="str">
        <f aca="false">IF(AND($A141&lt;&gt;"",$B141&lt;&gt;""),COUNTIFS('Leads Pipeline'!$D$5:$D$1004,$A141,'Leads Pipeline'!$E$5:$E$1004,$B141,'Leads Pipeline'!$P$5:$P$1004,"Hot",'Leads Pipeline'!$O$5:$O$1004,"&lt;&gt;Won",'Leads Pipeline'!$O$5:$O$1004,"&lt;&gt;Lost"),"")</f>
        <v/>
      </c>
      <c r="F141" s="43" t="str">
        <f aca="false">IF(AND($A141&lt;&gt;"",$B141&lt;&gt;""),COUNTIFS('Leads Pipeline'!$D$5:$D$1004,$A141,'Leads Pipeline'!$E$5:$E$1004,$B141,'Leads Pipeline'!$O$5:$O$1004,"Won"),"")</f>
        <v/>
      </c>
      <c r="G141" s="44" t="str">
        <f aca="false">IF(AND($A141&lt;&gt;"",$B141&lt;&gt;""),SUMIFS('Leads Pipeline'!$U$5:$U$1004,'Leads Pipeline'!$D$5:$D$1004,$A141,'Leads Pipeline'!$E$5:$E$1004,$B141,'Leads Pipeline'!$O$5:$O$1004,"&lt;&gt;Won",'Leads Pipeline'!$O$5:$O$1004,"&lt;&gt;Lost"),"")</f>
        <v/>
      </c>
      <c r="H141" s="43" t="str">
        <f aca="false">IF(AND($A141&lt;&gt;"",$B141&lt;&gt;""),COUNTIFS('Active Clients'!$B$5:$B$504,$A141,'Active Clients'!$C$5:$C$504,$B141,'Active Clients'!$T$5:$T$504,"Active"),"")</f>
        <v/>
      </c>
      <c r="I141" s="44" t="str">
        <f aca="false">IF(AND($A141&lt;&gt;"",$B141&lt;&gt;""),SUMIFS('Active Clients'!$R$5:$R$504,'Active Clients'!$B$5:$B$504,$A141,'Active Clients'!$C$5:$C$504,$B141),"")</f>
        <v/>
      </c>
      <c r="J141" s="43" t="str">
        <f aca="true">IF(AND($A141&lt;&gt;"",$B141&lt;&gt;""),COUNTIFS('Activity Log'!$E$5:$E$3004,$A141,'Activity Log'!$F$5:$F$3004,$B141,'Activity Log'!$A$5:$A$3004,"&gt;="&amp;(TODAY()-29),'Activity Log'!$A$5:$A$3004,"&lt;="&amp;TODAY()),"")</f>
        <v/>
      </c>
    </row>
    <row r="142" customFormat="false" ht="15" hidden="false" customHeight="false" outlineLevel="0" collapsed="false">
      <c r="A142" s="42"/>
      <c r="B142" s="42"/>
      <c r="C142" s="43" t="str">
        <f aca="false">IF(AND($A142&lt;&gt;"",$B142&lt;&gt;""),COUNTIFS('Leads Pipeline'!$D$5:$D$1004,$A142,'Leads Pipeline'!$E$5:$E$1004,$B142,'Leads Pipeline'!$F$5:$F$1004,"&lt;&gt;"),"")</f>
        <v/>
      </c>
      <c r="D142" s="43" t="str">
        <f aca="false">IF(AND($A142&lt;&gt;"",$B142&lt;&gt;""),COUNTIFS('Leads Pipeline'!$D$5:$D$1004,$A142,'Leads Pipeline'!$E$5:$E$1004,$B142,'Leads Pipeline'!$F$5:$F$1004,"&lt;&gt;",'Leads Pipeline'!$O$5:$O$1004,"&lt;&gt;Won",'Leads Pipeline'!$O$5:$O$1004,"&lt;&gt;Lost"),"")</f>
        <v/>
      </c>
      <c r="E142" s="43" t="str">
        <f aca="false">IF(AND($A142&lt;&gt;"",$B142&lt;&gt;""),COUNTIFS('Leads Pipeline'!$D$5:$D$1004,$A142,'Leads Pipeline'!$E$5:$E$1004,$B142,'Leads Pipeline'!$P$5:$P$1004,"Hot",'Leads Pipeline'!$O$5:$O$1004,"&lt;&gt;Won",'Leads Pipeline'!$O$5:$O$1004,"&lt;&gt;Lost"),"")</f>
        <v/>
      </c>
      <c r="F142" s="43" t="str">
        <f aca="false">IF(AND($A142&lt;&gt;"",$B142&lt;&gt;""),COUNTIFS('Leads Pipeline'!$D$5:$D$1004,$A142,'Leads Pipeline'!$E$5:$E$1004,$B142,'Leads Pipeline'!$O$5:$O$1004,"Won"),"")</f>
        <v/>
      </c>
      <c r="G142" s="44" t="str">
        <f aca="false">IF(AND($A142&lt;&gt;"",$B142&lt;&gt;""),SUMIFS('Leads Pipeline'!$U$5:$U$1004,'Leads Pipeline'!$D$5:$D$1004,$A142,'Leads Pipeline'!$E$5:$E$1004,$B142,'Leads Pipeline'!$O$5:$O$1004,"&lt;&gt;Won",'Leads Pipeline'!$O$5:$O$1004,"&lt;&gt;Lost"),"")</f>
        <v/>
      </c>
      <c r="H142" s="43" t="str">
        <f aca="false">IF(AND($A142&lt;&gt;"",$B142&lt;&gt;""),COUNTIFS('Active Clients'!$B$5:$B$504,$A142,'Active Clients'!$C$5:$C$504,$B142,'Active Clients'!$T$5:$T$504,"Active"),"")</f>
        <v/>
      </c>
      <c r="I142" s="44" t="str">
        <f aca="false">IF(AND($A142&lt;&gt;"",$B142&lt;&gt;""),SUMIFS('Active Clients'!$R$5:$R$504,'Active Clients'!$B$5:$B$504,$A142,'Active Clients'!$C$5:$C$504,$B142),"")</f>
        <v/>
      </c>
      <c r="J142" s="43" t="str">
        <f aca="true">IF(AND($A142&lt;&gt;"",$B142&lt;&gt;""),COUNTIFS('Activity Log'!$E$5:$E$3004,$A142,'Activity Log'!$F$5:$F$3004,$B142,'Activity Log'!$A$5:$A$3004,"&gt;="&amp;(TODAY()-29),'Activity Log'!$A$5:$A$3004,"&lt;="&amp;TODAY()),"")</f>
        <v/>
      </c>
    </row>
    <row r="143" customFormat="false" ht="15" hidden="false" customHeight="false" outlineLevel="0" collapsed="false">
      <c r="A143" s="42"/>
      <c r="B143" s="42"/>
      <c r="C143" s="43" t="str">
        <f aca="false">IF(AND($A143&lt;&gt;"",$B143&lt;&gt;""),COUNTIFS('Leads Pipeline'!$D$5:$D$1004,$A143,'Leads Pipeline'!$E$5:$E$1004,$B143,'Leads Pipeline'!$F$5:$F$1004,"&lt;&gt;"),"")</f>
        <v/>
      </c>
      <c r="D143" s="43" t="str">
        <f aca="false">IF(AND($A143&lt;&gt;"",$B143&lt;&gt;""),COUNTIFS('Leads Pipeline'!$D$5:$D$1004,$A143,'Leads Pipeline'!$E$5:$E$1004,$B143,'Leads Pipeline'!$F$5:$F$1004,"&lt;&gt;",'Leads Pipeline'!$O$5:$O$1004,"&lt;&gt;Won",'Leads Pipeline'!$O$5:$O$1004,"&lt;&gt;Lost"),"")</f>
        <v/>
      </c>
      <c r="E143" s="43" t="str">
        <f aca="false">IF(AND($A143&lt;&gt;"",$B143&lt;&gt;""),COUNTIFS('Leads Pipeline'!$D$5:$D$1004,$A143,'Leads Pipeline'!$E$5:$E$1004,$B143,'Leads Pipeline'!$P$5:$P$1004,"Hot",'Leads Pipeline'!$O$5:$O$1004,"&lt;&gt;Won",'Leads Pipeline'!$O$5:$O$1004,"&lt;&gt;Lost"),"")</f>
        <v/>
      </c>
      <c r="F143" s="43" t="str">
        <f aca="false">IF(AND($A143&lt;&gt;"",$B143&lt;&gt;""),COUNTIFS('Leads Pipeline'!$D$5:$D$1004,$A143,'Leads Pipeline'!$E$5:$E$1004,$B143,'Leads Pipeline'!$O$5:$O$1004,"Won"),"")</f>
        <v/>
      </c>
      <c r="G143" s="44" t="str">
        <f aca="false">IF(AND($A143&lt;&gt;"",$B143&lt;&gt;""),SUMIFS('Leads Pipeline'!$U$5:$U$1004,'Leads Pipeline'!$D$5:$D$1004,$A143,'Leads Pipeline'!$E$5:$E$1004,$B143,'Leads Pipeline'!$O$5:$O$1004,"&lt;&gt;Won",'Leads Pipeline'!$O$5:$O$1004,"&lt;&gt;Lost"),"")</f>
        <v/>
      </c>
      <c r="H143" s="43" t="str">
        <f aca="false">IF(AND($A143&lt;&gt;"",$B143&lt;&gt;""),COUNTIFS('Active Clients'!$B$5:$B$504,$A143,'Active Clients'!$C$5:$C$504,$B143,'Active Clients'!$T$5:$T$504,"Active"),"")</f>
        <v/>
      </c>
      <c r="I143" s="44" t="str">
        <f aca="false">IF(AND($A143&lt;&gt;"",$B143&lt;&gt;""),SUMIFS('Active Clients'!$R$5:$R$504,'Active Clients'!$B$5:$B$504,$A143,'Active Clients'!$C$5:$C$504,$B143),"")</f>
        <v/>
      </c>
      <c r="J143" s="43" t="str">
        <f aca="true">IF(AND($A143&lt;&gt;"",$B143&lt;&gt;""),COUNTIFS('Activity Log'!$E$5:$E$3004,$A143,'Activity Log'!$F$5:$F$3004,$B143,'Activity Log'!$A$5:$A$3004,"&gt;="&amp;(TODAY()-29),'Activity Log'!$A$5:$A$3004,"&lt;="&amp;TODAY()),"")</f>
        <v/>
      </c>
    </row>
    <row r="144" customFormat="false" ht="15" hidden="false" customHeight="false" outlineLevel="0" collapsed="false">
      <c r="A144" s="42"/>
      <c r="B144" s="42"/>
      <c r="C144" s="43" t="str">
        <f aca="false">IF(AND($A144&lt;&gt;"",$B144&lt;&gt;""),COUNTIFS('Leads Pipeline'!$D$5:$D$1004,$A144,'Leads Pipeline'!$E$5:$E$1004,$B144,'Leads Pipeline'!$F$5:$F$1004,"&lt;&gt;"),"")</f>
        <v/>
      </c>
      <c r="D144" s="43" t="str">
        <f aca="false">IF(AND($A144&lt;&gt;"",$B144&lt;&gt;""),COUNTIFS('Leads Pipeline'!$D$5:$D$1004,$A144,'Leads Pipeline'!$E$5:$E$1004,$B144,'Leads Pipeline'!$F$5:$F$1004,"&lt;&gt;",'Leads Pipeline'!$O$5:$O$1004,"&lt;&gt;Won",'Leads Pipeline'!$O$5:$O$1004,"&lt;&gt;Lost"),"")</f>
        <v/>
      </c>
      <c r="E144" s="43" t="str">
        <f aca="false">IF(AND($A144&lt;&gt;"",$B144&lt;&gt;""),COUNTIFS('Leads Pipeline'!$D$5:$D$1004,$A144,'Leads Pipeline'!$E$5:$E$1004,$B144,'Leads Pipeline'!$P$5:$P$1004,"Hot",'Leads Pipeline'!$O$5:$O$1004,"&lt;&gt;Won",'Leads Pipeline'!$O$5:$O$1004,"&lt;&gt;Lost"),"")</f>
        <v/>
      </c>
      <c r="F144" s="43" t="str">
        <f aca="false">IF(AND($A144&lt;&gt;"",$B144&lt;&gt;""),COUNTIFS('Leads Pipeline'!$D$5:$D$1004,$A144,'Leads Pipeline'!$E$5:$E$1004,$B144,'Leads Pipeline'!$O$5:$O$1004,"Won"),"")</f>
        <v/>
      </c>
      <c r="G144" s="44" t="str">
        <f aca="false">IF(AND($A144&lt;&gt;"",$B144&lt;&gt;""),SUMIFS('Leads Pipeline'!$U$5:$U$1004,'Leads Pipeline'!$D$5:$D$1004,$A144,'Leads Pipeline'!$E$5:$E$1004,$B144,'Leads Pipeline'!$O$5:$O$1004,"&lt;&gt;Won",'Leads Pipeline'!$O$5:$O$1004,"&lt;&gt;Lost"),"")</f>
        <v/>
      </c>
      <c r="H144" s="43" t="str">
        <f aca="false">IF(AND($A144&lt;&gt;"",$B144&lt;&gt;""),COUNTIFS('Active Clients'!$B$5:$B$504,$A144,'Active Clients'!$C$5:$C$504,$B144,'Active Clients'!$T$5:$T$504,"Active"),"")</f>
        <v/>
      </c>
      <c r="I144" s="44" t="str">
        <f aca="false">IF(AND($A144&lt;&gt;"",$B144&lt;&gt;""),SUMIFS('Active Clients'!$R$5:$R$504,'Active Clients'!$B$5:$B$504,$A144,'Active Clients'!$C$5:$C$504,$B144),"")</f>
        <v/>
      </c>
      <c r="J144" s="43" t="str">
        <f aca="true">IF(AND($A144&lt;&gt;"",$B144&lt;&gt;""),COUNTIFS('Activity Log'!$E$5:$E$3004,$A144,'Activity Log'!$F$5:$F$3004,$B144,'Activity Log'!$A$5:$A$3004,"&gt;="&amp;(TODAY()-29),'Activity Log'!$A$5:$A$3004,"&lt;="&amp;TODAY()),"")</f>
        <v/>
      </c>
    </row>
    <row r="145" customFormat="false" ht="15" hidden="false" customHeight="false" outlineLevel="0" collapsed="false">
      <c r="A145" s="42"/>
      <c r="B145" s="42"/>
      <c r="C145" s="43" t="str">
        <f aca="false">IF(AND($A145&lt;&gt;"",$B145&lt;&gt;""),COUNTIFS('Leads Pipeline'!$D$5:$D$1004,$A145,'Leads Pipeline'!$E$5:$E$1004,$B145,'Leads Pipeline'!$F$5:$F$1004,"&lt;&gt;"),"")</f>
        <v/>
      </c>
      <c r="D145" s="43" t="str">
        <f aca="false">IF(AND($A145&lt;&gt;"",$B145&lt;&gt;""),COUNTIFS('Leads Pipeline'!$D$5:$D$1004,$A145,'Leads Pipeline'!$E$5:$E$1004,$B145,'Leads Pipeline'!$F$5:$F$1004,"&lt;&gt;",'Leads Pipeline'!$O$5:$O$1004,"&lt;&gt;Won",'Leads Pipeline'!$O$5:$O$1004,"&lt;&gt;Lost"),"")</f>
        <v/>
      </c>
      <c r="E145" s="43" t="str">
        <f aca="false">IF(AND($A145&lt;&gt;"",$B145&lt;&gt;""),COUNTIFS('Leads Pipeline'!$D$5:$D$1004,$A145,'Leads Pipeline'!$E$5:$E$1004,$B145,'Leads Pipeline'!$P$5:$P$1004,"Hot",'Leads Pipeline'!$O$5:$O$1004,"&lt;&gt;Won",'Leads Pipeline'!$O$5:$O$1004,"&lt;&gt;Lost"),"")</f>
        <v/>
      </c>
      <c r="F145" s="43" t="str">
        <f aca="false">IF(AND($A145&lt;&gt;"",$B145&lt;&gt;""),COUNTIFS('Leads Pipeline'!$D$5:$D$1004,$A145,'Leads Pipeline'!$E$5:$E$1004,$B145,'Leads Pipeline'!$O$5:$O$1004,"Won"),"")</f>
        <v/>
      </c>
      <c r="G145" s="44" t="str">
        <f aca="false">IF(AND($A145&lt;&gt;"",$B145&lt;&gt;""),SUMIFS('Leads Pipeline'!$U$5:$U$1004,'Leads Pipeline'!$D$5:$D$1004,$A145,'Leads Pipeline'!$E$5:$E$1004,$B145,'Leads Pipeline'!$O$5:$O$1004,"&lt;&gt;Won",'Leads Pipeline'!$O$5:$O$1004,"&lt;&gt;Lost"),"")</f>
        <v/>
      </c>
      <c r="H145" s="43" t="str">
        <f aca="false">IF(AND($A145&lt;&gt;"",$B145&lt;&gt;""),COUNTIFS('Active Clients'!$B$5:$B$504,$A145,'Active Clients'!$C$5:$C$504,$B145,'Active Clients'!$T$5:$T$504,"Active"),"")</f>
        <v/>
      </c>
      <c r="I145" s="44" t="str">
        <f aca="false">IF(AND($A145&lt;&gt;"",$B145&lt;&gt;""),SUMIFS('Active Clients'!$R$5:$R$504,'Active Clients'!$B$5:$B$504,$A145,'Active Clients'!$C$5:$C$504,$B145),"")</f>
        <v/>
      </c>
      <c r="J145" s="43" t="str">
        <f aca="true">IF(AND($A145&lt;&gt;"",$B145&lt;&gt;""),COUNTIFS('Activity Log'!$E$5:$E$3004,$A145,'Activity Log'!$F$5:$F$3004,$B145,'Activity Log'!$A$5:$A$3004,"&gt;="&amp;(TODAY()-29),'Activity Log'!$A$5:$A$3004,"&lt;="&amp;TODAY()),"")</f>
        <v/>
      </c>
    </row>
    <row r="146" customFormat="false" ht="15" hidden="false" customHeight="false" outlineLevel="0" collapsed="false">
      <c r="A146" s="42"/>
      <c r="B146" s="42"/>
      <c r="C146" s="43" t="str">
        <f aca="false">IF(AND($A146&lt;&gt;"",$B146&lt;&gt;""),COUNTIFS('Leads Pipeline'!$D$5:$D$1004,$A146,'Leads Pipeline'!$E$5:$E$1004,$B146,'Leads Pipeline'!$F$5:$F$1004,"&lt;&gt;"),"")</f>
        <v/>
      </c>
      <c r="D146" s="43" t="str">
        <f aca="false">IF(AND($A146&lt;&gt;"",$B146&lt;&gt;""),COUNTIFS('Leads Pipeline'!$D$5:$D$1004,$A146,'Leads Pipeline'!$E$5:$E$1004,$B146,'Leads Pipeline'!$F$5:$F$1004,"&lt;&gt;",'Leads Pipeline'!$O$5:$O$1004,"&lt;&gt;Won",'Leads Pipeline'!$O$5:$O$1004,"&lt;&gt;Lost"),"")</f>
        <v/>
      </c>
      <c r="E146" s="43" t="str">
        <f aca="false">IF(AND($A146&lt;&gt;"",$B146&lt;&gt;""),COUNTIFS('Leads Pipeline'!$D$5:$D$1004,$A146,'Leads Pipeline'!$E$5:$E$1004,$B146,'Leads Pipeline'!$P$5:$P$1004,"Hot",'Leads Pipeline'!$O$5:$O$1004,"&lt;&gt;Won",'Leads Pipeline'!$O$5:$O$1004,"&lt;&gt;Lost"),"")</f>
        <v/>
      </c>
      <c r="F146" s="43" t="str">
        <f aca="false">IF(AND($A146&lt;&gt;"",$B146&lt;&gt;""),COUNTIFS('Leads Pipeline'!$D$5:$D$1004,$A146,'Leads Pipeline'!$E$5:$E$1004,$B146,'Leads Pipeline'!$O$5:$O$1004,"Won"),"")</f>
        <v/>
      </c>
      <c r="G146" s="44" t="str">
        <f aca="false">IF(AND($A146&lt;&gt;"",$B146&lt;&gt;""),SUMIFS('Leads Pipeline'!$U$5:$U$1004,'Leads Pipeline'!$D$5:$D$1004,$A146,'Leads Pipeline'!$E$5:$E$1004,$B146,'Leads Pipeline'!$O$5:$O$1004,"&lt;&gt;Won",'Leads Pipeline'!$O$5:$O$1004,"&lt;&gt;Lost"),"")</f>
        <v/>
      </c>
      <c r="H146" s="43" t="str">
        <f aca="false">IF(AND($A146&lt;&gt;"",$B146&lt;&gt;""),COUNTIFS('Active Clients'!$B$5:$B$504,$A146,'Active Clients'!$C$5:$C$504,$B146,'Active Clients'!$T$5:$T$504,"Active"),"")</f>
        <v/>
      </c>
      <c r="I146" s="44" t="str">
        <f aca="false">IF(AND($A146&lt;&gt;"",$B146&lt;&gt;""),SUMIFS('Active Clients'!$R$5:$R$504,'Active Clients'!$B$5:$B$504,$A146,'Active Clients'!$C$5:$C$504,$B146),"")</f>
        <v/>
      </c>
      <c r="J146" s="43" t="str">
        <f aca="true">IF(AND($A146&lt;&gt;"",$B146&lt;&gt;""),COUNTIFS('Activity Log'!$E$5:$E$3004,$A146,'Activity Log'!$F$5:$F$3004,$B146,'Activity Log'!$A$5:$A$3004,"&gt;="&amp;(TODAY()-29),'Activity Log'!$A$5:$A$3004,"&lt;="&amp;TODAY()),"")</f>
        <v/>
      </c>
    </row>
    <row r="147" customFormat="false" ht="15" hidden="false" customHeight="false" outlineLevel="0" collapsed="false">
      <c r="A147" s="42"/>
      <c r="B147" s="42"/>
      <c r="C147" s="43" t="str">
        <f aca="false">IF(AND($A147&lt;&gt;"",$B147&lt;&gt;""),COUNTIFS('Leads Pipeline'!$D$5:$D$1004,$A147,'Leads Pipeline'!$E$5:$E$1004,$B147,'Leads Pipeline'!$F$5:$F$1004,"&lt;&gt;"),"")</f>
        <v/>
      </c>
      <c r="D147" s="43" t="str">
        <f aca="false">IF(AND($A147&lt;&gt;"",$B147&lt;&gt;""),COUNTIFS('Leads Pipeline'!$D$5:$D$1004,$A147,'Leads Pipeline'!$E$5:$E$1004,$B147,'Leads Pipeline'!$F$5:$F$1004,"&lt;&gt;",'Leads Pipeline'!$O$5:$O$1004,"&lt;&gt;Won",'Leads Pipeline'!$O$5:$O$1004,"&lt;&gt;Lost"),"")</f>
        <v/>
      </c>
      <c r="E147" s="43" t="str">
        <f aca="false">IF(AND($A147&lt;&gt;"",$B147&lt;&gt;""),COUNTIFS('Leads Pipeline'!$D$5:$D$1004,$A147,'Leads Pipeline'!$E$5:$E$1004,$B147,'Leads Pipeline'!$P$5:$P$1004,"Hot",'Leads Pipeline'!$O$5:$O$1004,"&lt;&gt;Won",'Leads Pipeline'!$O$5:$O$1004,"&lt;&gt;Lost"),"")</f>
        <v/>
      </c>
      <c r="F147" s="43" t="str">
        <f aca="false">IF(AND($A147&lt;&gt;"",$B147&lt;&gt;""),COUNTIFS('Leads Pipeline'!$D$5:$D$1004,$A147,'Leads Pipeline'!$E$5:$E$1004,$B147,'Leads Pipeline'!$O$5:$O$1004,"Won"),"")</f>
        <v/>
      </c>
      <c r="G147" s="44" t="str">
        <f aca="false">IF(AND($A147&lt;&gt;"",$B147&lt;&gt;""),SUMIFS('Leads Pipeline'!$U$5:$U$1004,'Leads Pipeline'!$D$5:$D$1004,$A147,'Leads Pipeline'!$E$5:$E$1004,$B147,'Leads Pipeline'!$O$5:$O$1004,"&lt;&gt;Won",'Leads Pipeline'!$O$5:$O$1004,"&lt;&gt;Lost"),"")</f>
        <v/>
      </c>
      <c r="H147" s="43" t="str">
        <f aca="false">IF(AND($A147&lt;&gt;"",$B147&lt;&gt;""),COUNTIFS('Active Clients'!$B$5:$B$504,$A147,'Active Clients'!$C$5:$C$504,$B147,'Active Clients'!$T$5:$T$504,"Active"),"")</f>
        <v/>
      </c>
      <c r="I147" s="44" t="str">
        <f aca="false">IF(AND($A147&lt;&gt;"",$B147&lt;&gt;""),SUMIFS('Active Clients'!$R$5:$R$504,'Active Clients'!$B$5:$B$504,$A147,'Active Clients'!$C$5:$C$504,$B147),"")</f>
        <v/>
      </c>
      <c r="J147" s="43" t="str">
        <f aca="true">IF(AND($A147&lt;&gt;"",$B147&lt;&gt;""),COUNTIFS('Activity Log'!$E$5:$E$3004,$A147,'Activity Log'!$F$5:$F$3004,$B147,'Activity Log'!$A$5:$A$3004,"&gt;="&amp;(TODAY()-29),'Activity Log'!$A$5:$A$3004,"&lt;="&amp;TODAY()),"")</f>
        <v/>
      </c>
    </row>
    <row r="148" customFormat="false" ht="15" hidden="false" customHeight="false" outlineLevel="0" collapsed="false">
      <c r="A148" s="42"/>
      <c r="B148" s="42"/>
      <c r="C148" s="43" t="str">
        <f aca="false">IF(AND($A148&lt;&gt;"",$B148&lt;&gt;""),COUNTIFS('Leads Pipeline'!$D$5:$D$1004,$A148,'Leads Pipeline'!$E$5:$E$1004,$B148,'Leads Pipeline'!$F$5:$F$1004,"&lt;&gt;"),"")</f>
        <v/>
      </c>
      <c r="D148" s="43" t="str">
        <f aca="false">IF(AND($A148&lt;&gt;"",$B148&lt;&gt;""),COUNTIFS('Leads Pipeline'!$D$5:$D$1004,$A148,'Leads Pipeline'!$E$5:$E$1004,$B148,'Leads Pipeline'!$F$5:$F$1004,"&lt;&gt;",'Leads Pipeline'!$O$5:$O$1004,"&lt;&gt;Won",'Leads Pipeline'!$O$5:$O$1004,"&lt;&gt;Lost"),"")</f>
        <v/>
      </c>
      <c r="E148" s="43" t="str">
        <f aca="false">IF(AND($A148&lt;&gt;"",$B148&lt;&gt;""),COUNTIFS('Leads Pipeline'!$D$5:$D$1004,$A148,'Leads Pipeline'!$E$5:$E$1004,$B148,'Leads Pipeline'!$P$5:$P$1004,"Hot",'Leads Pipeline'!$O$5:$O$1004,"&lt;&gt;Won",'Leads Pipeline'!$O$5:$O$1004,"&lt;&gt;Lost"),"")</f>
        <v/>
      </c>
      <c r="F148" s="43" t="str">
        <f aca="false">IF(AND($A148&lt;&gt;"",$B148&lt;&gt;""),COUNTIFS('Leads Pipeline'!$D$5:$D$1004,$A148,'Leads Pipeline'!$E$5:$E$1004,$B148,'Leads Pipeline'!$O$5:$O$1004,"Won"),"")</f>
        <v/>
      </c>
      <c r="G148" s="44" t="str">
        <f aca="false">IF(AND($A148&lt;&gt;"",$B148&lt;&gt;""),SUMIFS('Leads Pipeline'!$U$5:$U$1004,'Leads Pipeline'!$D$5:$D$1004,$A148,'Leads Pipeline'!$E$5:$E$1004,$B148,'Leads Pipeline'!$O$5:$O$1004,"&lt;&gt;Won",'Leads Pipeline'!$O$5:$O$1004,"&lt;&gt;Lost"),"")</f>
        <v/>
      </c>
      <c r="H148" s="43" t="str">
        <f aca="false">IF(AND($A148&lt;&gt;"",$B148&lt;&gt;""),COUNTIFS('Active Clients'!$B$5:$B$504,$A148,'Active Clients'!$C$5:$C$504,$B148,'Active Clients'!$T$5:$T$504,"Active"),"")</f>
        <v/>
      </c>
      <c r="I148" s="44" t="str">
        <f aca="false">IF(AND($A148&lt;&gt;"",$B148&lt;&gt;""),SUMIFS('Active Clients'!$R$5:$R$504,'Active Clients'!$B$5:$B$504,$A148,'Active Clients'!$C$5:$C$504,$B148),"")</f>
        <v/>
      </c>
      <c r="J148" s="43" t="str">
        <f aca="true">IF(AND($A148&lt;&gt;"",$B148&lt;&gt;""),COUNTIFS('Activity Log'!$E$5:$E$3004,$A148,'Activity Log'!$F$5:$F$3004,$B148,'Activity Log'!$A$5:$A$3004,"&gt;="&amp;(TODAY()-29),'Activity Log'!$A$5:$A$3004,"&lt;="&amp;TODAY()),"")</f>
        <v/>
      </c>
    </row>
    <row r="149" customFormat="false" ht="15" hidden="false" customHeight="false" outlineLevel="0" collapsed="false">
      <c r="A149" s="42"/>
      <c r="B149" s="42"/>
      <c r="C149" s="43" t="str">
        <f aca="false">IF(AND($A149&lt;&gt;"",$B149&lt;&gt;""),COUNTIFS('Leads Pipeline'!$D$5:$D$1004,$A149,'Leads Pipeline'!$E$5:$E$1004,$B149,'Leads Pipeline'!$F$5:$F$1004,"&lt;&gt;"),"")</f>
        <v/>
      </c>
      <c r="D149" s="43" t="str">
        <f aca="false">IF(AND($A149&lt;&gt;"",$B149&lt;&gt;""),COUNTIFS('Leads Pipeline'!$D$5:$D$1004,$A149,'Leads Pipeline'!$E$5:$E$1004,$B149,'Leads Pipeline'!$F$5:$F$1004,"&lt;&gt;",'Leads Pipeline'!$O$5:$O$1004,"&lt;&gt;Won",'Leads Pipeline'!$O$5:$O$1004,"&lt;&gt;Lost"),"")</f>
        <v/>
      </c>
      <c r="E149" s="43" t="str">
        <f aca="false">IF(AND($A149&lt;&gt;"",$B149&lt;&gt;""),COUNTIFS('Leads Pipeline'!$D$5:$D$1004,$A149,'Leads Pipeline'!$E$5:$E$1004,$B149,'Leads Pipeline'!$P$5:$P$1004,"Hot",'Leads Pipeline'!$O$5:$O$1004,"&lt;&gt;Won",'Leads Pipeline'!$O$5:$O$1004,"&lt;&gt;Lost"),"")</f>
        <v/>
      </c>
      <c r="F149" s="43" t="str">
        <f aca="false">IF(AND($A149&lt;&gt;"",$B149&lt;&gt;""),COUNTIFS('Leads Pipeline'!$D$5:$D$1004,$A149,'Leads Pipeline'!$E$5:$E$1004,$B149,'Leads Pipeline'!$O$5:$O$1004,"Won"),"")</f>
        <v/>
      </c>
      <c r="G149" s="44" t="str">
        <f aca="false">IF(AND($A149&lt;&gt;"",$B149&lt;&gt;""),SUMIFS('Leads Pipeline'!$U$5:$U$1004,'Leads Pipeline'!$D$5:$D$1004,$A149,'Leads Pipeline'!$E$5:$E$1004,$B149,'Leads Pipeline'!$O$5:$O$1004,"&lt;&gt;Won",'Leads Pipeline'!$O$5:$O$1004,"&lt;&gt;Lost"),"")</f>
        <v/>
      </c>
      <c r="H149" s="43" t="str">
        <f aca="false">IF(AND($A149&lt;&gt;"",$B149&lt;&gt;""),COUNTIFS('Active Clients'!$B$5:$B$504,$A149,'Active Clients'!$C$5:$C$504,$B149,'Active Clients'!$T$5:$T$504,"Active"),"")</f>
        <v/>
      </c>
      <c r="I149" s="44" t="str">
        <f aca="false">IF(AND($A149&lt;&gt;"",$B149&lt;&gt;""),SUMIFS('Active Clients'!$R$5:$R$504,'Active Clients'!$B$5:$B$504,$A149,'Active Clients'!$C$5:$C$504,$B149),"")</f>
        <v/>
      </c>
      <c r="J149" s="43" t="str">
        <f aca="true">IF(AND($A149&lt;&gt;"",$B149&lt;&gt;""),COUNTIFS('Activity Log'!$E$5:$E$3004,$A149,'Activity Log'!$F$5:$F$3004,$B149,'Activity Log'!$A$5:$A$3004,"&gt;="&amp;(TODAY()-29),'Activity Log'!$A$5:$A$3004,"&lt;="&amp;TODAY()),"")</f>
        <v/>
      </c>
    </row>
    <row r="150" customFormat="false" ht="15" hidden="false" customHeight="false" outlineLevel="0" collapsed="false">
      <c r="A150" s="42"/>
      <c r="B150" s="42"/>
      <c r="C150" s="43" t="str">
        <f aca="false">IF(AND($A150&lt;&gt;"",$B150&lt;&gt;""),COUNTIFS('Leads Pipeline'!$D$5:$D$1004,$A150,'Leads Pipeline'!$E$5:$E$1004,$B150,'Leads Pipeline'!$F$5:$F$1004,"&lt;&gt;"),"")</f>
        <v/>
      </c>
      <c r="D150" s="43" t="str">
        <f aca="false">IF(AND($A150&lt;&gt;"",$B150&lt;&gt;""),COUNTIFS('Leads Pipeline'!$D$5:$D$1004,$A150,'Leads Pipeline'!$E$5:$E$1004,$B150,'Leads Pipeline'!$F$5:$F$1004,"&lt;&gt;",'Leads Pipeline'!$O$5:$O$1004,"&lt;&gt;Won",'Leads Pipeline'!$O$5:$O$1004,"&lt;&gt;Lost"),"")</f>
        <v/>
      </c>
      <c r="E150" s="43" t="str">
        <f aca="false">IF(AND($A150&lt;&gt;"",$B150&lt;&gt;""),COUNTIFS('Leads Pipeline'!$D$5:$D$1004,$A150,'Leads Pipeline'!$E$5:$E$1004,$B150,'Leads Pipeline'!$P$5:$P$1004,"Hot",'Leads Pipeline'!$O$5:$O$1004,"&lt;&gt;Won",'Leads Pipeline'!$O$5:$O$1004,"&lt;&gt;Lost"),"")</f>
        <v/>
      </c>
      <c r="F150" s="43" t="str">
        <f aca="false">IF(AND($A150&lt;&gt;"",$B150&lt;&gt;""),COUNTIFS('Leads Pipeline'!$D$5:$D$1004,$A150,'Leads Pipeline'!$E$5:$E$1004,$B150,'Leads Pipeline'!$O$5:$O$1004,"Won"),"")</f>
        <v/>
      </c>
      <c r="G150" s="44" t="str">
        <f aca="false">IF(AND($A150&lt;&gt;"",$B150&lt;&gt;""),SUMIFS('Leads Pipeline'!$U$5:$U$1004,'Leads Pipeline'!$D$5:$D$1004,$A150,'Leads Pipeline'!$E$5:$E$1004,$B150,'Leads Pipeline'!$O$5:$O$1004,"&lt;&gt;Won",'Leads Pipeline'!$O$5:$O$1004,"&lt;&gt;Lost"),"")</f>
        <v/>
      </c>
      <c r="H150" s="43" t="str">
        <f aca="false">IF(AND($A150&lt;&gt;"",$B150&lt;&gt;""),COUNTIFS('Active Clients'!$B$5:$B$504,$A150,'Active Clients'!$C$5:$C$504,$B150,'Active Clients'!$T$5:$T$504,"Active"),"")</f>
        <v/>
      </c>
      <c r="I150" s="44" t="str">
        <f aca="false">IF(AND($A150&lt;&gt;"",$B150&lt;&gt;""),SUMIFS('Active Clients'!$R$5:$R$504,'Active Clients'!$B$5:$B$504,$A150,'Active Clients'!$C$5:$C$504,$B150),"")</f>
        <v/>
      </c>
      <c r="J150" s="43" t="str">
        <f aca="true">IF(AND($A150&lt;&gt;"",$B150&lt;&gt;""),COUNTIFS('Activity Log'!$E$5:$E$3004,$A150,'Activity Log'!$F$5:$F$3004,$B150,'Activity Log'!$A$5:$A$3004,"&gt;="&amp;(TODAY()-29),'Activity Log'!$A$5:$A$3004,"&lt;="&amp;TODAY()),"")</f>
        <v/>
      </c>
    </row>
    <row r="151" customFormat="false" ht="15" hidden="false" customHeight="false" outlineLevel="0" collapsed="false">
      <c r="A151" s="42"/>
      <c r="B151" s="42"/>
      <c r="C151" s="43" t="str">
        <f aca="false">IF(AND($A151&lt;&gt;"",$B151&lt;&gt;""),COUNTIFS('Leads Pipeline'!$D$5:$D$1004,$A151,'Leads Pipeline'!$E$5:$E$1004,$B151,'Leads Pipeline'!$F$5:$F$1004,"&lt;&gt;"),"")</f>
        <v/>
      </c>
      <c r="D151" s="43" t="str">
        <f aca="false">IF(AND($A151&lt;&gt;"",$B151&lt;&gt;""),COUNTIFS('Leads Pipeline'!$D$5:$D$1004,$A151,'Leads Pipeline'!$E$5:$E$1004,$B151,'Leads Pipeline'!$F$5:$F$1004,"&lt;&gt;",'Leads Pipeline'!$O$5:$O$1004,"&lt;&gt;Won",'Leads Pipeline'!$O$5:$O$1004,"&lt;&gt;Lost"),"")</f>
        <v/>
      </c>
      <c r="E151" s="43" t="str">
        <f aca="false">IF(AND($A151&lt;&gt;"",$B151&lt;&gt;""),COUNTIFS('Leads Pipeline'!$D$5:$D$1004,$A151,'Leads Pipeline'!$E$5:$E$1004,$B151,'Leads Pipeline'!$P$5:$P$1004,"Hot",'Leads Pipeline'!$O$5:$O$1004,"&lt;&gt;Won",'Leads Pipeline'!$O$5:$O$1004,"&lt;&gt;Lost"),"")</f>
        <v/>
      </c>
      <c r="F151" s="43" t="str">
        <f aca="false">IF(AND($A151&lt;&gt;"",$B151&lt;&gt;""),COUNTIFS('Leads Pipeline'!$D$5:$D$1004,$A151,'Leads Pipeline'!$E$5:$E$1004,$B151,'Leads Pipeline'!$O$5:$O$1004,"Won"),"")</f>
        <v/>
      </c>
      <c r="G151" s="44" t="str">
        <f aca="false">IF(AND($A151&lt;&gt;"",$B151&lt;&gt;""),SUMIFS('Leads Pipeline'!$U$5:$U$1004,'Leads Pipeline'!$D$5:$D$1004,$A151,'Leads Pipeline'!$E$5:$E$1004,$B151,'Leads Pipeline'!$O$5:$O$1004,"&lt;&gt;Won",'Leads Pipeline'!$O$5:$O$1004,"&lt;&gt;Lost"),"")</f>
        <v/>
      </c>
      <c r="H151" s="43" t="str">
        <f aca="false">IF(AND($A151&lt;&gt;"",$B151&lt;&gt;""),COUNTIFS('Active Clients'!$B$5:$B$504,$A151,'Active Clients'!$C$5:$C$504,$B151,'Active Clients'!$T$5:$T$504,"Active"),"")</f>
        <v/>
      </c>
      <c r="I151" s="44" t="str">
        <f aca="false">IF(AND($A151&lt;&gt;"",$B151&lt;&gt;""),SUMIFS('Active Clients'!$R$5:$R$504,'Active Clients'!$B$5:$B$504,$A151,'Active Clients'!$C$5:$C$504,$B151),"")</f>
        <v/>
      </c>
      <c r="J151" s="43" t="str">
        <f aca="true">IF(AND($A151&lt;&gt;"",$B151&lt;&gt;""),COUNTIFS('Activity Log'!$E$5:$E$3004,$A151,'Activity Log'!$F$5:$F$3004,$B151,'Activity Log'!$A$5:$A$3004,"&gt;="&amp;(TODAY()-29),'Activity Log'!$A$5:$A$3004,"&lt;="&amp;TODAY()),"")</f>
        <v/>
      </c>
    </row>
    <row r="152" customFormat="false" ht="15" hidden="false" customHeight="false" outlineLevel="0" collapsed="false">
      <c r="A152" s="42"/>
      <c r="B152" s="42"/>
      <c r="C152" s="43" t="str">
        <f aca="false">IF(AND($A152&lt;&gt;"",$B152&lt;&gt;""),COUNTIFS('Leads Pipeline'!$D$5:$D$1004,$A152,'Leads Pipeline'!$E$5:$E$1004,$B152,'Leads Pipeline'!$F$5:$F$1004,"&lt;&gt;"),"")</f>
        <v/>
      </c>
      <c r="D152" s="43" t="str">
        <f aca="false">IF(AND($A152&lt;&gt;"",$B152&lt;&gt;""),COUNTIFS('Leads Pipeline'!$D$5:$D$1004,$A152,'Leads Pipeline'!$E$5:$E$1004,$B152,'Leads Pipeline'!$F$5:$F$1004,"&lt;&gt;",'Leads Pipeline'!$O$5:$O$1004,"&lt;&gt;Won",'Leads Pipeline'!$O$5:$O$1004,"&lt;&gt;Lost"),"")</f>
        <v/>
      </c>
      <c r="E152" s="43" t="str">
        <f aca="false">IF(AND($A152&lt;&gt;"",$B152&lt;&gt;""),COUNTIFS('Leads Pipeline'!$D$5:$D$1004,$A152,'Leads Pipeline'!$E$5:$E$1004,$B152,'Leads Pipeline'!$P$5:$P$1004,"Hot",'Leads Pipeline'!$O$5:$O$1004,"&lt;&gt;Won",'Leads Pipeline'!$O$5:$O$1004,"&lt;&gt;Lost"),"")</f>
        <v/>
      </c>
      <c r="F152" s="43" t="str">
        <f aca="false">IF(AND($A152&lt;&gt;"",$B152&lt;&gt;""),COUNTIFS('Leads Pipeline'!$D$5:$D$1004,$A152,'Leads Pipeline'!$E$5:$E$1004,$B152,'Leads Pipeline'!$O$5:$O$1004,"Won"),"")</f>
        <v/>
      </c>
      <c r="G152" s="44" t="str">
        <f aca="false">IF(AND($A152&lt;&gt;"",$B152&lt;&gt;""),SUMIFS('Leads Pipeline'!$U$5:$U$1004,'Leads Pipeline'!$D$5:$D$1004,$A152,'Leads Pipeline'!$E$5:$E$1004,$B152,'Leads Pipeline'!$O$5:$O$1004,"&lt;&gt;Won",'Leads Pipeline'!$O$5:$O$1004,"&lt;&gt;Lost"),"")</f>
        <v/>
      </c>
      <c r="H152" s="43" t="str">
        <f aca="false">IF(AND($A152&lt;&gt;"",$B152&lt;&gt;""),COUNTIFS('Active Clients'!$B$5:$B$504,$A152,'Active Clients'!$C$5:$C$504,$B152,'Active Clients'!$T$5:$T$504,"Active"),"")</f>
        <v/>
      </c>
      <c r="I152" s="44" t="str">
        <f aca="false">IF(AND($A152&lt;&gt;"",$B152&lt;&gt;""),SUMIFS('Active Clients'!$R$5:$R$504,'Active Clients'!$B$5:$B$504,$A152,'Active Clients'!$C$5:$C$504,$B152),"")</f>
        <v/>
      </c>
      <c r="J152" s="43" t="str">
        <f aca="true">IF(AND($A152&lt;&gt;"",$B152&lt;&gt;""),COUNTIFS('Activity Log'!$E$5:$E$3004,$A152,'Activity Log'!$F$5:$F$3004,$B152,'Activity Log'!$A$5:$A$3004,"&gt;="&amp;(TODAY()-29),'Activity Log'!$A$5:$A$3004,"&lt;="&amp;TODAY()),"")</f>
        <v/>
      </c>
    </row>
    <row r="153" customFormat="false" ht="15" hidden="false" customHeight="false" outlineLevel="0" collapsed="false">
      <c r="A153" s="42"/>
      <c r="B153" s="42"/>
      <c r="C153" s="43" t="str">
        <f aca="false">IF(AND($A153&lt;&gt;"",$B153&lt;&gt;""),COUNTIFS('Leads Pipeline'!$D$5:$D$1004,$A153,'Leads Pipeline'!$E$5:$E$1004,$B153,'Leads Pipeline'!$F$5:$F$1004,"&lt;&gt;"),"")</f>
        <v/>
      </c>
      <c r="D153" s="43" t="str">
        <f aca="false">IF(AND($A153&lt;&gt;"",$B153&lt;&gt;""),COUNTIFS('Leads Pipeline'!$D$5:$D$1004,$A153,'Leads Pipeline'!$E$5:$E$1004,$B153,'Leads Pipeline'!$F$5:$F$1004,"&lt;&gt;",'Leads Pipeline'!$O$5:$O$1004,"&lt;&gt;Won",'Leads Pipeline'!$O$5:$O$1004,"&lt;&gt;Lost"),"")</f>
        <v/>
      </c>
      <c r="E153" s="43" t="str">
        <f aca="false">IF(AND($A153&lt;&gt;"",$B153&lt;&gt;""),COUNTIFS('Leads Pipeline'!$D$5:$D$1004,$A153,'Leads Pipeline'!$E$5:$E$1004,$B153,'Leads Pipeline'!$P$5:$P$1004,"Hot",'Leads Pipeline'!$O$5:$O$1004,"&lt;&gt;Won",'Leads Pipeline'!$O$5:$O$1004,"&lt;&gt;Lost"),"")</f>
        <v/>
      </c>
      <c r="F153" s="43" t="str">
        <f aca="false">IF(AND($A153&lt;&gt;"",$B153&lt;&gt;""),COUNTIFS('Leads Pipeline'!$D$5:$D$1004,$A153,'Leads Pipeline'!$E$5:$E$1004,$B153,'Leads Pipeline'!$O$5:$O$1004,"Won"),"")</f>
        <v/>
      </c>
      <c r="G153" s="44" t="str">
        <f aca="false">IF(AND($A153&lt;&gt;"",$B153&lt;&gt;""),SUMIFS('Leads Pipeline'!$U$5:$U$1004,'Leads Pipeline'!$D$5:$D$1004,$A153,'Leads Pipeline'!$E$5:$E$1004,$B153,'Leads Pipeline'!$O$5:$O$1004,"&lt;&gt;Won",'Leads Pipeline'!$O$5:$O$1004,"&lt;&gt;Lost"),"")</f>
        <v/>
      </c>
      <c r="H153" s="43" t="str">
        <f aca="false">IF(AND($A153&lt;&gt;"",$B153&lt;&gt;""),COUNTIFS('Active Clients'!$B$5:$B$504,$A153,'Active Clients'!$C$5:$C$504,$B153,'Active Clients'!$T$5:$T$504,"Active"),"")</f>
        <v/>
      </c>
      <c r="I153" s="44" t="str">
        <f aca="false">IF(AND($A153&lt;&gt;"",$B153&lt;&gt;""),SUMIFS('Active Clients'!$R$5:$R$504,'Active Clients'!$B$5:$B$504,$A153,'Active Clients'!$C$5:$C$504,$B153),"")</f>
        <v/>
      </c>
      <c r="J153" s="43" t="str">
        <f aca="true">IF(AND($A153&lt;&gt;"",$B153&lt;&gt;""),COUNTIFS('Activity Log'!$E$5:$E$3004,$A153,'Activity Log'!$F$5:$F$3004,$B153,'Activity Log'!$A$5:$A$3004,"&gt;="&amp;(TODAY()-29),'Activity Log'!$A$5:$A$3004,"&lt;="&amp;TODAY()),"")</f>
        <v/>
      </c>
    </row>
    <row r="154" customFormat="false" ht="15" hidden="false" customHeight="false" outlineLevel="0" collapsed="false">
      <c r="A154" s="42"/>
      <c r="B154" s="42"/>
      <c r="C154" s="43" t="str">
        <f aca="false">IF(AND($A154&lt;&gt;"",$B154&lt;&gt;""),COUNTIFS('Leads Pipeline'!$D$5:$D$1004,$A154,'Leads Pipeline'!$E$5:$E$1004,$B154,'Leads Pipeline'!$F$5:$F$1004,"&lt;&gt;"),"")</f>
        <v/>
      </c>
      <c r="D154" s="43" t="str">
        <f aca="false">IF(AND($A154&lt;&gt;"",$B154&lt;&gt;""),COUNTIFS('Leads Pipeline'!$D$5:$D$1004,$A154,'Leads Pipeline'!$E$5:$E$1004,$B154,'Leads Pipeline'!$F$5:$F$1004,"&lt;&gt;",'Leads Pipeline'!$O$5:$O$1004,"&lt;&gt;Won",'Leads Pipeline'!$O$5:$O$1004,"&lt;&gt;Lost"),"")</f>
        <v/>
      </c>
      <c r="E154" s="43" t="str">
        <f aca="false">IF(AND($A154&lt;&gt;"",$B154&lt;&gt;""),COUNTIFS('Leads Pipeline'!$D$5:$D$1004,$A154,'Leads Pipeline'!$E$5:$E$1004,$B154,'Leads Pipeline'!$P$5:$P$1004,"Hot",'Leads Pipeline'!$O$5:$O$1004,"&lt;&gt;Won",'Leads Pipeline'!$O$5:$O$1004,"&lt;&gt;Lost"),"")</f>
        <v/>
      </c>
      <c r="F154" s="43" t="str">
        <f aca="false">IF(AND($A154&lt;&gt;"",$B154&lt;&gt;""),COUNTIFS('Leads Pipeline'!$D$5:$D$1004,$A154,'Leads Pipeline'!$E$5:$E$1004,$B154,'Leads Pipeline'!$O$5:$O$1004,"Won"),"")</f>
        <v/>
      </c>
      <c r="G154" s="44" t="str">
        <f aca="false">IF(AND($A154&lt;&gt;"",$B154&lt;&gt;""),SUMIFS('Leads Pipeline'!$U$5:$U$1004,'Leads Pipeline'!$D$5:$D$1004,$A154,'Leads Pipeline'!$E$5:$E$1004,$B154,'Leads Pipeline'!$O$5:$O$1004,"&lt;&gt;Won",'Leads Pipeline'!$O$5:$O$1004,"&lt;&gt;Lost"),"")</f>
        <v/>
      </c>
      <c r="H154" s="43" t="str">
        <f aca="false">IF(AND($A154&lt;&gt;"",$B154&lt;&gt;""),COUNTIFS('Active Clients'!$B$5:$B$504,$A154,'Active Clients'!$C$5:$C$504,$B154,'Active Clients'!$T$5:$T$504,"Active"),"")</f>
        <v/>
      </c>
      <c r="I154" s="44" t="str">
        <f aca="false">IF(AND($A154&lt;&gt;"",$B154&lt;&gt;""),SUMIFS('Active Clients'!$R$5:$R$504,'Active Clients'!$B$5:$B$504,$A154,'Active Clients'!$C$5:$C$504,$B154),"")</f>
        <v/>
      </c>
      <c r="J154" s="43" t="str">
        <f aca="true">IF(AND($A154&lt;&gt;"",$B154&lt;&gt;""),COUNTIFS('Activity Log'!$E$5:$E$3004,$A154,'Activity Log'!$F$5:$F$3004,$B154,'Activity Log'!$A$5:$A$3004,"&gt;="&amp;(TODAY()-29),'Activity Log'!$A$5:$A$3004,"&lt;="&amp;TODAY()),"")</f>
        <v/>
      </c>
    </row>
    <row r="155" customFormat="false" ht="15" hidden="false" customHeight="false" outlineLevel="0" collapsed="false">
      <c r="A155" s="42"/>
      <c r="B155" s="42"/>
      <c r="C155" s="43" t="str">
        <f aca="false">IF(AND($A155&lt;&gt;"",$B155&lt;&gt;""),COUNTIFS('Leads Pipeline'!$D$5:$D$1004,$A155,'Leads Pipeline'!$E$5:$E$1004,$B155,'Leads Pipeline'!$F$5:$F$1004,"&lt;&gt;"),"")</f>
        <v/>
      </c>
      <c r="D155" s="43" t="str">
        <f aca="false">IF(AND($A155&lt;&gt;"",$B155&lt;&gt;""),COUNTIFS('Leads Pipeline'!$D$5:$D$1004,$A155,'Leads Pipeline'!$E$5:$E$1004,$B155,'Leads Pipeline'!$F$5:$F$1004,"&lt;&gt;",'Leads Pipeline'!$O$5:$O$1004,"&lt;&gt;Won",'Leads Pipeline'!$O$5:$O$1004,"&lt;&gt;Lost"),"")</f>
        <v/>
      </c>
      <c r="E155" s="43" t="str">
        <f aca="false">IF(AND($A155&lt;&gt;"",$B155&lt;&gt;""),COUNTIFS('Leads Pipeline'!$D$5:$D$1004,$A155,'Leads Pipeline'!$E$5:$E$1004,$B155,'Leads Pipeline'!$P$5:$P$1004,"Hot",'Leads Pipeline'!$O$5:$O$1004,"&lt;&gt;Won",'Leads Pipeline'!$O$5:$O$1004,"&lt;&gt;Lost"),"")</f>
        <v/>
      </c>
      <c r="F155" s="43" t="str">
        <f aca="false">IF(AND($A155&lt;&gt;"",$B155&lt;&gt;""),COUNTIFS('Leads Pipeline'!$D$5:$D$1004,$A155,'Leads Pipeline'!$E$5:$E$1004,$B155,'Leads Pipeline'!$O$5:$O$1004,"Won"),"")</f>
        <v/>
      </c>
      <c r="G155" s="44" t="str">
        <f aca="false">IF(AND($A155&lt;&gt;"",$B155&lt;&gt;""),SUMIFS('Leads Pipeline'!$U$5:$U$1004,'Leads Pipeline'!$D$5:$D$1004,$A155,'Leads Pipeline'!$E$5:$E$1004,$B155,'Leads Pipeline'!$O$5:$O$1004,"&lt;&gt;Won",'Leads Pipeline'!$O$5:$O$1004,"&lt;&gt;Lost"),"")</f>
        <v/>
      </c>
      <c r="H155" s="43" t="str">
        <f aca="false">IF(AND($A155&lt;&gt;"",$B155&lt;&gt;""),COUNTIFS('Active Clients'!$B$5:$B$504,$A155,'Active Clients'!$C$5:$C$504,$B155,'Active Clients'!$T$5:$T$504,"Active"),"")</f>
        <v/>
      </c>
      <c r="I155" s="44" t="str">
        <f aca="false">IF(AND($A155&lt;&gt;"",$B155&lt;&gt;""),SUMIFS('Active Clients'!$R$5:$R$504,'Active Clients'!$B$5:$B$504,$A155,'Active Clients'!$C$5:$C$504,$B155),"")</f>
        <v/>
      </c>
      <c r="J155" s="43" t="str">
        <f aca="true">IF(AND($A155&lt;&gt;"",$B155&lt;&gt;""),COUNTIFS('Activity Log'!$E$5:$E$3004,$A155,'Activity Log'!$F$5:$F$3004,$B155,'Activity Log'!$A$5:$A$3004,"&gt;="&amp;(TODAY()-29),'Activity Log'!$A$5:$A$3004,"&lt;="&amp;TODAY()),"")</f>
        <v/>
      </c>
    </row>
    <row r="156" customFormat="false" ht="15" hidden="false" customHeight="false" outlineLevel="0" collapsed="false">
      <c r="A156" s="42"/>
      <c r="B156" s="42"/>
      <c r="C156" s="43" t="str">
        <f aca="false">IF(AND($A156&lt;&gt;"",$B156&lt;&gt;""),COUNTIFS('Leads Pipeline'!$D$5:$D$1004,$A156,'Leads Pipeline'!$E$5:$E$1004,$B156,'Leads Pipeline'!$F$5:$F$1004,"&lt;&gt;"),"")</f>
        <v/>
      </c>
      <c r="D156" s="43" t="str">
        <f aca="false">IF(AND($A156&lt;&gt;"",$B156&lt;&gt;""),COUNTIFS('Leads Pipeline'!$D$5:$D$1004,$A156,'Leads Pipeline'!$E$5:$E$1004,$B156,'Leads Pipeline'!$F$5:$F$1004,"&lt;&gt;",'Leads Pipeline'!$O$5:$O$1004,"&lt;&gt;Won",'Leads Pipeline'!$O$5:$O$1004,"&lt;&gt;Lost"),"")</f>
        <v/>
      </c>
      <c r="E156" s="43" t="str">
        <f aca="false">IF(AND($A156&lt;&gt;"",$B156&lt;&gt;""),COUNTIFS('Leads Pipeline'!$D$5:$D$1004,$A156,'Leads Pipeline'!$E$5:$E$1004,$B156,'Leads Pipeline'!$P$5:$P$1004,"Hot",'Leads Pipeline'!$O$5:$O$1004,"&lt;&gt;Won",'Leads Pipeline'!$O$5:$O$1004,"&lt;&gt;Lost"),"")</f>
        <v/>
      </c>
      <c r="F156" s="43" t="str">
        <f aca="false">IF(AND($A156&lt;&gt;"",$B156&lt;&gt;""),COUNTIFS('Leads Pipeline'!$D$5:$D$1004,$A156,'Leads Pipeline'!$E$5:$E$1004,$B156,'Leads Pipeline'!$O$5:$O$1004,"Won"),"")</f>
        <v/>
      </c>
      <c r="G156" s="44" t="str">
        <f aca="false">IF(AND($A156&lt;&gt;"",$B156&lt;&gt;""),SUMIFS('Leads Pipeline'!$U$5:$U$1004,'Leads Pipeline'!$D$5:$D$1004,$A156,'Leads Pipeline'!$E$5:$E$1004,$B156,'Leads Pipeline'!$O$5:$O$1004,"&lt;&gt;Won",'Leads Pipeline'!$O$5:$O$1004,"&lt;&gt;Lost"),"")</f>
        <v/>
      </c>
      <c r="H156" s="43" t="str">
        <f aca="false">IF(AND($A156&lt;&gt;"",$B156&lt;&gt;""),COUNTIFS('Active Clients'!$B$5:$B$504,$A156,'Active Clients'!$C$5:$C$504,$B156,'Active Clients'!$T$5:$T$504,"Active"),"")</f>
        <v/>
      </c>
      <c r="I156" s="44" t="str">
        <f aca="false">IF(AND($A156&lt;&gt;"",$B156&lt;&gt;""),SUMIFS('Active Clients'!$R$5:$R$504,'Active Clients'!$B$5:$B$504,$A156,'Active Clients'!$C$5:$C$504,$B156),"")</f>
        <v/>
      </c>
      <c r="J156" s="43" t="str">
        <f aca="true">IF(AND($A156&lt;&gt;"",$B156&lt;&gt;""),COUNTIFS('Activity Log'!$E$5:$E$3004,$A156,'Activity Log'!$F$5:$F$3004,$B156,'Activity Log'!$A$5:$A$3004,"&gt;="&amp;(TODAY()-29),'Activity Log'!$A$5:$A$3004,"&lt;="&amp;TODAY()),"")</f>
        <v/>
      </c>
    </row>
    <row r="157" customFormat="false" ht="15" hidden="false" customHeight="false" outlineLevel="0" collapsed="false">
      <c r="A157" s="42"/>
      <c r="B157" s="42"/>
      <c r="C157" s="43" t="str">
        <f aca="false">IF(AND($A157&lt;&gt;"",$B157&lt;&gt;""),COUNTIFS('Leads Pipeline'!$D$5:$D$1004,$A157,'Leads Pipeline'!$E$5:$E$1004,$B157,'Leads Pipeline'!$F$5:$F$1004,"&lt;&gt;"),"")</f>
        <v/>
      </c>
      <c r="D157" s="43" t="str">
        <f aca="false">IF(AND($A157&lt;&gt;"",$B157&lt;&gt;""),COUNTIFS('Leads Pipeline'!$D$5:$D$1004,$A157,'Leads Pipeline'!$E$5:$E$1004,$B157,'Leads Pipeline'!$F$5:$F$1004,"&lt;&gt;",'Leads Pipeline'!$O$5:$O$1004,"&lt;&gt;Won",'Leads Pipeline'!$O$5:$O$1004,"&lt;&gt;Lost"),"")</f>
        <v/>
      </c>
      <c r="E157" s="43" t="str">
        <f aca="false">IF(AND($A157&lt;&gt;"",$B157&lt;&gt;""),COUNTIFS('Leads Pipeline'!$D$5:$D$1004,$A157,'Leads Pipeline'!$E$5:$E$1004,$B157,'Leads Pipeline'!$P$5:$P$1004,"Hot",'Leads Pipeline'!$O$5:$O$1004,"&lt;&gt;Won",'Leads Pipeline'!$O$5:$O$1004,"&lt;&gt;Lost"),"")</f>
        <v/>
      </c>
      <c r="F157" s="43" t="str">
        <f aca="false">IF(AND($A157&lt;&gt;"",$B157&lt;&gt;""),COUNTIFS('Leads Pipeline'!$D$5:$D$1004,$A157,'Leads Pipeline'!$E$5:$E$1004,$B157,'Leads Pipeline'!$O$5:$O$1004,"Won"),"")</f>
        <v/>
      </c>
      <c r="G157" s="44" t="str">
        <f aca="false">IF(AND($A157&lt;&gt;"",$B157&lt;&gt;""),SUMIFS('Leads Pipeline'!$U$5:$U$1004,'Leads Pipeline'!$D$5:$D$1004,$A157,'Leads Pipeline'!$E$5:$E$1004,$B157,'Leads Pipeline'!$O$5:$O$1004,"&lt;&gt;Won",'Leads Pipeline'!$O$5:$O$1004,"&lt;&gt;Lost"),"")</f>
        <v/>
      </c>
      <c r="H157" s="43" t="str">
        <f aca="false">IF(AND($A157&lt;&gt;"",$B157&lt;&gt;""),COUNTIFS('Active Clients'!$B$5:$B$504,$A157,'Active Clients'!$C$5:$C$504,$B157,'Active Clients'!$T$5:$T$504,"Active"),"")</f>
        <v/>
      </c>
      <c r="I157" s="44" t="str">
        <f aca="false">IF(AND($A157&lt;&gt;"",$B157&lt;&gt;""),SUMIFS('Active Clients'!$R$5:$R$504,'Active Clients'!$B$5:$B$504,$A157,'Active Clients'!$C$5:$C$504,$B157),"")</f>
        <v/>
      </c>
      <c r="J157" s="43" t="str">
        <f aca="true">IF(AND($A157&lt;&gt;"",$B157&lt;&gt;""),COUNTIFS('Activity Log'!$E$5:$E$3004,$A157,'Activity Log'!$F$5:$F$3004,$B157,'Activity Log'!$A$5:$A$3004,"&gt;="&amp;(TODAY()-29),'Activity Log'!$A$5:$A$3004,"&lt;="&amp;TODAY()),"")</f>
        <v/>
      </c>
    </row>
    <row r="158" customFormat="false" ht="15" hidden="false" customHeight="false" outlineLevel="0" collapsed="false">
      <c r="A158" s="42"/>
      <c r="B158" s="42"/>
      <c r="C158" s="43" t="str">
        <f aca="false">IF(AND($A158&lt;&gt;"",$B158&lt;&gt;""),COUNTIFS('Leads Pipeline'!$D$5:$D$1004,$A158,'Leads Pipeline'!$E$5:$E$1004,$B158,'Leads Pipeline'!$F$5:$F$1004,"&lt;&gt;"),"")</f>
        <v/>
      </c>
      <c r="D158" s="43" t="str">
        <f aca="false">IF(AND($A158&lt;&gt;"",$B158&lt;&gt;""),COUNTIFS('Leads Pipeline'!$D$5:$D$1004,$A158,'Leads Pipeline'!$E$5:$E$1004,$B158,'Leads Pipeline'!$F$5:$F$1004,"&lt;&gt;",'Leads Pipeline'!$O$5:$O$1004,"&lt;&gt;Won",'Leads Pipeline'!$O$5:$O$1004,"&lt;&gt;Lost"),"")</f>
        <v/>
      </c>
      <c r="E158" s="43" t="str">
        <f aca="false">IF(AND($A158&lt;&gt;"",$B158&lt;&gt;""),COUNTIFS('Leads Pipeline'!$D$5:$D$1004,$A158,'Leads Pipeline'!$E$5:$E$1004,$B158,'Leads Pipeline'!$P$5:$P$1004,"Hot",'Leads Pipeline'!$O$5:$O$1004,"&lt;&gt;Won",'Leads Pipeline'!$O$5:$O$1004,"&lt;&gt;Lost"),"")</f>
        <v/>
      </c>
      <c r="F158" s="43" t="str">
        <f aca="false">IF(AND($A158&lt;&gt;"",$B158&lt;&gt;""),COUNTIFS('Leads Pipeline'!$D$5:$D$1004,$A158,'Leads Pipeline'!$E$5:$E$1004,$B158,'Leads Pipeline'!$O$5:$O$1004,"Won"),"")</f>
        <v/>
      </c>
      <c r="G158" s="44" t="str">
        <f aca="false">IF(AND($A158&lt;&gt;"",$B158&lt;&gt;""),SUMIFS('Leads Pipeline'!$U$5:$U$1004,'Leads Pipeline'!$D$5:$D$1004,$A158,'Leads Pipeline'!$E$5:$E$1004,$B158,'Leads Pipeline'!$O$5:$O$1004,"&lt;&gt;Won",'Leads Pipeline'!$O$5:$O$1004,"&lt;&gt;Lost"),"")</f>
        <v/>
      </c>
      <c r="H158" s="43" t="str">
        <f aca="false">IF(AND($A158&lt;&gt;"",$B158&lt;&gt;""),COUNTIFS('Active Clients'!$B$5:$B$504,$A158,'Active Clients'!$C$5:$C$504,$B158,'Active Clients'!$T$5:$T$504,"Active"),"")</f>
        <v/>
      </c>
      <c r="I158" s="44" t="str">
        <f aca="false">IF(AND($A158&lt;&gt;"",$B158&lt;&gt;""),SUMIFS('Active Clients'!$R$5:$R$504,'Active Clients'!$B$5:$B$504,$A158,'Active Clients'!$C$5:$C$504,$B158),"")</f>
        <v/>
      </c>
      <c r="J158" s="43" t="str">
        <f aca="true">IF(AND($A158&lt;&gt;"",$B158&lt;&gt;""),COUNTIFS('Activity Log'!$E$5:$E$3004,$A158,'Activity Log'!$F$5:$F$3004,$B158,'Activity Log'!$A$5:$A$3004,"&gt;="&amp;(TODAY()-29),'Activity Log'!$A$5:$A$3004,"&lt;="&amp;TODAY()),"")</f>
        <v/>
      </c>
    </row>
    <row r="159" customFormat="false" ht="15" hidden="false" customHeight="false" outlineLevel="0" collapsed="false">
      <c r="A159" s="42"/>
      <c r="B159" s="42"/>
      <c r="C159" s="43" t="str">
        <f aca="false">IF(AND($A159&lt;&gt;"",$B159&lt;&gt;""),COUNTIFS('Leads Pipeline'!$D$5:$D$1004,$A159,'Leads Pipeline'!$E$5:$E$1004,$B159,'Leads Pipeline'!$F$5:$F$1004,"&lt;&gt;"),"")</f>
        <v/>
      </c>
      <c r="D159" s="43" t="str">
        <f aca="false">IF(AND($A159&lt;&gt;"",$B159&lt;&gt;""),COUNTIFS('Leads Pipeline'!$D$5:$D$1004,$A159,'Leads Pipeline'!$E$5:$E$1004,$B159,'Leads Pipeline'!$F$5:$F$1004,"&lt;&gt;",'Leads Pipeline'!$O$5:$O$1004,"&lt;&gt;Won",'Leads Pipeline'!$O$5:$O$1004,"&lt;&gt;Lost"),"")</f>
        <v/>
      </c>
      <c r="E159" s="43" t="str">
        <f aca="false">IF(AND($A159&lt;&gt;"",$B159&lt;&gt;""),COUNTIFS('Leads Pipeline'!$D$5:$D$1004,$A159,'Leads Pipeline'!$E$5:$E$1004,$B159,'Leads Pipeline'!$P$5:$P$1004,"Hot",'Leads Pipeline'!$O$5:$O$1004,"&lt;&gt;Won",'Leads Pipeline'!$O$5:$O$1004,"&lt;&gt;Lost"),"")</f>
        <v/>
      </c>
      <c r="F159" s="43" t="str">
        <f aca="false">IF(AND($A159&lt;&gt;"",$B159&lt;&gt;""),COUNTIFS('Leads Pipeline'!$D$5:$D$1004,$A159,'Leads Pipeline'!$E$5:$E$1004,$B159,'Leads Pipeline'!$O$5:$O$1004,"Won"),"")</f>
        <v/>
      </c>
      <c r="G159" s="44" t="str">
        <f aca="false">IF(AND($A159&lt;&gt;"",$B159&lt;&gt;""),SUMIFS('Leads Pipeline'!$U$5:$U$1004,'Leads Pipeline'!$D$5:$D$1004,$A159,'Leads Pipeline'!$E$5:$E$1004,$B159,'Leads Pipeline'!$O$5:$O$1004,"&lt;&gt;Won",'Leads Pipeline'!$O$5:$O$1004,"&lt;&gt;Lost"),"")</f>
        <v/>
      </c>
      <c r="H159" s="43" t="str">
        <f aca="false">IF(AND($A159&lt;&gt;"",$B159&lt;&gt;""),COUNTIFS('Active Clients'!$B$5:$B$504,$A159,'Active Clients'!$C$5:$C$504,$B159,'Active Clients'!$T$5:$T$504,"Active"),"")</f>
        <v/>
      </c>
      <c r="I159" s="44" t="str">
        <f aca="false">IF(AND($A159&lt;&gt;"",$B159&lt;&gt;""),SUMIFS('Active Clients'!$R$5:$R$504,'Active Clients'!$B$5:$B$504,$A159,'Active Clients'!$C$5:$C$504,$B159),"")</f>
        <v/>
      </c>
      <c r="J159" s="43" t="str">
        <f aca="true">IF(AND($A159&lt;&gt;"",$B159&lt;&gt;""),COUNTIFS('Activity Log'!$E$5:$E$3004,$A159,'Activity Log'!$F$5:$F$3004,$B159,'Activity Log'!$A$5:$A$3004,"&gt;="&amp;(TODAY()-29),'Activity Log'!$A$5:$A$3004,"&lt;="&amp;TODAY()),"")</f>
        <v/>
      </c>
    </row>
    <row r="160" customFormat="false" ht="15" hidden="false" customHeight="false" outlineLevel="0" collapsed="false">
      <c r="A160" s="42"/>
      <c r="B160" s="42"/>
      <c r="C160" s="43" t="str">
        <f aca="false">IF(AND($A160&lt;&gt;"",$B160&lt;&gt;""),COUNTIFS('Leads Pipeline'!$D$5:$D$1004,$A160,'Leads Pipeline'!$E$5:$E$1004,$B160,'Leads Pipeline'!$F$5:$F$1004,"&lt;&gt;"),"")</f>
        <v/>
      </c>
      <c r="D160" s="43" t="str">
        <f aca="false">IF(AND($A160&lt;&gt;"",$B160&lt;&gt;""),COUNTIFS('Leads Pipeline'!$D$5:$D$1004,$A160,'Leads Pipeline'!$E$5:$E$1004,$B160,'Leads Pipeline'!$F$5:$F$1004,"&lt;&gt;",'Leads Pipeline'!$O$5:$O$1004,"&lt;&gt;Won",'Leads Pipeline'!$O$5:$O$1004,"&lt;&gt;Lost"),"")</f>
        <v/>
      </c>
      <c r="E160" s="43" t="str">
        <f aca="false">IF(AND($A160&lt;&gt;"",$B160&lt;&gt;""),COUNTIFS('Leads Pipeline'!$D$5:$D$1004,$A160,'Leads Pipeline'!$E$5:$E$1004,$B160,'Leads Pipeline'!$P$5:$P$1004,"Hot",'Leads Pipeline'!$O$5:$O$1004,"&lt;&gt;Won",'Leads Pipeline'!$O$5:$O$1004,"&lt;&gt;Lost"),"")</f>
        <v/>
      </c>
      <c r="F160" s="43" t="str">
        <f aca="false">IF(AND($A160&lt;&gt;"",$B160&lt;&gt;""),COUNTIFS('Leads Pipeline'!$D$5:$D$1004,$A160,'Leads Pipeline'!$E$5:$E$1004,$B160,'Leads Pipeline'!$O$5:$O$1004,"Won"),"")</f>
        <v/>
      </c>
      <c r="G160" s="44" t="str">
        <f aca="false">IF(AND($A160&lt;&gt;"",$B160&lt;&gt;""),SUMIFS('Leads Pipeline'!$U$5:$U$1004,'Leads Pipeline'!$D$5:$D$1004,$A160,'Leads Pipeline'!$E$5:$E$1004,$B160,'Leads Pipeline'!$O$5:$O$1004,"&lt;&gt;Won",'Leads Pipeline'!$O$5:$O$1004,"&lt;&gt;Lost"),"")</f>
        <v/>
      </c>
      <c r="H160" s="43" t="str">
        <f aca="false">IF(AND($A160&lt;&gt;"",$B160&lt;&gt;""),COUNTIFS('Active Clients'!$B$5:$B$504,$A160,'Active Clients'!$C$5:$C$504,$B160,'Active Clients'!$T$5:$T$504,"Active"),"")</f>
        <v/>
      </c>
      <c r="I160" s="44" t="str">
        <f aca="false">IF(AND($A160&lt;&gt;"",$B160&lt;&gt;""),SUMIFS('Active Clients'!$R$5:$R$504,'Active Clients'!$B$5:$B$504,$A160,'Active Clients'!$C$5:$C$504,$B160),"")</f>
        <v/>
      </c>
      <c r="J160" s="43" t="str">
        <f aca="true">IF(AND($A160&lt;&gt;"",$B160&lt;&gt;""),COUNTIFS('Activity Log'!$E$5:$E$3004,$A160,'Activity Log'!$F$5:$F$3004,$B160,'Activity Log'!$A$5:$A$3004,"&gt;="&amp;(TODAY()-29),'Activity Log'!$A$5:$A$3004,"&lt;="&amp;TODAY()),"")</f>
        <v/>
      </c>
    </row>
    <row r="161" customFormat="false" ht="15" hidden="false" customHeight="false" outlineLevel="0" collapsed="false">
      <c r="A161" s="42"/>
      <c r="B161" s="42"/>
      <c r="C161" s="43" t="str">
        <f aca="false">IF(AND($A161&lt;&gt;"",$B161&lt;&gt;""),COUNTIFS('Leads Pipeline'!$D$5:$D$1004,$A161,'Leads Pipeline'!$E$5:$E$1004,$B161,'Leads Pipeline'!$F$5:$F$1004,"&lt;&gt;"),"")</f>
        <v/>
      </c>
      <c r="D161" s="43" t="str">
        <f aca="false">IF(AND($A161&lt;&gt;"",$B161&lt;&gt;""),COUNTIFS('Leads Pipeline'!$D$5:$D$1004,$A161,'Leads Pipeline'!$E$5:$E$1004,$B161,'Leads Pipeline'!$F$5:$F$1004,"&lt;&gt;",'Leads Pipeline'!$O$5:$O$1004,"&lt;&gt;Won",'Leads Pipeline'!$O$5:$O$1004,"&lt;&gt;Lost"),"")</f>
        <v/>
      </c>
      <c r="E161" s="43" t="str">
        <f aca="false">IF(AND($A161&lt;&gt;"",$B161&lt;&gt;""),COUNTIFS('Leads Pipeline'!$D$5:$D$1004,$A161,'Leads Pipeline'!$E$5:$E$1004,$B161,'Leads Pipeline'!$P$5:$P$1004,"Hot",'Leads Pipeline'!$O$5:$O$1004,"&lt;&gt;Won",'Leads Pipeline'!$O$5:$O$1004,"&lt;&gt;Lost"),"")</f>
        <v/>
      </c>
      <c r="F161" s="43" t="str">
        <f aca="false">IF(AND($A161&lt;&gt;"",$B161&lt;&gt;""),COUNTIFS('Leads Pipeline'!$D$5:$D$1004,$A161,'Leads Pipeline'!$E$5:$E$1004,$B161,'Leads Pipeline'!$O$5:$O$1004,"Won"),"")</f>
        <v/>
      </c>
      <c r="G161" s="44" t="str">
        <f aca="false">IF(AND($A161&lt;&gt;"",$B161&lt;&gt;""),SUMIFS('Leads Pipeline'!$U$5:$U$1004,'Leads Pipeline'!$D$5:$D$1004,$A161,'Leads Pipeline'!$E$5:$E$1004,$B161,'Leads Pipeline'!$O$5:$O$1004,"&lt;&gt;Won",'Leads Pipeline'!$O$5:$O$1004,"&lt;&gt;Lost"),"")</f>
        <v/>
      </c>
      <c r="H161" s="43" t="str">
        <f aca="false">IF(AND($A161&lt;&gt;"",$B161&lt;&gt;""),COUNTIFS('Active Clients'!$B$5:$B$504,$A161,'Active Clients'!$C$5:$C$504,$B161,'Active Clients'!$T$5:$T$504,"Active"),"")</f>
        <v/>
      </c>
      <c r="I161" s="44" t="str">
        <f aca="false">IF(AND($A161&lt;&gt;"",$B161&lt;&gt;""),SUMIFS('Active Clients'!$R$5:$R$504,'Active Clients'!$B$5:$B$504,$A161,'Active Clients'!$C$5:$C$504,$B161),"")</f>
        <v/>
      </c>
      <c r="J161" s="43" t="str">
        <f aca="true">IF(AND($A161&lt;&gt;"",$B161&lt;&gt;""),COUNTIFS('Activity Log'!$E$5:$E$3004,$A161,'Activity Log'!$F$5:$F$3004,$B161,'Activity Log'!$A$5:$A$3004,"&gt;="&amp;(TODAY()-29),'Activity Log'!$A$5:$A$3004,"&lt;="&amp;TODAY()),"")</f>
        <v/>
      </c>
    </row>
    <row r="162" customFormat="false" ht="15" hidden="false" customHeight="false" outlineLevel="0" collapsed="false">
      <c r="A162" s="42"/>
      <c r="B162" s="42"/>
      <c r="C162" s="43" t="str">
        <f aca="false">IF(AND($A162&lt;&gt;"",$B162&lt;&gt;""),COUNTIFS('Leads Pipeline'!$D$5:$D$1004,$A162,'Leads Pipeline'!$E$5:$E$1004,$B162,'Leads Pipeline'!$F$5:$F$1004,"&lt;&gt;"),"")</f>
        <v/>
      </c>
      <c r="D162" s="43" t="str">
        <f aca="false">IF(AND($A162&lt;&gt;"",$B162&lt;&gt;""),COUNTIFS('Leads Pipeline'!$D$5:$D$1004,$A162,'Leads Pipeline'!$E$5:$E$1004,$B162,'Leads Pipeline'!$F$5:$F$1004,"&lt;&gt;",'Leads Pipeline'!$O$5:$O$1004,"&lt;&gt;Won",'Leads Pipeline'!$O$5:$O$1004,"&lt;&gt;Lost"),"")</f>
        <v/>
      </c>
      <c r="E162" s="43" t="str">
        <f aca="false">IF(AND($A162&lt;&gt;"",$B162&lt;&gt;""),COUNTIFS('Leads Pipeline'!$D$5:$D$1004,$A162,'Leads Pipeline'!$E$5:$E$1004,$B162,'Leads Pipeline'!$P$5:$P$1004,"Hot",'Leads Pipeline'!$O$5:$O$1004,"&lt;&gt;Won",'Leads Pipeline'!$O$5:$O$1004,"&lt;&gt;Lost"),"")</f>
        <v/>
      </c>
      <c r="F162" s="43" t="str">
        <f aca="false">IF(AND($A162&lt;&gt;"",$B162&lt;&gt;""),COUNTIFS('Leads Pipeline'!$D$5:$D$1004,$A162,'Leads Pipeline'!$E$5:$E$1004,$B162,'Leads Pipeline'!$O$5:$O$1004,"Won"),"")</f>
        <v/>
      </c>
      <c r="G162" s="44" t="str">
        <f aca="false">IF(AND($A162&lt;&gt;"",$B162&lt;&gt;""),SUMIFS('Leads Pipeline'!$U$5:$U$1004,'Leads Pipeline'!$D$5:$D$1004,$A162,'Leads Pipeline'!$E$5:$E$1004,$B162,'Leads Pipeline'!$O$5:$O$1004,"&lt;&gt;Won",'Leads Pipeline'!$O$5:$O$1004,"&lt;&gt;Lost"),"")</f>
        <v/>
      </c>
      <c r="H162" s="43" t="str">
        <f aca="false">IF(AND($A162&lt;&gt;"",$B162&lt;&gt;""),COUNTIFS('Active Clients'!$B$5:$B$504,$A162,'Active Clients'!$C$5:$C$504,$B162,'Active Clients'!$T$5:$T$504,"Active"),"")</f>
        <v/>
      </c>
      <c r="I162" s="44" t="str">
        <f aca="false">IF(AND($A162&lt;&gt;"",$B162&lt;&gt;""),SUMIFS('Active Clients'!$R$5:$R$504,'Active Clients'!$B$5:$B$504,$A162,'Active Clients'!$C$5:$C$504,$B162),"")</f>
        <v/>
      </c>
      <c r="J162" s="43" t="str">
        <f aca="true">IF(AND($A162&lt;&gt;"",$B162&lt;&gt;""),COUNTIFS('Activity Log'!$E$5:$E$3004,$A162,'Activity Log'!$F$5:$F$3004,$B162,'Activity Log'!$A$5:$A$3004,"&gt;="&amp;(TODAY()-29),'Activity Log'!$A$5:$A$3004,"&lt;="&amp;TODAY()),"")</f>
        <v/>
      </c>
    </row>
    <row r="163" customFormat="false" ht="15" hidden="false" customHeight="false" outlineLevel="0" collapsed="false">
      <c r="A163" s="42"/>
      <c r="B163" s="42"/>
      <c r="C163" s="43" t="str">
        <f aca="false">IF(AND($A163&lt;&gt;"",$B163&lt;&gt;""),COUNTIFS('Leads Pipeline'!$D$5:$D$1004,$A163,'Leads Pipeline'!$E$5:$E$1004,$B163,'Leads Pipeline'!$F$5:$F$1004,"&lt;&gt;"),"")</f>
        <v/>
      </c>
      <c r="D163" s="43" t="str">
        <f aca="false">IF(AND($A163&lt;&gt;"",$B163&lt;&gt;""),COUNTIFS('Leads Pipeline'!$D$5:$D$1004,$A163,'Leads Pipeline'!$E$5:$E$1004,$B163,'Leads Pipeline'!$F$5:$F$1004,"&lt;&gt;",'Leads Pipeline'!$O$5:$O$1004,"&lt;&gt;Won",'Leads Pipeline'!$O$5:$O$1004,"&lt;&gt;Lost"),"")</f>
        <v/>
      </c>
      <c r="E163" s="43" t="str">
        <f aca="false">IF(AND($A163&lt;&gt;"",$B163&lt;&gt;""),COUNTIFS('Leads Pipeline'!$D$5:$D$1004,$A163,'Leads Pipeline'!$E$5:$E$1004,$B163,'Leads Pipeline'!$P$5:$P$1004,"Hot",'Leads Pipeline'!$O$5:$O$1004,"&lt;&gt;Won",'Leads Pipeline'!$O$5:$O$1004,"&lt;&gt;Lost"),"")</f>
        <v/>
      </c>
      <c r="F163" s="43" t="str">
        <f aca="false">IF(AND($A163&lt;&gt;"",$B163&lt;&gt;""),COUNTIFS('Leads Pipeline'!$D$5:$D$1004,$A163,'Leads Pipeline'!$E$5:$E$1004,$B163,'Leads Pipeline'!$O$5:$O$1004,"Won"),"")</f>
        <v/>
      </c>
      <c r="G163" s="44" t="str">
        <f aca="false">IF(AND($A163&lt;&gt;"",$B163&lt;&gt;""),SUMIFS('Leads Pipeline'!$U$5:$U$1004,'Leads Pipeline'!$D$5:$D$1004,$A163,'Leads Pipeline'!$E$5:$E$1004,$B163,'Leads Pipeline'!$O$5:$O$1004,"&lt;&gt;Won",'Leads Pipeline'!$O$5:$O$1004,"&lt;&gt;Lost"),"")</f>
        <v/>
      </c>
      <c r="H163" s="43" t="str">
        <f aca="false">IF(AND($A163&lt;&gt;"",$B163&lt;&gt;""),COUNTIFS('Active Clients'!$B$5:$B$504,$A163,'Active Clients'!$C$5:$C$504,$B163,'Active Clients'!$T$5:$T$504,"Active"),"")</f>
        <v/>
      </c>
      <c r="I163" s="44" t="str">
        <f aca="false">IF(AND($A163&lt;&gt;"",$B163&lt;&gt;""),SUMIFS('Active Clients'!$R$5:$R$504,'Active Clients'!$B$5:$B$504,$A163,'Active Clients'!$C$5:$C$504,$B163),"")</f>
        <v/>
      </c>
      <c r="J163" s="43" t="str">
        <f aca="true">IF(AND($A163&lt;&gt;"",$B163&lt;&gt;""),COUNTIFS('Activity Log'!$E$5:$E$3004,$A163,'Activity Log'!$F$5:$F$3004,$B163,'Activity Log'!$A$5:$A$3004,"&gt;="&amp;(TODAY()-29),'Activity Log'!$A$5:$A$3004,"&lt;="&amp;TODAY()),"")</f>
        <v/>
      </c>
    </row>
    <row r="164" customFormat="false" ht="15" hidden="false" customHeight="false" outlineLevel="0" collapsed="false">
      <c r="A164" s="42"/>
      <c r="B164" s="42"/>
      <c r="C164" s="43" t="str">
        <f aca="false">IF(AND($A164&lt;&gt;"",$B164&lt;&gt;""),COUNTIFS('Leads Pipeline'!$D$5:$D$1004,$A164,'Leads Pipeline'!$E$5:$E$1004,$B164,'Leads Pipeline'!$F$5:$F$1004,"&lt;&gt;"),"")</f>
        <v/>
      </c>
      <c r="D164" s="43" t="str">
        <f aca="false">IF(AND($A164&lt;&gt;"",$B164&lt;&gt;""),COUNTIFS('Leads Pipeline'!$D$5:$D$1004,$A164,'Leads Pipeline'!$E$5:$E$1004,$B164,'Leads Pipeline'!$F$5:$F$1004,"&lt;&gt;",'Leads Pipeline'!$O$5:$O$1004,"&lt;&gt;Won",'Leads Pipeline'!$O$5:$O$1004,"&lt;&gt;Lost"),"")</f>
        <v/>
      </c>
      <c r="E164" s="43" t="str">
        <f aca="false">IF(AND($A164&lt;&gt;"",$B164&lt;&gt;""),COUNTIFS('Leads Pipeline'!$D$5:$D$1004,$A164,'Leads Pipeline'!$E$5:$E$1004,$B164,'Leads Pipeline'!$P$5:$P$1004,"Hot",'Leads Pipeline'!$O$5:$O$1004,"&lt;&gt;Won",'Leads Pipeline'!$O$5:$O$1004,"&lt;&gt;Lost"),"")</f>
        <v/>
      </c>
      <c r="F164" s="43" t="str">
        <f aca="false">IF(AND($A164&lt;&gt;"",$B164&lt;&gt;""),COUNTIFS('Leads Pipeline'!$D$5:$D$1004,$A164,'Leads Pipeline'!$E$5:$E$1004,$B164,'Leads Pipeline'!$O$5:$O$1004,"Won"),"")</f>
        <v/>
      </c>
      <c r="G164" s="44" t="str">
        <f aca="false">IF(AND($A164&lt;&gt;"",$B164&lt;&gt;""),SUMIFS('Leads Pipeline'!$U$5:$U$1004,'Leads Pipeline'!$D$5:$D$1004,$A164,'Leads Pipeline'!$E$5:$E$1004,$B164,'Leads Pipeline'!$O$5:$O$1004,"&lt;&gt;Won",'Leads Pipeline'!$O$5:$O$1004,"&lt;&gt;Lost"),"")</f>
        <v/>
      </c>
      <c r="H164" s="43" t="str">
        <f aca="false">IF(AND($A164&lt;&gt;"",$B164&lt;&gt;""),COUNTIFS('Active Clients'!$B$5:$B$504,$A164,'Active Clients'!$C$5:$C$504,$B164,'Active Clients'!$T$5:$T$504,"Active"),"")</f>
        <v/>
      </c>
      <c r="I164" s="44" t="str">
        <f aca="false">IF(AND($A164&lt;&gt;"",$B164&lt;&gt;""),SUMIFS('Active Clients'!$R$5:$R$504,'Active Clients'!$B$5:$B$504,$A164,'Active Clients'!$C$5:$C$504,$B164),"")</f>
        <v/>
      </c>
      <c r="J164" s="43" t="str">
        <f aca="true">IF(AND($A164&lt;&gt;"",$B164&lt;&gt;""),COUNTIFS('Activity Log'!$E$5:$E$3004,$A164,'Activity Log'!$F$5:$F$3004,$B164,'Activity Log'!$A$5:$A$3004,"&gt;="&amp;(TODAY()-29),'Activity Log'!$A$5:$A$3004,"&lt;="&amp;TODAY()),"")</f>
        <v/>
      </c>
    </row>
    <row r="165" customFormat="false" ht="15" hidden="false" customHeight="false" outlineLevel="0" collapsed="false">
      <c r="A165" s="42"/>
      <c r="B165" s="42"/>
      <c r="C165" s="43" t="str">
        <f aca="false">IF(AND($A165&lt;&gt;"",$B165&lt;&gt;""),COUNTIFS('Leads Pipeline'!$D$5:$D$1004,$A165,'Leads Pipeline'!$E$5:$E$1004,$B165,'Leads Pipeline'!$F$5:$F$1004,"&lt;&gt;"),"")</f>
        <v/>
      </c>
      <c r="D165" s="43" t="str">
        <f aca="false">IF(AND($A165&lt;&gt;"",$B165&lt;&gt;""),COUNTIFS('Leads Pipeline'!$D$5:$D$1004,$A165,'Leads Pipeline'!$E$5:$E$1004,$B165,'Leads Pipeline'!$F$5:$F$1004,"&lt;&gt;",'Leads Pipeline'!$O$5:$O$1004,"&lt;&gt;Won",'Leads Pipeline'!$O$5:$O$1004,"&lt;&gt;Lost"),"")</f>
        <v/>
      </c>
      <c r="E165" s="43" t="str">
        <f aca="false">IF(AND($A165&lt;&gt;"",$B165&lt;&gt;""),COUNTIFS('Leads Pipeline'!$D$5:$D$1004,$A165,'Leads Pipeline'!$E$5:$E$1004,$B165,'Leads Pipeline'!$P$5:$P$1004,"Hot",'Leads Pipeline'!$O$5:$O$1004,"&lt;&gt;Won",'Leads Pipeline'!$O$5:$O$1004,"&lt;&gt;Lost"),"")</f>
        <v/>
      </c>
      <c r="F165" s="43" t="str">
        <f aca="false">IF(AND($A165&lt;&gt;"",$B165&lt;&gt;""),COUNTIFS('Leads Pipeline'!$D$5:$D$1004,$A165,'Leads Pipeline'!$E$5:$E$1004,$B165,'Leads Pipeline'!$O$5:$O$1004,"Won"),"")</f>
        <v/>
      </c>
      <c r="G165" s="44" t="str">
        <f aca="false">IF(AND($A165&lt;&gt;"",$B165&lt;&gt;""),SUMIFS('Leads Pipeline'!$U$5:$U$1004,'Leads Pipeline'!$D$5:$D$1004,$A165,'Leads Pipeline'!$E$5:$E$1004,$B165,'Leads Pipeline'!$O$5:$O$1004,"&lt;&gt;Won",'Leads Pipeline'!$O$5:$O$1004,"&lt;&gt;Lost"),"")</f>
        <v/>
      </c>
      <c r="H165" s="43" t="str">
        <f aca="false">IF(AND($A165&lt;&gt;"",$B165&lt;&gt;""),COUNTIFS('Active Clients'!$B$5:$B$504,$A165,'Active Clients'!$C$5:$C$504,$B165,'Active Clients'!$T$5:$T$504,"Active"),"")</f>
        <v/>
      </c>
      <c r="I165" s="44" t="str">
        <f aca="false">IF(AND($A165&lt;&gt;"",$B165&lt;&gt;""),SUMIFS('Active Clients'!$R$5:$R$504,'Active Clients'!$B$5:$B$504,$A165,'Active Clients'!$C$5:$C$504,$B165),"")</f>
        <v/>
      </c>
      <c r="J165" s="43" t="str">
        <f aca="true">IF(AND($A165&lt;&gt;"",$B165&lt;&gt;""),COUNTIFS('Activity Log'!$E$5:$E$3004,$A165,'Activity Log'!$F$5:$F$3004,$B165,'Activity Log'!$A$5:$A$3004,"&gt;="&amp;(TODAY()-29),'Activity Log'!$A$5:$A$3004,"&lt;="&amp;TODAY()),"")</f>
        <v/>
      </c>
    </row>
    <row r="166" customFormat="false" ht="15" hidden="false" customHeight="false" outlineLevel="0" collapsed="false">
      <c r="A166" s="42"/>
      <c r="B166" s="42"/>
      <c r="C166" s="43" t="str">
        <f aca="false">IF(AND($A166&lt;&gt;"",$B166&lt;&gt;""),COUNTIFS('Leads Pipeline'!$D$5:$D$1004,$A166,'Leads Pipeline'!$E$5:$E$1004,$B166,'Leads Pipeline'!$F$5:$F$1004,"&lt;&gt;"),"")</f>
        <v/>
      </c>
      <c r="D166" s="43" t="str">
        <f aca="false">IF(AND($A166&lt;&gt;"",$B166&lt;&gt;""),COUNTIFS('Leads Pipeline'!$D$5:$D$1004,$A166,'Leads Pipeline'!$E$5:$E$1004,$B166,'Leads Pipeline'!$F$5:$F$1004,"&lt;&gt;",'Leads Pipeline'!$O$5:$O$1004,"&lt;&gt;Won",'Leads Pipeline'!$O$5:$O$1004,"&lt;&gt;Lost"),"")</f>
        <v/>
      </c>
      <c r="E166" s="43" t="str">
        <f aca="false">IF(AND($A166&lt;&gt;"",$B166&lt;&gt;""),COUNTIFS('Leads Pipeline'!$D$5:$D$1004,$A166,'Leads Pipeline'!$E$5:$E$1004,$B166,'Leads Pipeline'!$P$5:$P$1004,"Hot",'Leads Pipeline'!$O$5:$O$1004,"&lt;&gt;Won",'Leads Pipeline'!$O$5:$O$1004,"&lt;&gt;Lost"),"")</f>
        <v/>
      </c>
      <c r="F166" s="43" t="str">
        <f aca="false">IF(AND($A166&lt;&gt;"",$B166&lt;&gt;""),COUNTIFS('Leads Pipeline'!$D$5:$D$1004,$A166,'Leads Pipeline'!$E$5:$E$1004,$B166,'Leads Pipeline'!$O$5:$O$1004,"Won"),"")</f>
        <v/>
      </c>
      <c r="G166" s="44" t="str">
        <f aca="false">IF(AND($A166&lt;&gt;"",$B166&lt;&gt;""),SUMIFS('Leads Pipeline'!$U$5:$U$1004,'Leads Pipeline'!$D$5:$D$1004,$A166,'Leads Pipeline'!$E$5:$E$1004,$B166,'Leads Pipeline'!$O$5:$O$1004,"&lt;&gt;Won",'Leads Pipeline'!$O$5:$O$1004,"&lt;&gt;Lost"),"")</f>
        <v/>
      </c>
      <c r="H166" s="43" t="str">
        <f aca="false">IF(AND($A166&lt;&gt;"",$B166&lt;&gt;""),COUNTIFS('Active Clients'!$B$5:$B$504,$A166,'Active Clients'!$C$5:$C$504,$B166,'Active Clients'!$T$5:$T$504,"Active"),"")</f>
        <v/>
      </c>
      <c r="I166" s="44" t="str">
        <f aca="false">IF(AND($A166&lt;&gt;"",$B166&lt;&gt;""),SUMIFS('Active Clients'!$R$5:$R$504,'Active Clients'!$B$5:$B$504,$A166,'Active Clients'!$C$5:$C$504,$B166),"")</f>
        <v/>
      </c>
      <c r="J166" s="43" t="str">
        <f aca="true">IF(AND($A166&lt;&gt;"",$B166&lt;&gt;""),COUNTIFS('Activity Log'!$E$5:$E$3004,$A166,'Activity Log'!$F$5:$F$3004,$B166,'Activity Log'!$A$5:$A$3004,"&gt;="&amp;(TODAY()-29),'Activity Log'!$A$5:$A$3004,"&lt;="&amp;TODAY()),"")</f>
        <v/>
      </c>
    </row>
    <row r="167" customFormat="false" ht="15" hidden="false" customHeight="false" outlineLevel="0" collapsed="false">
      <c r="A167" s="42"/>
      <c r="B167" s="42"/>
      <c r="C167" s="43" t="str">
        <f aca="false">IF(AND($A167&lt;&gt;"",$B167&lt;&gt;""),COUNTIFS('Leads Pipeline'!$D$5:$D$1004,$A167,'Leads Pipeline'!$E$5:$E$1004,$B167,'Leads Pipeline'!$F$5:$F$1004,"&lt;&gt;"),"")</f>
        <v/>
      </c>
      <c r="D167" s="43" t="str">
        <f aca="false">IF(AND($A167&lt;&gt;"",$B167&lt;&gt;""),COUNTIFS('Leads Pipeline'!$D$5:$D$1004,$A167,'Leads Pipeline'!$E$5:$E$1004,$B167,'Leads Pipeline'!$F$5:$F$1004,"&lt;&gt;",'Leads Pipeline'!$O$5:$O$1004,"&lt;&gt;Won",'Leads Pipeline'!$O$5:$O$1004,"&lt;&gt;Lost"),"")</f>
        <v/>
      </c>
      <c r="E167" s="43" t="str">
        <f aca="false">IF(AND($A167&lt;&gt;"",$B167&lt;&gt;""),COUNTIFS('Leads Pipeline'!$D$5:$D$1004,$A167,'Leads Pipeline'!$E$5:$E$1004,$B167,'Leads Pipeline'!$P$5:$P$1004,"Hot",'Leads Pipeline'!$O$5:$O$1004,"&lt;&gt;Won",'Leads Pipeline'!$O$5:$O$1004,"&lt;&gt;Lost"),"")</f>
        <v/>
      </c>
      <c r="F167" s="43" t="str">
        <f aca="false">IF(AND($A167&lt;&gt;"",$B167&lt;&gt;""),COUNTIFS('Leads Pipeline'!$D$5:$D$1004,$A167,'Leads Pipeline'!$E$5:$E$1004,$B167,'Leads Pipeline'!$O$5:$O$1004,"Won"),"")</f>
        <v/>
      </c>
      <c r="G167" s="44" t="str">
        <f aca="false">IF(AND($A167&lt;&gt;"",$B167&lt;&gt;""),SUMIFS('Leads Pipeline'!$U$5:$U$1004,'Leads Pipeline'!$D$5:$D$1004,$A167,'Leads Pipeline'!$E$5:$E$1004,$B167,'Leads Pipeline'!$O$5:$O$1004,"&lt;&gt;Won",'Leads Pipeline'!$O$5:$O$1004,"&lt;&gt;Lost"),"")</f>
        <v/>
      </c>
      <c r="H167" s="43" t="str">
        <f aca="false">IF(AND($A167&lt;&gt;"",$B167&lt;&gt;""),COUNTIFS('Active Clients'!$B$5:$B$504,$A167,'Active Clients'!$C$5:$C$504,$B167,'Active Clients'!$T$5:$T$504,"Active"),"")</f>
        <v/>
      </c>
      <c r="I167" s="44" t="str">
        <f aca="false">IF(AND($A167&lt;&gt;"",$B167&lt;&gt;""),SUMIFS('Active Clients'!$R$5:$R$504,'Active Clients'!$B$5:$B$504,$A167,'Active Clients'!$C$5:$C$504,$B167),"")</f>
        <v/>
      </c>
      <c r="J167" s="43" t="str">
        <f aca="true">IF(AND($A167&lt;&gt;"",$B167&lt;&gt;""),COUNTIFS('Activity Log'!$E$5:$E$3004,$A167,'Activity Log'!$F$5:$F$3004,$B167,'Activity Log'!$A$5:$A$3004,"&gt;="&amp;(TODAY()-29),'Activity Log'!$A$5:$A$3004,"&lt;="&amp;TODAY()),"")</f>
        <v/>
      </c>
    </row>
    <row r="168" customFormat="false" ht="15" hidden="false" customHeight="false" outlineLevel="0" collapsed="false">
      <c r="A168" s="42"/>
      <c r="B168" s="42"/>
      <c r="C168" s="43" t="str">
        <f aca="false">IF(AND($A168&lt;&gt;"",$B168&lt;&gt;""),COUNTIFS('Leads Pipeline'!$D$5:$D$1004,$A168,'Leads Pipeline'!$E$5:$E$1004,$B168,'Leads Pipeline'!$F$5:$F$1004,"&lt;&gt;"),"")</f>
        <v/>
      </c>
      <c r="D168" s="43" t="str">
        <f aca="false">IF(AND($A168&lt;&gt;"",$B168&lt;&gt;""),COUNTIFS('Leads Pipeline'!$D$5:$D$1004,$A168,'Leads Pipeline'!$E$5:$E$1004,$B168,'Leads Pipeline'!$F$5:$F$1004,"&lt;&gt;",'Leads Pipeline'!$O$5:$O$1004,"&lt;&gt;Won",'Leads Pipeline'!$O$5:$O$1004,"&lt;&gt;Lost"),"")</f>
        <v/>
      </c>
      <c r="E168" s="43" t="str">
        <f aca="false">IF(AND($A168&lt;&gt;"",$B168&lt;&gt;""),COUNTIFS('Leads Pipeline'!$D$5:$D$1004,$A168,'Leads Pipeline'!$E$5:$E$1004,$B168,'Leads Pipeline'!$P$5:$P$1004,"Hot",'Leads Pipeline'!$O$5:$O$1004,"&lt;&gt;Won",'Leads Pipeline'!$O$5:$O$1004,"&lt;&gt;Lost"),"")</f>
        <v/>
      </c>
      <c r="F168" s="43" t="str">
        <f aca="false">IF(AND($A168&lt;&gt;"",$B168&lt;&gt;""),COUNTIFS('Leads Pipeline'!$D$5:$D$1004,$A168,'Leads Pipeline'!$E$5:$E$1004,$B168,'Leads Pipeline'!$O$5:$O$1004,"Won"),"")</f>
        <v/>
      </c>
      <c r="G168" s="44" t="str">
        <f aca="false">IF(AND($A168&lt;&gt;"",$B168&lt;&gt;""),SUMIFS('Leads Pipeline'!$U$5:$U$1004,'Leads Pipeline'!$D$5:$D$1004,$A168,'Leads Pipeline'!$E$5:$E$1004,$B168,'Leads Pipeline'!$O$5:$O$1004,"&lt;&gt;Won",'Leads Pipeline'!$O$5:$O$1004,"&lt;&gt;Lost"),"")</f>
        <v/>
      </c>
      <c r="H168" s="43" t="str">
        <f aca="false">IF(AND($A168&lt;&gt;"",$B168&lt;&gt;""),COUNTIFS('Active Clients'!$B$5:$B$504,$A168,'Active Clients'!$C$5:$C$504,$B168,'Active Clients'!$T$5:$T$504,"Active"),"")</f>
        <v/>
      </c>
      <c r="I168" s="44" t="str">
        <f aca="false">IF(AND($A168&lt;&gt;"",$B168&lt;&gt;""),SUMIFS('Active Clients'!$R$5:$R$504,'Active Clients'!$B$5:$B$504,$A168,'Active Clients'!$C$5:$C$504,$B168),"")</f>
        <v/>
      </c>
      <c r="J168" s="43" t="str">
        <f aca="true">IF(AND($A168&lt;&gt;"",$B168&lt;&gt;""),COUNTIFS('Activity Log'!$E$5:$E$3004,$A168,'Activity Log'!$F$5:$F$3004,$B168,'Activity Log'!$A$5:$A$3004,"&gt;="&amp;(TODAY()-29),'Activity Log'!$A$5:$A$3004,"&lt;="&amp;TODAY()),"")</f>
        <v/>
      </c>
    </row>
    <row r="169" customFormat="false" ht="15" hidden="false" customHeight="false" outlineLevel="0" collapsed="false">
      <c r="A169" s="42"/>
      <c r="B169" s="42"/>
      <c r="C169" s="43" t="str">
        <f aca="false">IF(AND($A169&lt;&gt;"",$B169&lt;&gt;""),COUNTIFS('Leads Pipeline'!$D$5:$D$1004,$A169,'Leads Pipeline'!$E$5:$E$1004,$B169,'Leads Pipeline'!$F$5:$F$1004,"&lt;&gt;"),"")</f>
        <v/>
      </c>
      <c r="D169" s="43" t="str">
        <f aca="false">IF(AND($A169&lt;&gt;"",$B169&lt;&gt;""),COUNTIFS('Leads Pipeline'!$D$5:$D$1004,$A169,'Leads Pipeline'!$E$5:$E$1004,$B169,'Leads Pipeline'!$F$5:$F$1004,"&lt;&gt;",'Leads Pipeline'!$O$5:$O$1004,"&lt;&gt;Won",'Leads Pipeline'!$O$5:$O$1004,"&lt;&gt;Lost"),"")</f>
        <v/>
      </c>
      <c r="E169" s="43" t="str">
        <f aca="false">IF(AND($A169&lt;&gt;"",$B169&lt;&gt;""),COUNTIFS('Leads Pipeline'!$D$5:$D$1004,$A169,'Leads Pipeline'!$E$5:$E$1004,$B169,'Leads Pipeline'!$P$5:$P$1004,"Hot",'Leads Pipeline'!$O$5:$O$1004,"&lt;&gt;Won",'Leads Pipeline'!$O$5:$O$1004,"&lt;&gt;Lost"),"")</f>
        <v/>
      </c>
      <c r="F169" s="43" t="str">
        <f aca="false">IF(AND($A169&lt;&gt;"",$B169&lt;&gt;""),COUNTIFS('Leads Pipeline'!$D$5:$D$1004,$A169,'Leads Pipeline'!$E$5:$E$1004,$B169,'Leads Pipeline'!$O$5:$O$1004,"Won"),"")</f>
        <v/>
      </c>
      <c r="G169" s="44" t="str">
        <f aca="false">IF(AND($A169&lt;&gt;"",$B169&lt;&gt;""),SUMIFS('Leads Pipeline'!$U$5:$U$1004,'Leads Pipeline'!$D$5:$D$1004,$A169,'Leads Pipeline'!$E$5:$E$1004,$B169,'Leads Pipeline'!$O$5:$O$1004,"&lt;&gt;Won",'Leads Pipeline'!$O$5:$O$1004,"&lt;&gt;Lost"),"")</f>
        <v/>
      </c>
      <c r="H169" s="43" t="str">
        <f aca="false">IF(AND($A169&lt;&gt;"",$B169&lt;&gt;""),COUNTIFS('Active Clients'!$B$5:$B$504,$A169,'Active Clients'!$C$5:$C$504,$B169,'Active Clients'!$T$5:$T$504,"Active"),"")</f>
        <v/>
      </c>
      <c r="I169" s="44" t="str">
        <f aca="false">IF(AND($A169&lt;&gt;"",$B169&lt;&gt;""),SUMIFS('Active Clients'!$R$5:$R$504,'Active Clients'!$B$5:$B$504,$A169,'Active Clients'!$C$5:$C$504,$B169),"")</f>
        <v/>
      </c>
      <c r="J169" s="43" t="str">
        <f aca="true">IF(AND($A169&lt;&gt;"",$B169&lt;&gt;""),COUNTIFS('Activity Log'!$E$5:$E$3004,$A169,'Activity Log'!$F$5:$F$3004,$B169,'Activity Log'!$A$5:$A$3004,"&gt;="&amp;(TODAY()-29),'Activity Log'!$A$5:$A$3004,"&lt;="&amp;TODAY()),"")</f>
        <v/>
      </c>
    </row>
    <row r="170" customFormat="false" ht="15" hidden="false" customHeight="false" outlineLevel="0" collapsed="false">
      <c r="A170" s="42"/>
      <c r="B170" s="42"/>
      <c r="C170" s="43" t="str">
        <f aca="false">IF(AND($A170&lt;&gt;"",$B170&lt;&gt;""),COUNTIFS('Leads Pipeline'!$D$5:$D$1004,$A170,'Leads Pipeline'!$E$5:$E$1004,$B170,'Leads Pipeline'!$F$5:$F$1004,"&lt;&gt;"),"")</f>
        <v/>
      </c>
      <c r="D170" s="43" t="str">
        <f aca="false">IF(AND($A170&lt;&gt;"",$B170&lt;&gt;""),COUNTIFS('Leads Pipeline'!$D$5:$D$1004,$A170,'Leads Pipeline'!$E$5:$E$1004,$B170,'Leads Pipeline'!$F$5:$F$1004,"&lt;&gt;",'Leads Pipeline'!$O$5:$O$1004,"&lt;&gt;Won",'Leads Pipeline'!$O$5:$O$1004,"&lt;&gt;Lost"),"")</f>
        <v/>
      </c>
      <c r="E170" s="43" t="str">
        <f aca="false">IF(AND($A170&lt;&gt;"",$B170&lt;&gt;""),COUNTIFS('Leads Pipeline'!$D$5:$D$1004,$A170,'Leads Pipeline'!$E$5:$E$1004,$B170,'Leads Pipeline'!$P$5:$P$1004,"Hot",'Leads Pipeline'!$O$5:$O$1004,"&lt;&gt;Won",'Leads Pipeline'!$O$5:$O$1004,"&lt;&gt;Lost"),"")</f>
        <v/>
      </c>
      <c r="F170" s="43" t="str">
        <f aca="false">IF(AND($A170&lt;&gt;"",$B170&lt;&gt;""),COUNTIFS('Leads Pipeline'!$D$5:$D$1004,$A170,'Leads Pipeline'!$E$5:$E$1004,$B170,'Leads Pipeline'!$O$5:$O$1004,"Won"),"")</f>
        <v/>
      </c>
      <c r="G170" s="44" t="str">
        <f aca="false">IF(AND($A170&lt;&gt;"",$B170&lt;&gt;""),SUMIFS('Leads Pipeline'!$U$5:$U$1004,'Leads Pipeline'!$D$5:$D$1004,$A170,'Leads Pipeline'!$E$5:$E$1004,$B170,'Leads Pipeline'!$O$5:$O$1004,"&lt;&gt;Won",'Leads Pipeline'!$O$5:$O$1004,"&lt;&gt;Lost"),"")</f>
        <v/>
      </c>
      <c r="H170" s="43" t="str">
        <f aca="false">IF(AND($A170&lt;&gt;"",$B170&lt;&gt;""),COUNTIFS('Active Clients'!$B$5:$B$504,$A170,'Active Clients'!$C$5:$C$504,$B170,'Active Clients'!$T$5:$T$504,"Active"),"")</f>
        <v/>
      </c>
      <c r="I170" s="44" t="str">
        <f aca="false">IF(AND($A170&lt;&gt;"",$B170&lt;&gt;""),SUMIFS('Active Clients'!$R$5:$R$504,'Active Clients'!$B$5:$B$504,$A170,'Active Clients'!$C$5:$C$504,$B170),"")</f>
        <v/>
      </c>
      <c r="J170" s="43" t="str">
        <f aca="true">IF(AND($A170&lt;&gt;"",$B170&lt;&gt;""),COUNTIFS('Activity Log'!$E$5:$E$3004,$A170,'Activity Log'!$F$5:$F$3004,$B170,'Activity Log'!$A$5:$A$3004,"&gt;="&amp;(TODAY()-29),'Activity Log'!$A$5:$A$3004,"&lt;="&amp;TODAY()),"")</f>
        <v/>
      </c>
    </row>
    <row r="171" customFormat="false" ht="15" hidden="false" customHeight="false" outlineLevel="0" collapsed="false">
      <c r="A171" s="42"/>
      <c r="B171" s="42"/>
      <c r="C171" s="43" t="str">
        <f aca="false">IF(AND($A171&lt;&gt;"",$B171&lt;&gt;""),COUNTIFS('Leads Pipeline'!$D$5:$D$1004,$A171,'Leads Pipeline'!$E$5:$E$1004,$B171,'Leads Pipeline'!$F$5:$F$1004,"&lt;&gt;"),"")</f>
        <v/>
      </c>
      <c r="D171" s="43" t="str">
        <f aca="false">IF(AND($A171&lt;&gt;"",$B171&lt;&gt;""),COUNTIFS('Leads Pipeline'!$D$5:$D$1004,$A171,'Leads Pipeline'!$E$5:$E$1004,$B171,'Leads Pipeline'!$F$5:$F$1004,"&lt;&gt;",'Leads Pipeline'!$O$5:$O$1004,"&lt;&gt;Won",'Leads Pipeline'!$O$5:$O$1004,"&lt;&gt;Lost"),"")</f>
        <v/>
      </c>
      <c r="E171" s="43" t="str">
        <f aca="false">IF(AND($A171&lt;&gt;"",$B171&lt;&gt;""),COUNTIFS('Leads Pipeline'!$D$5:$D$1004,$A171,'Leads Pipeline'!$E$5:$E$1004,$B171,'Leads Pipeline'!$P$5:$P$1004,"Hot",'Leads Pipeline'!$O$5:$O$1004,"&lt;&gt;Won",'Leads Pipeline'!$O$5:$O$1004,"&lt;&gt;Lost"),"")</f>
        <v/>
      </c>
      <c r="F171" s="43" t="str">
        <f aca="false">IF(AND($A171&lt;&gt;"",$B171&lt;&gt;""),COUNTIFS('Leads Pipeline'!$D$5:$D$1004,$A171,'Leads Pipeline'!$E$5:$E$1004,$B171,'Leads Pipeline'!$O$5:$O$1004,"Won"),"")</f>
        <v/>
      </c>
      <c r="G171" s="44" t="str">
        <f aca="false">IF(AND($A171&lt;&gt;"",$B171&lt;&gt;""),SUMIFS('Leads Pipeline'!$U$5:$U$1004,'Leads Pipeline'!$D$5:$D$1004,$A171,'Leads Pipeline'!$E$5:$E$1004,$B171,'Leads Pipeline'!$O$5:$O$1004,"&lt;&gt;Won",'Leads Pipeline'!$O$5:$O$1004,"&lt;&gt;Lost"),"")</f>
        <v/>
      </c>
      <c r="H171" s="43" t="str">
        <f aca="false">IF(AND($A171&lt;&gt;"",$B171&lt;&gt;""),COUNTIFS('Active Clients'!$B$5:$B$504,$A171,'Active Clients'!$C$5:$C$504,$B171,'Active Clients'!$T$5:$T$504,"Active"),"")</f>
        <v/>
      </c>
      <c r="I171" s="44" t="str">
        <f aca="false">IF(AND($A171&lt;&gt;"",$B171&lt;&gt;""),SUMIFS('Active Clients'!$R$5:$R$504,'Active Clients'!$B$5:$B$504,$A171,'Active Clients'!$C$5:$C$504,$B171),"")</f>
        <v/>
      </c>
      <c r="J171" s="43" t="str">
        <f aca="true">IF(AND($A171&lt;&gt;"",$B171&lt;&gt;""),COUNTIFS('Activity Log'!$E$5:$E$3004,$A171,'Activity Log'!$F$5:$F$3004,$B171,'Activity Log'!$A$5:$A$3004,"&gt;="&amp;(TODAY()-29),'Activity Log'!$A$5:$A$3004,"&lt;="&amp;TODAY()),"")</f>
        <v/>
      </c>
    </row>
    <row r="172" customFormat="false" ht="15" hidden="false" customHeight="false" outlineLevel="0" collapsed="false">
      <c r="A172" s="42"/>
      <c r="B172" s="42"/>
      <c r="C172" s="43" t="str">
        <f aca="false">IF(AND($A172&lt;&gt;"",$B172&lt;&gt;""),COUNTIFS('Leads Pipeline'!$D$5:$D$1004,$A172,'Leads Pipeline'!$E$5:$E$1004,$B172,'Leads Pipeline'!$F$5:$F$1004,"&lt;&gt;"),"")</f>
        <v/>
      </c>
      <c r="D172" s="43" t="str">
        <f aca="false">IF(AND($A172&lt;&gt;"",$B172&lt;&gt;""),COUNTIFS('Leads Pipeline'!$D$5:$D$1004,$A172,'Leads Pipeline'!$E$5:$E$1004,$B172,'Leads Pipeline'!$F$5:$F$1004,"&lt;&gt;",'Leads Pipeline'!$O$5:$O$1004,"&lt;&gt;Won",'Leads Pipeline'!$O$5:$O$1004,"&lt;&gt;Lost"),"")</f>
        <v/>
      </c>
      <c r="E172" s="43" t="str">
        <f aca="false">IF(AND($A172&lt;&gt;"",$B172&lt;&gt;""),COUNTIFS('Leads Pipeline'!$D$5:$D$1004,$A172,'Leads Pipeline'!$E$5:$E$1004,$B172,'Leads Pipeline'!$P$5:$P$1004,"Hot",'Leads Pipeline'!$O$5:$O$1004,"&lt;&gt;Won",'Leads Pipeline'!$O$5:$O$1004,"&lt;&gt;Lost"),"")</f>
        <v/>
      </c>
      <c r="F172" s="43" t="str">
        <f aca="false">IF(AND($A172&lt;&gt;"",$B172&lt;&gt;""),COUNTIFS('Leads Pipeline'!$D$5:$D$1004,$A172,'Leads Pipeline'!$E$5:$E$1004,$B172,'Leads Pipeline'!$O$5:$O$1004,"Won"),"")</f>
        <v/>
      </c>
      <c r="G172" s="44" t="str">
        <f aca="false">IF(AND($A172&lt;&gt;"",$B172&lt;&gt;""),SUMIFS('Leads Pipeline'!$U$5:$U$1004,'Leads Pipeline'!$D$5:$D$1004,$A172,'Leads Pipeline'!$E$5:$E$1004,$B172,'Leads Pipeline'!$O$5:$O$1004,"&lt;&gt;Won",'Leads Pipeline'!$O$5:$O$1004,"&lt;&gt;Lost"),"")</f>
        <v/>
      </c>
      <c r="H172" s="43" t="str">
        <f aca="false">IF(AND($A172&lt;&gt;"",$B172&lt;&gt;""),COUNTIFS('Active Clients'!$B$5:$B$504,$A172,'Active Clients'!$C$5:$C$504,$B172,'Active Clients'!$T$5:$T$504,"Active"),"")</f>
        <v/>
      </c>
      <c r="I172" s="44" t="str">
        <f aca="false">IF(AND($A172&lt;&gt;"",$B172&lt;&gt;""),SUMIFS('Active Clients'!$R$5:$R$504,'Active Clients'!$B$5:$B$504,$A172,'Active Clients'!$C$5:$C$504,$B172),"")</f>
        <v/>
      </c>
      <c r="J172" s="43" t="str">
        <f aca="true">IF(AND($A172&lt;&gt;"",$B172&lt;&gt;""),COUNTIFS('Activity Log'!$E$5:$E$3004,$A172,'Activity Log'!$F$5:$F$3004,$B172,'Activity Log'!$A$5:$A$3004,"&gt;="&amp;(TODAY()-29),'Activity Log'!$A$5:$A$3004,"&lt;="&amp;TODAY()),"")</f>
        <v/>
      </c>
    </row>
    <row r="173" customFormat="false" ht="15" hidden="false" customHeight="false" outlineLevel="0" collapsed="false">
      <c r="A173" s="42"/>
      <c r="B173" s="42"/>
      <c r="C173" s="43" t="str">
        <f aca="false">IF(AND($A173&lt;&gt;"",$B173&lt;&gt;""),COUNTIFS('Leads Pipeline'!$D$5:$D$1004,$A173,'Leads Pipeline'!$E$5:$E$1004,$B173,'Leads Pipeline'!$F$5:$F$1004,"&lt;&gt;"),"")</f>
        <v/>
      </c>
      <c r="D173" s="43" t="str">
        <f aca="false">IF(AND($A173&lt;&gt;"",$B173&lt;&gt;""),COUNTIFS('Leads Pipeline'!$D$5:$D$1004,$A173,'Leads Pipeline'!$E$5:$E$1004,$B173,'Leads Pipeline'!$F$5:$F$1004,"&lt;&gt;",'Leads Pipeline'!$O$5:$O$1004,"&lt;&gt;Won",'Leads Pipeline'!$O$5:$O$1004,"&lt;&gt;Lost"),"")</f>
        <v/>
      </c>
      <c r="E173" s="43" t="str">
        <f aca="false">IF(AND($A173&lt;&gt;"",$B173&lt;&gt;""),COUNTIFS('Leads Pipeline'!$D$5:$D$1004,$A173,'Leads Pipeline'!$E$5:$E$1004,$B173,'Leads Pipeline'!$P$5:$P$1004,"Hot",'Leads Pipeline'!$O$5:$O$1004,"&lt;&gt;Won",'Leads Pipeline'!$O$5:$O$1004,"&lt;&gt;Lost"),"")</f>
        <v/>
      </c>
      <c r="F173" s="43" t="str">
        <f aca="false">IF(AND($A173&lt;&gt;"",$B173&lt;&gt;""),COUNTIFS('Leads Pipeline'!$D$5:$D$1004,$A173,'Leads Pipeline'!$E$5:$E$1004,$B173,'Leads Pipeline'!$O$5:$O$1004,"Won"),"")</f>
        <v/>
      </c>
      <c r="G173" s="44" t="str">
        <f aca="false">IF(AND($A173&lt;&gt;"",$B173&lt;&gt;""),SUMIFS('Leads Pipeline'!$U$5:$U$1004,'Leads Pipeline'!$D$5:$D$1004,$A173,'Leads Pipeline'!$E$5:$E$1004,$B173,'Leads Pipeline'!$O$5:$O$1004,"&lt;&gt;Won",'Leads Pipeline'!$O$5:$O$1004,"&lt;&gt;Lost"),"")</f>
        <v/>
      </c>
      <c r="H173" s="43" t="str">
        <f aca="false">IF(AND($A173&lt;&gt;"",$B173&lt;&gt;""),COUNTIFS('Active Clients'!$B$5:$B$504,$A173,'Active Clients'!$C$5:$C$504,$B173,'Active Clients'!$T$5:$T$504,"Active"),"")</f>
        <v/>
      </c>
      <c r="I173" s="44" t="str">
        <f aca="false">IF(AND($A173&lt;&gt;"",$B173&lt;&gt;""),SUMIFS('Active Clients'!$R$5:$R$504,'Active Clients'!$B$5:$B$504,$A173,'Active Clients'!$C$5:$C$504,$B173),"")</f>
        <v/>
      </c>
      <c r="J173" s="43" t="str">
        <f aca="true">IF(AND($A173&lt;&gt;"",$B173&lt;&gt;""),COUNTIFS('Activity Log'!$E$5:$E$3004,$A173,'Activity Log'!$F$5:$F$3004,$B173,'Activity Log'!$A$5:$A$3004,"&gt;="&amp;(TODAY()-29),'Activity Log'!$A$5:$A$3004,"&lt;="&amp;TODAY()),"")</f>
        <v/>
      </c>
    </row>
    <row r="174" customFormat="false" ht="15" hidden="false" customHeight="false" outlineLevel="0" collapsed="false">
      <c r="A174" s="42"/>
      <c r="B174" s="42"/>
      <c r="C174" s="43" t="str">
        <f aca="false">IF(AND($A174&lt;&gt;"",$B174&lt;&gt;""),COUNTIFS('Leads Pipeline'!$D$5:$D$1004,$A174,'Leads Pipeline'!$E$5:$E$1004,$B174,'Leads Pipeline'!$F$5:$F$1004,"&lt;&gt;"),"")</f>
        <v/>
      </c>
      <c r="D174" s="43" t="str">
        <f aca="false">IF(AND($A174&lt;&gt;"",$B174&lt;&gt;""),COUNTIFS('Leads Pipeline'!$D$5:$D$1004,$A174,'Leads Pipeline'!$E$5:$E$1004,$B174,'Leads Pipeline'!$F$5:$F$1004,"&lt;&gt;",'Leads Pipeline'!$O$5:$O$1004,"&lt;&gt;Won",'Leads Pipeline'!$O$5:$O$1004,"&lt;&gt;Lost"),"")</f>
        <v/>
      </c>
      <c r="E174" s="43" t="str">
        <f aca="false">IF(AND($A174&lt;&gt;"",$B174&lt;&gt;""),COUNTIFS('Leads Pipeline'!$D$5:$D$1004,$A174,'Leads Pipeline'!$E$5:$E$1004,$B174,'Leads Pipeline'!$P$5:$P$1004,"Hot",'Leads Pipeline'!$O$5:$O$1004,"&lt;&gt;Won",'Leads Pipeline'!$O$5:$O$1004,"&lt;&gt;Lost"),"")</f>
        <v/>
      </c>
      <c r="F174" s="43" t="str">
        <f aca="false">IF(AND($A174&lt;&gt;"",$B174&lt;&gt;""),COUNTIFS('Leads Pipeline'!$D$5:$D$1004,$A174,'Leads Pipeline'!$E$5:$E$1004,$B174,'Leads Pipeline'!$O$5:$O$1004,"Won"),"")</f>
        <v/>
      </c>
      <c r="G174" s="44" t="str">
        <f aca="false">IF(AND($A174&lt;&gt;"",$B174&lt;&gt;""),SUMIFS('Leads Pipeline'!$U$5:$U$1004,'Leads Pipeline'!$D$5:$D$1004,$A174,'Leads Pipeline'!$E$5:$E$1004,$B174,'Leads Pipeline'!$O$5:$O$1004,"&lt;&gt;Won",'Leads Pipeline'!$O$5:$O$1004,"&lt;&gt;Lost"),"")</f>
        <v/>
      </c>
      <c r="H174" s="43" t="str">
        <f aca="false">IF(AND($A174&lt;&gt;"",$B174&lt;&gt;""),COUNTIFS('Active Clients'!$B$5:$B$504,$A174,'Active Clients'!$C$5:$C$504,$B174,'Active Clients'!$T$5:$T$504,"Active"),"")</f>
        <v/>
      </c>
      <c r="I174" s="44" t="str">
        <f aca="false">IF(AND($A174&lt;&gt;"",$B174&lt;&gt;""),SUMIFS('Active Clients'!$R$5:$R$504,'Active Clients'!$B$5:$B$504,$A174,'Active Clients'!$C$5:$C$504,$B174),"")</f>
        <v/>
      </c>
      <c r="J174" s="43" t="str">
        <f aca="true">IF(AND($A174&lt;&gt;"",$B174&lt;&gt;""),COUNTIFS('Activity Log'!$E$5:$E$3004,$A174,'Activity Log'!$F$5:$F$3004,$B174,'Activity Log'!$A$5:$A$3004,"&gt;="&amp;(TODAY()-29),'Activity Log'!$A$5:$A$3004,"&lt;="&amp;TODAY()),"")</f>
        <v/>
      </c>
    </row>
    <row r="175" customFormat="false" ht="15" hidden="false" customHeight="false" outlineLevel="0" collapsed="false">
      <c r="A175" s="42"/>
      <c r="B175" s="42"/>
      <c r="C175" s="43" t="str">
        <f aca="false">IF(AND($A175&lt;&gt;"",$B175&lt;&gt;""),COUNTIFS('Leads Pipeline'!$D$5:$D$1004,$A175,'Leads Pipeline'!$E$5:$E$1004,$B175,'Leads Pipeline'!$F$5:$F$1004,"&lt;&gt;"),"")</f>
        <v/>
      </c>
      <c r="D175" s="43" t="str">
        <f aca="false">IF(AND($A175&lt;&gt;"",$B175&lt;&gt;""),COUNTIFS('Leads Pipeline'!$D$5:$D$1004,$A175,'Leads Pipeline'!$E$5:$E$1004,$B175,'Leads Pipeline'!$F$5:$F$1004,"&lt;&gt;",'Leads Pipeline'!$O$5:$O$1004,"&lt;&gt;Won",'Leads Pipeline'!$O$5:$O$1004,"&lt;&gt;Lost"),"")</f>
        <v/>
      </c>
      <c r="E175" s="43" t="str">
        <f aca="false">IF(AND($A175&lt;&gt;"",$B175&lt;&gt;""),COUNTIFS('Leads Pipeline'!$D$5:$D$1004,$A175,'Leads Pipeline'!$E$5:$E$1004,$B175,'Leads Pipeline'!$P$5:$P$1004,"Hot",'Leads Pipeline'!$O$5:$O$1004,"&lt;&gt;Won",'Leads Pipeline'!$O$5:$O$1004,"&lt;&gt;Lost"),"")</f>
        <v/>
      </c>
      <c r="F175" s="43" t="str">
        <f aca="false">IF(AND($A175&lt;&gt;"",$B175&lt;&gt;""),COUNTIFS('Leads Pipeline'!$D$5:$D$1004,$A175,'Leads Pipeline'!$E$5:$E$1004,$B175,'Leads Pipeline'!$O$5:$O$1004,"Won"),"")</f>
        <v/>
      </c>
      <c r="G175" s="44" t="str">
        <f aca="false">IF(AND($A175&lt;&gt;"",$B175&lt;&gt;""),SUMIFS('Leads Pipeline'!$U$5:$U$1004,'Leads Pipeline'!$D$5:$D$1004,$A175,'Leads Pipeline'!$E$5:$E$1004,$B175,'Leads Pipeline'!$O$5:$O$1004,"&lt;&gt;Won",'Leads Pipeline'!$O$5:$O$1004,"&lt;&gt;Lost"),"")</f>
        <v/>
      </c>
      <c r="H175" s="43" t="str">
        <f aca="false">IF(AND($A175&lt;&gt;"",$B175&lt;&gt;""),COUNTIFS('Active Clients'!$B$5:$B$504,$A175,'Active Clients'!$C$5:$C$504,$B175,'Active Clients'!$T$5:$T$504,"Active"),"")</f>
        <v/>
      </c>
      <c r="I175" s="44" t="str">
        <f aca="false">IF(AND($A175&lt;&gt;"",$B175&lt;&gt;""),SUMIFS('Active Clients'!$R$5:$R$504,'Active Clients'!$B$5:$B$504,$A175,'Active Clients'!$C$5:$C$504,$B175),"")</f>
        <v/>
      </c>
      <c r="J175" s="43" t="str">
        <f aca="true">IF(AND($A175&lt;&gt;"",$B175&lt;&gt;""),COUNTIFS('Activity Log'!$E$5:$E$3004,$A175,'Activity Log'!$F$5:$F$3004,$B175,'Activity Log'!$A$5:$A$3004,"&gt;="&amp;(TODAY()-29),'Activity Log'!$A$5:$A$3004,"&lt;="&amp;TODAY()),"")</f>
        <v/>
      </c>
    </row>
    <row r="176" customFormat="false" ht="15" hidden="false" customHeight="false" outlineLevel="0" collapsed="false">
      <c r="A176" s="42"/>
      <c r="B176" s="42"/>
      <c r="C176" s="43" t="str">
        <f aca="false">IF(AND($A176&lt;&gt;"",$B176&lt;&gt;""),COUNTIFS('Leads Pipeline'!$D$5:$D$1004,$A176,'Leads Pipeline'!$E$5:$E$1004,$B176,'Leads Pipeline'!$F$5:$F$1004,"&lt;&gt;"),"")</f>
        <v/>
      </c>
      <c r="D176" s="43" t="str">
        <f aca="false">IF(AND($A176&lt;&gt;"",$B176&lt;&gt;""),COUNTIFS('Leads Pipeline'!$D$5:$D$1004,$A176,'Leads Pipeline'!$E$5:$E$1004,$B176,'Leads Pipeline'!$F$5:$F$1004,"&lt;&gt;",'Leads Pipeline'!$O$5:$O$1004,"&lt;&gt;Won",'Leads Pipeline'!$O$5:$O$1004,"&lt;&gt;Lost"),"")</f>
        <v/>
      </c>
      <c r="E176" s="43" t="str">
        <f aca="false">IF(AND($A176&lt;&gt;"",$B176&lt;&gt;""),COUNTIFS('Leads Pipeline'!$D$5:$D$1004,$A176,'Leads Pipeline'!$E$5:$E$1004,$B176,'Leads Pipeline'!$P$5:$P$1004,"Hot",'Leads Pipeline'!$O$5:$O$1004,"&lt;&gt;Won",'Leads Pipeline'!$O$5:$O$1004,"&lt;&gt;Lost"),"")</f>
        <v/>
      </c>
      <c r="F176" s="43" t="str">
        <f aca="false">IF(AND($A176&lt;&gt;"",$B176&lt;&gt;""),COUNTIFS('Leads Pipeline'!$D$5:$D$1004,$A176,'Leads Pipeline'!$E$5:$E$1004,$B176,'Leads Pipeline'!$O$5:$O$1004,"Won"),"")</f>
        <v/>
      </c>
      <c r="G176" s="44" t="str">
        <f aca="false">IF(AND($A176&lt;&gt;"",$B176&lt;&gt;""),SUMIFS('Leads Pipeline'!$U$5:$U$1004,'Leads Pipeline'!$D$5:$D$1004,$A176,'Leads Pipeline'!$E$5:$E$1004,$B176,'Leads Pipeline'!$O$5:$O$1004,"&lt;&gt;Won",'Leads Pipeline'!$O$5:$O$1004,"&lt;&gt;Lost"),"")</f>
        <v/>
      </c>
      <c r="H176" s="43" t="str">
        <f aca="false">IF(AND($A176&lt;&gt;"",$B176&lt;&gt;""),COUNTIFS('Active Clients'!$B$5:$B$504,$A176,'Active Clients'!$C$5:$C$504,$B176,'Active Clients'!$T$5:$T$504,"Active"),"")</f>
        <v/>
      </c>
      <c r="I176" s="44" t="str">
        <f aca="false">IF(AND($A176&lt;&gt;"",$B176&lt;&gt;""),SUMIFS('Active Clients'!$R$5:$R$504,'Active Clients'!$B$5:$B$504,$A176,'Active Clients'!$C$5:$C$504,$B176),"")</f>
        <v/>
      </c>
      <c r="J176" s="43" t="str">
        <f aca="true">IF(AND($A176&lt;&gt;"",$B176&lt;&gt;""),COUNTIFS('Activity Log'!$E$5:$E$3004,$A176,'Activity Log'!$F$5:$F$3004,$B176,'Activity Log'!$A$5:$A$3004,"&gt;="&amp;(TODAY()-29),'Activity Log'!$A$5:$A$3004,"&lt;="&amp;TODAY()),"")</f>
        <v/>
      </c>
    </row>
    <row r="177" customFormat="false" ht="15" hidden="false" customHeight="false" outlineLevel="0" collapsed="false">
      <c r="A177" s="42"/>
      <c r="B177" s="42"/>
      <c r="C177" s="43" t="str">
        <f aca="false">IF(AND($A177&lt;&gt;"",$B177&lt;&gt;""),COUNTIFS('Leads Pipeline'!$D$5:$D$1004,$A177,'Leads Pipeline'!$E$5:$E$1004,$B177,'Leads Pipeline'!$F$5:$F$1004,"&lt;&gt;"),"")</f>
        <v/>
      </c>
      <c r="D177" s="43" t="str">
        <f aca="false">IF(AND($A177&lt;&gt;"",$B177&lt;&gt;""),COUNTIFS('Leads Pipeline'!$D$5:$D$1004,$A177,'Leads Pipeline'!$E$5:$E$1004,$B177,'Leads Pipeline'!$F$5:$F$1004,"&lt;&gt;",'Leads Pipeline'!$O$5:$O$1004,"&lt;&gt;Won",'Leads Pipeline'!$O$5:$O$1004,"&lt;&gt;Lost"),"")</f>
        <v/>
      </c>
      <c r="E177" s="43" t="str">
        <f aca="false">IF(AND($A177&lt;&gt;"",$B177&lt;&gt;""),COUNTIFS('Leads Pipeline'!$D$5:$D$1004,$A177,'Leads Pipeline'!$E$5:$E$1004,$B177,'Leads Pipeline'!$P$5:$P$1004,"Hot",'Leads Pipeline'!$O$5:$O$1004,"&lt;&gt;Won",'Leads Pipeline'!$O$5:$O$1004,"&lt;&gt;Lost"),"")</f>
        <v/>
      </c>
      <c r="F177" s="43" t="str">
        <f aca="false">IF(AND($A177&lt;&gt;"",$B177&lt;&gt;""),COUNTIFS('Leads Pipeline'!$D$5:$D$1004,$A177,'Leads Pipeline'!$E$5:$E$1004,$B177,'Leads Pipeline'!$O$5:$O$1004,"Won"),"")</f>
        <v/>
      </c>
      <c r="G177" s="44" t="str">
        <f aca="false">IF(AND($A177&lt;&gt;"",$B177&lt;&gt;""),SUMIFS('Leads Pipeline'!$U$5:$U$1004,'Leads Pipeline'!$D$5:$D$1004,$A177,'Leads Pipeline'!$E$5:$E$1004,$B177,'Leads Pipeline'!$O$5:$O$1004,"&lt;&gt;Won",'Leads Pipeline'!$O$5:$O$1004,"&lt;&gt;Lost"),"")</f>
        <v/>
      </c>
      <c r="H177" s="43" t="str">
        <f aca="false">IF(AND($A177&lt;&gt;"",$B177&lt;&gt;""),COUNTIFS('Active Clients'!$B$5:$B$504,$A177,'Active Clients'!$C$5:$C$504,$B177,'Active Clients'!$T$5:$T$504,"Active"),"")</f>
        <v/>
      </c>
      <c r="I177" s="44" t="str">
        <f aca="false">IF(AND($A177&lt;&gt;"",$B177&lt;&gt;""),SUMIFS('Active Clients'!$R$5:$R$504,'Active Clients'!$B$5:$B$504,$A177,'Active Clients'!$C$5:$C$504,$B177),"")</f>
        <v/>
      </c>
      <c r="J177" s="43" t="str">
        <f aca="true">IF(AND($A177&lt;&gt;"",$B177&lt;&gt;""),COUNTIFS('Activity Log'!$E$5:$E$3004,$A177,'Activity Log'!$F$5:$F$3004,$B177,'Activity Log'!$A$5:$A$3004,"&gt;="&amp;(TODAY()-29),'Activity Log'!$A$5:$A$3004,"&lt;="&amp;TODAY()),"")</f>
        <v/>
      </c>
    </row>
    <row r="178" customFormat="false" ht="15" hidden="false" customHeight="false" outlineLevel="0" collapsed="false">
      <c r="A178" s="42"/>
      <c r="B178" s="42"/>
      <c r="C178" s="43" t="str">
        <f aca="false">IF(AND($A178&lt;&gt;"",$B178&lt;&gt;""),COUNTIFS('Leads Pipeline'!$D$5:$D$1004,$A178,'Leads Pipeline'!$E$5:$E$1004,$B178,'Leads Pipeline'!$F$5:$F$1004,"&lt;&gt;"),"")</f>
        <v/>
      </c>
      <c r="D178" s="43" t="str">
        <f aca="false">IF(AND($A178&lt;&gt;"",$B178&lt;&gt;""),COUNTIFS('Leads Pipeline'!$D$5:$D$1004,$A178,'Leads Pipeline'!$E$5:$E$1004,$B178,'Leads Pipeline'!$F$5:$F$1004,"&lt;&gt;",'Leads Pipeline'!$O$5:$O$1004,"&lt;&gt;Won",'Leads Pipeline'!$O$5:$O$1004,"&lt;&gt;Lost"),"")</f>
        <v/>
      </c>
      <c r="E178" s="43" t="str">
        <f aca="false">IF(AND($A178&lt;&gt;"",$B178&lt;&gt;""),COUNTIFS('Leads Pipeline'!$D$5:$D$1004,$A178,'Leads Pipeline'!$E$5:$E$1004,$B178,'Leads Pipeline'!$P$5:$P$1004,"Hot",'Leads Pipeline'!$O$5:$O$1004,"&lt;&gt;Won",'Leads Pipeline'!$O$5:$O$1004,"&lt;&gt;Lost"),"")</f>
        <v/>
      </c>
      <c r="F178" s="43" t="str">
        <f aca="false">IF(AND($A178&lt;&gt;"",$B178&lt;&gt;""),COUNTIFS('Leads Pipeline'!$D$5:$D$1004,$A178,'Leads Pipeline'!$E$5:$E$1004,$B178,'Leads Pipeline'!$O$5:$O$1004,"Won"),"")</f>
        <v/>
      </c>
      <c r="G178" s="44" t="str">
        <f aca="false">IF(AND($A178&lt;&gt;"",$B178&lt;&gt;""),SUMIFS('Leads Pipeline'!$U$5:$U$1004,'Leads Pipeline'!$D$5:$D$1004,$A178,'Leads Pipeline'!$E$5:$E$1004,$B178,'Leads Pipeline'!$O$5:$O$1004,"&lt;&gt;Won",'Leads Pipeline'!$O$5:$O$1004,"&lt;&gt;Lost"),"")</f>
        <v/>
      </c>
      <c r="H178" s="43" t="str">
        <f aca="false">IF(AND($A178&lt;&gt;"",$B178&lt;&gt;""),COUNTIFS('Active Clients'!$B$5:$B$504,$A178,'Active Clients'!$C$5:$C$504,$B178,'Active Clients'!$T$5:$T$504,"Active"),"")</f>
        <v/>
      </c>
      <c r="I178" s="44" t="str">
        <f aca="false">IF(AND($A178&lt;&gt;"",$B178&lt;&gt;""),SUMIFS('Active Clients'!$R$5:$R$504,'Active Clients'!$B$5:$B$504,$A178,'Active Clients'!$C$5:$C$504,$B178),"")</f>
        <v/>
      </c>
      <c r="J178" s="43" t="str">
        <f aca="true">IF(AND($A178&lt;&gt;"",$B178&lt;&gt;""),COUNTIFS('Activity Log'!$E$5:$E$3004,$A178,'Activity Log'!$F$5:$F$3004,$B178,'Activity Log'!$A$5:$A$3004,"&gt;="&amp;(TODAY()-29),'Activity Log'!$A$5:$A$3004,"&lt;="&amp;TODAY()),"")</f>
        <v/>
      </c>
    </row>
    <row r="179" customFormat="false" ht="15" hidden="false" customHeight="false" outlineLevel="0" collapsed="false">
      <c r="A179" s="42"/>
      <c r="B179" s="42"/>
      <c r="C179" s="43" t="str">
        <f aca="false">IF(AND($A179&lt;&gt;"",$B179&lt;&gt;""),COUNTIFS('Leads Pipeline'!$D$5:$D$1004,$A179,'Leads Pipeline'!$E$5:$E$1004,$B179,'Leads Pipeline'!$F$5:$F$1004,"&lt;&gt;"),"")</f>
        <v/>
      </c>
      <c r="D179" s="43" t="str">
        <f aca="false">IF(AND($A179&lt;&gt;"",$B179&lt;&gt;""),COUNTIFS('Leads Pipeline'!$D$5:$D$1004,$A179,'Leads Pipeline'!$E$5:$E$1004,$B179,'Leads Pipeline'!$F$5:$F$1004,"&lt;&gt;",'Leads Pipeline'!$O$5:$O$1004,"&lt;&gt;Won",'Leads Pipeline'!$O$5:$O$1004,"&lt;&gt;Lost"),"")</f>
        <v/>
      </c>
      <c r="E179" s="43" t="str">
        <f aca="false">IF(AND($A179&lt;&gt;"",$B179&lt;&gt;""),COUNTIFS('Leads Pipeline'!$D$5:$D$1004,$A179,'Leads Pipeline'!$E$5:$E$1004,$B179,'Leads Pipeline'!$P$5:$P$1004,"Hot",'Leads Pipeline'!$O$5:$O$1004,"&lt;&gt;Won",'Leads Pipeline'!$O$5:$O$1004,"&lt;&gt;Lost"),"")</f>
        <v/>
      </c>
      <c r="F179" s="43" t="str">
        <f aca="false">IF(AND($A179&lt;&gt;"",$B179&lt;&gt;""),COUNTIFS('Leads Pipeline'!$D$5:$D$1004,$A179,'Leads Pipeline'!$E$5:$E$1004,$B179,'Leads Pipeline'!$O$5:$O$1004,"Won"),"")</f>
        <v/>
      </c>
      <c r="G179" s="44" t="str">
        <f aca="false">IF(AND($A179&lt;&gt;"",$B179&lt;&gt;""),SUMIFS('Leads Pipeline'!$U$5:$U$1004,'Leads Pipeline'!$D$5:$D$1004,$A179,'Leads Pipeline'!$E$5:$E$1004,$B179,'Leads Pipeline'!$O$5:$O$1004,"&lt;&gt;Won",'Leads Pipeline'!$O$5:$O$1004,"&lt;&gt;Lost"),"")</f>
        <v/>
      </c>
      <c r="H179" s="43" t="str">
        <f aca="false">IF(AND($A179&lt;&gt;"",$B179&lt;&gt;""),COUNTIFS('Active Clients'!$B$5:$B$504,$A179,'Active Clients'!$C$5:$C$504,$B179,'Active Clients'!$T$5:$T$504,"Active"),"")</f>
        <v/>
      </c>
      <c r="I179" s="44" t="str">
        <f aca="false">IF(AND($A179&lt;&gt;"",$B179&lt;&gt;""),SUMIFS('Active Clients'!$R$5:$R$504,'Active Clients'!$B$5:$B$504,$A179,'Active Clients'!$C$5:$C$504,$B179),"")</f>
        <v/>
      </c>
      <c r="J179" s="43" t="str">
        <f aca="true">IF(AND($A179&lt;&gt;"",$B179&lt;&gt;""),COUNTIFS('Activity Log'!$E$5:$E$3004,$A179,'Activity Log'!$F$5:$F$3004,$B179,'Activity Log'!$A$5:$A$3004,"&gt;="&amp;(TODAY()-29),'Activity Log'!$A$5:$A$3004,"&lt;="&amp;TODAY()),"")</f>
        <v/>
      </c>
    </row>
    <row r="180" customFormat="false" ht="15" hidden="false" customHeight="false" outlineLevel="0" collapsed="false">
      <c r="A180" s="42"/>
      <c r="B180" s="42"/>
      <c r="C180" s="43" t="str">
        <f aca="false">IF(AND($A180&lt;&gt;"",$B180&lt;&gt;""),COUNTIFS('Leads Pipeline'!$D$5:$D$1004,$A180,'Leads Pipeline'!$E$5:$E$1004,$B180,'Leads Pipeline'!$F$5:$F$1004,"&lt;&gt;"),"")</f>
        <v/>
      </c>
      <c r="D180" s="43" t="str">
        <f aca="false">IF(AND($A180&lt;&gt;"",$B180&lt;&gt;""),COUNTIFS('Leads Pipeline'!$D$5:$D$1004,$A180,'Leads Pipeline'!$E$5:$E$1004,$B180,'Leads Pipeline'!$F$5:$F$1004,"&lt;&gt;",'Leads Pipeline'!$O$5:$O$1004,"&lt;&gt;Won",'Leads Pipeline'!$O$5:$O$1004,"&lt;&gt;Lost"),"")</f>
        <v/>
      </c>
      <c r="E180" s="43" t="str">
        <f aca="false">IF(AND($A180&lt;&gt;"",$B180&lt;&gt;""),COUNTIFS('Leads Pipeline'!$D$5:$D$1004,$A180,'Leads Pipeline'!$E$5:$E$1004,$B180,'Leads Pipeline'!$P$5:$P$1004,"Hot",'Leads Pipeline'!$O$5:$O$1004,"&lt;&gt;Won",'Leads Pipeline'!$O$5:$O$1004,"&lt;&gt;Lost"),"")</f>
        <v/>
      </c>
      <c r="F180" s="43" t="str">
        <f aca="false">IF(AND($A180&lt;&gt;"",$B180&lt;&gt;""),COUNTIFS('Leads Pipeline'!$D$5:$D$1004,$A180,'Leads Pipeline'!$E$5:$E$1004,$B180,'Leads Pipeline'!$O$5:$O$1004,"Won"),"")</f>
        <v/>
      </c>
      <c r="G180" s="44" t="str">
        <f aca="false">IF(AND($A180&lt;&gt;"",$B180&lt;&gt;""),SUMIFS('Leads Pipeline'!$U$5:$U$1004,'Leads Pipeline'!$D$5:$D$1004,$A180,'Leads Pipeline'!$E$5:$E$1004,$B180,'Leads Pipeline'!$O$5:$O$1004,"&lt;&gt;Won",'Leads Pipeline'!$O$5:$O$1004,"&lt;&gt;Lost"),"")</f>
        <v/>
      </c>
      <c r="H180" s="43" t="str">
        <f aca="false">IF(AND($A180&lt;&gt;"",$B180&lt;&gt;""),COUNTIFS('Active Clients'!$B$5:$B$504,$A180,'Active Clients'!$C$5:$C$504,$B180,'Active Clients'!$T$5:$T$504,"Active"),"")</f>
        <v/>
      </c>
      <c r="I180" s="44" t="str">
        <f aca="false">IF(AND($A180&lt;&gt;"",$B180&lt;&gt;""),SUMIFS('Active Clients'!$R$5:$R$504,'Active Clients'!$B$5:$B$504,$A180,'Active Clients'!$C$5:$C$504,$B180),"")</f>
        <v/>
      </c>
      <c r="J180" s="43" t="str">
        <f aca="true">IF(AND($A180&lt;&gt;"",$B180&lt;&gt;""),COUNTIFS('Activity Log'!$E$5:$E$3004,$A180,'Activity Log'!$F$5:$F$3004,$B180,'Activity Log'!$A$5:$A$3004,"&gt;="&amp;(TODAY()-29),'Activity Log'!$A$5:$A$3004,"&lt;="&amp;TODAY()),"")</f>
        <v/>
      </c>
    </row>
    <row r="181" customFormat="false" ht="15" hidden="false" customHeight="false" outlineLevel="0" collapsed="false">
      <c r="A181" s="42"/>
      <c r="B181" s="42"/>
      <c r="C181" s="43" t="str">
        <f aca="false">IF(AND($A181&lt;&gt;"",$B181&lt;&gt;""),COUNTIFS('Leads Pipeline'!$D$5:$D$1004,$A181,'Leads Pipeline'!$E$5:$E$1004,$B181,'Leads Pipeline'!$F$5:$F$1004,"&lt;&gt;"),"")</f>
        <v/>
      </c>
      <c r="D181" s="43" t="str">
        <f aca="false">IF(AND($A181&lt;&gt;"",$B181&lt;&gt;""),COUNTIFS('Leads Pipeline'!$D$5:$D$1004,$A181,'Leads Pipeline'!$E$5:$E$1004,$B181,'Leads Pipeline'!$F$5:$F$1004,"&lt;&gt;",'Leads Pipeline'!$O$5:$O$1004,"&lt;&gt;Won",'Leads Pipeline'!$O$5:$O$1004,"&lt;&gt;Lost"),"")</f>
        <v/>
      </c>
      <c r="E181" s="43" t="str">
        <f aca="false">IF(AND($A181&lt;&gt;"",$B181&lt;&gt;""),COUNTIFS('Leads Pipeline'!$D$5:$D$1004,$A181,'Leads Pipeline'!$E$5:$E$1004,$B181,'Leads Pipeline'!$P$5:$P$1004,"Hot",'Leads Pipeline'!$O$5:$O$1004,"&lt;&gt;Won",'Leads Pipeline'!$O$5:$O$1004,"&lt;&gt;Lost"),"")</f>
        <v/>
      </c>
      <c r="F181" s="43" t="str">
        <f aca="false">IF(AND($A181&lt;&gt;"",$B181&lt;&gt;""),COUNTIFS('Leads Pipeline'!$D$5:$D$1004,$A181,'Leads Pipeline'!$E$5:$E$1004,$B181,'Leads Pipeline'!$O$5:$O$1004,"Won"),"")</f>
        <v/>
      </c>
      <c r="G181" s="44" t="str">
        <f aca="false">IF(AND($A181&lt;&gt;"",$B181&lt;&gt;""),SUMIFS('Leads Pipeline'!$U$5:$U$1004,'Leads Pipeline'!$D$5:$D$1004,$A181,'Leads Pipeline'!$E$5:$E$1004,$B181,'Leads Pipeline'!$O$5:$O$1004,"&lt;&gt;Won",'Leads Pipeline'!$O$5:$O$1004,"&lt;&gt;Lost"),"")</f>
        <v/>
      </c>
      <c r="H181" s="43" t="str">
        <f aca="false">IF(AND($A181&lt;&gt;"",$B181&lt;&gt;""),COUNTIFS('Active Clients'!$B$5:$B$504,$A181,'Active Clients'!$C$5:$C$504,$B181,'Active Clients'!$T$5:$T$504,"Active"),"")</f>
        <v/>
      </c>
      <c r="I181" s="44" t="str">
        <f aca="false">IF(AND($A181&lt;&gt;"",$B181&lt;&gt;""),SUMIFS('Active Clients'!$R$5:$R$504,'Active Clients'!$B$5:$B$504,$A181,'Active Clients'!$C$5:$C$504,$B181),"")</f>
        <v/>
      </c>
      <c r="J181" s="43" t="str">
        <f aca="true">IF(AND($A181&lt;&gt;"",$B181&lt;&gt;""),COUNTIFS('Activity Log'!$E$5:$E$3004,$A181,'Activity Log'!$F$5:$F$3004,$B181,'Activity Log'!$A$5:$A$3004,"&gt;="&amp;(TODAY()-29),'Activity Log'!$A$5:$A$3004,"&lt;="&amp;TODAY()),"")</f>
        <v/>
      </c>
    </row>
    <row r="182" customFormat="false" ht="15" hidden="false" customHeight="false" outlineLevel="0" collapsed="false">
      <c r="A182" s="42"/>
      <c r="B182" s="42"/>
      <c r="C182" s="43" t="str">
        <f aca="false">IF(AND($A182&lt;&gt;"",$B182&lt;&gt;""),COUNTIFS('Leads Pipeline'!$D$5:$D$1004,$A182,'Leads Pipeline'!$E$5:$E$1004,$B182,'Leads Pipeline'!$F$5:$F$1004,"&lt;&gt;"),"")</f>
        <v/>
      </c>
      <c r="D182" s="43" t="str">
        <f aca="false">IF(AND($A182&lt;&gt;"",$B182&lt;&gt;""),COUNTIFS('Leads Pipeline'!$D$5:$D$1004,$A182,'Leads Pipeline'!$E$5:$E$1004,$B182,'Leads Pipeline'!$F$5:$F$1004,"&lt;&gt;",'Leads Pipeline'!$O$5:$O$1004,"&lt;&gt;Won",'Leads Pipeline'!$O$5:$O$1004,"&lt;&gt;Lost"),"")</f>
        <v/>
      </c>
      <c r="E182" s="43" t="str">
        <f aca="false">IF(AND($A182&lt;&gt;"",$B182&lt;&gt;""),COUNTIFS('Leads Pipeline'!$D$5:$D$1004,$A182,'Leads Pipeline'!$E$5:$E$1004,$B182,'Leads Pipeline'!$P$5:$P$1004,"Hot",'Leads Pipeline'!$O$5:$O$1004,"&lt;&gt;Won",'Leads Pipeline'!$O$5:$O$1004,"&lt;&gt;Lost"),"")</f>
        <v/>
      </c>
      <c r="F182" s="43" t="str">
        <f aca="false">IF(AND($A182&lt;&gt;"",$B182&lt;&gt;""),COUNTIFS('Leads Pipeline'!$D$5:$D$1004,$A182,'Leads Pipeline'!$E$5:$E$1004,$B182,'Leads Pipeline'!$O$5:$O$1004,"Won"),"")</f>
        <v/>
      </c>
      <c r="G182" s="44" t="str">
        <f aca="false">IF(AND($A182&lt;&gt;"",$B182&lt;&gt;""),SUMIFS('Leads Pipeline'!$U$5:$U$1004,'Leads Pipeline'!$D$5:$D$1004,$A182,'Leads Pipeline'!$E$5:$E$1004,$B182,'Leads Pipeline'!$O$5:$O$1004,"&lt;&gt;Won",'Leads Pipeline'!$O$5:$O$1004,"&lt;&gt;Lost"),"")</f>
        <v/>
      </c>
      <c r="H182" s="43" t="str">
        <f aca="false">IF(AND($A182&lt;&gt;"",$B182&lt;&gt;""),COUNTIFS('Active Clients'!$B$5:$B$504,$A182,'Active Clients'!$C$5:$C$504,$B182,'Active Clients'!$T$5:$T$504,"Active"),"")</f>
        <v/>
      </c>
      <c r="I182" s="44" t="str">
        <f aca="false">IF(AND($A182&lt;&gt;"",$B182&lt;&gt;""),SUMIFS('Active Clients'!$R$5:$R$504,'Active Clients'!$B$5:$B$504,$A182,'Active Clients'!$C$5:$C$504,$B182),"")</f>
        <v/>
      </c>
      <c r="J182" s="43" t="str">
        <f aca="true">IF(AND($A182&lt;&gt;"",$B182&lt;&gt;""),COUNTIFS('Activity Log'!$E$5:$E$3004,$A182,'Activity Log'!$F$5:$F$3004,$B182,'Activity Log'!$A$5:$A$3004,"&gt;="&amp;(TODAY()-29),'Activity Log'!$A$5:$A$3004,"&lt;="&amp;TODAY()),"")</f>
        <v/>
      </c>
    </row>
    <row r="183" customFormat="false" ht="15" hidden="false" customHeight="false" outlineLevel="0" collapsed="false">
      <c r="A183" s="42"/>
      <c r="B183" s="42"/>
      <c r="C183" s="43" t="str">
        <f aca="false">IF(AND($A183&lt;&gt;"",$B183&lt;&gt;""),COUNTIFS('Leads Pipeline'!$D$5:$D$1004,$A183,'Leads Pipeline'!$E$5:$E$1004,$B183,'Leads Pipeline'!$F$5:$F$1004,"&lt;&gt;"),"")</f>
        <v/>
      </c>
      <c r="D183" s="43" t="str">
        <f aca="false">IF(AND($A183&lt;&gt;"",$B183&lt;&gt;""),COUNTIFS('Leads Pipeline'!$D$5:$D$1004,$A183,'Leads Pipeline'!$E$5:$E$1004,$B183,'Leads Pipeline'!$F$5:$F$1004,"&lt;&gt;",'Leads Pipeline'!$O$5:$O$1004,"&lt;&gt;Won",'Leads Pipeline'!$O$5:$O$1004,"&lt;&gt;Lost"),"")</f>
        <v/>
      </c>
      <c r="E183" s="43" t="str">
        <f aca="false">IF(AND($A183&lt;&gt;"",$B183&lt;&gt;""),COUNTIFS('Leads Pipeline'!$D$5:$D$1004,$A183,'Leads Pipeline'!$E$5:$E$1004,$B183,'Leads Pipeline'!$P$5:$P$1004,"Hot",'Leads Pipeline'!$O$5:$O$1004,"&lt;&gt;Won",'Leads Pipeline'!$O$5:$O$1004,"&lt;&gt;Lost"),"")</f>
        <v/>
      </c>
      <c r="F183" s="43" t="str">
        <f aca="false">IF(AND($A183&lt;&gt;"",$B183&lt;&gt;""),COUNTIFS('Leads Pipeline'!$D$5:$D$1004,$A183,'Leads Pipeline'!$E$5:$E$1004,$B183,'Leads Pipeline'!$O$5:$O$1004,"Won"),"")</f>
        <v/>
      </c>
      <c r="G183" s="44" t="str">
        <f aca="false">IF(AND($A183&lt;&gt;"",$B183&lt;&gt;""),SUMIFS('Leads Pipeline'!$U$5:$U$1004,'Leads Pipeline'!$D$5:$D$1004,$A183,'Leads Pipeline'!$E$5:$E$1004,$B183,'Leads Pipeline'!$O$5:$O$1004,"&lt;&gt;Won",'Leads Pipeline'!$O$5:$O$1004,"&lt;&gt;Lost"),"")</f>
        <v/>
      </c>
      <c r="H183" s="43" t="str">
        <f aca="false">IF(AND($A183&lt;&gt;"",$B183&lt;&gt;""),COUNTIFS('Active Clients'!$B$5:$B$504,$A183,'Active Clients'!$C$5:$C$504,$B183,'Active Clients'!$T$5:$T$504,"Active"),"")</f>
        <v/>
      </c>
      <c r="I183" s="44" t="str">
        <f aca="false">IF(AND($A183&lt;&gt;"",$B183&lt;&gt;""),SUMIFS('Active Clients'!$R$5:$R$504,'Active Clients'!$B$5:$B$504,$A183,'Active Clients'!$C$5:$C$504,$B183),"")</f>
        <v/>
      </c>
      <c r="J183" s="43" t="str">
        <f aca="true">IF(AND($A183&lt;&gt;"",$B183&lt;&gt;""),COUNTIFS('Activity Log'!$E$5:$E$3004,$A183,'Activity Log'!$F$5:$F$3004,$B183,'Activity Log'!$A$5:$A$3004,"&gt;="&amp;(TODAY()-29),'Activity Log'!$A$5:$A$3004,"&lt;="&amp;TODAY()),"")</f>
        <v/>
      </c>
    </row>
    <row r="184" customFormat="false" ht="15" hidden="false" customHeight="false" outlineLevel="0" collapsed="false">
      <c r="A184" s="42"/>
      <c r="B184" s="42"/>
      <c r="C184" s="43" t="str">
        <f aca="false">IF(AND($A184&lt;&gt;"",$B184&lt;&gt;""),COUNTIFS('Leads Pipeline'!$D$5:$D$1004,$A184,'Leads Pipeline'!$E$5:$E$1004,$B184,'Leads Pipeline'!$F$5:$F$1004,"&lt;&gt;"),"")</f>
        <v/>
      </c>
      <c r="D184" s="43" t="str">
        <f aca="false">IF(AND($A184&lt;&gt;"",$B184&lt;&gt;""),COUNTIFS('Leads Pipeline'!$D$5:$D$1004,$A184,'Leads Pipeline'!$E$5:$E$1004,$B184,'Leads Pipeline'!$F$5:$F$1004,"&lt;&gt;",'Leads Pipeline'!$O$5:$O$1004,"&lt;&gt;Won",'Leads Pipeline'!$O$5:$O$1004,"&lt;&gt;Lost"),"")</f>
        <v/>
      </c>
      <c r="E184" s="43" t="str">
        <f aca="false">IF(AND($A184&lt;&gt;"",$B184&lt;&gt;""),COUNTIFS('Leads Pipeline'!$D$5:$D$1004,$A184,'Leads Pipeline'!$E$5:$E$1004,$B184,'Leads Pipeline'!$P$5:$P$1004,"Hot",'Leads Pipeline'!$O$5:$O$1004,"&lt;&gt;Won",'Leads Pipeline'!$O$5:$O$1004,"&lt;&gt;Lost"),"")</f>
        <v/>
      </c>
      <c r="F184" s="43" t="str">
        <f aca="false">IF(AND($A184&lt;&gt;"",$B184&lt;&gt;""),COUNTIFS('Leads Pipeline'!$D$5:$D$1004,$A184,'Leads Pipeline'!$E$5:$E$1004,$B184,'Leads Pipeline'!$O$5:$O$1004,"Won"),"")</f>
        <v/>
      </c>
      <c r="G184" s="44" t="str">
        <f aca="false">IF(AND($A184&lt;&gt;"",$B184&lt;&gt;""),SUMIFS('Leads Pipeline'!$U$5:$U$1004,'Leads Pipeline'!$D$5:$D$1004,$A184,'Leads Pipeline'!$E$5:$E$1004,$B184,'Leads Pipeline'!$O$5:$O$1004,"&lt;&gt;Won",'Leads Pipeline'!$O$5:$O$1004,"&lt;&gt;Lost"),"")</f>
        <v/>
      </c>
      <c r="H184" s="43" t="str">
        <f aca="false">IF(AND($A184&lt;&gt;"",$B184&lt;&gt;""),COUNTIFS('Active Clients'!$B$5:$B$504,$A184,'Active Clients'!$C$5:$C$504,$B184,'Active Clients'!$T$5:$T$504,"Active"),"")</f>
        <v/>
      </c>
      <c r="I184" s="44" t="str">
        <f aca="false">IF(AND($A184&lt;&gt;"",$B184&lt;&gt;""),SUMIFS('Active Clients'!$R$5:$R$504,'Active Clients'!$B$5:$B$504,$A184,'Active Clients'!$C$5:$C$504,$B184),"")</f>
        <v/>
      </c>
      <c r="J184" s="43" t="str">
        <f aca="true">IF(AND($A184&lt;&gt;"",$B184&lt;&gt;""),COUNTIFS('Activity Log'!$E$5:$E$3004,$A184,'Activity Log'!$F$5:$F$3004,$B184,'Activity Log'!$A$5:$A$3004,"&gt;="&amp;(TODAY()-29),'Activity Log'!$A$5:$A$3004,"&lt;="&amp;TODAY()),"")</f>
        <v/>
      </c>
    </row>
    <row r="185" customFormat="false" ht="15" hidden="false" customHeight="false" outlineLevel="0" collapsed="false">
      <c r="A185" s="42"/>
      <c r="B185" s="42"/>
      <c r="C185" s="43" t="str">
        <f aca="false">IF(AND($A185&lt;&gt;"",$B185&lt;&gt;""),COUNTIFS('Leads Pipeline'!$D$5:$D$1004,$A185,'Leads Pipeline'!$E$5:$E$1004,$B185,'Leads Pipeline'!$F$5:$F$1004,"&lt;&gt;"),"")</f>
        <v/>
      </c>
      <c r="D185" s="43" t="str">
        <f aca="false">IF(AND($A185&lt;&gt;"",$B185&lt;&gt;""),COUNTIFS('Leads Pipeline'!$D$5:$D$1004,$A185,'Leads Pipeline'!$E$5:$E$1004,$B185,'Leads Pipeline'!$F$5:$F$1004,"&lt;&gt;",'Leads Pipeline'!$O$5:$O$1004,"&lt;&gt;Won",'Leads Pipeline'!$O$5:$O$1004,"&lt;&gt;Lost"),"")</f>
        <v/>
      </c>
      <c r="E185" s="43" t="str">
        <f aca="false">IF(AND($A185&lt;&gt;"",$B185&lt;&gt;""),COUNTIFS('Leads Pipeline'!$D$5:$D$1004,$A185,'Leads Pipeline'!$E$5:$E$1004,$B185,'Leads Pipeline'!$P$5:$P$1004,"Hot",'Leads Pipeline'!$O$5:$O$1004,"&lt;&gt;Won",'Leads Pipeline'!$O$5:$O$1004,"&lt;&gt;Lost"),"")</f>
        <v/>
      </c>
      <c r="F185" s="43" t="str">
        <f aca="false">IF(AND($A185&lt;&gt;"",$B185&lt;&gt;""),COUNTIFS('Leads Pipeline'!$D$5:$D$1004,$A185,'Leads Pipeline'!$E$5:$E$1004,$B185,'Leads Pipeline'!$O$5:$O$1004,"Won"),"")</f>
        <v/>
      </c>
      <c r="G185" s="44" t="str">
        <f aca="false">IF(AND($A185&lt;&gt;"",$B185&lt;&gt;""),SUMIFS('Leads Pipeline'!$U$5:$U$1004,'Leads Pipeline'!$D$5:$D$1004,$A185,'Leads Pipeline'!$E$5:$E$1004,$B185,'Leads Pipeline'!$O$5:$O$1004,"&lt;&gt;Won",'Leads Pipeline'!$O$5:$O$1004,"&lt;&gt;Lost"),"")</f>
        <v/>
      </c>
      <c r="H185" s="43" t="str">
        <f aca="false">IF(AND($A185&lt;&gt;"",$B185&lt;&gt;""),COUNTIFS('Active Clients'!$B$5:$B$504,$A185,'Active Clients'!$C$5:$C$504,$B185,'Active Clients'!$T$5:$T$504,"Active"),"")</f>
        <v/>
      </c>
      <c r="I185" s="44" t="str">
        <f aca="false">IF(AND($A185&lt;&gt;"",$B185&lt;&gt;""),SUMIFS('Active Clients'!$R$5:$R$504,'Active Clients'!$B$5:$B$504,$A185,'Active Clients'!$C$5:$C$504,$B185),"")</f>
        <v/>
      </c>
      <c r="J185" s="43" t="str">
        <f aca="true">IF(AND($A185&lt;&gt;"",$B185&lt;&gt;""),COUNTIFS('Activity Log'!$E$5:$E$3004,$A185,'Activity Log'!$F$5:$F$3004,$B185,'Activity Log'!$A$5:$A$3004,"&gt;="&amp;(TODAY()-29),'Activity Log'!$A$5:$A$3004,"&lt;="&amp;TODAY()),"")</f>
        <v/>
      </c>
    </row>
    <row r="186" customFormat="false" ht="15" hidden="false" customHeight="false" outlineLevel="0" collapsed="false">
      <c r="A186" s="42"/>
      <c r="B186" s="42"/>
      <c r="C186" s="43" t="str">
        <f aca="false">IF(AND($A186&lt;&gt;"",$B186&lt;&gt;""),COUNTIFS('Leads Pipeline'!$D$5:$D$1004,$A186,'Leads Pipeline'!$E$5:$E$1004,$B186,'Leads Pipeline'!$F$5:$F$1004,"&lt;&gt;"),"")</f>
        <v/>
      </c>
      <c r="D186" s="43" t="str">
        <f aca="false">IF(AND($A186&lt;&gt;"",$B186&lt;&gt;""),COUNTIFS('Leads Pipeline'!$D$5:$D$1004,$A186,'Leads Pipeline'!$E$5:$E$1004,$B186,'Leads Pipeline'!$F$5:$F$1004,"&lt;&gt;",'Leads Pipeline'!$O$5:$O$1004,"&lt;&gt;Won",'Leads Pipeline'!$O$5:$O$1004,"&lt;&gt;Lost"),"")</f>
        <v/>
      </c>
      <c r="E186" s="43" t="str">
        <f aca="false">IF(AND($A186&lt;&gt;"",$B186&lt;&gt;""),COUNTIFS('Leads Pipeline'!$D$5:$D$1004,$A186,'Leads Pipeline'!$E$5:$E$1004,$B186,'Leads Pipeline'!$P$5:$P$1004,"Hot",'Leads Pipeline'!$O$5:$O$1004,"&lt;&gt;Won",'Leads Pipeline'!$O$5:$O$1004,"&lt;&gt;Lost"),"")</f>
        <v/>
      </c>
      <c r="F186" s="43" t="str">
        <f aca="false">IF(AND($A186&lt;&gt;"",$B186&lt;&gt;""),COUNTIFS('Leads Pipeline'!$D$5:$D$1004,$A186,'Leads Pipeline'!$E$5:$E$1004,$B186,'Leads Pipeline'!$O$5:$O$1004,"Won"),"")</f>
        <v/>
      </c>
      <c r="G186" s="44" t="str">
        <f aca="false">IF(AND($A186&lt;&gt;"",$B186&lt;&gt;""),SUMIFS('Leads Pipeline'!$U$5:$U$1004,'Leads Pipeline'!$D$5:$D$1004,$A186,'Leads Pipeline'!$E$5:$E$1004,$B186,'Leads Pipeline'!$O$5:$O$1004,"&lt;&gt;Won",'Leads Pipeline'!$O$5:$O$1004,"&lt;&gt;Lost"),"")</f>
        <v/>
      </c>
      <c r="H186" s="43" t="str">
        <f aca="false">IF(AND($A186&lt;&gt;"",$B186&lt;&gt;""),COUNTIFS('Active Clients'!$B$5:$B$504,$A186,'Active Clients'!$C$5:$C$504,$B186,'Active Clients'!$T$5:$T$504,"Active"),"")</f>
        <v/>
      </c>
      <c r="I186" s="44" t="str">
        <f aca="false">IF(AND($A186&lt;&gt;"",$B186&lt;&gt;""),SUMIFS('Active Clients'!$R$5:$R$504,'Active Clients'!$B$5:$B$504,$A186,'Active Clients'!$C$5:$C$504,$B186),"")</f>
        <v/>
      </c>
      <c r="J186" s="43" t="str">
        <f aca="true">IF(AND($A186&lt;&gt;"",$B186&lt;&gt;""),COUNTIFS('Activity Log'!$E$5:$E$3004,$A186,'Activity Log'!$F$5:$F$3004,$B186,'Activity Log'!$A$5:$A$3004,"&gt;="&amp;(TODAY()-29),'Activity Log'!$A$5:$A$3004,"&lt;="&amp;TODAY()),"")</f>
        <v/>
      </c>
    </row>
    <row r="187" customFormat="false" ht="15" hidden="false" customHeight="false" outlineLevel="0" collapsed="false">
      <c r="A187" s="42"/>
      <c r="B187" s="42"/>
      <c r="C187" s="43" t="str">
        <f aca="false">IF(AND($A187&lt;&gt;"",$B187&lt;&gt;""),COUNTIFS('Leads Pipeline'!$D$5:$D$1004,$A187,'Leads Pipeline'!$E$5:$E$1004,$B187,'Leads Pipeline'!$F$5:$F$1004,"&lt;&gt;"),"")</f>
        <v/>
      </c>
      <c r="D187" s="43" t="str">
        <f aca="false">IF(AND($A187&lt;&gt;"",$B187&lt;&gt;""),COUNTIFS('Leads Pipeline'!$D$5:$D$1004,$A187,'Leads Pipeline'!$E$5:$E$1004,$B187,'Leads Pipeline'!$F$5:$F$1004,"&lt;&gt;",'Leads Pipeline'!$O$5:$O$1004,"&lt;&gt;Won",'Leads Pipeline'!$O$5:$O$1004,"&lt;&gt;Lost"),"")</f>
        <v/>
      </c>
      <c r="E187" s="43" t="str">
        <f aca="false">IF(AND($A187&lt;&gt;"",$B187&lt;&gt;""),COUNTIFS('Leads Pipeline'!$D$5:$D$1004,$A187,'Leads Pipeline'!$E$5:$E$1004,$B187,'Leads Pipeline'!$P$5:$P$1004,"Hot",'Leads Pipeline'!$O$5:$O$1004,"&lt;&gt;Won",'Leads Pipeline'!$O$5:$O$1004,"&lt;&gt;Lost"),"")</f>
        <v/>
      </c>
      <c r="F187" s="43" t="str">
        <f aca="false">IF(AND($A187&lt;&gt;"",$B187&lt;&gt;""),COUNTIFS('Leads Pipeline'!$D$5:$D$1004,$A187,'Leads Pipeline'!$E$5:$E$1004,$B187,'Leads Pipeline'!$O$5:$O$1004,"Won"),"")</f>
        <v/>
      </c>
      <c r="G187" s="44" t="str">
        <f aca="false">IF(AND($A187&lt;&gt;"",$B187&lt;&gt;""),SUMIFS('Leads Pipeline'!$U$5:$U$1004,'Leads Pipeline'!$D$5:$D$1004,$A187,'Leads Pipeline'!$E$5:$E$1004,$B187,'Leads Pipeline'!$O$5:$O$1004,"&lt;&gt;Won",'Leads Pipeline'!$O$5:$O$1004,"&lt;&gt;Lost"),"")</f>
        <v/>
      </c>
      <c r="H187" s="43" t="str">
        <f aca="false">IF(AND($A187&lt;&gt;"",$B187&lt;&gt;""),COUNTIFS('Active Clients'!$B$5:$B$504,$A187,'Active Clients'!$C$5:$C$504,$B187,'Active Clients'!$T$5:$T$504,"Active"),"")</f>
        <v/>
      </c>
      <c r="I187" s="44" t="str">
        <f aca="false">IF(AND($A187&lt;&gt;"",$B187&lt;&gt;""),SUMIFS('Active Clients'!$R$5:$R$504,'Active Clients'!$B$5:$B$504,$A187,'Active Clients'!$C$5:$C$504,$B187),"")</f>
        <v/>
      </c>
      <c r="J187" s="43" t="str">
        <f aca="true">IF(AND($A187&lt;&gt;"",$B187&lt;&gt;""),COUNTIFS('Activity Log'!$E$5:$E$3004,$A187,'Activity Log'!$F$5:$F$3004,$B187,'Activity Log'!$A$5:$A$3004,"&gt;="&amp;(TODAY()-29),'Activity Log'!$A$5:$A$3004,"&lt;="&amp;TODAY()),"")</f>
        <v/>
      </c>
    </row>
    <row r="188" customFormat="false" ht="15" hidden="false" customHeight="false" outlineLevel="0" collapsed="false">
      <c r="A188" s="42"/>
      <c r="B188" s="42"/>
      <c r="C188" s="43" t="str">
        <f aca="false">IF(AND($A188&lt;&gt;"",$B188&lt;&gt;""),COUNTIFS('Leads Pipeline'!$D$5:$D$1004,$A188,'Leads Pipeline'!$E$5:$E$1004,$B188,'Leads Pipeline'!$F$5:$F$1004,"&lt;&gt;"),"")</f>
        <v/>
      </c>
      <c r="D188" s="43" t="str">
        <f aca="false">IF(AND($A188&lt;&gt;"",$B188&lt;&gt;""),COUNTIFS('Leads Pipeline'!$D$5:$D$1004,$A188,'Leads Pipeline'!$E$5:$E$1004,$B188,'Leads Pipeline'!$F$5:$F$1004,"&lt;&gt;",'Leads Pipeline'!$O$5:$O$1004,"&lt;&gt;Won",'Leads Pipeline'!$O$5:$O$1004,"&lt;&gt;Lost"),"")</f>
        <v/>
      </c>
      <c r="E188" s="43" t="str">
        <f aca="false">IF(AND($A188&lt;&gt;"",$B188&lt;&gt;""),COUNTIFS('Leads Pipeline'!$D$5:$D$1004,$A188,'Leads Pipeline'!$E$5:$E$1004,$B188,'Leads Pipeline'!$P$5:$P$1004,"Hot",'Leads Pipeline'!$O$5:$O$1004,"&lt;&gt;Won",'Leads Pipeline'!$O$5:$O$1004,"&lt;&gt;Lost"),"")</f>
        <v/>
      </c>
      <c r="F188" s="43" t="str">
        <f aca="false">IF(AND($A188&lt;&gt;"",$B188&lt;&gt;""),COUNTIFS('Leads Pipeline'!$D$5:$D$1004,$A188,'Leads Pipeline'!$E$5:$E$1004,$B188,'Leads Pipeline'!$O$5:$O$1004,"Won"),"")</f>
        <v/>
      </c>
      <c r="G188" s="44" t="str">
        <f aca="false">IF(AND($A188&lt;&gt;"",$B188&lt;&gt;""),SUMIFS('Leads Pipeline'!$U$5:$U$1004,'Leads Pipeline'!$D$5:$D$1004,$A188,'Leads Pipeline'!$E$5:$E$1004,$B188,'Leads Pipeline'!$O$5:$O$1004,"&lt;&gt;Won",'Leads Pipeline'!$O$5:$O$1004,"&lt;&gt;Lost"),"")</f>
        <v/>
      </c>
      <c r="H188" s="43" t="str">
        <f aca="false">IF(AND($A188&lt;&gt;"",$B188&lt;&gt;""),COUNTIFS('Active Clients'!$B$5:$B$504,$A188,'Active Clients'!$C$5:$C$504,$B188,'Active Clients'!$T$5:$T$504,"Active"),"")</f>
        <v/>
      </c>
      <c r="I188" s="44" t="str">
        <f aca="false">IF(AND($A188&lt;&gt;"",$B188&lt;&gt;""),SUMIFS('Active Clients'!$R$5:$R$504,'Active Clients'!$B$5:$B$504,$A188,'Active Clients'!$C$5:$C$504,$B188),"")</f>
        <v/>
      </c>
      <c r="J188" s="43" t="str">
        <f aca="true">IF(AND($A188&lt;&gt;"",$B188&lt;&gt;""),COUNTIFS('Activity Log'!$E$5:$E$3004,$A188,'Activity Log'!$F$5:$F$3004,$B188,'Activity Log'!$A$5:$A$3004,"&gt;="&amp;(TODAY()-29),'Activity Log'!$A$5:$A$3004,"&lt;="&amp;TODAY()),"")</f>
        <v/>
      </c>
    </row>
    <row r="189" customFormat="false" ht="15" hidden="false" customHeight="false" outlineLevel="0" collapsed="false">
      <c r="A189" s="42"/>
      <c r="B189" s="42"/>
      <c r="C189" s="43" t="str">
        <f aca="false">IF(AND($A189&lt;&gt;"",$B189&lt;&gt;""),COUNTIFS('Leads Pipeline'!$D$5:$D$1004,$A189,'Leads Pipeline'!$E$5:$E$1004,$B189,'Leads Pipeline'!$F$5:$F$1004,"&lt;&gt;"),"")</f>
        <v/>
      </c>
      <c r="D189" s="43" t="str">
        <f aca="false">IF(AND($A189&lt;&gt;"",$B189&lt;&gt;""),COUNTIFS('Leads Pipeline'!$D$5:$D$1004,$A189,'Leads Pipeline'!$E$5:$E$1004,$B189,'Leads Pipeline'!$F$5:$F$1004,"&lt;&gt;",'Leads Pipeline'!$O$5:$O$1004,"&lt;&gt;Won",'Leads Pipeline'!$O$5:$O$1004,"&lt;&gt;Lost"),"")</f>
        <v/>
      </c>
      <c r="E189" s="43" t="str">
        <f aca="false">IF(AND($A189&lt;&gt;"",$B189&lt;&gt;""),COUNTIFS('Leads Pipeline'!$D$5:$D$1004,$A189,'Leads Pipeline'!$E$5:$E$1004,$B189,'Leads Pipeline'!$P$5:$P$1004,"Hot",'Leads Pipeline'!$O$5:$O$1004,"&lt;&gt;Won",'Leads Pipeline'!$O$5:$O$1004,"&lt;&gt;Lost"),"")</f>
        <v/>
      </c>
      <c r="F189" s="43" t="str">
        <f aca="false">IF(AND($A189&lt;&gt;"",$B189&lt;&gt;""),COUNTIFS('Leads Pipeline'!$D$5:$D$1004,$A189,'Leads Pipeline'!$E$5:$E$1004,$B189,'Leads Pipeline'!$O$5:$O$1004,"Won"),"")</f>
        <v/>
      </c>
      <c r="G189" s="44" t="str">
        <f aca="false">IF(AND($A189&lt;&gt;"",$B189&lt;&gt;""),SUMIFS('Leads Pipeline'!$U$5:$U$1004,'Leads Pipeline'!$D$5:$D$1004,$A189,'Leads Pipeline'!$E$5:$E$1004,$B189,'Leads Pipeline'!$O$5:$O$1004,"&lt;&gt;Won",'Leads Pipeline'!$O$5:$O$1004,"&lt;&gt;Lost"),"")</f>
        <v/>
      </c>
      <c r="H189" s="43" t="str">
        <f aca="false">IF(AND($A189&lt;&gt;"",$B189&lt;&gt;""),COUNTIFS('Active Clients'!$B$5:$B$504,$A189,'Active Clients'!$C$5:$C$504,$B189,'Active Clients'!$T$5:$T$504,"Active"),"")</f>
        <v/>
      </c>
      <c r="I189" s="44" t="str">
        <f aca="false">IF(AND($A189&lt;&gt;"",$B189&lt;&gt;""),SUMIFS('Active Clients'!$R$5:$R$504,'Active Clients'!$B$5:$B$504,$A189,'Active Clients'!$C$5:$C$504,$B189),"")</f>
        <v/>
      </c>
      <c r="J189" s="43" t="str">
        <f aca="true">IF(AND($A189&lt;&gt;"",$B189&lt;&gt;""),COUNTIFS('Activity Log'!$E$5:$E$3004,$A189,'Activity Log'!$F$5:$F$3004,$B189,'Activity Log'!$A$5:$A$3004,"&gt;="&amp;(TODAY()-29),'Activity Log'!$A$5:$A$3004,"&lt;="&amp;TODAY()),"")</f>
        <v/>
      </c>
    </row>
    <row r="190" customFormat="false" ht="15" hidden="false" customHeight="false" outlineLevel="0" collapsed="false">
      <c r="A190" s="42"/>
      <c r="B190" s="42"/>
      <c r="C190" s="43" t="str">
        <f aca="false">IF(AND($A190&lt;&gt;"",$B190&lt;&gt;""),COUNTIFS('Leads Pipeline'!$D$5:$D$1004,$A190,'Leads Pipeline'!$E$5:$E$1004,$B190,'Leads Pipeline'!$F$5:$F$1004,"&lt;&gt;"),"")</f>
        <v/>
      </c>
      <c r="D190" s="43" t="str">
        <f aca="false">IF(AND($A190&lt;&gt;"",$B190&lt;&gt;""),COUNTIFS('Leads Pipeline'!$D$5:$D$1004,$A190,'Leads Pipeline'!$E$5:$E$1004,$B190,'Leads Pipeline'!$F$5:$F$1004,"&lt;&gt;",'Leads Pipeline'!$O$5:$O$1004,"&lt;&gt;Won",'Leads Pipeline'!$O$5:$O$1004,"&lt;&gt;Lost"),"")</f>
        <v/>
      </c>
      <c r="E190" s="43" t="str">
        <f aca="false">IF(AND($A190&lt;&gt;"",$B190&lt;&gt;""),COUNTIFS('Leads Pipeline'!$D$5:$D$1004,$A190,'Leads Pipeline'!$E$5:$E$1004,$B190,'Leads Pipeline'!$P$5:$P$1004,"Hot",'Leads Pipeline'!$O$5:$O$1004,"&lt;&gt;Won",'Leads Pipeline'!$O$5:$O$1004,"&lt;&gt;Lost"),"")</f>
        <v/>
      </c>
      <c r="F190" s="43" t="str">
        <f aca="false">IF(AND($A190&lt;&gt;"",$B190&lt;&gt;""),COUNTIFS('Leads Pipeline'!$D$5:$D$1004,$A190,'Leads Pipeline'!$E$5:$E$1004,$B190,'Leads Pipeline'!$O$5:$O$1004,"Won"),"")</f>
        <v/>
      </c>
      <c r="G190" s="44" t="str">
        <f aca="false">IF(AND($A190&lt;&gt;"",$B190&lt;&gt;""),SUMIFS('Leads Pipeline'!$U$5:$U$1004,'Leads Pipeline'!$D$5:$D$1004,$A190,'Leads Pipeline'!$E$5:$E$1004,$B190,'Leads Pipeline'!$O$5:$O$1004,"&lt;&gt;Won",'Leads Pipeline'!$O$5:$O$1004,"&lt;&gt;Lost"),"")</f>
        <v/>
      </c>
      <c r="H190" s="43" t="str">
        <f aca="false">IF(AND($A190&lt;&gt;"",$B190&lt;&gt;""),COUNTIFS('Active Clients'!$B$5:$B$504,$A190,'Active Clients'!$C$5:$C$504,$B190,'Active Clients'!$T$5:$T$504,"Active"),"")</f>
        <v/>
      </c>
      <c r="I190" s="44" t="str">
        <f aca="false">IF(AND($A190&lt;&gt;"",$B190&lt;&gt;""),SUMIFS('Active Clients'!$R$5:$R$504,'Active Clients'!$B$5:$B$504,$A190,'Active Clients'!$C$5:$C$504,$B190),"")</f>
        <v/>
      </c>
      <c r="J190" s="43" t="str">
        <f aca="true">IF(AND($A190&lt;&gt;"",$B190&lt;&gt;""),COUNTIFS('Activity Log'!$E$5:$E$3004,$A190,'Activity Log'!$F$5:$F$3004,$B190,'Activity Log'!$A$5:$A$3004,"&gt;="&amp;(TODAY()-29),'Activity Log'!$A$5:$A$3004,"&lt;="&amp;TODAY()),"")</f>
        <v/>
      </c>
    </row>
    <row r="191" customFormat="false" ht="15" hidden="false" customHeight="false" outlineLevel="0" collapsed="false">
      <c r="A191" s="42"/>
      <c r="B191" s="42"/>
      <c r="C191" s="43" t="str">
        <f aca="false">IF(AND($A191&lt;&gt;"",$B191&lt;&gt;""),COUNTIFS('Leads Pipeline'!$D$5:$D$1004,$A191,'Leads Pipeline'!$E$5:$E$1004,$B191,'Leads Pipeline'!$F$5:$F$1004,"&lt;&gt;"),"")</f>
        <v/>
      </c>
      <c r="D191" s="43" t="str">
        <f aca="false">IF(AND($A191&lt;&gt;"",$B191&lt;&gt;""),COUNTIFS('Leads Pipeline'!$D$5:$D$1004,$A191,'Leads Pipeline'!$E$5:$E$1004,$B191,'Leads Pipeline'!$F$5:$F$1004,"&lt;&gt;",'Leads Pipeline'!$O$5:$O$1004,"&lt;&gt;Won",'Leads Pipeline'!$O$5:$O$1004,"&lt;&gt;Lost"),"")</f>
        <v/>
      </c>
      <c r="E191" s="43" t="str">
        <f aca="false">IF(AND($A191&lt;&gt;"",$B191&lt;&gt;""),COUNTIFS('Leads Pipeline'!$D$5:$D$1004,$A191,'Leads Pipeline'!$E$5:$E$1004,$B191,'Leads Pipeline'!$P$5:$P$1004,"Hot",'Leads Pipeline'!$O$5:$O$1004,"&lt;&gt;Won",'Leads Pipeline'!$O$5:$O$1004,"&lt;&gt;Lost"),"")</f>
        <v/>
      </c>
      <c r="F191" s="43" t="str">
        <f aca="false">IF(AND($A191&lt;&gt;"",$B191&lt;&gt;""),COUNTIFS('Leads Pipeline'!$D$5:$D$1004,$A191,'Leads Pipeline'!$E$5:$E$1004,$B191,'Leads Pipeline'!$O$5:$O$1004,"Won"),"")</f>
        <v/>
      </c>
      <c r="G191" s="44" t="str">
        <f aca="false">IF(AND($A191&lt;&gt;"",$B191&lt;&gt;""),SUMIFS('Leads Pipeline'!$U$5:$U$1004,'Leads Pipeline'!$D$5:$D$1004,$A191,'Leads Pipeline'!$E$5:$E$1004,$B191,'Leads Pipeline'!$O$5:$O$1004,"&lt;&gt;Won",'Leads Pipeline'!$O$5:$O$1004,"&lt;&gt;Lost"),"")</f>
        <v/>
      </c>
      <c r="H191" s="43" t="str">
        <f aca="false">IF(AND($A191&lt;&gt;"",$B191&lt;&gt;""),COUNTIFS('Active Clients'!$B$5:$B$504,$A191,'Active Clients'!$C$5:$C$504,$B191,'Active Clients'!$T$5:$T$504,"Active"),"")</f>
        <v/>
      </c>
      <c r="I191" s="44" t="str">
        <f aca="false">IF(AND($A191&lt;&gt;"",$B191&lt;&gt;""),SUMIFS('Active Clients'!$R$5:$R$504,'Active Clients'!$B$5:$B$504,$A191,'Active Clients'!$C$5:$C$504,$B191),"")</f>
        <v/>
      </c>
      <c r="J191" s="43" t="str">
        <f aca="true">IF(AND($A191&lt;&gt;"",$B191&lt;&gt;""),COUNTIFS('Activity Log'!$E$5:$E$3004,$A191,'Activity Log'!$F$5:$F$3004,$B191,'Activity Log'!$A$5:$A$3004,"&gt;="&amp;(TODAY()-29),'Activity Log'!$A$5:$A$3004,"&lt;="&amp;TODAY()),"")</f>
        <v/>
      </c>
    </row>
    <row r="192" customFormat="false" ht="15" hidden="false" customHeight="false" outlineLevel="0" collapsed="false">
      <c r="A192" s="42"/>
      <c r="B192" s="42"/>
      <c r="C192" s="43" t="str">
        <f aca="false">IF(AND($A192&lt;&gt;"",$B192&lt;&gt;""),COUNTIFS('Leads Pipeline'!$D$5:$D$1004,$A192,'Leads Pipeline'!$E$5:$E$1004,$B192,'Leads Pipeline'!$F$5:$F$1004,"&lt;&gt;"),"")</f>
        <v/>
      </c>
      <c r="D192" s="43" t="str">
        <f aca="false">IF(AND($A192&lt;&gt;"",$B192&lt;&gt;""),COUNTIFS('Leads Pipeline'!$D$5:$D$1004,$A192,'Leads Pipeline'!$E$5:$E$1004,$B192,'Leads Pipeline'!$F$5:$F$1004,"&lt;&gt;",'Leads Pipeline'!$O$5:$O$1004,"&lt;&gt;Won",'Leads Pipeline'!$O$5:$O$1004,"&lt;&gt;Lost"),"")</f>
        <v/>
      </c>
      <c r="E192" s="43" t="str">
        <f aca="false">IF(AND($A192&lt;&gt;"",$B192&lt;&gt;""),COUNTIFS('Leads Pipeline'!$D$5:$D$1004,$A192,'Leads Pipeline'!$E$5:$E$1004,$B192,'Leads Pipeline'!$P$5:$P$1004,"Hot",'Leads Pipeline'!$O$5:$O$1004,"&lt;&gt;Won",'Leads Pipeline'!$O$5:$O$1004,"&lt;&gt;Lost"),"")</f>
        <v/>
      </c>
      <c r="F192" s="43" t="str">
        <f aca="false">IF(AND($A192&lt;&gt;"",$B192&lt;&gt;""),COUNTIFS('Leads Pipeline'!$D$5:$D$1004,$A192,'Leads Pipeline'!$E$5:$E$1004,$B192,'Leads Pipeline'!$O$5:$O$1004,"Won"),"")</f>
        <v/>
      </c>
      <c r="G192" s="44" t="str">
        <f aca="false">IF(AND($A192&lt;&gt;"",$B192&lt;&gt;""),SUMIFS('Leads Pipeline'!$U$5:$U$1004,'Leads Pipeline'!$D$5:$D$1004,$A192,'Leads Pipeline'!$E$5:$E$1004,$B192,'Leads Pipeline'!$O$5:$O$1004,"&lt;&gt;Won",'Leads Pipeline'!$O$5:$O$1004,"&lt;&gt;Lost"),"")</f>
        <v/>
      </c>
      <c r="H192" s="43" t="str">
        <f aca="false">IF(AND($A192&lt;&gt;"",$B192&lt;&gt;""),COUNTIFS('Active Clients'!$B$5:$B$504,$A192,'Active Clients'!$C$5:$C$504,$B192,'Active Clients'!$T$5:$T$504,"Active"),"")</f>
        <v/>
      </c>
      <c r="I192" s="44" t="str">
        <f aca="false">IF(AND($A192&lt;&gt;"",$B192&lt;&gt;""),SUMIFS('Active Clients'!$R$5:$R$504,'Active Clients'!$B$5:$B$504,$A192,'Active Clients'!$C$5:$C$504,$B192),"")</f>
        <v/>
      </c>
      <c r="J192" s="43" t="str">
        <f aca="true">IF(AND($A192&lt;&gt;"",$B192&lt;&gt;""),COUNTIFS('Activity Log'!$E$5:$E$3004,$A192,'Activity Log'!$F$5:$F$3004,$B192,'Activity Log'!$A$5:$A$3004,"&gt;="&amp;(TODAY()-29),'Activity Log'!$A$5:$A$3004,"&lt;="&amp;TODAY()),"")</f>
        <v/>
      </c>
    </row>
    <row r="193" customFormat="false" ht="15" hidden="false" customHeight="false" outlineLevel="0" collapsed="false">
      <c r="A193" s="42"/>
      <c r="B193" s="42"/>
      <c r="C193" s="43" t="str">
        <f aca="false">IF(AND($A193&lt;&gt;"",$B193&lt;&gt;""),COUNTIFS('Leads Pipeline'!$D$5:$D$1004,$A193,'Leads Pipeline'!$E$5:$E$1004,$B193,'Leads Pipeline'!$F$5:$F$1004,"&lt;&gt;"),"")</f>
        <v/>
      </c>
      <c r="D193" s="43" t="str">
        <f aca="false">IF(AND($A193&lt;&gt;"",$B193&lt;&gt;""),COUNTIFS('Leads Pipeline'!$D$5:$D$1004,$A193,'Leads Pipeline'!$E$5:$E$1004,$B193,'Leads Pipeline'!$F$5:$F$1004,"&lt;&gt;",'Leads Pipeline'!$O$5:$O$1004,"&lt;&gt;Won",'Leads Pipeline'!$O$5:$O$1004,"&lt;&gt;Lost"),"")</f>
        <v/>
      </c>
      <c r="E193" s="43" t="str">
        <f aca="false">IF(AND($A193&lt;&gt;"",$B193&lt;&gt;""),COUNTIFS('Leads Pipeline'!$D$5:$D$1004,$A193,'Leads Pipeline'!$E$5:$E$1004,$B193,'Leads Pipeline'!$P$5:$P$1004,"Hot",'Leads Pipeline'!$O$5:$O$1004,"&lt;&gt;Won",'Leads Pipeline'!$O$5:$O$1004,"&lt;&gt;Lost"),"")</f>
        <v/>
      </c>
      <c r="F193" s="43" t="str">
        <f aca="false">IF(AND($A193&lt;&gt;"",$B193&lt;&gt;""),COUNTIFS('Leads Pipeline'!$D$5:$D$1004,$A193,'Leads Pipeline'!$E$5:$E$1004,$B193,'Leads Pipeline'!$O$5:$O$1004,"Won"),"")</f>
        <v/>
      </c>
      <c r="G193" s="44" t="str">
        <f aca="false">IF(AND($A193&lt;&gt;"",$B193&lt;&gt;""),SUMIFS('Leads Pipeline'!$U$5:$U$1004,'Leads Pipeline'!$D$5:$D$1004,$A193,'Leads Pipeline'!$E$5:$E$1004,$B193,'Leads Pipeline'!$O$5:$O$1004,"&lt;&gt;Won",'Leads Pipeline'!$O$5:$O$1004,"&lt;&gt;Lost"),"")</f>
        <v/>
      </c>
      <c r="H193" s="43" t="str">
        <f aca="false">IF(AND($A193&lt;&gt;"",$B193&lt;&gt;""),COUNTIFS('Active Clients'!$B$5:$B$504,$A193,'Active Clients'!$C$5:$C$504,$B193,'Active Clients'!$T$5:$T$504,"Active"),"")</f>
        <v/>
      </c>
      <c r="I193" s="44" t="str">
        <f aca="false">IF(AND($A193&lt;&gt;"",$B193&lt;&gt;""),SUMIFS('Active Clients'!$R$5:$R$504,'Active Clients'!$B$5:$B$504,$A193,'Active Clients'!$C$5:$C$504,$B193),"")</f>
        <v/>
      </c>
      <c r="J193" s="43" t="str">
        <f aca="true">IF(AND($A193&lt;&gt;"",$B193&lt;&gt;""),COUNTIFS('Activity Log'!$E$5:$E$3004,$A193,'Activity Log'!$F$5:$F$3004,$B193,'Activity Log'!$A$5:$A$3004,"&gt;="&amp;(TODAY()-29),'Activity Log'!$A$5:$A$3004,"&lt;="&amp;TODAY()),"")</f>
        <v/>
      </c>
    </row>
    <row r="194" customFormat="false" ht="15" hidden="false" customHeight="false" outlineLevel="0" collapsed="false">
      <c r="A194" s="42"/>
      <c r="B194" s="42"/>
      <c r="C194" s="43" t="str">
        <f aca="false">IF(AND($A194&lt;&gt;"",$B194&lt;&gt;""),COUNTIFS('Leads Pipeline'!$D$5:$D$1004,$A194,'Leads Pipeline'!$E$5:$E$1004,$B194,'Leads Pipeline'!$F$5:$F$1004,"&lt;&gt;"),"")</f>
        <v/>
      </c>
      <c r="D194" s="43" t="str">
        <f aca="false">IF(AND($A194&lt;&gt;"",$B194&lt;&gt;""),COUNTIFS('Leads Pipeline'!$D$5:$D$1004,$A194,'Leads Pipeline'!$E$5:$E$1004,$B194,'Leads Pipeline'!$F$5:$F$1004,"&lt;&gt;",'Leads Pipeline'!$O$5:$O$1004,"&lt;&gt;Won",'Leads Pipeline'!$O$5:$O$1004,"&lt;&gt;Lost"),"")</f>
        <v/>
      </c>
      <c r="E194" s="43" t="str">
        <f aca="false">IF(AND($A194&lt;&gt;"",$B194&lt;&gt;""),COUNTIFS('Leads Pipeline'!$D$5:$D$1004,$A194,'Leads Pipeline'!$E$5:$E$1004,$B194,'Leads Pipeline'!$P$5:$P$1004,"Hot",'Leads Pipeline'!$O$5:$O$1004,"&lt;&gt;Won",'Leads Pipeline'!$O$5:$O$1004,"&lt;&gt;Lost"),"")</f>
        <v/>
      </c>
      <c r="F194" s="43" t="str">
        <f aca="false">IF(AND($A194&lt;&gt;"",$B194&lt;&gt;""),COUNTIFS('Leads Pipeline'!$D$5:$D$1004,$A194,'Leads Pipeline'!$E$5:$E$1004,$B194,'Leads Pipeline'!$O$5:$O$1004,"Won"),"")</f>
        <v/>
      </c>
      <c r="G194" s="44" t="str">
        <f aca="false">IF(AND($A194&lt;&gt;"",$B194&lt;&gt;""),SUMIFS('Leads Pipeline'!$U$5:$U$1004,'Leads Pipeline'!$D$5:$D$1004,$A194,'Leads Pipeline'!$E$5:$E$1004,$B194,'Leads Pipeline'!$O$5:$O$1004,"&lt;&gt;Won",'Leads Pipeline'!$O$5:$O$1004,"&lt;&gt;Lost"),"")</f>
        <v/>
      </c>
      <c r="H194" s="43" t="str">
        <f aca="false">IF(AND($A194&lt;&gt;"",$B194&lt;&gt;""),COUNTIFS('Active Clients'!$B$5:$B$504,$A194,'Active Clients'!$C$5:$C$504,$B194,'Active Clients'!$T$5:$T$504,"Active"),"")</f>
        <v/>
      </c>
      <c r="I194" s="44" t="str">
        <f aca="false">IF(AND($A194&lt;&gt;"",$B194&lt;&gt;""),SUMIFS('Active Clients'!$R$5:$R$504,'Active Clients'!$B$5:$B$504,$A194,'Active Clients'!$C$5:$C$504,$B194),"")</f>
        <v/>
      </c>
      <c r="J194" s="43" t="str">
        <f aca="true">IF(AND($A194&lt;&gt;"",$B194&lt;&gt;""),COUNTIFS('Activity Log'!$E$5:$E$3004,$A194,'Activity Log'!$F$5:$F$3004,$B194,'Activity Log'!$A$5:$A$3004,"&gt;="&amp;(TODAY()-29),'Activity Log'!$A$5:$A$3004,"&lt;="&amp;TODAY()),"")</f>
        <v/>
      </c>
    </row>
    <row r="195" customFormat="false" ht="15" hidden="false" customHeight="false" outlineLevel="0" collapsed="false">
      <c r="A195" s="42"/>
      <c r="B195" s="42"/>
      <c r="C195" s="43" t="str">
        <f aca="false">IF(AND($A195&lt;&gt;"",$B195&lt;&gt;""),COUNTIFS('Leads Pipeline'!$D$5:$D$1004,$A195,'Leads Pipeline'!$E$5:$E$1004,$B195,'Leads Pipeline'!$F$5:$F$1004,"&lt;&gt;"),"")</f>
        <v/>
      </c>
      <c r="D195" s="43" t="str">
        <f aca="false">IF(AND($A195&lt;&gt;"",$B195&lt;&gt;""),COUNTIFS('Leads Pipeline'!$D$5:$D$1004,$A195,'Leads Pipeline'!$E$5:$E$1004,$B195,'Leads Pipeline'!$F$5:$F$1004,"&lt;&gt;",'Leads Pipeline'!$O$5:$O$1004,"&lt;&gt;Won",'Leads Pipeline'!$O$5:$O$1004,"&lt;&gt;Lost"),"")</f>
        <v/>
      </c>
      <c r="E195" s="43" t="str">
        <f aca="false">IF(AND($A195&lt;&gt;"",$B195&lt;&gt;""),COUNTIFS('Leads Pipeline'!$D$5:$D$1004,$A195,'Leads Pipeline'!$E$5:$E$1004,$B195,'Leads Pipeline'!$P$5:$P$1004,"Hot",'Leads Pipeline'!$O$5:$O$1004,"&lt;&gt;Won",'Leads Pipeline'!$O$5:$O$1004,"&lt;&gt;Lost"),"")</f>
        <v/>
      </c>
      <c r="F195" s="43" t="str">
        <f aca="false">IF(AND($A195&lt;&gt;"",$B195&lt;&gt;""),COUNTIFS('Leads Pipeline'!$D$5:$D$1004,$A195,'Leads Pipeline'!$E$5:$E$1004,$B195,'Leads Pipeline'!$O$5:$O$1004,"Won"),"")</f>
        <v/>
      </c>
      <c r="G195" s="44" t="str">
        <f aca="false">IF(AND($A195&lt;&gt;"",$B195&lt;&gt;""),SUMIFS('Leads Pipeline'!$U$5:$U$1004,'Leads Pipeline'!$D$5:$D$1004,$A195,'Leads Pipeline'!$E$5:$E$1004,$B195,'Leads Pipeline'!$O$5:$O$1004,"&lt;&gt;Won",'Leads Pipeline'!$O$5:$O$1004,"&lt;&gt;Lost"),"")</f>
        <v/>
      </c>
      <c r="H195" s="43" t="str">
        <f aca="false">IF(AND($A195&lt;&gt;"",$B195&lt;&gt;""),COUNTIFS('Active Clients'!$B$5:$B$504,$A195,'Active Clients'!$C$5:$C$504,$B195,'Active Clients'!$T$5:$T$504,"Active"),"")</f>
        <v/>
      </c>
      <c r="I195" s="44" t="str">
        <f aca="false">IF(AND($A195&lt;&gt;"",$B195&lt;&gt;""),SUMIFS('Active Clients'!$R$5:$R$504,'Active Clients'!$B$5:$B$504,$A195,'Active Clients'!$C$5:$C$504,$B195),"")</f>
        <v/>
      </c>
      <c r="J195" s="43" t="str">
        <f aca="true">IF(AND($A195&lt;&gt;"",$B195&lt;&gt;""),COUNTIFS('Activity Log'!$E$5:$E$3004,$A195,'Activity Log'!$F$5:$F$3004,$B195,'Activity Log'!$A$5:$A$3004,"&gt;="&amp;(TODAY()-29),'Activity Log'!$A$5:$A$3004,"&lt;="&amp;TODAY()),"")</f>
        <v/>
      </c>
    </row>
    <row r="196" customFormat="false" ht="15" hidden="false" customHeight="false" outlineLevel="0" collapsed="false">
      <c r="A196" s="42"/>
      <c r="B196" s="42"/>
      <c r="C196" s="43" t="str">
        <f aca="false">IF(AND($A196&lt;&gt;"",$B196&lt;&gt;""),COUNTIFS('Leads Pipeline'!$D$5:$D$1004,$A196,'Leads Pipeline'!$E$5:$E$1004,$B196,'Leads Pipeline'!$F$5:$F$1004,"&lt;&gt;"),"")</f>
        <v/>
      </c>
      <c r="D196" s="43" t="str">
        <f aca="false">IF(AND($A196&lt;&gt;"",$B196&lt;&gt;""),COUNTIFS('Leads Pipeline'!$D$5:$D$1004,$A196,'Leads Pipeline'!$E$5:$E$1004,$B196,'Leads Pipeline'!$F$5:$F$1004,"&lt;&gt;",'Leads Pipeline'!$O$5:$O$1004,"&lt;&gt;Won",'Leads Pipeline'!$O$5:$O$1004,"&lt;&gt;Lost"),"")</f>
        <v/>
      </c>
      <c r="E196" s="43" t="str">
        <f aca="false">IF(AND($A196&lt;&gt;"",$B196&lt;&gt;""),COUNTIFS('Leads Pipeline'!$D$5:$D$1004,$A196,'Leads Pipeline'!$E$5:$E$1004,$B196,'Leads Pipeline'!$P$5:$P$1004,"Hot",'Leads Pipeline'!$O$5:$O$1004,"&lt;&gt;Won",'Leads Pipeline'!$O$5:$O$1004,"&lt;&gt;Lost"),"")</f>
        <v/>
      </c>
      <c r="F196" s="43" t="str">
        <f aca="false">IF(AND($A196&lt;&gt;"",$B196&lt;&gt;""),COUNTIFS('Leads Pipeline'!$D$5:$D$1004,$A196,'Leads Pipeline'!$E$5:$E$1004,$B196,'Leads Pipeline'!$O$5:$O$1004,"Won"),"")</f>
        <v/>
      </c>
      <c r="G196" s="44" t="str">
        <f aca="false">IF(AND($A196&lt;&gt;"",$B196&lt;&gt;""),SUMIFS('Leads Pipeline'!$U$5:$U$1004,'Leads Pipeline'!$D$5:$D$1004,$A196,'Leads Pipeline'!$E$5:$E$1004,$B196,'Leads Pipeline'!$O$5:$O$1004,"&lt;&gt;Won",'Leads Pipeline'!$O$5:$O$1004,"&lt;&gt;Lost"),"")</f>
        <v/>
      </c>
      <c r="H196" s="43" t="str">
        <f aca="false">IF(AND($A196&lt;&gt;"",$B196&lt;&gt;""),COUNTIFS('Active Clients'!$B$5:$B$504,$A196,'Active Clients'!$C$5:$C$504,$B196,'Active Clients'!$T$5:$T$504,"Active"),"")</f>
        <v/>
      </c>
      <c r="I196" s="44" t="str">
        <f aca="false">IF(AND($A196&lt;&gt;"",$B196&lt;&gt;""),SUMIFS('Active Clients'!$R$5:$R$504,'Active Clients'!$B$5:$B$504,$A196,'Active Clients'!$C$5:$C$504,$B196),"")</f>
        <v/>
      </c>
      <c r="J196" s="43" t="str">
        <f aca="true">IF(AND($A196&lt;&gt;"",$B196&lt;&gt;""),COUNTIFS('Activity Log'!$E$5:$E$3004,$A196,'Activity Log'!$F$5:$F$3004,$B196,'Activity Log'!$A$5:$A$3004,"&gt;="&amp;(TODAY()-29),'Activity Log'!$A$5:$A$3004,"&lt;="&amp;TODAY()),"")</f>
        <v/>
      </c>
    </row>
    <row r="197" customFormat="false" ht="15" hidden="false" customHeight="false" outlineLevel="0" collapsed="false">
      <c r="A197" s="42"/>
      <c r="B197" s="42"/>
      <c r="C197" s="43" t="str">
        <f aca="false">IF(AND($A197&lt;&gt;"",$B197&lt;&gt;""),COUNTIFS('Leads Pipeline'!$D$5:$D$1004,$A197,'Leads Pipeline'!$E$5:$E$1004,$B197,'Leads Pipeline'!$F$5:$F$1004,"&lt;&gt;"),"")</f>
        <v/>
      </c>
      <c r="D197" s="43" t="str">
        <f aca="false">IF(AND($A197&lt;&gt;"",$B197&lt;&gt;""),COUNTIFS('Leads Pipeline'!$D$5:$D$1004,$A197,'Leads Pipeline'!$E$5:$E$1004,$B197,'Leads Pipeline'!$F$5:$F$1004,"&lt;&gt;",'Leads Pipeline'!$O$5:$O$1004,"&lt;&gt;Won",'Leads Pipeline'!$O$5:$O$1004,"&lt;&gt;Lost"),"")</f>
        <v/>
      </c>
      <c r="E197" s="43" t="str">
        <f aca="false">IF(AND($A197&lt;&gt;"",$B197&lt;&gt;""),COUNTIFS('Leads Pipeline'!$D$5:$D$1004,$A197,'Leads Pipeline'!$E$5:$E$1004,$B197,'Leads Pipeline'!$P$5:$P$1004,"Hot",'Leads Pipeline'!$O$5:$O$1004,"&lt;&gt;Won",'Leads Pipeline'!$O$5:$O$1004,"&lt;&gt;Lost"),"")</f>
        <v/>
      </c>
      <c r="F197" s="43" t="str">
        <f aca="false">IF(AND($A197&lt;&gt;"",$B197&lt;&gt;""),COUNTIFS('Leads Pipeline'!$D$5:$D$1004,$A197,'Leads Pipeline'!$E$5:$E$1004,$B197,'Leads Pipeline'!$O$5:$O$1004,"Won"),"")</f>
        <v/>
      </c>
      <c r="G197" s="44" t="str">
        <f aca="false">IF(AND($A197&lt;&gt;"",$B197&lt;&gt;""),SUMIFS('Leads Pipeline'!$U$5:$U$1004,'Leads Pipeline'!$D$5:$D$1004,$A197,'Leads Pipeline'!$E$5:$E$1004,$B197,'Leads Pipeline'!$O$5:$O$1004,"&lt;&gt;Won",'Leads Pipeline'!$O$5:$O$1004,"&lt;&gt;Lost"),"")</f>
        <v/>
      </c>
      <c r="H197" s="43" t="str">
        <f aca="false">IF(AND($A197&lt;&gt;"",$B197&lt;&gt;""),COUNTIFS('Active Clients'!$B$5:$B$504,$A197,'Active Clients'!$C$5:$C$504,$B197,'Active Clients'!$T$5:$T$504,"Active"),"")</f>
        <v/>
      </c>
      <c r="I197" s="44" t="str">
        <f aca="false">IF(AND($A197&lt;&gt;"",$B197&lt;&gt;""),SUMIFS('Active Clients'!$R$5:$R$504,'Active Clients'!$B$5:$B$504,$A197,'Active Clients'!$C$5:$C$504,$B197),"")</f>
        <v/>
      </c>
      <c r="J197" s="43" t="str">
        <f aca="true">IF(AND($A197&lt;&gt;"",$B197&lt;&gt;""),COUNTIFS('Activity Log'!$E$5:$E$3004,$A197,'Activity Log'!$F$5:$F$3004,$B197,'Activity Log'!$A$5:$A$3004,"&gt;="&amp;(TODAY()-29),'Activity Log'!$A$5:$A$3004,"&lt;="&amp;TODAY()),"")</f>
        <v/>
      </c>
    </row>
    <row r="198" customFormat="false" ht="15" hidden="false" customHeight="false" outlineLevel="0" collapsed="false">
      <c r="A198" s="42"/>
      <c r="B198" s="42"/>
      <c r="C198" s="43" t="str">
        <f aca="false">IF(AND($A198&lt;&gt;"",$B198&lt;&gt;""),COUNTIFS('Leads Pipeline'!$D$5:$D$1004,$A198,'Leads Pipeline'!$E$5:$E$1004,$B198,'Leads Pipeline'!$F$5:$F$1004,"&lt;&gt;"),"")</f>
        <v/>
      </c>
      <c r="D198" s="43" t="str">
        <f aca="false">IF(AND($A198&lt;&gt;"",$B198&lt;&gt;""),COUNTIFS('Leads Pipeline'!$D$5:$D$1004,$A198,'Leads Pipeline'!$E$5:$E$1004,$B198,'Leads Pipeline'!$F$5:$F$1004,"&lt;&gt;",'Leads Pipeline'!$O$5:$O$1004,"&lt;&gt;Won",'Leads Pipeline'!$O$5:$O$1004,"&lt;&gt;Lost"),"")</f>
        <v/>
      </c>
      <c r="E198" s="43" t="str">
        <f aca="false">IF(AND($A198&lt;&gt;"",$B198&lt;&gt;""),COUNTIFS('Leads Pipeline'!$D$5:$D$1004,$A198,'Leads Pipeline'!$E$5:$E$1004,$B198,'Leads Pipeline'!$P$5:$P$1004,"Hot",'Leads Pipeline'!$O$5:$O$1004,"&lt;&gt;Won",'Leads Pipeline'!$O$5:$O$1004,"&lt;&gt;Lost"),"")</f>
        <v/>
      </c>
      <c r="F198" s="43" t="str">
        <f aca="false">IF(AND($A198&lt;&gt;"",$B198&lt;&gt;""),COUNTIFS('Leads Pipeline'!$D$5:$D$1004,$A198,'Leads Pipeline'!$E$5:$E$1004,$B198,'Leads Pipeline'!$O$5:$O$1004,"Won"),"")</f>
        <v/>
      </c>
      <c r="G198" s="44" t="str">
        <f aca="false">IF(AND($A198&lt;&gt;"",$B198&lt;&gt;""),SUMIFS('Leads Pipeline'!$U$5:$U$1004,'Leads Pipeline'!$D$5:$D$1004,$A198,'Leads Pipeline'!$E$5:$E$1004,$B198,'Leads Pipeline'!$O$5:$O$1004,"&lt;&gt;Won",'Leads Pipeline'!$O$5:$O$1004,"&lt;&gt;Lost"),"")</f>
        <v/>
      </c>
      <c r="H198" s="43" t="str">
        <f aca="false">IF(AND($A198&lt;&gt;"",$B198&lt;&gt;""),COUNTIFS('Active Clients'!$B$5:$B$504,$A198,'Active Clients'!$C$5:$C$504,$B198,'Active Clients'!$T$5:$T$504,"Active"),"")</f>
        <v/>
      </c>
      <c r="I198" s="44" t="str">
        <f aca="false">IF(AND($A198&lt;&gt;"",$B198&lt;&gt;""),SUMIFS('Active Clients'!$R$5:$R$504,'Active Clients'!$B$5:$B$504,$A198,'Active Clients'!$C$5:$C$504,$B198),"")</f>
        <v/>
      </c>
      <c r="J198" s="43" t="str">
        <f aca="true">IF(AND($A198&lt;&gt;"",$B198&lt;&gt;""),COUNTIFS('Activity Log'!$E$5:$E$3004,$A198,'Activity Log'!$F$5:$F$3004,$B198,'Activity Log'!$A$5:$A$3004,"&gt;="&amp;(TODAY()-29),'Activity Log'!$A$5:$A$3004,"&lt;="&amp;TODAY()),"")</f>
        <v/>
      </c>
    </row>
    <row r="199" customFormat="false" ht="15" hidden="false" customHeight="false" outlineLevel="0" collapsed="false">
      <c r="A199" s="42"/>
      <c r="B199" s="42"/>
      <c r="C199" s="43" t="str">
        <f aca="false">IF(AND($A199&lt;&gt;"",$B199&lt;&gt;""),COUNTIFS('Leads Pipeline'!$D$5:$D$1004,$A199,'Leads Pipeline'!$E$5:$E$1004,$B199,'Leads Pipeline'!$F$5:$F$1004,"&lt;&gt;"),"")</f>
        <v/>
      </c>
      <c r="D199" s="43" t="str">
        <f aca="false">IF(AND($A199&lt;&gt;"",$B199&lt;&gt;""),COUNTIFS('Leads Pipeline'!$D$5:$D$1004,$A199,'Leads Pipeline'!$E$5:$E$1004,$B199,'Leads Pipeline'!$F$5:$F$1004,"&lt;&gt;",'Leads Pipeline'!$O$5:$O$1004,"&lt;&gt;Won",'Leads Pipeline'!$O$5:$O$1004,"&lt;&gt;Lost"),"")</f>
        <v/>
      </c>
      <c r="E199" s="43" t="str">
        <f aca="false">IF(AND($A199&lt;&gt;"",$B199&lt;&gt;""),COUNTIFS('Leads Pipeline'!$D$5:$D$1004,$A199,'Leads Pipeline'!$E$5:$E$1004,$B199,'Leads Pipeline'!$P$5:$P$1004,"Hot",'Leads Pipeline'!$O$5:$O$1004,"&lt;&gt;Won",'Leads Pipeline'!$O$5:$O$1004,"&lt;&gt;Lost"),"")</f>
        <v/>
      </c>
      <c r="F199" s="43" t="str">
        <f aca="false">IF(AND($A199&lt;&gt;"",$B199&lt;&gt;""),COUNTIFS('Leads Pipeline'!$D$5:$D$1004,$A199,'Leads Pipeline'!$E$5:$E$1004,$B199,'Leads Pipeline'!$O$5:$O$1004,"Won"),"")</f>
        <v/>
      </c>
      <c r="G199" s="44" t="str">
        <f aca="false">IF(AND($A199&lt;&gt;"",$B199&lt;&gt;""),SUMIFS('Leads Pipeline'!$U$5:$U$1004,'Leads Pipeline'!$D$5:$D$1004,$A199,'Leads Pipeline'!$E$5:$E$1004,$B199,'Leads Pipeline'!$O$5:$O$1004,"&lt;&gt;Won",'Leads Pipeline'!$O$5:$O$1004,"&lt;&gt;Lost"),"")</f>
        <v/>
      </c>
      <c r="H199" s="43" t="str">
        <f aca="false">IF(AND($A199&lt;&gt;"",$B199&lt;&gt;""),COUNTIFS('Active Clients'!$B$5:$B$504,$A199,'Active Clients'!$C$5:$C$504,$B199,'Active Clients'!$T$5:$T$504,"Active"),"")</f>
        <v/>
      </c>
      <c r="I199" s="44" t="str">
        <f aca="false">IF(AND($A199&lt;&gt;"",$B199&lt;&gt;""),SUMIFS('Active Clients'!$R$5:$R$504,'Active Clients'!$B$5:$B$504,$A199,'Active Clients'!$C$5:$C$504,$B199),"")</f>
        <v/>
      </c>
      <c r="J199" s="43" t="str">
        <f aca="true">IF(AND($A199&lt;&gt;"",$B199&lt;&gt;""),COUNTIFS('Activity Log'!$E$5:$E$3004,$A199,'Activity Log'!$F$5:$F$3004,$B199,'Activity Log'!$A$5:$A$3004,"&gt;="&amp;(TODAY()-29),'Activity Log'!$A$5:$A$3004,"&lt;="&amp;TODAY()),"")</f>
        <v/>
      </c>
    </row>
    <row r="200" customFormat="false" ht="15" hidden="false" customHeight="false" outlineLevel="0" collapsed="false">
      <c r="A200" s="42"/>
      <c r="B200" s="42"/>
      <c r="C200" s="43" t="str">
        <f aca="false">IF(AND($A200&lt;&gt;"",$B200&lt;&gt;""),COUNTIFS('Leads Pipeline'!$D$5:$D$1004,$A200,'Leads Pipeline'!$E$5:$E$1004,$B200,'Leads Pipeline'!$F$5:$F$1004,"&lt;&gt;"),"")</f>
        <v/>
      </c>
      <c r="D200" s="43" t="str">
        <f aca="false">IF(AND($A200&lt;&gt;"",$B200&lt;&gt;""),COUNTIFS('Leads Pipeline'!$D$5:$D$1004,$A200,'Leads Pipeline'!$E$5:$E$1004,$B200,'Leads Pipeline'!$F$5:$F$1004,"&lt;&gt;",'Leads Pipeline'!$O$5:$O$1004,"&lt;&gt;Won",'Leads Pipeline'!$O$5:$O$1004,"&lt;&gt;Lost"),"")</f>
        <v/>
      </c>
      <c r="E200" s="43" t="str">
        <f aca="false">IF(AND($A200&lt;&gt;"",$B200&lt;&gt;""),COUNTIFS('Leads Pipeline'!$D$5:$D$1004,$A200,'Leads Pipeline'!$E$5:$E$1004,$B200,'Leads Pipeline'!$P$5:$P$1004,"Hot",'Leads Pipeline'!$O$5:$O$1004,"&lt;&gt;Won",'Leads Pipeline'!$O$5:$O$1004,"&lt;&gt;Lost"),"")</f>
        <v/>
      </c>
      <c r="F200" s="43" t="str">
        <f aca="false">IF(AND($A200&lt;&gt;"",$B200&lt;&gt;""),COUNTIFS('Leads Pipeline'!$D$5:$D$1004,$A200,'Leads Pipeline'!$E$5:$E$1004,$B200,'Leads Pipeline'!$O$5:$O$1004,"Won"),"")</f>
        <v/>
      </c>
      <c r="G200" s="44" t="str">
        <f aca="false">IF(AND($A200&lt;&gt;"",$B200&lt;&gt;""),SUMIFS('Leads Pipeline'!$U$5:$U$1004,'Leads Pipeline'!$D$5:$D$1004,$A200,'Leads Pipeline'!$E$5:$E$1004,$B200,'Leads Pipeline'!$O$5:$O$1004,"&lt;&gt;Won",'Leads Pipeline'!$O$5:$O$1004,"&lt;&gt;Lost"),"")</f>
        <v/>
      </c>
      <c r="H200" s="43" t="str">
        <f aca="false">IF(AND($A200&lt;&gt;"",$B200&lt;&gt;""),COUNTIFS('Active Clients'!$B$5:$B$504,$A200,'Active Clients'!$C$5:$C$504,$B200,'Active Clients'!$T$5:$T$504,"Active"),"")</f>
        <v/>
      </c>
      <c r="I200" s="44" t="str">
        <f aca="false">IF(AND($A200&lt;&gt;"",$B200&lt;&gt;""),SUMIFS('Active Clients'!$R$5:$R$504,'Active Clients'!$B$5:$B$504,$A200,'Active Clients'!$C$5:$C$504,$B200),"")</f>
        <v/>
      </c>
      <c r="J200" s="43" t="str">
        <f aca="true">IF(AND($A200&lt;&gt;"",$B200&lt;&gt;""),COUNTIFS('Activity Log'!$E$5:$E$3004,$A200,'Activity Log'!$F$5:$F$3004,$B200,'Activity Log'!$A$5:$A$3004,"&gt;="&amp;(TODAY()-29),'Activity Log'!$A$5:$A$3004,"&lt;="&amp;TODAY()),"")</f>
        <v/>
      </c>
    </row>
    <row r="201" customFormat="false" ht="15" hidden="false" customHeight="false" outlineLevel="0" collapsed="false">
      <c r="A201" s="42"/>
      <c r="B201" s="42"/>
      <c r="C201" s="43" t="str">
        <f aca="false">IF(AND($A201&lt;&gt;"",$B201&lt;&gt;""),COUNTIFS('Leads Pipeline'!$D$5:$D$1004,$A201,'Leads Pipeline'!$E$5:$E$1004,$B201,'Leads Pipeline'!$F$5:$F$1004,"&lt;&gt;"),"")</f>
        <v/>
      </c>
      <c r="D201" s="43" t="str">
        <f aca="false">IF(AND($A201&lt;&gt;"",$B201&lt;&gt;""),COUNTIFS('Leads Pipeline'!$D$5:$D$1004,$A201,'Leads Pipeline'!$E$5:$E$1004,$B201,'Leads Pipeline'!$F$5:$F$1004,"&lt;&gt;",'Leads Pipeline'!$O$5:$O$1004,"&lt;&gt;Won",'Leads Pipeline'!$O$5:$O$1004,"&lt;&gt;Lost"),"")</f>
        <v/>
      </c>
      <c r="E201" s="43" t="str">
        <f aca="false">IF(AND($A201&lt;&gt;"",$B201&lt;&gt;""),COUNTIFS('Leads Pipeline'!$D$5:$D$1004,$A201,'Leads Pipeline'!$E$5:$E$1004,$B201,'Leads Pipeline'!$P$5:$P$1004,"Hot",'Leads Pipeline'!$O$5:$O$1004,"&lt;&gt;Won",'Leads Pipeline'!$O$5:$O$1004,"&lt;&gt;Lost"),"")</f>
        <v/>
      </c>
      <c r="F201" s="43" t="str">
        <f aca="false">IF(AND($A201&lt;&gt;"",$B201&lt;&gt;""),COUNTIFS('Leads Pipeline'!$D$5:$D$1004,$A201,'Leads Pipeline'!$E$5:$E$1004,$B201,'Leads Pipeline'!$O$5:$O$1004,"Won"),"")</f>
        <v/>
      </c>
      <c r="G201" s="44" t="str">
        <f aca="false">IF(AND($A201&lt;&gt;"",$B201&lt;&gt;""),SUMIFS('Leads Pipeline'!$U$5:$U$1004,'Leads Pipeline'!$D$5:$D$1004,$A201,'Leads Pipeline'!$E$5:$E$1004,$B201,'Leads Pipeline'!$O$5:$O$1004,"&lt;&gt;Won",'Leads Pipeline'!$O$5:$O$1004,"&lt;&gt;Lost"),"")</f>
        <v/>
      </c>
      <c r="H201" s="43" t="str">
        <f aca="false">IF(AND($A201&lt;&gt;"",$B201&lt;&gt;""),COUNTIFS('Active Clients'!$B$5:$B$504,$A201,'Active Clients'!$C$5:$C$504,$B201,'Active Clients'!$T$5:$T$504,"Active"),"")</f>
        <v/>
      </c>
      <c r="I201" s="44" t="str">
        <f aca="false">IF(AND($A201&lt;&gt;"",$B201&lt;&gt;""),SUMIFS('Active Clients'!$R$5:$R$504,'Active Clients'!$B$5:$B$504,$A201,'Active Clients'!$C$5:$C$504,$B201),"")</f>
        <v/>
      </c>
      <c r="J201" s="43" t="str">
        <f aca="true">IF(AND($A201&lt;&gt;"",$B201&lt;&gt;""),COUNTIFS('Activity Log'!$E$5:$E$3004,$A201,'Activity Log'!$F$5:$F$3004,$B201,'Activity Log'!$A$5:$A$3004,"&gt;="&amp;(TODAY()-29),'Activity Log'!$A$5:$A$3004,"&lt;="&amp;TODAY()),"")</f>
        <v/>
      </c>
    </row>
    <row r="202" customFormat="false" ht="15" hidden="false" customHeight="false" outlineLevel="0" collapsed="false">
      <c r="A202" s="42"/>
      <c r="B202" s="42"/>
      <c r="C202" s="43" t="str">
        <f aca="false">IF(AND($A202&lt;&gt;"",$B202&lt;&gt;""),COUNTIFS('Leads Pipeline'!$D$5:$D$1004,$A202,'Leads Pipeline'!$E$5:$E$1004,$B202,'Leads Pipeline'!$F$5:$F$1004,"&lt;&gt;"),"")</f>
        <v/>
      </c>
      <c r="D202" s="43" t="str">
        <f aca="false">IF(AND($A202&lt;&gt;"",$B202&lt;&gt;""),COUNTIFS('Leads Pipeline'!$D$5:$D$1004,$A202,'Leads Pipeline'!$E$5:$E$1004,$B202,'Leads Pipeline'!$F$5:$F$1004,"&lt;&gt;",'Leads Pipeline'!$O$5:$O$1004,"&lt;&gt;Won",'Leads Pipeline'!$O$5:$O$1004,"&lt;&gt;Lost"),"")</f>
        <v/>
      </c>
      <c r="E202" s="43" t="str">
        <f aca="false">IF(AND($A202&lt;&gt;"",$B202&lt;&gt;""),COUNTIFS('Leads Pipeline'!$D$5:$D$1004,$A202,'Leads Pipeline'!$E$5:$E$1004,$B202,'Leads Pipeline'!$P$5:$P$1004,"Hot",'Leads Pipeline'!$O$5:$O$1004,"&lt;&gt;Won",'Leads Pipeline'!$O$5:$O$1004,"&lt;&gt;Lost"),"")</f>
        <v/>
      </c>
      <c r="F202" s="43" t="str">
        <f aca="false">IF(AND($A202&lt;&gt;"",$B202&lt;&gt;""),COUNTIFS('Leads Pipeline'!$D$5:$D$1004,$A202,'Leads Pipeline'!$E$5:$E$1004,$B202,'Leads Pipeline'!$O$5:$O$1004,"Won"),"")</f>
        <v/>
      </c>
      <c r="G202" s="44" t="str">
        <f aca="false">IF(AND($A202&lt;&gt;"",$B202&lt;&gt;""),SUMIFS('Leads Pipeline'!$U$5:$U$1004,'Leads Pipeline'!$D$5:$D$1004,$A202,'Leads Pipeline'!$E$5:$E$1004,$B202,'Leads Pipeline'!$O$5:$O$1004,"&lt;&gt;Won",'Leads Pipeline'!$O$5:$O$1004,"&lt;&gt;Lost"),"")</f>
        <v/>
      </c>
      <c r="H202" s="43" t="str">
        <f aca="false">IF(AND($A202&lt;&gt;"",$B202&lt;&gt;""),COUNTIFS('Active Clients'!$B$5:$B$504,$A202,'Active Clients'!$C$5:$C$504,$B202,'Active Clients'!$T$5:$T$504,"Active"),"")</f>
        <v/>
      </c>
      <c r="I202" s="44" t="str">
        <f aca="false">IF(AND($A202&lt;&gt;"",$B202&lt;&gt;""),SUMIFS('Active Clients'!$R$5:$R$504,'Active Clients'!$B$5:$B$504,$A202,'Active Clients'!$C$5:$C$504,$B202),"")</f>
        <v/>
      </c>
      <c r="J202" s="43" t="str">
        <f aca="true">IF(AND($A202&lt;&gt;"",$B202&lt;&gt;""),COUNTIFS('Activity Log'!$E$5:$E$3004,$A202,'Activity Log'!$F$5:$F$3004,$B202,'Activity Log'!$A$5:$A$3004,"&gt;="&amp;(TODAY()-29),'Activity Log'!$A$5:$A$3004,"&lt;="&amp;TODAY()),"")</f>
        <v/>
      </c>
    </row>
    <row r="203" customFormat="false" ht="15" hidden="false" customHeight="false" outlineLevel="0" collapsed="false">
      <c r="A203" s="42"/>
      <c r="B203" s="42"/>
      <c r="C203" s="43" t="str">
        <f aca="false">IF(AND($A203&lt;&gt;"",$B203&lt;&gt;""),COUNTIFS('Leads Pipeline'!$D$5:$D$1004,$A203,'Leads Pipeline'!$E$5:$E$1004,$B203,'Leads Pipeline'!$F$5:$F$1004,"&lt;&gt;"),"")</f>
        <v/>
      </c>
      <c r="D203" s="43" t="str">
        <f aca="false">IF(AND($A203&lt;&gt;"",$B203&lt;&gt;""),COUNTIFS('Leads Pipeline'!$D$5:$D$1004,$A203,'Leads Pipeline'!$E$5:$E$1004,$B203,'Leads Pipeline'!$F$5:$F$1004,"&lt;&gt;",'Leads Pipeline'!$O$5:$O$1004,"&lt;&gt;Won",'Leads Pipeline'!$O$5:$O$1004,"&lt;&gt;Lost"),"")</f>
        <v/>
      </c>
      <c r="E203" s="43" t="str">
        <f aca="false">IF(AND($A203&lt;&gt;"",$B203&lt;&gt;""),COUNTIFS('Leads Pipeline'!$D$5:$D$1004,$A203,'Leads Pipeline'!$E$5:$E$1004,$B203,'Leads Pipeline'!$P$5:$P$1004,"Hot",'Leads Pipeline'!$O$5:$O$1004,"&lt;&gt;Won",'Leads Pipeline'!$O$5:$O$1004,"&lt;&gt;Lost"),"")</f>
        <v/>
      </c>
      <c r="F203" s="43" t="str">
        <f aca="false">IF(AND($A203&lt;&gt;"",$B203&lt;&gt;""),COUNTIFS('Leads Pipeline'!$D$5:$D$1004,$A203,'Leads Pipeline'!$E$5:$E$1004,$B203,'Leads Pipeline'!$O$5:$O$1004,"Won"),"")</f>
        <v/>
      </c>
      <c r="G203" s="44" t="str">
        <f aca="false">IF(AND($A203&lt;&gt;"",$B203&lt;&gt;""),SUMIFS('Leads Pipeline'!$U$5:$U$1004,'Leads Pipeline'!$D$5:$D$1004,$A203,'Leads Pipeline'!$E$5:$E$1004,$B203,'Leads Pipeline'!$O$5:$O$1004,"&lt;&gt;Won",'Leads Pipeline'!$O$5:$O$1004,"&lt;&gt;Lost"),"")</f>
        <v/>
      </c>
      <c r="H203" s="43" t="str">
        <f aca="false">IF(AND($A203&lt;&gt;"",$B203&lt;&gt;""),COUNTIFS('Active Clients'!$B$5:$B$504,$A203,'Active Clients'!$C$5:$C$504,$B203,'Active Clients'!$T$5:$T$504,"Active"),"")</f>
        <v/>
      </c>
      <c r="I203" s="44" t="str">
        <f aca="false">IF(AND($A203&lt;&gt;"",$B203&lt;&gt;""),SUMIFS('Active Clients'!$R$5:$R$504,'Active Clients'!$B$5:$B$504,$A203,'Active Clients'!$C$5:$C$504,$B203),"")</f>
        <v/>
      </c>
      <c r="J203" s="43" t="str">
        <f aca="true">IF(AND($A203&lt;&gt;"",$B203&lt;&gt;""),COUNTIFS('Activity Log'!$E$5:$E$3004,$A203,'Activity Log'!$F$5:$F$3004,$B203,'Activity Log'!$A$5:$A$3004,"&gt;="&amp;(TODAY()-29),'Activity Log'!$A$5:$A$3004,"&lt;="&amp;TODAY()),"")</f>
        <v/>
      </c>
    </row>
    <row r="204" customFormat="false" ht="15" hidden="false" customHeight="false" outlineLevel="0" collapsed="false">
      <c r="A204" s="42"/>
      <c r="B204" s="42"/>
      <c r="C204" s="43" t="str">
        <f aca="false">IF(AND($A204&lt;&gt;"",$B204&lt;&gt;""),COUNTIFS('Leads Pipeline'!$D$5:$D$1004,$A204,'Leads Pipeline'!$E$5:$E$1004,$B204,'Leads Pipeline'!$F$5:$F$1004,"&lt;&gt;"),"")</f>
        <v/>
      </c>
      <c r="D204" s="43" t="str">
        <f aca="false">IF(AND($A204&lt;&gt;"",$B204&lt;&gt;""),COUNTIFS('Leads Pipeline'!$D$5:$D$1004,$A204,'Leads Pipeline'!$E$5:$E$1004,$B204,'Leads Pipeline'!$F$5:$F$1004,"&lt;&gt;",'Leads Pipeline'!$O$5:$O$1004,"&lt;&gt;Won",'Leads Pipeline'!$O$5:$O$1004,"&lt;&gt;Lost"),"")</f>
        <v/>
      </c>
      <c r="E204" s="43" t="str">
        <f aca="false">IF(AND($A204&lt;&gt;"",$B204&lt;&gt;""),COUNTIFS('Leads Pipeline'!$D$5:$D$1004,$A204,'Leads Pipeline'!$E$5:$E$1004,$B204,'Leads Pipeline'!$P$5:$P$1004,"Hot",'Leads Pipeline'!$O$5:$O$1004,"&lt;&gt;Won",'Leads Pipeline'!$O$5:$O$1004,"&lt;&gt;Lost"),"")</f>
        <v/>
      </c>
      <c r="F204" s="43" t="str">
        <f aca="false">IF(AND($A204&lt;&gt;"",$B204&lt;&gt;""),COUNTIFS('Leads Pipeline'!$D$5:$D$1004,$A204,'Leads Pipeline'!$E$5:$E$1004,$B204,'Leads Pipeline'!$O$5:$O$1004,"Won"),"")</f>
        <v/>
      </c>
      <c r="G204" s="44" t="str">
        <f aca="false">IF(AND($A204&lt;&gt;"",$B204&lt;&gt;""),SUMIFS('Leads Pipeline'!$U$5:$U$1004,'Leads Pipeline'!$D$5:$D$1004,$A204,'Leads Pipeline'!$E$5:$E$1004,$B204,'Leads Pipeline'!$O$5:$O$1004,"&lt;&gt;Won",'Leads Pipeline'!$O$5:$O$1004,"&lt;&gt;Lost"),"")</f>
        <v/>
      </c>
      <c r="H204" s="43" t="str">
        <f aca="false">IF(AND($A204&lt;&gt;"",$B204&lt;&gt;""),COUNTIFS('Active Clients'!$B$5:$B$504,$A204,'Active Clients'!$C$5:$C$504,$B204,'Active Clients'!$T$5:$T$504,"Active"),"")</f>
        <v/>
      </c>
      <c r="I204" s="44" t="str">
        <f aca="false">IF(AND($A204&lt;&gt;"",$B204&lt;&gt;""),SUMIFS('Active Clients'!$R$5:$R$504,'Active Clients'!$B$5:$B$504,$A204,'Active Clients'!$C$5:$C$504,$B204),"")</f>
        <v/>
      </c>
      <c r="J204" s="43" t="str">
        <f aca="true">IF(AND($A204&lt;&gt;"",$B204&lt;&gt;""),COUNTIFS('Activity Log'!$E$5:$E$3004,$A204,'Activity Log'!$F$5:$F$3004,$B204,'Activity Log'!$A$5:$A$3004,"&gt;="&amp;(TODAY()-29),'Activity Log'!$A$5:$A$3004,"&lt;="&amp;TODAY()),"")</f>
        <v/>
      </c>
    </row>
    <row r="205" customFormat="false" ht="15" hidden="false" customHeight="false" outlineLevel="0" collapsed="false">
      <c r="A205" s="42"/>
      <c r="B205" s="42"/>
      <c r="C205" s="43" t="str">
        <f aca="false">IF(AND($A205&lt;&gt;"",$B205&lt;&gt;""),COUNTIFS('Leads Pipeline'!$D$5:$D$1004,$A205,'Leads Pipeline'!$E$5:$E$1004,$B205,'Leads Pipeline'!$F$5:$F$1004,"&lt;&gt;"),"")</f>
        <v/>
      </c>
      <c r="D205" s="43" t="str">
        <f aca="false">IF(AND($A205&lt;&gt;"",$B205&lt;&gt;""),COUNTIFS('Leads Pipeline'!$D$5:$D$1004,$A205,'Leads Pipeline'!$E$5:$E$1004,$B205,'Leads Pipeline'!$F$5:$F$1004,"&lt;&gt;",'Leads Pipeline'!$O$5:$O$1004,"&lt;&gt;Won",'Leads Pipeline'!$O$5:$O$1004,"&lt;&gt;Lost"),"")</f>
        <v/>
      </c>
      <c r="E205" s="43" t="str">
        <f aca="false">IF(AND($A205&lt;&gt;"",$B205&lt;&gt;""),COUNTIFS('Leads Pipeline'!$D$5:$D$1004,$A205,'Leads Pipeline'!$E$5:$E$1004,$B205,'Leads Pipeline'!$P$5:$P$1004,"Hot",'Leads Pipeline'!$O$5:$O$1004,"&lt;&gt;Won",'Leads Pipeline'!$O$5:$O$1004,"&lt;&gt;Lost"),"")</f>
        <v/>
      </c>
      <c r="F205" s="43" t="str">
        <f aca="false">IF(AND($A205&lt;&gt;"",$B205&lt;&gt;""),COUNTIFS('Leads Pipeline'!$D$5:$D$1004,$A205,'Leads Pipeline'!$E$5:$E$1004,$B205,'Leads Pipeline'!$O$5:$O$1004,"Won"),"")</f>
        <v/>
      </c>
      <c r="G205" s="44" t="str">
        <f aca="false">IF(AND($A205&lt;&gt;"",$B205&lt;&gt;""),SUMIFS('Leads Pipeline'!$U$5:$U$1004,'Leads Pipeline'!$D$5:$D$1004,$A205,'Leads Pipeline'!$E$5:$E$1004,$B205,'Leads Pipeline'!$O$5:$O$1004,"&lt;&gt;Won",'Leads Pipeline'!$O$5:$O$1004,"&lt;&gt;Lost"),"")</f>
        <v/>
      </c>
      <c r="H205" s="43" t="str">
        <f aca="false">IF(AND($A205&lt;&gt;"",$B205&lt;&gt;""),COUNTIFS('Active Clients'!$B$5:$B$504,$A205,'Active Clients'!$C$5:$C$504,$B205,'Active Clients'!$T$5:$T$504,"Active"),"")</f>
        <v/>
      </c>
      <c r="I205" s="44" t="str">
        <f aca="false">IF(AND($A205&lt;&gt;"",$B205&lt;&gt;""),SUMIFS('Active Clients'!$R$5:$R$504,'Active Clients'!$B$5:$B$504,$A205,'Active Clients'!$C$5:$C$504,$B205),"")</f>
        <v/>
      </c>
      <c r="J205" s="43" t="str">
        <f aca="true">IF(AND($A205&lt;&gt;"",$B205&lt;&gt;""),COUNTIFS('Activity Log'!$E$5:$E$3004,$A205,'Activity Log'!$F$5:$F$3004,$B205,'Activity Log'!$A$5:$A$3004,"&gt;="&amp;(TODAY()-29),'Activity Log'!$A$5:$A$3004,"&lt;="&amp;TODAY()),"")</f>
        <v/>
      </c>
    </row>
    <row r="206" customFormat="false" ht="15" hidden="false" customHeight="false" outlineLevel="0" collapsed="false">
      <c r="A206" s="42"/>
      <c r="B206" s="42"/>
      <c r="C206" s="43" t="str">
        <f aca="false">IF(AND($A206&lt;&gt;"",$B206&lt;&gt;""),COUNTIFS('Leads Pipeline'!$D$5:$D$1004,$A206,'Leads Pipeline'!$E$5:$E$1004,$B206,'Leads Pipeline'!$F$5:$F$1004,"&lt;&gt;"),"")</f>
        <v/>
      </c>
      <c r="D206" s="43" t="str">
        <f aca="false">IF(AND($A206&lt;&gt;"",$B206&lt;&gt;""),COUNTIFS('Leads Pipeline'!$D$5:$D$1004,$A206,'Leads Pipeline'!$E$5:$E$1004,$B206,'Leads Pipeline'!$F$5:$F$1004,"&lt;&gt;",'Leads Pipeline'!$O$5:$O$1004,"&lt;&gt;Won",'Leads Pipeline'!$O$5:$O$1004,"&lt;&gt;Lost"),"")</f>
        <v/>
      </c>
      <c r="E206" s="43" t="str">
        <f aca="false">IF(AND($A206&lt;&gt;"",$B206&lt;&gt;""),COUNTIFS('Leads Pipeline'!$D$5:$D$1004,$A206,'Leads Pipeline'!$E$5:$E$1004,$B206,'Leads Pipeline'!$P$5:$P$1004,"Hot",'Leads Pipeline'!$O$5:$O$1004,"&lt;&gt;Won",'Leads Pipeline'!$O$5:$O$1004,"&lt;&gt;Lost"),"")</f>
        <v/>
      </c>
      <c r="F206" s="43" t="str">
        <f aca="false">IF(AND($A206&lt;&gt;"",$B206&lt;&gt;""),COUNTIFS('Leads Pipeline'!$D$5:$D$1004,$A206,'Leads Pipeline'!$E$5:$E$1004,$B206,'Leads Pipeline'!$O$5:$O$1004,"Won"),"")</f>
        <v/>
      </c>
      <c r="G206" s="44" t="str">
        <f aca="false">IF(AND($A206&lt;&gt;"",$B206&lt;&gt;""),SUMIFS('Leads Pipeline'!$U$5:$U$1004,'Leads Pipeline'!$D$5:$D$1004,$A206,'Leads Pipeline'!$E$5:$E$1004,$B206,'Leads Pipeline'!$O$5:$O$1004,"&lt;&gt;Won",'Leads Pipeline'!$O$5:$O$1004,"&lt;&gt;Lost"),"")</f>
        <v/>
      </c>
      <c r="H206" s="43" t="str">
        <f aca="false">IF(AND($A206&lt;&gt;"",$B206&lt;&gt;""),COUNTIFS('Active Clients'!$B$5:$B$504,$A206,'Active Clients'!$C$5:$C$504,$B206,'Active Clients'!$T$5:$T$504,"Active"),"")</f>
        <v/>
      </c>
      <c r="I206" s="44" t="str">
        <f aca="false">IF(AND($A206&lt;&gt;"",$B206&lt;&gt;""),SUMIFS('Active Clients'!$R$5:$R$504,'Active Clients'!$B$5:$B$504,$A206,'Active Clients'!$C$5:$C$504,$B206),"")</f>
        <v/>
      </c>
      <c r="J206" s="43" t="str">
        <f aca="true">IF(AND($A206&lt;&gt;"",$B206&lt;&gt;""),COUNTIFS('Activity Log'!$E$5:$E$3004,$A206,'Activity Log'!$F$5:$F$3004,$B206,'Activity Log'!$A$5:$A$3004,"&gt;="&amp;(TODAY()-29),'Activity Log'!$A$5:$A$3004,"&lt;="&amp;TODAY()),"")</f>
        <v/>
      </c>
    </row>
    <row r="207" customFormat="false" ht="15" hidden="false" customHeight="false" outlineLevel="0" collapsed="false">
      <c r="A207" s="42"/>
      <c r="B207" s="42"/>
      <c r="C207" s="43" t="str">
        <f aca="false">IF(AND($A207&lt;&gt;"",$B207&lt;&gt;""),COUNTIFS('Leads Pipeline'!$D$5:$D$1004,$A207,'Leads Pipeline'!$E$5:$E$1004,$B207,'Leads Pipeline'!$F$5:$F$1004,"&lt;&gt;"),"")</f>
        <v/>
      </c>
      <c r="D207" s="43" t="str">
        <f aca="false">IF(AND($A207&lt;&gt;"",$B207&lt;&gt;""),COUNTIFS('Leads Pipeline'!$D$5:$D$1004,$A207,'Leads Pipeline'!$E$5:$E$1004,$B207,'Leads Pipeline'!$F$5:$F$1004,"&lt;&gt;",'Leads Pipeline'!$O$5:$O$1004,"&lt;&gt;Won",'Leads Pipeline'!$O$5:$O$1004,"&lt;&gt;Lost"),"")</f>
        <v/>
      </c>
      <c r="E207" s="43" t="str">
        <f aca="false">IF(AND($A207&lt;&gt;"",$B207&lt;&gt;""),COUNTIFS('Leads Pipeline'!$D$5:$D$1004,$A207,'Leads Pipeline'!$E$5:$E$1004,$B207,'Leads Pipeline'!$P$5:$P$1004,"Hot",'Leads Pipeline'!$O$5:$O$1004,"&lt;&gt;Won",'Leads Pipeline'!$O$5:$O$1004,"&lt;&gt;Lost"),"")</f>
        <v/>
      </c>
      <c r="F207" s="43" t="str">
        <f aca="false">IF(AND($A207&lt;&gt;"",$B207&lt;&gt;""),COUNTIFS('Leads Pipeline'!$D$5:$D$1004,$A207,'Leads Pipeline'!$E$5:$E$1004,$B207,'Leads Pipeline'!$O$5:$O$1004,"Won"),"")</f>
        <v/>
      </c>
      <c r="G207" s="44" t="str">
        <f aca="false">IF(AND($A207&lt;&gt;"",$B207&lt;&gt;""),SUMIFS('Leads Pipeline'!$U$5:$U$1004,'Leads Pipeline'!$D$5:$D$1004,$A207,'Leads Pipeline'!$E$5:$E$1004,$B207,'Leads Pipeline'!$O$5:$O$1004,"&lt;&gt;Won",'Leads Pipeline'!$O$5:$O$1004,"&lt;&gt;Lost"),"")</f>
        <v/>
      </c>
      <c r="H207" s="43" t="str">
        <f aca="false">IF(AND($A207&lt;&gt;"",$B207&lt;&gt;""),COUNTIFS('Active Clients'!$B$5:$B$504,$A207,'Active Clients'!$C$5:$C$504,$B207,'Active Clients'!$T$5:$T$504,"Active"),"")</f>
        <v/>
      </c>
      <c r="I207" s="44" t="str">
        <f aca="false">IF(AND($A207&lt;&gt;"",$B207&lt;&gt;""),SUMIFS('Active Clients'!$R$5:$R$504,'Active Clients'!$B$5:$B$504,$A207,'Active Clients'!$C$5:$C$504,$B207),"")</f>
        <v/>
      </c>
      <c r="J207" s="43" t="str">
        <f aca="true">IF(AND($A207&lt;&gt;"",$B207&lt;&gt;""),COUNTIFS('Activity Log'!$E$5:$E$3004,$A207,'Activity Log'!$F$5:$F$3004,$B207,'Activity Log'!$A$5:$A$3004,"&gt;="&amp;(TODAY()-29),'Activity Log'!$A$5:$A$3004,"&lt;="&amp;TODAY()),"")</f>
        <v/>
      </c>
    </row>
    <row r="208" customFormat="false" ht="15" hidden="false" customHeight="false" outlineLevel="0" collapsed="false">
      <c r="A208" s="42"/>
      <c r="B208" s="42"/>
      <c r="C208" s="43" t="str">
        <f aca="false">IF(AND($A208&lt;&gt;"",$B208&lt;&gt;""),COUNTIFS('Leads Pipeline'!$D$5:$D$1004,$A208,'Leads Pipeline'!$E$5:$E$1004,$B208,'Leads Pipeline'!$F$5:$F$1004,"&lt;&gt;"),"")</f>
        <v/>
      </c>
      <c r="D208" s="43" t="str">
        <f aca="false">IF(AND($A208&lt;&gt;"",$B208&lt;&gt;""),COUNTIFS('Leads Pipeline'!$D$5:$D$1004,$A208,'Leads Pipeline'!$E$5:$E$1004,$B208,'Leads Pipeline'!$F$5:$F$1004,"&lt;&gt;",'Leads Pipeline'!$O$5:$O$1004,"&lt;&gt;Won",'Leads Pipeline'!$O$5:$O$1004,"&lt;&gt;Lost"),"")</f>
        <v/>
      </c>
      <c r="E208" s="43" t="str">
        <f aca="false">IF(AND($A208&lt;&gt;"",$B208&lt;&gt;""),COUNTIFS('Leads Pipeline'!$D$5:$D$1004,$A208,'Leads Pipeline'!$E$5:$E$1004,$B208,'Leads Pipeline'!$P$5:$P$1004,"Hot",'Leads Pipeline'!$O$5:$O$1004,"&lt;&gt;Won",'Leads Pipeline'!$O$5:$O$1004,"&lt;&gt;Lost"),"")</f>
        <v/>
      </c>
      <c r="F208" s="43" t="str">
        <f aca="false">IF(AND($A208&lt;&gt;"",$B208&lt;&gt;""),COUNTIFS('Leads Pipeline'!$D$5:$D$1004,$A208,'Leads Pipeline'!$E$5:$E$1004,$B208,'Leads Pipeline'!$O$5:$O$1004,"Won"),"")</f>
        <v/>
      </c>
      <c r="G208" s="44" t="str">
        <f aca="false">IF(AND($A208&lt;&gt;"",$B208&lt;&gt;""),SUMIFS('Leads Pipeline'!$U$5:$U$1004,'Leads Pipeline'!$D$5:$D$1004,$A208,'Leads Pipeline'!$E$5:$E$1004,$B208,'Leads Pipeline'!$O$5:$O$1004,"&lt;&gt;Won",'Leads Pipeline'!$O$5:$O$1004,"&lt;&gt;Lost"),"")</f>
        <v/>
      </c>
      <c r="H208" s="43" t="str">
        <f aca="false">IF(AND($A208&lt;&gt;"",$B208&lt;&gt;""),COUNTIFS('Active Clients'!$B$5:$B$504,$A208,'Active Clients'!$C$5:$C$504,$B208,'Active Clients'!$T$5:$T$504,"Active"),"")</f>
        <v/>
      </c>
      <c r="I208" s="44" t="str">
        <f aca="false">IF(AND($A208&lt;&gt;"",$B208&lt;&gt;""),SUMIFS('Active Clients'!$R$5:$R$504,'Active Clients'!$B$5:$B$504,$A208,'Active Clients'!$C$5:$C$504,$B208),"")</f>
        <v/>
      </c>
      <c r="J208" s="43" t="str">
        <f aca="true">IF(AND($A208&lt;&gt;"",$B208&lt;&gt;""),COUNTIFS('Activity Log'!$E$5:$E$3004,$A208,'Activity Log'!$F$5:$F$3004,$B208,'Activity Log'!$A$5:$A$3004,"&gt;="&amp;(TODAY()-29),'Activity Log'!$A$5:$A$3004,"&lt;="&amp;TODAY()),"")</f>
        <v/>
      </c>
    </row>
    <row r="209" customFormat="false" ht="15" hidden="false" customHeight="false" outlineLevel="0" collapsed="false">
      <c r="A209" s="42"/>
      <c r="B209" s="42"/>
      <c r="C209" s="43" t="str">
        <f aca="false">IF(AND($A209&lt;&gt;"",$B209&lt;&gt;""),COUNTIFS('Leads Pipeline'!$D$5:$D$1004,$A209,'Leads Pipeline'!$E$5:$E$1004,$B209,'Leads Pipeline'!$F$5:$F$1004,"&lt;&gt;"),"")</f>
        <v/>
      </c>
      <c r="D209" s="43" t="str">
        <f aca="false">IF(AND($A209&lt;&gt;"",$B209&lt;&gt;""),COUNTIFS('Leads Pipeline'!$D$5:$D$1004,$A209,'Leads Pipeline'!$E$5:$E$1004,$B209,'Leads Pipeline'!$F$5:$F$1004,"&lt;&gt;",'Leads Pipeline'!$O$5:$O$1004,"&lt;&gt;Won",'Leads Pipeline'!$O$5:$O$1004,"&lt;&gt;Lost"),"")</f>
        <v/>
      </c>
      <c r="E209" s="43" t="str">
        <f aca="false">IF(AND($A209&lt;&gt;"",$B209&lt;&gt;""),COUNTIFS('Leads Pipeline'!$D$5:$D$1004,$A209,'Leads Pipeline'!$E$5:$E$1004,$B209,'Leads Pipeline'!$P$5:$P$1004,"Hot",'Leads Pipeline'!$O$5:$O$1004,"&lt;&gt;Won",'Leads Pipeline'!$O$5:$O$1004,"&lt;&gt;Lost"),"")</f>
        <v/>
      </c>
      <c r="F209" s="43" t="str">
        <f aca="false">IF(AND($A209&lt;&gt;"",$B209&lt;&gt;""),COUNTIFS('Leads Pipeline'!$D$5:$D$1004,$A209,'Leads Pipeline'!$E$5:$E$1004,$B209,'Leads Pipeline'!$O$5:$O$1004,"Won"),"")</f>
        <v/>
      </c>
      <c r="G209" s="44" t="str">
        <f aca="false">IF(AND($A209&lt;&gt;"",$B209&lt;&gt;""),SUMIFS('Leads Pipeline'!$U$5:$U$1004,'Leads Pipeline'!$D$5:$D$1004,$A209,'Leads Pipeline'!$E$5:$E$1004,$B209,'Leads Pipeline'!$O$5:$O$1004,"&lt;&gt;Won",'Leads Pipeline'!$O$5:$O$1004,"&lt;&gt;Lost"),"")</f>
        <v/>
      </c>
      <c r="H209" s="43" t="str">
        <f aca="false">IF(AND($A209&lt;&gt;"",$B209&lt;&gt;""),COUNTIFS('Active Clients'!$B$5:$B$504,$A209,'Active Clients'!$C$5:$C$504,$B209,'Active Clients'!$T$5:$T$504,"Active"),"")</f>
        <v/>
      </c>
      <c r="I209" s="44" t="str">
        <f aca="false">IF(AND($A209&lt;&gt;"",$B209&lt;&gt;""),SUMIFS('Active Clients'!$R$5:$R$504,'Active Clients'!$B$5:$B$504,$A209,'Active Clients'!$C$5:$C$504,$B209),"")</f>
        <v/>
      </c>
      <c r="J209" s="43" t="str">
        <f aca="true">IF(AND($A209&lt;&gt;"",$B209&lt;&gt;""),COUNTIFS('Activity Log'!$E$5:$E$3004,$A209,'Activity Log'!$F$5:$F$3004,$B209,'Activity Log'!$A$5:$A$3004,"&gt;="&amp;(TODAY()-29),'Activity Log'!$A$5:$A$3004,"&lt;="&amp;TODAY()),"")</f>
        <v/>
      </c>
    </row>
    <row r="210" customFormat="false" ht="15" hidden="false" customHeight="false" outlineLevel="0" collapsed="false">
      <c r="A210" s="42"/>
      <c r="B210" s="42"/>
      <c r="C210" s="43" t="str">
        <f aca="false">IF(AND($A210&lt;&gt;"",$B210&lt;&gt;""),COUNTIFS('Leads Pipeline'!$D$5:$D$1004,$A210,'Leads Pipeline'!$E$5:$E$1004,$B210,'Leads Pipeline'!$F$5:$F$1004,"&lt;&gt;"),"")</f>
        <v/>
      </c>
      <c r="D210" s="43" t="str">
        <f aca="false">IF(AND($A210&lt;&gt;"",$B210&lt;&gt;""),COUNTIFS('Leads Pipeline'!$D$5:$D$1004,$A210,'Leads Pipeline'!$E$5:$E$1004,$B210,'Leads Pipeline'!$F$5:$F$1004,"&lt;&gt;",'Leads Pipeline'!$O$5:$O$1004,"&lt;&gt;Won",'Leads Pipeline'!$O$5:$O$1004,"&lt;&gt;Lost"),"")</f>
        <v/>
      </c>
      <c r="E210" s="43" t="str">
        <f aca="false">IF(AND($A210&lt;&gt;"",$B210&lt;&gt;""),COUNTIFS('Leads Pipeline'!$D$5:$D$1004,$A210,'Leads Pipeline'!$E$5:$E$1004,$B210,'Leads Pipeline'!$P$5:$P$1004,"Hot",'Leads Pipeline'!$O$5:$O$1004,"&lt;&gt;Won",'Leads Pipeline'!$O$5:$O$1004,"&lt;&gt;Lost"),"")</f>
        <v/>
      </c>
      <c r="F210" s="43" t="str">
        <f aca="false">IF(AND($A210&lt;&gt;"",$B210&lt;&gt;""),COUNTIFS('Leads Pipeline'!$D$5:$D$1004,$A210,'Leads Pipeline'!$E$5:$E$1004,$B210,'Leads Pipeline'!$O$5:$O$1004,"Won"),"")</f>
        <v/>
      </c>
      <c r="G210" s="44" t="str">
        <f aca="false">IF(AND($A210&lt;&gt;"",$B210&lt;&gt;""),SUMIFS('Leads Pipeline'!$U$5:$U$1004,'Leads Pipeline'!$D$5:$D$1004,$A210,'Leads Pipeline'!$E$5:$E$1004,$B210,'Leads Pipeline'!$O$5:$O$1004,"&lt;&gt;Won",'Leads Pipeline'!$O$5:$O$1004,"&lt;&gt;Lost"),"")</f>
        <v/>
      </c>
      <c r="H210" s="43" t="str">
        <f aca="false">IF(AND($A210&lt;&gt;"",$B210&lt;&gt;""),COUNTIFS('Active Clients'!$B$5:$B$504,$A210,'Active Clients'!$C$5:$C$504,$B210,'Active Clients'!$T$5:$T$504,"Active"),"")</f>
        <v/>
      </c>
      <c r="I210" s="44" t="str">
        <f aca="false">IF(AND($A210&lt;&gt;"",$B210&lt;&gt;""),SUMIFS('Active Clients'!$R$5:$R$504,'Active Clients'!$B$5:$B$504,$A210,'Active Clients'!$C$5:$C$504,$B210),"")</f>
        <v/>
      </c>
      <c r="J210" s="43" t="str">
        <f aca="true">IF(AND($A210&lt;&gt;"",$B210&lt;&gt;""),COUNTIFS('Activity Log'!$E$5:$E$3004,$A210,'Activity Log'!$F$5:$F$3004,$B210,'Activity Log'!$A$5:$A$3004,"&gt;="&amp;(TODAY()-29),'Activity Log'!$A$5:$A$3004,"&lt;="&amp;TODAY()),"")</f>
        <v/>
      </c>
    </row>
    <row r="211" customFormat="false" ht="15" hidden="false" customHeight="false" outlineLevel="0" collapsed="false">
      <c r="A211" s="42"/>
      <c r="B211" s="42"/>
      <c r="C211" s="43" t="str">
        <f aca="false">IF(AND($A211&lt;&gt;"",$B211&lt;&gt;""),COUNTIFS('Leads Pipeline'!$D$5:$D$1004,$A211,'Leads Pipeline'!$E$5:$E$1004,$B211,'Leads Pipeline'!$F$5:$F$1004,"&lt;&gt;"),"")</f>
        <v/>
      </c>
      <c r="D211" s="43" t="str">
        <f aca="false">IF(AND($A211&lt;&gt;"",$B211&lt;&gt;""),COUNTIFS('Leads Pipeline'!$D$5:$D$1004,$A211,'Leads Pipeline'!$E$5:$E$1004,$B211,'Leads Pipeline'!$F$5:$F$1004,"&lt;&gt;",'Leads Pipeline'!$O$5:$O$1004,"&lt;&gt;Won",'Leads Pipeline'!$O$5:$O$1004,"&lt;&gt;Lost"),"")</f>
        <v/>
      </c>
      <c r="E211" s="43" t="str">
        <f aca="false">IF(AND($A211&lt;&gt;"",$B211&lt;&gt;""),COUNTIFS('Leads Pipeline'!$D$5:$D$1004,$A211,'Leads Pipeline'!$E$5:$E$1004,$B211,'Leads Pipeline'!$P$5:$P$1004,"Hot",'Leads Pipeline'!$O$5:$O$1004,"&lt;&gt;Won",'Leads Pipeline'!$O$5:$O$1004,"&lt;&gt;Lost"),"")</f>
        <v/>
      </c>
      <c r="F211" s="43" t="str">
        <f aca="false">IF(AND($A211&lt;&gt;"",$B211&lt;&gt;""),COUNTIFS('Leads Pipeline'!$D$5:$D$1004,$A211,'Leads Pipeline'!$E$5:$E$1004,$B211,'Leads Pipeline'!$O$5:$O$1004,"Won"),"")</f>
        <v/>
      </c>
      <c r="G211" s="44" t="str">
        <f aca="false">IF(AND($A211&lt;&gt;"",$B211&lt;&gt;""),SUMIFS('Leads Pipeline'!$U$5:$U$1004,'Leads Pipeline'!$D$5:$D$1004,$A211,'Leads Pipeline'!$E$5:$E$1004,$B211,'Leads Pipeline'!$O$5:$O$1004,"&lt;&gt;Won",'Leads Pipeline'!$O$5:$O$1004,"&lt;&gt;Lost"),"")</f>
        <v/>
      </c>
      <c r="H211" s="43" t="str">
        <f aca="false">IF(AND($A211&lt;&gt;"",$B211&lt;&gt;""),COUNTIFS('Active Clients'!$B$5:$B$504,$A211,'Active Clients'!$C$5:$C$504,$B211,'Active Clients'!$T$5:$T$504,"Active"),"")</f>
        <v/>
      </c>
      <c r="I211" s="44" t="str">
        <f aca="false">IF(AND($A211&lt;&gt;"",$B211&lt;&gt;""),SUMIFS('Active Clients'!$R$5:$R$504,'Active Clients'!$B$5:$B$504,$A211,'Active Clients'!$C$5:$C$504,$B211),"")</f>
        <v/>
      </c>
      <c r="J211" s="43" t="str">
        <f aca="true">IF(AND($A211&lt;&gt;"",$B211&lt;&gt;""),COUNTIFS('Activity Log'!$E$5:$E$3004,$A211,'Activity Log'!$F$5:$F$3004,$B211,'Activity Log'!$A$5:$A$3004,"&gt;="&amp;(TODAY()-29),'Activity Log'!$A$5:$A$3004,"&lt;="&amp;TODAY()),"")</f>
        <v/>
      </c>
    </row>
    <row r="212" customFormat="false" ht="15" hidden="false" customHeight="false" outlineLevel="0" collapsed="false">
      <c r="A212" s="42"/>
      <c r="B212" s="42"/>
      <c r="C212" s="43" t="str">
        <f aca="false">IF(AND($A212&lt;&gt;"",$B212&lt;&gt;""),COUNTIFS('Leads Pipeline'!$D$5:$D$1004,$A212,'Leads Pipeline'!$E$5:$E$1004,$B212,'Leads Pipeline'!$F$5:$F$1004,"&lt;&gt;"),"")</f>
        <v/>
      </c>
      <c r="D212" s="43" t="str">
        <f aca="false">IF(AND($A212&lt;&gt;"",$B212&lt;&gt;""),COUNTIFS('Leads Pipeline'!$D$5:$D$1004,$A212,'Leads Pipeline'!$E$5:$E$1004,$B212,'Leads Pipeline'!$F$5:$F$1004,"&lt;&gt;",'Leads Pipeline'!$O$5:$O$1004,"&lt;&gt;Won",'Leads Pipeline'!$O$5:$O$1004,"&lt;&gt;Lost"),"")</f>
        <v/>
      </c>
      <c r="E212" s="43" t="str">
        <f aca="false">IF(AND($A212&lt;&gt;"",$B212&lt;&gt;""),COUNTIFS('Leads Pipeline'!$D$5:$D$1004,$A212,'Leads Pipeline'!$E$5:$E$1004,$B212,'Leads Pipeline'!$P$5:$P$1004,"Hot",'Leads Pipeline'!$O$5:$O$1004,"&lt;&gt;Won",'Leads Pipeline'!$O$5:$O$1004,"&lt;&gt;Lost"),"")</f>
        <v/>
      </c>
      <c r="F212" s="43" t="str">
        <f aca="false">IF(AND($A212&lt;&gt;"",$B212&lt;&gt;""),COUNTIFS('Leads Pipeline'!$D$5:$D$1004,$A212,'Leads Pipeline'!$E$5:$E$1004,$B212,'Leads Pipeline'!$O$5:$O$1004,"Won"),"")</f>
        <v/>
      </c>
      <c r="G212" s="44" t="str">
        <f aca="false">IF(AND($A212&lt;&gt;"",$B212&lt;&gt;""),SUMIFS('Leads Pipeline'!$U$5:$U$1004,'Leads Pipeline'!$D$5:$D$1004,$A212,'Leads Pipeline'!$E$5:$E$1004,$B212,'Leads Pipeline'!$O$5:$O$1004,"&lt;&gt;Won",'Leads Pipeline'!$O$5:$O$1004,"&lt;&gt;Lost"),"")</f>
        <v/>
      </c>
      <c r="H212" s="43" t="str">
        <f aca="false">IF(AND($A212&lt;&gt;"",$B212&lt;&gt;""),COUNTIFS('Active Clients'!$B$5:$B$504,$A212,'Active Clients'!$C$5:$C$504,$B212,'Active Clients'!$T$5:$T$504,"Active"),"")</f>
        <v/>
      </c>
      <c r="I212" s="44" t="str">
        <f aca="false">IF(AND($A212&lt;&gt;"",$B212&lt;&gt;""),SUMIFS('Active Clients'!$R$5:$R$504,'Active Clients'!$B$5:$B$504,$A212,'Active Clients'!$C$5:$C$504,$B212),"")</f>
        <v/>
      </c>
      <c r="J212" s="43" t="str">
        <f aca="true">IF(AND($A212&lt;&gt;"",$B212&lt;&gt;""),COUNTIFS('Activity Log'!$E$5:$E$3004,$A212,'Activity Log'!$F$5:$F$3004,$B212,'Activity Log'!$A$5:$A$3004,"&gt;="&amp;(TODAY()-29),'Activity Log'!$A$5:$A$3004,"&lt;="&amp;TODAY()),"")</f>
        <v/>
      </c>
    </row>
    <row r="213" customFormat="false" ht="15" hidden="false" customHeight="false" outlineLevel="0" collapsed="false">
      <c r="A213" s="42"/>
      <c r="B213" s="42"/>
      <c r="C213" s="43" t="str">
        <f aca="false">IF(AND($A213&lt;&gt;"",$B213&lt;&gt;""),COUNTIFS('Leads Pipeline'!$D$5:$D$1004,$A213,'Leads Pipeline'!$E$5:$E$1004,$B213,'Leads Pipeline'!$F$5:$F$1004,"&lt;&gt;"),"")</f>
        <v/>
      </c>
      <c r="D213" s="43" t="str">
        <f aca="false">IF(AND($A213&lt;&gt;"",$B213&lt;&gt;""),COUNTIFS('Leads Pipeline'!$D$5:$D$1004,$A213,'Leads Pipeline'!$E$5:$E$1004,$B213,'Leads Pipeline'!$F$5:$F$1004,"&lt;&gt;",'Leads Pipeline'!$O$5:$O$1004,"&lt;&gt;Won",'Leads Pipeline'!$O$5:$O$1004,"&lt;&gt;Lost"),"")</f>
        <v/>
      </c>
      <c r="E213" s="43" t="str">
        <f aca="false">IF(AND($A213&lt;&gt;"",$B213&lt;&gt;""),COUNTIFS('Leads Pipeline'!$D$5:$D$1004,$A213,'Leads Pipeline'!$E$5:$E$1004,$B213,'Leads Pipeline'!$P$5:$P$1004,"Hot",'Leads Pipeline'!$O$5:$O$1004,"&lt;&gt;Won",'Leads Pipeline'!$O$5:$O$1004,"&lt;&gt;Lost"),"")</f>
        <v/>
      </c>
      <c r="F213" s="43" t="str">
        <f aca="false">IF(AND($A213&lt;&gt;"",$B213&lt;&gt;""),COUNTIFS('Leads Pipeline'!$D$5:$D$1004,$A213,'Leads Pipeline'!$E$5:$E$1004,$B213,'Leads Pipeline'!$O$5:$O$1004,"Won"),"")</f>
        <v/>
      </c>
      <c r="G213" s="44" t="str">
        <f aca="false">IF(AND($A213&lt;&gt;"",$B213&lt;&gt;""),SUMIFS('Leads Pipeline'!$U$5:$U$1004,'Leads Pipeline'!$D$5:$D$1004,$A213,'Leads Pipeline'!$E$5:$E$1004,$B213,'Leads Pipeline'!$O$5:$O$1004,"&lt;&gt;Won",'Leads Pipeline'!$O$5:$O$1004,"&lt;&gt;Lost"),"")</f>
        <v/>
      </c>
      <c r="H213" s="43" t="str">
        <f aca="false">IF(AND($A213&lt;&gt;"",$B213&lt;&gt;""),COUNTIFS('Active Clients'!$B$5:$B$504,$A213,'Active Clients'!$C$5:$C$504,$B213,'Active Clients'!$T$5:$T$504,"Active"),"")</f>
        <v/>
      </c>
      <c r="I213" s="44" t="str">
        <f aca="false">IF(AND($A213&lt;&gt;"",$B213&lt;&gt;""),SUMIFS('Active Clients'!$R$5:$R$504,'Active Clients'!$B$5:$B$504,$A213,'Active Clients'!$C$5:$C$504,$B213),"")</f>
        <v/>
      </c>
      <c r="J213" s="43" t="str">
        <f aca="true">IF(AND($A213&lt;&gt;"",$B213&lt;&gt;""),COUNTIFS('Activity Log'!$E$5:$E$3004,$A213,'Activity Log'!$F$5:$F$3004,$B213,'Activity Log'!$A$5:$A$3004,"&gt;="&amp;(TODAY()-29),'Activity Log'!$A$5:$A$3004,"&lt;="&amp;TODAY()),"")</f>
        <v/>
      </c>
    </row>
    <row r="214" customFormat="false" ht="15" hidden="false" customHeight="false" outlineLevel="0" collapsed="false">
      <c r="A214" s="42"/>
      <c r="B214" s="42"/>
      <c r="C214" s="43" t="str">
        <f aca="false">IF(AND($A214&lt;&gt;"",$B214&lt;&gt;""),COUNTIFS('Leads Pipeline'!$D$5:$D$1004,$A214,'Leads Pipeline'!$E$5:$E$1004,$B214,'Leads Pipeline'!$F$5:$F$1004,"&lt;&gt;"),"")</f>
        <v/>
      </c>
      <c r="D214" s="43" t="str">
        <f aca="false">IF(AND($A214&lt;&gt;"",$B214&lt;&gt;""),COUNTIFS('Leads Pipeline'!$D$5:$D$1004,$A214,'Leads Pipeline'!$E$5:$E$1004,$B214,'Leads Pipeline'!$F$5:$F$1004,"&lt;&gt;",'Leads Pipeline'!$O$5:$O$1004,"&lt;&gt;Won",'Leads Pipeline'!$O$5:$O$1004,"&lt;&gt;Lost"),"")</f>
        <v/>
      </c>
      <c r="E214" s="43" t="str">
        <f aca="false">IF(AND($A214&lt;&gt;"",$B214&lt;&gt;""),COUNTIFS('Leads Pipeline'!$D$5:$D$1004,$A214,'Leads Pipeline'!$E$5:$E$1004,$B214,'Leads Pipeline'!$P$5:$P$1004,"Hot",'Leads Pipeline'!$O$5:$O$1004,"&lt;&gt;Won",'Leads Pipeline'!$O$5:$O$1004,"&lt;&gt;Lost"),"")</f>
        <v/>
      </c>
      <c r="F214" s="43" t="str">
        <f aca="false">IF(AND($A214&lt;&gt;"",$B214&lt;&gt;""),COUNTIFS('Leads Pipeline'!$D$5:$D$1004,$A214,'Leads Pipeline'!$E$5:$E$1004,$B214,'Leads Pipeline'!$O$5:$O$1004,"Won"),"")</f>
        <v/>
      </c>
      <c r="G214" s="44" t="str">
        <f aca="false">IF(AND($A214&lt;&gt;"",$B214&lt;&gt;""),SUMIFS('Leads Pipeline'!$U$5:$U$1004,'Leads Pipeline'!$D$5:$D$1004,$A214,'Leads Pipeline'!$E$5:$E$1004,$B214,'Leads Pipeline'!$O$5:$O$1004,"&lt;&gt;Won",'Leads Pipeline'!$O$5:$O$1004,"&lt;&gt;Lost"),"")</f>
        <v/>
      </c>
      <c r="H214" s="43" t="str">
        <f aca="false">IF(AND($A214&lt;&gt;"",$B214&lt;&gt;""),COUNTIFS('Active Clients'!$B$5:$B$504,$A214,'Active Clients'!$C$5:$C$504,$B214,'Active Clients'!$T$5:$T$504,"Active"),"")</f>
        <v/>
      </c>
      <c r="I214" s="44" t="str">
        <f aca="false">IF(AND($A214&lt;&gt;"",$B214&lt;&gt;""),SUMIFS('Active Clients'!$R$5:$R$504,'Active Clients'!$B$5:$B$504,$A214,'Active Clients'!$C$5:$C$504,$B214),"")</f>
        <v/>
      </c>
      <c r="J214" s="43" t="str">
        <f aca="true">IF(AND($A214&lt;&gt;"",$B214&lt;&gt;""),COUNTIFS('Activity Log'!$E$5:$E$3004,$A214,'Activity Log'!$F$5:$F$3004,$B214,'Activity Log'!$A$5:$A$3004,"&gt;="&amp;(TODAY()-29),'Activity Log'!$A$5:$A$3004,"&lt;="&amp;TODAY()),"")</f>
        <v/>
      </c>
    </row>
    <row r="215" customFormat="false" ht="15" hidden="false" customHeight="false" outlineLevel="0" collapsed="false">
      <c r="A215" s="42"/>
      <c r="B215" s="42"/>
      <c r="C215" s="43" t="str">
        <f aca="false">IF(AND($A215&lt;&gt;"",$B215&lt;&gt;""),COUNTIFS('Leads Pipeline'!$D$5:$D$1004,$A215,'Leads Pipeline'!$E$5:$E$1004,$B215,'Leads Pipeline'!$F$5:$F$1004,"&lt;&gt;"),"")</f>
        <v/>
      </c>
      <c r="D215" s="43" t="str">
        <f aca="false">IF(AND($A215&lt;&gt;"",$B215&lt;&gt;""),COUNTIFS('Leads Pipeline'!$D$5:$D$1004,$A215,'Leads Pipeline'!$E$5:$E$1004,$B215,'Leads Pipeline'!$F$5:$F$1004,"&lt;&gt;",'Leads Pipeline'!$O$5:$O$1004,"&lt;&gt;Won",'Leads Pipeline'!$O$5:$O$1004,"&lt;&gt;Lost"),"")</f>
        <v/>
      </c>
      <c r="E215" s="43" t="str">
        <f aca="false">IF(AND($A215&lt;&gt;"",$B215&lt;&gt;""),COUNTIFS('Leads Pipeline'!$D$5:$D$1004,$A215,'Leads Pipeline'!$E$5:$E$1004,$B215,'Leads Pipeline'!$P$5:$P$1004,"Hot",'Leads Pipeline'!$O$5:$O$1004,"&lt;&gt;Won",'Leads Pipeline'!$O$5:$O$1004,"&lt;&gt;Lost"),"")</f>
        <v/>
      </c>
      <c r="F215" s="43" t="str">
        <f aca="false">IF(AND($A215&lt;&gt;"",$B215&lt;&gt;""),COUNTIFS('Leads Pipeline'!$D$5:$D$1004,$A215,'Leads Pipeline'!$E$5:$E$1004,$B215,'Leads Pipeline'!$O$5:$O$1004,"Won"),"")</f>
        <v/>
      </c>
      <c r="G215" s="44" t="str">
        <f aca="false">IF(AND($A215&lt;&gt;"",$B215&lt;&gt;""),SUMIFS('Leads Pipeline'!$U$5:$U$1004,'Leads Pipeline'!$D$5:$D$1004,$A215,'Leads Pipeline'!$E$5:$E$1004,$B215,'Leads Pipeline'!$O$5:$O$1004,"&lt;&gt;Won",'Leads Pipeline'!$O$5:$O$1004,"&lt;&gt;Lost"),"")</f>
        <v/>
      </c>
      <c r="H215" s="43" t="str">
        <f aca="false">IF(AND($A215&lt;&gt;"",$B215&lt;&gt;""),COUNTIFS('Active Clients'!$B$5:$B$504,$A215,'Active Clients'!$C$5:$C$504,$B215,'Active Clients'!$T$5:$T$504,"Active"),"")</f>
        <v/>
      </c>
      <c r="I215" s="44" t="str">
        <f aca="false">IF(AND($A215&lt;&gt;"",$B215&lt;&gt;""),SUMIFS('Active Clients'!$R$5:$R$504,'Active Clients'!$B$5:$B$504,$A215,'Active Clients'!$C$5:$C$504,$B215),"")</f>
        <v/>
      </c>
      <c r="J215" s="43" t="str">
        <f aca="true">IF(AND($A215&lt;&gt;"",$B215&lt;&gt;""),COUNTIFS('Activity Log'!$E$5:$E$3004,$A215,'Activity Log'!$F$5:$F$3004,$B215,'Activity Log'!$A$5:$A$3004,"&gt;="&amp;(TODAY()-29),'Activity Log'!$A$5:$A$3004,"&lt;="&amp;TODAY()),"")</f>
        <v/>
      </c>
    </row>
    <row r="216" customFormat="false" ht="15" hidden="false" customHeight="false" outlineLevel="0" collapsed="false">
      <c r="A216" s="42"/>
      <c r="B216" s="42"/>
      <c r="C216" s="43" t="str">
        <f aca="false">IF(AND($A216&lt;&gt;"",$B216&lt;&gt;""),COUNTIFS('Leads Pipeline'!$D$5:$D$1004,$A216,'Leads Pipeline'!$E$5:$E$1004,$B216,'Leads Pipeline'!$F$5:$F$1004,"&lt;&gt;"),"")</f>
        <v/>
      </c>
      <c r="D216" s="43" t="str">
        <f aca="false">IF(AND($A216&lt;&gt;"",$B216&lt;&gt;""),COUNTIFS('Leads Pipeline'!$D$5:$D$1004,$A216,'Leads Pipeline'!$E$5:$E$1004,$B216,'Leads Pipeline'!$F$5:$F$1004,"&lt;&gt;",'Leads Pipeline'!$O$5:$O$1004,"&lt;&gt;Won",'Leads Pipeline'!$O$5:$O$1004,"&lt;&gt;Lost"),"")</f>
        <v/>
      </c>
      <c r="E216" s="43" t="str">
        <f aca="false">IF(AND($A216&lt;&gt;"",$B216&lt;&gt;""),COUNTIFS('Leads Pipeline'!$D$5:$D$1004,$A216,'Leads Pipeline'!$E$5:$E$1004,$B216,'Leads Pipeline'!$P$5:$P$1004,"Hot",'Leads Pipeline'!$O$5:$O$1004,"&lt;&gt;Won",'Leads Pipeline'!$O$5:$O$1004,"&lt;&gt;Lost"),"")</f>
        <v/>
      </c>
      <c r="F216" s="43" t="str">
        <f aca="false">IF(AND($A216&lt;&gt;"",$B216&lt;&gt;""),COUNTIFS('Leads Pipeline'!$D$5:$D$1004,$A216,'Leads Pipeline'!$E$5:$E$1004,$B216,'Leads Pipeline'!$O$5:$O$1004,"Won"),"")</f>
        <v/>
      </c>
      <c r="G216" s="44" t="str">
        <f aca="false">IF(AND($A216&lt;&gt;"",$B216&lt;&gt;""),SUMIFS('Leads Pipeline'!$U$5:$U$1004,'Leads Pipeline'!$D$5:$D$1004,$A216,'Leads Pipeline'!$E$5:$E$1004,$B216,'Leads Pipeline'!$O$5:$O$1004,"&lt;&gt;Won",'Leads Pipeline'!$O$5:$O$1004,"&lt;&gt;Lost"),"")</f>
        <v/>
      </c>
      <c r="H216" s="43" t="str">
        <f aca="false">IF(AND($A216&lt;&gt;"",$B216&lt;&gt;""),COUNTIFS('Active Clients'!$B$5:$B$504,$A216,'Active Clients'!$C$5:$C$504,$B216,'Active Clients'!$T$5:$T$504,"Active"),"")</f>
        <v/>
      </c>
      <c r="I216" s="44" t="str">
        <f aca="false">IF(AND($A216&lt;&gt;"",$B216&lt;&gt;""),SUMIFS('Active Clients'!$R$5:$R$504,'Active Clients'!$B$5:$B$504,$A216,'Active Clients'!$C$5:$C$504,$B216),"")</f>
        <v/>
      </c>
      <c r="J216" s="43" t="str">
        <f aca="true">IF(AND($A216&lt;&gt;"",$B216&lt;&gt;""),COUNTIFS('Activity Log'!$E$5:$E$3004,$A216,'Activity Log'!$F$5:$F$3004,$B216,'Activity Log'!$A$5:$A$3004,"&gt;="&amp;(TODAY()-29),'Activity Log'!$A$5:$A$3004,"&lt;="&amp;TODAY()),"")</f>
        <v/>
      </c>
    </row>
    <row r="217" customFormat="false" ht="15" hidden="false" customHeight="false" outlineLevel="0" collapsed="false">
      <c r="A217" s="42"/>
      <c r="B217" s="42"/>
      <c r="C217" s="43" t="str">
        <f aca="false">IF(AND($A217&lt;&gt;"",$B217&lt;&gt;""),COUNTIFS('Leads Pipeline'!$D$5:$D$1004,$A217,'Leads Pipeline'!$E$5:$E$1004,$B217,'Leads Pipeline'!$F$5:$F$1004,"&lt;&gt;"),"")</f>
        <v/>
      </c>
      <c r="D217" s="43" t="str">
        <f aca="false">IF(AND($A217&lt;&gt;"",$B217&lt;&gt;""),COUNTIFS('Leads Pipeline'!$D$5:$D$1004,$A217,'Leads Pipeline'!$E$5:$E$1004,$B217,'Leads Pipeline'!$F$5:$F$1004,"&lt;&gt;",'Leads Pipeline'!$O$5:$O$1004,"&lt;&gt;Won",'Leads Pipeline'!$O$5:$O$1004,"&lt;&gt;Lost"),"")</f>
        <v/>
      </c>
      <c r="E217" s="43" t="str">
        <f aca="false">IF(AND($A217&lt;&gt;"",$B217&lt;&gt;""),COUNTIFS('Leads Pipeline'!$D$5:$D$1004,$A217,'Leads Pipeline'!$E$5:$E$1004,$B217,'Leads Pipeline'!$P$5:$P$1004,"Hot",'Leads Pipeline'!$O$5:$O$1004,"&lt;&gt;Won",'Leads Pipeline'!$O$5:$O$1004,"&lt;&gt;Lost"),"")</f>
        <v/>
      </c>
      <c r="F217" s="43" t="str">
        <f aca="false">IF(AND($A217&lt;&gt;"",$B217&lt;&gt;""),COUNTIFS('Leads Pipeline'!$D$5:$D$1004,$A217,'Leads Pipeline'!$E$5:$E$1004,$B217,'Leads Pipeline'!$O$5:$O$1004,"Won"),"")</f>
        <v/>
      </c>
      <c r="G217" s="44" t="str">
        <f aca="false">IF(AND($A217&lt;&gt;"",$B217&lt;&gt;""),SUMIFS('Leads Pipeline'!$U$5:$U$1004,'Leads Pipeline'!$D$5:$D$1004,$A217,'Leads Pipeline'!$E$5:$E$1004,$B217,'Leads Pipeline'!$O$5:$O$1004,"&lt;&gt;Won",'Leads Pipeline'!$O$5:$O$1004,"&lt;&gt;Lost"),"")</f>
        <v/>
      </c>
      <c r="H217" s="43" t="str">
        <f aca="false">IF(AND($A217&lt;&gt;"",$B217&lt;&gt;""),COUNTIFS('Active Clients'!$B$5:$B$504,$A217,'Active Clients'!$C$5:$C$504,$B217,'Active Clients'!$T$5:$T$504,"Active"),"")</f>
        <v/>
      </c>
      <c r="I217" s="44" t="str">
        <f aca="false">IF(AND($A217&lt;&gt;"",$B217&lt;&gt;""),SUMIFS('Active Clients'!$R$5:$R$504,'Active Clients'!$B$5:$B$504,$A217,'Active Clients'!$C$5:$C$504,$B217),"")</f>
        <v/>
      </c>
      <c r="J217" s="43" t="str">
        <f aca="true">IF(AND($A217&lt;&gt;"",$B217&lt;&gt;""),COUNTIFS('Activity Log'!$E$5:$E$3004,$A217,'Activity Log'!$F$5:$F$3004,$B217,'Activity Log'!$A$5:$A$3004,"&gt;="&amp;(TODAY()-29),'Activity Log'!$A$5:$A$3004,"&lt;="&amp;TODAY()),"")</f>
        <v/>
      </c>
    </row>
    <row r="218" customFormat="false" ht="15" hidden="false" customHeight="false" outlineLevel="0" collapsed="false">
      <c r="A218" s="42"/>
      <c r="B218" s="42"/>
      <c r="C218" s="43" t="str">
        <f aca="false">IF(AND($A218&lt;&gt;"",$B218&lt;&gt;""),COUNTIFS('Leads Pipeline'!$D$5:$D$1004,$A218,'Leads Pipeline'!$E$5:$E$1004,$B218,'Leads Pipeline'!$F$5:$F$1004,"&lt;&gt;"),"")</f>
        <v/>
      </c>
      <c r="D218" s="43" t="str">
        <f aca="false">IF(AND($A218&lt;&gt;"",$B218&lt;&gt;""),COUNTIFS('Leads Pipeline'!$D$5:$D$1004,$A218,'Leads Pipeline'!$E$5:$E$1004,$B218,'Leads Pipeline'!$F$5:$F$1004,"&lt;&gt;",'Leads Pipeline'!$O$5:$O$1004,"&lt;&gt;Won",'Leads Pipeline'!$O$5:$O$1004,"&lt;&gt;Lost"),"")</f>
        <v/>
      </c>
      <c r="E218" s="43" t="str">
        <f aca="false">IF(AND($A218&lt;&gt;"",$B218&lt;&gt;""),COUNTIFS('Leads Pipeline'!$D$5:$D$1004,$A218,'Leads Pipeline'!$E$5:$E$1004,$B218,'Leads Pipeline'!$P$5:$P$1004,"Hot",'Leads Pipeline'!$O$5:$O$1004,"&lt;&gt;Won",'Leads Pipeline'!$O$5:$O$1004,"&lt;&gt;Lost"),"")</f>
        <v/>
      </c>
      <c r="F218" s="43" t="str">
        <f aca="false">IF(AND($A218&lt;&gt;"",$B218&lt;&gt;""),COUNTIFS('Leads Pipeline'!$D$5:$D$1004,$A218,'Leads Pipeline'!$E$5:$E$1004,$B218,'Leads Pipeline'!$O$5:$O$1004,"Won"),"")</f>
        <v/>
      </c>
      <c r="G218" s="44" t="str">
        <f aca="false">IF(AND($A218&lt;&gt;"",$B218&lt;&gt;""),SUMIFS('Leads Pipeline'!$U$5:$U$1004,'Leads Pipeline'!$D$5:$D$1004,$A218,'Leads Pipeline'!$E$5:$E$1004,$B218,'Leads Pipeline'!$O$5:$O$1004,"&lt;&gt;Won",'Leads Pipeline'!$O$5:$O$1004,"&lt;&gt;Lost"),"")</f>
        <v/>
      </c>
      <c r="H218" s="43" t="str">
        <f aca="false">IF(AND($A218&lt;&gt;"",$B218&lt;&gt;""),COUNTIFS('Active Clients'!$B$5:$B$504,$A218,'Active Clients'!$C$5:$C$504,$B218,'Active Clients'!$T$5:$T$504,"Active"),"")</f>
        <v/>
      </c>
      <c r="I218" s="44" t="str">
        <f aca="false">IF(AND($A218&lt;&gt;"",$B218&lt;&gt;""),SUMIFS('Active Clients'!$R$5:$R$504,'Active Clients'!$B$5:$B$504,$A218,'Active Clients'!$C$5:$C$504,$B218),"")</f>
        <v/>
      </c>
      <c r="J218" s="43" t="str">
        <f aca="true">IF(AND($A218&lt;&gt;"",$B218&lt;&gt;""),COUNTIFS('Activity Log'!$E$5:$E$3004,$A218,'Activity Log'!$F$5:$F$3004,$B218,'Activity Log'!$A$5:$A$3004,"&gt;="&amp;(TODAY()-29),'Activity Log'!$A$5:$A$3004,"&lt;="&amp;TODAY()),"")</f>
        <v/>
      </c>
    </row>
    <row r="219" customFormat="false" ht="15" hidden="false" customHeight="false" outlineLevel="0" collapsed="false">
      <c r="A219" s="42"/>
      <c r="B219" s="42"/>
      <c r="C219" s="43" t="str">
        <f aca="false">IF(AND($A219&lt;&gt;"",$B219&lt;&gt;""),COUNTIFS('Leads Pipeline'!$D$5:$D$1004,$A219,'Leads Pipeline'!$E$5:$E$1004,$B219,'Leads Pipeline'!$F$5:$F$1004,"&lt;&gt;"),"")</f>
        <v/>
      </c>
      <c r="D219" s="43" t="str">
        <f aca="false">IF(AND($A219&lt;&gt;"",$B219&lt;&gt;""),COUNTIFS('Leads Pipeline'!$D$5:$D$1004,$A219,'Leads Pipeline'!$E$5:$E$1004,$B219,'Leads Pipeline'!$F$5:$F$1004,"&lt;&gt;",'Leads Pipeline'!$O$5:$O$1004,"&lt;&gt;Won",'Leads Pipeline'!$O$5:$O$1004,"&lt;&gt;Lost"),"")</f>
        <v/>
      </c>
      <c r="E219" s="43" t="str">
        <f aca="false">IF(AND($A219&lt;&gt;"",$B219&lt;&gt;""),COUNTIFS('Leads Pipeline'!$D$5:$D$1004,$A219,'Leads Pipeline'!$E$5:$E$1004,$B219,'Leads Pipeline'!$P$5:$P$1004,"Hot",'Leads Pipeline'!$O$5:$O$1004,"&lt;&gt;Won",'Leads Pipeline'!$O$5:$O$1004,"&lt;&gt;Lost"),"")</f>
        <v/>
      </c>
      <c r="F219" s="43" t="str">
        <f aca="false">IF(AND($A219&lt;&gt;"",$B219&lt;&gt;""),COUNTIFS('Leads Pipeline'!$D$5:$D$1004,$A219,'Leads Pipeline'!$E$5:$E$1004,$B219,'Leads Pipeline'!$O$5:$O$1004,"Won"),"")</f>
        <v/>
      </c>
      <c r="G219" s="44" t="str">
        <f aca="false">IF(AND($A219&lt;&gt;"",$B219&lt;&gt;""),SUMIFS('Leads Pipeline'!$U$5:$U$1004,'Leads Pipeline'!$D$5:$D$1004,$A219,'Leads Pipeline'!$E$5:$E$1004,$B219,'Leads Pipeline'!$O$5:$O$1004,"&lt;&gt;Won",'Leads Pipeline'!$O$5:$O$1004,"&lt;&gt;Lost"),"")</f>
        <v/>
      </c>
      <c r="H219" s="43" t="str">
        <f aca="false">IF(AND($A219&lt;&gt;"",$B219&lt;&gt;""),COUNTIFS('Active Clients'!$B$5:$B$504,$A219,'Active Clients'!$C$5:$C$504,$B219,'Active Clients'!$T$5:$T$504,"Active"),"")</f>
        <v/>
      </c>
      <c r="I219" s="44" t="str">
        <f aca="false">IF(AND($A219&lt;&gt;"",$B219&lt;&gt;""),SUMIFS('Active Clients'!$R$5:$R$504,'Active Clients'!$B$5:$B$504,$A219,'Active Clients'!$C$5:$C$504,$B219),"")</f>
        <v/>
      </c>
      <c r="J219" s="43" t="str">
        <f aca="true">IF(AND($A219&lt;&gt;"",$B219&lt;&gt;""),COUNTIFS('Activity Log'!$E$5:$E$3004,$A219,'Activity Log'!$F$5:$F$3004,$B219,'Activity Log'!$A$5:$A$3004,"&gt;="&amp;(TODAY()-29),'Activity Log'!$A$5:$A$3004,"&lt;="&amp;TODAY()),"")</f>
        <v/>
      </c>
    </row>
    <row r="220" customFormat="false" ht="15" hidden="false" customHeight="false" outlineLevel="0" collapsed="false">
      <c r="A220" s="42"/>
      <c r="B220" s="42"/>
      <c r="C220" s="43" t="str">
        <f aca="false">IF(AND($A220&lt;&gt;"",$B220&lt;&gt;""),COUNTIFS('Leads Pipeline'!$D$5:$D$1004,$A220,'Leads Pipeline'!$E$5:$E$1004,$B220,'Leads Pipeline'!$F$5:$F$1004,"&lt;&gt;"),"")</f>
        <v/>
      </c>
      <c r="D220" s="43" t="str">
        <f aca="false">IF(AND($A220&lt;&gt;"",$B220&lt;&gt;""),COUNTIFS('Leads Pipeline'!$D$5:$D$1004,$A220,'Leads Pipeline'!$E$5:$E$1004,$B220,'Leads Pipeline'!$F$5:$F$1004,"&lt;&gt;",'Leads Pipeline'!$O$5:$O$1004,"&lt;&gt;Won",'Leads Pipeline'!$O$5:$O$1004,"&lt;&gt;Lost"),"")</f>
        <v/>
      </c>
      <c r="E220" s="43" t="str">
        <f aca="false">IF(AND($A220&lt;&gt;"",$B220&lt;&gt;""),COUNTIFS('Leads Pipeline'!$D$5:$D$1004,$A220,'Leads Pipeline'!$E$5:$E$1004,$B220,'Leads Pipeline'!$P$5:$P$1004,"Hot",'Leads Pipeline'!$O$5:$O$1004,"&lt;&gt;Won",'Leads Pipeline'!$O$5:$O$1004,"&lt;&gt;Lost"),"")</f>
        <v/>
      </c>
      <c r="F220" s="43" t="str">
        <f aca="false">IF(AND($A220&lt;&gt;"",$B220&lt;&gt;""),COUNTIFS('Leads Pipeline'!$D$5:$D$1004,$A220,'Leads Pipeline'!$E$5:$E$1004,$B220,'Leads Pipeline'!$O$5:$O$1004,"Won"),"")</f>
        <v/>
      </c>
      <c r="G220" s="44" t="str">
        <f aca="false">IF(AND($A220&lt;&gt;"",$B220&lt;&gt;""),SUMIFS('Leads Pipeline'!$U$5:$U$1004,'Leads Pipeline'!$D$5:$D$1004,$A220,'Leads Pipeline'!$E$5:$E$1004,$B220,'Leads Pipeline'!$O$5:$O$1004,"&lt;&gt;Won",'Leads Pipeline'!$O$5:$O$1004,"&lt;&gt;Lost"),"")</f>
        <v/>
      </c>
      <c r="H220" s="43" t="str">
        <f aca="false">IF(AND($A220&lt;&gt;"",$B220&lt;&gt;""),COUNTIFS('Active Clients'!$B$5:$B$504,$A220,'Active Clients'!$C$5:$C$504,$B220,'Active Clients'!$T$5:$T$504,"Active"),"")</f>
        <v/>
      </c>
      <c r="I220" s="44" t="str">
        <f aca="false">IF(AND($A220&lt;&gt;"",$B220&lt;&gt;""),SUMIFS('Active Clients'!$R$5:$R$504,'Active Clients'!$B$5:$B$504,$A220,'Active Clients'!$C$5:$C$504,$B220),"")</f>
        <v/>
      </c>
      <c r="J220" s="43" t="str">
        <f aca="true">IF(AND($A220&lt;&gt;"",$B220&lt;&gt;""),COUNTIFS('Activity Log'!$E$5:$E$3004,$A220,'Activity Log'!$F$5:$F$3004,$B220,'Activity Log'!$A$5:$A$3004,"&gt;="&amp;(TODAY()-29),'Activity Log'!$A$5:$A$3004,"&lt;="&amp;TODAY()),"")</f>
        <v/>
      </c>
    </row>
    <row r="221" customFormat="false" ht="15" hidden="false" customHeight="false" outlineLevel="0" collapsed="false">
      <c r="A221" s="42"/>
      <c r="B221" s="42"/>
      <c r="C221" s="43" t="str">
        <f aca="false">IF(AND($A221&lt;&gt;"",$B221&lt;&gt;""),COUNTIFS('Leads Pipeline'!$D$5:$D$1004,$A221,'Leads Pipeline'!$E$5:$E$1004,$B221,'Leads Pipeline'!$F$5:$F$1004,"&lt;&gt;"),"")</f>
        <v/>
      </c>
      <c r="D221" s="43" t="str">
        <f aca="false">IF(AND($A221&lt;&gt;"",$B221&lt;&gt;""),COUNTIFS('Leads Pipeline'!$D$5:$D$1004,$A221,'Leads Pipeline'!$E$5:$E$1004,$B221,'Leads Pipeline'!$F$5:$F$1004,"&lt;&gt;",'Leads Pipeline'!$O$5:$O$1004,"&lt;&gt;Won",'Leads Pipeline'!$O$5:$O$1004,"&lt;&gt;Lost"),"")</f>
        <v/>
      </c>
      <c r="E221" s="43" t="str">
        <f aca="false">IF(AND($A221&lt;&gt;"",$B221&lt;&gt;""),COUNTIFS('Leads Pipeline'!$D$5:$D$1004,$A221,'Leads Pipeline'!$E$5:$E$1004,$B221,'Leads Pipeline'!$P$5:$P$1004,"Hot",'Leads Pipeline'!$O$5:$O$1004,"&lt;&gt;Won",'Leads Pipeline'!$O$5:$O$1004,"&lt;&gt;Lost"),"")</f>
        <v/>
      </c>
      <c r="F221" s="43" t="str">
        <f aca="false">IF(AND($A221&lt;&gt;"",$B221&lt;&gt;""),COUNTIFS('Leads Pipeline'!$D$5:$D$1004,$A221,'Leads Pipeline'!$E$5:$E$1004,$B221,'Leads Pipeline'!$O$5:$O$1004,"Won"),"")</f>
        <v/>
      </c>
      <c r="G221" s="44" t="str">
        <f aca="false">IF(AND($A221&lt;&gt;"",$B221&lt;&gt;""),SUMIFS('Leads Pipeline'!$U$5:$U$1004,'Leads Pipeline'!$D$5:$D$1004,$A221,'Leads Pipeline'!$E$5:$E$1004,$B221,'Leads Pipeline'!$O$5:$O$1004,"&lt;&gt;Won",'Leads Pipeline'!$O$5:$O$1004,"&lt;&gt;Lost"),"")</f>
        <v/>
      </c>
      <c r="H221" s="43" t="str">
        <f aca="false">IF(AND($A221&lt;&gt;"",$B221&lt;&gt;""),COUNTIFS('Active Clients'!$B$5:$B$504,$A221,'Active Clients'!$C$5:$C$504,$B221,'Active Clients'!$T$5:$T$504,"Active"),"")</f>
        <v/>
      </c>
      <c r="I221" s="44" t="str">
        <f aca="false">IF(AND($A221&lt;&gt;"",$B221&lt;&gt;""),SUMIFS('Active Clients'!$R$5:$R$504,'Active Clients'!$B$5:$B$504,$A221,'Active Clients'!$C$5:$C$504,$B221),"")</f>
        <v/>
      </c>
      <c r="J221" s="43" t="str">
        <f aca="true">IF(AND($A221&lt;&gt;"",$B221&lt;&gt;""),COUNTIFS('Activity Log'!$E$5:$E$3004,$A221,'Activity Log'!$F$5:$F$3004,$B221,'Activity Log'!$A$5:$A$3004,"&gt;="&amp;(TODAY()-29),'Activity Log'!$A$5:$A$3004,"&lt;="&amp;TODAY()),"")</f>
        <v/>
      </c>
    </row>
    <row r="222" customFormat="false" ht="15" hidden="false" customHeight="false" outlineLevel="0" collapsed="false">
      <c r="A222" s="42"/>
      <c r="B222" s="42"/>
      <c r="C222" s="43" t="str">
        <f aca="false">IF(AND($A222&lt;&gt;"",$B222&lt;&gt;""),COUNTIFS('Leads Pipeline'!$D$5:$D$1004,$A222,'Leads Pipeline'!$E$5:$E$1004,$B222,'Leads Pipeline'!$F$5:$F$1004,"&lt;&gt;"),"")</f>
        <v/>
      </c>
      <c r="D222" s="43" t="str">
        <f aca="false">IF(AND($A222&lt;&gt;"",$B222&lt;&gt;""),COUNTIFS('Leads Pipeline'!$D$5:$D$1004,$A222,'Leads Pipeline'!$E$5:$E$1004,$B222,'Leads Pipeline'!$F$5:$F$1004,"&lt;&gt;",'Leads Pipeline'!$O$5:$O$1004,"&lt;&gt;Won",'Leads Pipeline'!$O$5:$O$1004,"&lt;&gt;Lost"),"")</f>
        <v/>
      </c>
      <c r="E222" s="43" t="str">
        <f aca="false">IF(AND($A222&lt;&gt;"",$B222&lt;&gt;""),COUNTIFS('Leads Pipeline'!$D$5:$D$1004,$A222,'Leads Pipeline'!$E$5:$E$1004,$B222,'Leads Pipeline'!$P$5:$P$1004,"Hot",'Leads Pipeline'!$O$5:$O$1004,"&lt;&gt;Won",'Leads Pipeline'!$O$5:$O$1004,"&lt;&gt;Lost"),"")</f>
        <v/>
      </c>
      <c r="F222" s="43" t="str">
        <f aca="false">IF(AND($A222&lt;&gt;"",$B222&lt;&gt;""),COUNTIFS('Leads Pipeline'!$D$5:$D$1004,$A222,'Leads Pipeline'!$E$5:$E$1004,$B222,'Leads Pipeline'!$O$5:$O$1004,"Won"),"")</f>
        <v/>
      </c>
      <c r="G222" s="44" t="str">
        <f aca="false">IF(AND($A222&lt;&gt;"",$B222&lt;&gt;""),SUMIFS('Leads Pipeline'!$U$5:$U$1004,'Leads Pipeline'!$D$5:$D$1004,$A222,'Leads Pipeline'!$E$5:$E$1004,$B222,'Leads Pipeline'!$O$5:$O$1004,"&lt;&gt;Won",'Leads Pipeline'!$O$5:$O$1004,"&lt;&gt;Lost"),"")</f>
        <v/>
      </c>
      <c r="H222" s="43" t="str">
        <f aca="false">IF(AND($A222&lt;&gt;"",$B222&lt;&gt;""),COUNTIFS('Active Clients'!$B$5:$B$504,$A222,'Active Clients'!$C$5:$C$504,$B222,'Active Clients'!$T$5:$T$504,"Active"),"")</f>
        <v/>
      </c>
      <c r="I222" s="44" t="str">
        <f aca="false">IF(AND($A222&lt;&gt;"",$B222&lt;&gt;""),SUMIFS('Active Clients'!$R$5:$R$504,'Active Clients'!$B$5:$B$504,$A222,'Active Clients'!$C$5:$C$504,$B222),"")</f>
        <v/>
      </c>
      <c r="J222" s="43" t="str">
        <f aca="true">IF(AND($A222&lt;&gt;"",$B222&lt;&gt;""),COUNTIFS('Activity Log'!$E$5:$E$3004,$A222,'Activity Log'!$F$5:$F$3004,$B222,'Activity Log'!$A$5:$A$3004,"&gt;="&amp;(TODAY()-29),'Activity Log'!$A$5:$A$3004,"&lt;="&amp;TODAY()),"")</f>
        <v/>
      </c>
    </row>
    <row r="223" customFormat="false" ht="15" hidden="false" customHeight="false" outlineLevel="0" collapsed="false">
      <c r="A223" s="42"/>
      <c r="B223" s="42"/>
      <c r="C223" s="43" t="str">
        <f aca="false">IF(AND($A223&lt;&gt;"",$B223&lt;&gt;""),COUNTIFS('Leads Pipeline'!$D$5:$D$1004,$A223,'Leads Pipeline'!$E$5:$E$1004,$B223,'Leads Pipeline'!$F$5:$F$1004,"&lt;&gt;"),"")</f>
        <v/>
      </c>
      <c r="D223" s="43" t="str">
        <f aca="false">IF(AND($A223&lt;&gt;"",$B223&lt;&gt;""),COUNTIFS('Leads Pipeline'!$D$5:$D$1004,$A223,'Leads Pipeline'!$E$5:$E$1004,$B223,'Leads Pipeline'!$F$5:$F$1004,"&lt;&gt;",'Leads Pipeline'!$O$5:$O$1004,"&lt;&gt;Won",'Leads Pipeline'!$O$5:$O$1004,"&lt;&gt;Lost"),"")</f>
        <v/>
      </c>
      <c r="E223" s="43" t="str">
        <f aca="false">IF(AND($A223&lt;&gt;"",$B223&lt;&gt;""),COUNTIFS('Leads Pipeline'!$D$5:$D$1004,$A223,'Leads Pipeline'!$E$5:$E$1004,$B223,'Leads Pipeline'!$P$5:$P$1004,"Hot",'Leads Pipeline'!$O$5:$O$1004,"&lt;&gt;Won",'Leads Pipeline'!$O$5:$O$1004,"&lt;&gt;Lost"),"")</f>
        <v/>
      </c>
      <c r="F223" s="43" t="str">
        <f aca="false">IF(AND($A223&lt;&gt;"",$B223&lt;&gt;""),COUNTIFS('Leads Pipeline'!$D$5:$D$1004,$A223,'Leads Pipeline'!$E$5:$E$1004,$B223,'Leads Pipeline'!$O$5:$O$1004,"Won"),"")</f>
        <v/>
      </c>
      <c r="G223" s="44" t="str">
        <f aca="false">IF(AND($A223&lt;&gt;"",$B223&lt;&gt;""),SUMIFS('Leads Pipeline'!$U$5:$U$1004,'Leads Pipeline'!$D$5:$D$1004,$A223,'Leads Pipeline'!$E$5:$E$1004,$B223,'Leads Pipeline'!$O$5:$O$1004,"&lt;&gt;Won",'Leads Pipeline'!$O$5:$O$1004,"&lt;&gt;Lost"),"")</f>
        <v/>
      </c>
      <c r="H223" s="43" t="str">
        <f aca="false">IF(AND($A223&lt;&gt;"",$B223&lt;&gt;""),COUNTIFS('Active Clients'!$B$5:$B$504,$A223,'Active Clients'!$C$5:$C$504,$B223,'Active Clients'!$T$5:$T$504,"Active"),"")</f>
        <v/>
      </c>
      <c r="I223" s="44" t="str">
        <f aca="false">IF(AND($A223&lt;&gt;"",$B223&lt;&gt;""),SUMIFS('Active Clients'!$R$5:$R$504,'Active Clients'!$B$5:$B$504,$A223,'Active Clients'!$C$5:$C$504,$B223),"")</f>
        <v/>
      </c>
      <c r="J223" s="43" t="str">
        <f aca="true">IF(AND($A223&lt;&gt;"",$B223&lt;&gt;""),COUNTIFS('Activity Log'!$E$5:$E$3004,$A223,'Activity Log'!$F$5:$F$3004,$B223,'Activity Log'!$A$5:$A$3004,"&gt;="&amp;(TODAY()-29),'Activity Log'!$A$5:$A$3004,"&lt;="&amp;TODAY()),"")</f>
        <v/>
      </c>
    </row>
    <row r="224" customFormat="false" ht="15" hidden="false" customHeight="false" outlineLevel="0" collapsed="false">
      <c r="A224" s="42"/>
      <c r="B224" s="42"/>
      <c r="C224" s="43" t="str">
        <f aca="false">IF(AND($A224&lt;&gt;"",$B224&lt;&gt;""),COUNTIFS('Leads Pipeline'!$D$5:$D$1004,$A224,'Leads Pipeline'!$E$5:$E$1004,$B224,'Leads Pipeline'!$F$5:$F$1004,"&lt;&gt;"),"")</f>
        <v/>
      </c>
      <c r="D224" s="43" t="str">
        <f aca="false">IF(AND($A224&lt;&gt;"",$B224&lt;&gt;""),COUNTIFS('Leads Pipeline'!$D$5:$D$1004,$A224,'Leads Pipeline'!$E$5:$E$1004,$B224,'Leads Pipeline'!$F$5:$F$1004,"&lt;&gt;",'Leads Pipeline'!$O$5:$O$1004,"&lt;&gt;Won",'Leads Pipeline'!$O$5:$O$1004,"&lt;&gt;Lost"),"")</f>
        <v/>
      </c>
      <c r="E224" s="43" t="str">
        <f aca="false">IF(AND($A224&lt;&gt;"",$B224&lt;&gt;""),COUNTIFS('Leads Pipeline'!$D$5:$D$1004,$A224,'Leads Pipeline'!$E$5:$E$1004,$B224,'Leads Pipeline'!$P$5:$P$1004,"Hot",'Leads Pipeline'!$O$5:$O$1004,"&lt;&gt;Won",'Leads Pipeline'!$O$5:$O$1004,"&lt;&gt;Lost"),"")</f>
        <v/>
      </c>
      <c r="F224" s="43" t="str">
        <f aca="false">IF(AND($A224&lt;&gt;"",$B224&lt;&gt;""),COUNTIFS('Leads Pipeline'!$D$5:$D$1004,$A224,'Leads Pipeline'!$E$5:$E$1004,$B224,'Leads Pipeline'!$O$5:$O$1004,"Won"),"")</f>
        <v/>
      </c>
      <c r="G224" s="44" t="str">
        <f aca="false">IF(AND($A224&lt;&gt;"",$B224&lt;&gt;""),SUMIFS('Leads Pipeline'!$U$5:$U$1004,'Leads Pipeline'!$D$5:$D$1004,$A224,'Leads Pipeline'!$E$5:$E$1004,$B224,'Leads Pipeline'!$O$5:$O$1004,"&lt;&gt;Won",'Leads Pipeline'!$O$5:$O$1004,"&lt;&gt;Lost"),"")</f>
        <v/>
      </c>
      <c r="H224" s="43" t="str">
        <f aca="false">IF(AND($A224&lt;&gt;"",$B224&lt;&gt;""),COUNTIFS('Active Clients'!$B$5:$B$504,$A224,'Active Clients'!$C$5:$C$504,$B224,'Active Clients'!$T$5:$T$504,"Active"),"")</f>
        <v/>
      </c>
      <c r="I224" s="44" t="str">
        <f aca="false">IF(AND($A224&lt;&gt;"",$B224&lt;&gt;""),SUMIFS('Active Clients'!$R$5:$R$504,'Active Clients'!$B$5:$B$504,$A224,'Active Clients'!$C$5:$C$504,$B224),"")</f>
        <v/>
      </c>
      <c r="J224" s="43" t="str">
        <f aca="true">IF(AND($A224&lt;&gt;"",$B224&lt;&gt;""),COUNTIFS('Activity Log'!$E$5:$E$3004,$A224,'Activity Log'!$F$5:$F$3004,$B224,'Activity Log'!$A$5:$A$3004,"&gt;="&amp;(TODAY()-29),'Activity Log'!$A$5:$A$3004,"&lt;="&amp;TODAY()),"")</f>
        <v/>
      </c>
    </row>
    <row r="225" customFormat="false" ht="15" hidden="false" customHeight="false" outlineLevel="0" collapsed="false">
      <c r="A225" s="42"/>
      <c r="B225" s="42"/>
      <c r="C225" s="43" t="str">
        <f aca="false">IF(AND($A225&lt;&gt;"",$B225&lt;&gt;""),COUNTIFS('Leads Pipeline'!$D$5:$D$1004,$A225,'Leads Pipeline'!$E$5:$E$1004,$B225,'Leads Pipeline'!$F$5:$F$1004,"&lt;&gt;"),"")</f>
        <v/>
      </c>
      <c r="D225" s="43" t="str">
        <f aca="false">IF(AND($A225&lt;&gt;"",$B225&lt;&gt;""),COUNTIFS('Leads Pipeline'!$D$5:$D$1004,$A225,'Leads Pipeline'!$E$5:$E$1004,$B225,'Leads Pipeline'!$F$5:$F$1004,"&lt;&gt;",'Leads Pipeline'!$O$5:$O$1004,"&lt;&gt;Won",'Leads Pipeline'!$O$5:$O$1004,"&lt;&gt;Lost"),"")</f>
        <v/>
      </c>
      <c r="E225" s="43" t="str">
        <f aca="false">IF(AND($A225&lt;&gt;"",$B225&lt;&gt;""),COUNTIFS('Leads Pipeline'!$D$5:$D$1004,$A225,'Leads Pipeline'!$E$5:$E$1004,$B225,'Leads Pipeline'!$P$5:$P$1004,"Hot",'Leads Pipeline'!$O$5:$O$1004,"&lt;&gt;Won",'Leads Pipeline'!$O$5:$O$1004,"&lt;&gt;Lost"),"")</f>
        <v/>
      </c>
      <c r="F225" s="43" t="str">
        <f aca="false">IF(AND($A225&lt;&gt;"",$B225&lt;&gt;""),COUNTIFS('Leads Pipeline'!$D$5:$D$1004,$A225,'Leads Pipeline'!$E$5:$E$1004,$B225,'Leads Pipeline'!$O$5:$O$1004,"Won"),"")</f>
        <v/>
      </c>
      <c r="G225" s="44" t="str">
        <f aca="false">IF(AND($A225&lt;&gt;"",$B225&lt;&gt;""),SUMIFS('Leads Pipeline'!$U$5:$U$1004,'Leads Pipeline'!$D$5:$D$1004,$A225,'Leads Pipeline'!$E$5:$E$1004,$B225,'Leads Pipeline'!$O$5:$O$1004,"&lt;&gt;Won",'Leads Pipeline'!$O$5:$O$1004,"&lt;&gt;Lost"),"")</f>
        <v/>
      </c>
      <c r="H225" s="43" t="str">
        <f aca="false">IF(AND($A225&lt;&gt;"",$B225&lt;&gt;""),COUNTIFS('Active Clients'!$B$5:$B$504,$A225,'Active Clients'!$C$5:$C$504,$B225,'Active Clients'!$T$5:$T$504,"Active"),"")</f>
        <v/>
      </c>
      <c r="I225" s="44" t="str">
        <f aca="false">IF(AND($A225&lt;&gt;"",$B225&lt;&gt;""),SUMIFS('Active Clients'!$R$5:$R$504,'Active Clients'!$B$5:$B$504,$A225,'Active Clients'!$C$5:$C$504,$B225),"")</f>
        <v/>
      </c>
      <c r="J225" s="43" t="str">
        <f aca="true">IF(AND($A225&lt;&gt;"",$B225&lt;&gt;""),COUNTIFS('Activity Log'!$E$5:$E$3004,$A225,'Activity Log'!$F$5:$F$3004,$B225,'Activity Log'!$A$5:$A$3004,"&gt;="&amp;(TODAY()-29),'Activity Log'!$A$5:$A$3004,"&lt;="&amp;TODAY()),"")</f>
        <v/>
      </c>
    </row>
    <row r="226" customFormat="false" ht="15" hidden="false" customHeight="false" outlineLevel="0" collapsed="false">
      <c r="A226" s="42"/>
      <c r="B226" s="42"/>
      <c r="C226" s="43" t="str">
        <f aca="false">IF(AND($A226&lt;&gt;"",$B226&lt;&gt;""),COUNTIFS('Leads Pipeline'!$D$5:$D$1004,$A226,'Leads Pipeline'!$E$5:$E$1004,$B226,'Leads Pipeline'!$F$5:$F$1004,"&lt;&gt;"),"")</f>
        <v/>
      </c>
      <c r="D226" s="43" t="str">
        <f aca="false">IF(AND($A226&lt;&gt;"",$B226&lt;&gt;""),COUNTIFS('Leads Pipeline'!$D$5:$D$1004,$A226,'Leads Pipeline'!$E$5:$E$1004,$B226,'Leads Pipeline'!$F$5:$F$1004,"&lt;&gt;",'Leads Pipeline'!$O$5:$O$1004,"&lt;&gt;Won",'Leads Pipeline'!$O$5:$O$1004,"&lt;&gt;Lost"),"")</f>
        <v/>
      </c>
      <c r="E226" s="43" t="str">
        <f aca="false">IF(AND($A226&lt;&gt;"",$B226&lt;&gt;""),COUNTIFS('Leads Pipeline'!$D$5:$D$1004,$A226,'Leads Pipeline'!$E$5:$E$1004,$B226,'Leads Pipeline'!$P$5:$P$1004,"Hot",'Leads Pipeline'!$O$5:$O$1004,"&lt;&gt;Won",'Leads Pipeline'!$O$5:$O$1004,"&lt;&gt;Lost"),"")</f>
        <v/>
      </c>
      <c r="F226" s="43" t="str">
        <f aca="false">IF(AND($A226&lt;&gt;"",$B226&lt;&gt;""),COUNTIFS('Leads Pipeline'!$D$5:$D$1004,$A226,'Leads Pipeline'!$E$5:$E$1004,$B226,'Leads Pipeline'!$O$5:$O$1004,"Won"),"")</f>
        <v/>
      </c>
      <c r="G226" s="44" t="str">
        <f aca="false">IF(AND($A226&lt;&gt;"",$B226&lt;&gt;""),SUMIFS('Leads Pipeline'!$U$5:$U$1004,'Leads Pipeline'!$D$5:$D$1004,$A226,'Leads Pipeline'!$E$5:$E$1004,$B226,'Leads Pipeline'!$O$5:$O$1004,"&lt;&gt;Won",'Leads Pipeline'!$O$5:$O$1004,"&lt;&gt;Lost"),"")</f>
        <v/>
      </c>
      <c r="H226" s="43" t="str">
        <f aca="false">IF(AND($A226&lt;&gt;"",$B226&lt;&gt;""),COUNTIFS('Active Clients'!$B$5:$B$504,$A226,'Active Clients'!$C$5:$C$504,$B226,'Active Clients'!$T$5:$T$504,"Active"),"")</f>
        <v/>
      </c>
      <c r="I226" s="44" t="str">
        <f aca="false">IF(AND($A226&lt;&gt;"",$B226&lt;&gt;""),SUMIFS('Active Clients'!$R$5:$R$504,'Active Clients'!$B$5:$B$504,$A226,'Active Clients'!$C$5:$C$504,$B226),"")</f>
        <v/>
      </c>
      <c r="J226" s="43" t="str">
        <f aca="true">IF(AND($A226&lt;&gt;"",$B226&lt;&gt;""),COUNTIFS('Activity Log'!$E$5:$E$3004,$A226,'Activity Log'!$F$5:$F$3004,$B226,'Activity Log'!$A$5:$A$3004,"&gt;="&amp;(TODAY()-29),'Activity Log'!$A$5:$A$3004,"&lt;="&amp;TODAY()),"")</f>
        <v/>
      </c>
    </row>
    <row r="227" customFormat="false" ht="15" hidden="false" customHeight="false" outlineLevel="0" collapsed="false">
      <c r="A227" s="42"/>
      <c r="B227" s="42"/>
      <c r="C227" s="43" t="str">
        <f aca="false">IF(AND($A227&lt;&gt;"",$B227&lt;&gt;""),COUNTIFS('Leads Pipeline'!$D$5:$D$1004,$A227,'Leads Pipeline'!$E$5:$E$1004,$B227,'Leads Pipeline'!$F$5:$F$1004,"&lt;&gt;"),"")</f>
        <v/>
      </c>
      <c r="D227" s="43" t="str">
        <f aca="false">IF(AND($A227&lt;&gt;"",$B227&lt;&gt;""),COUNTIFS('Leads Pipeline'!$D$5:$D$1004,$A227,'Leads Pipeline'!$E$5:$E$1004,$B227,'Leads Pipeline'!$F$5:$F$1004,"&lt;&gt;",'Leads Pipeline'!$O$5:$O$1004,"&lt;&gt;Won",'Leads Pipeline'!$O$5:$O$1004,"&lt;&gt;Lost"),"")</f>
        <v/>
      </c>
      <c r="E227" s="43" t="str">
        <f aca="false">IF(AND($A227&lt;&gt;"",$B227&lt;&gt;""),COUNTIFS('Leads Pipeline'!$D$5:$D$1004,$A227,'Leads Pipeline'!$E$5:$E$1004,$B227,'Leads Pipeline'!$P$5:$P$1004,"Hot",'Leads Pipeline'!$O$5:$O$1004,"&lt;&gt;Won",'Leads Pipeline'!$O$5:$O$1004,"&lt;&gt;Lost"),"")</f>
        <v/>
      </c>
      <c r="F227" s="43" t="str">
        <f aca="false">IF(AND($A227&lt;&gt;"",$B227&lt;&gt;""),COUNTIFS('Leads Pipeline'!$D$5:$D$1004,$A227,'Leads Pipeline'!$E$5:$E$1004,$B227,'Leads Pipeline'!$O$5:$O$1004,"Won"),"")</f>
        <v/>
      </c>
      <c r="G227" s="44" t="str">
        <f aca="false">IF(AND($A227&lt;&gt;"",$B227&lt;&gt;""),SUMIFS('Leads Pipeline'!$U$5:$U$1004,'Leads Pipeline'!$D$5:$D$1004,$A227,'Leads Pipeline'!$E$5:$E$1004,$B227,'Leads Pipeline'!$O$5:$O$1004,"&lt;&gt;Won",'Leads Pipeline'!$O$5:$O$1004,"&lt;&gt;Lost"),"")</f>
        <v/>
      </c>
      <c r="H227" s="43" t="str">
        <f aca="false">IF(AND($A227&lt;&gt;"",$B227&lt;&gt;""),COUNTIFS('Active Clients'!$B$5:$B$504,$A227,'Active Clients'!$C$5:$C$504,$B227,'Active Clients'!$T$5:$T$504,"Active"),"")</f>
        <v/>
      </c>
      <c r="I227" s="44" t="str">
        <f aca="false">IF(AND($A227&lt;&gt;"",$B227&lt;&gt;""),SUMIFS('Active Clients'!$R$5:$R$504,'Active Clients'!$B$5:$B$504,$A227,'Active Clients'!$C$5:$C$504,$B227),"")</f>
        <v/>
      </c>
      <c r="J227" s="43" t="str">
        <f aca="true">IF(AND($A227&lt;&gt;"",$B227&lt;&gt;""),COUNTIFS('Activity Log'!$E$5:$E$3004,$A227,'Activity Log'!$F$5:$F$3004,$B227,'Activity Log'!$A$5:$A$3004,"&gt;="&amp;(TODAY()-29),'Activity Log'!$A$5:$A$3004,"&lt;="&amp;TODAY()),"")</f>
        <v/>
      </c>
    </row>
    <row r="228" customFormat="false" ht="15" hidden="false" customHeight="false" outlineLevel="0" collapsed="false">
      <c r="A228" s="42"/>
      <c r="B228" s="42"/>
      <c r="C228" s="43" t="str">
        <f aca="false">IF(AND($A228&lt;&gt;"",$B228&lt;&gt;""),COUNTIFS('Leads Pipeline'!$D$5:$D$1004,$A228,'Leads Pipeline'!$E$5:$E$1004,$B228,'Leads Pipeline'!$F$5:$F$1004,"&lt;&gt;"),"")</f>
        <v/>
      </c>
      <c r="D228" s="43" t="str">
        <f aca="false">IF(AND($A228&lt;&gt;"",$B228&lt;&gt;""),COUNTIFS('Leads Pipeline'!$D$5:$D$1004,$A228,'Leads Pipeline'!$E$5:$E$1004,$B228,'Leads Pipeline'!$F$5:$F$1004,"&lt;&gt;",'Leads Pipeline'!$O$5:$O$1004,"&lt;&gt;Won",'Leads Pipeline'!$O$5:$O$1004,"&lt;&gt;Lost"),"")</f>
        <v/>
      </c>
      <c r="E228" s="43" t="str">
        <f aca="false">IF(AND($A228&lt;&gt;"",$B228&lt;&gt;""),COUNTIFS('Leads Pipeline'!$D$5:$D$1004,$A228,'Leads Pipeline'!$E$5:$E$1004,$B228,'Leads Pipeline'!$P$5:$P$1004,"Hot",'Leads Pipeline'!$O$5:$O$1004,"&lt;&gt;Won",'Leads Pipeline'!$O$5:$O$1004,"&lt;&gt;Lost"),"")</f>
        <v/>
      </c>
      <c r="F228" s="43" t="str">
        <f aca="false">IF(AND($A228&lt;&gt;"",$B228&lt;&gt;""),COUNTIFS('Leads Pipeline'!$D$5:$D$1004,$A228,'Leads Pipeline'!$E$5:$E$1004,$B228,'Leads Pipeline'!$O$5:$O$1004,"Won"),"")</f>
        <v/>
      </c>
      <c r="G228" s="44" t="str">
        <f aca="false">IF(AND($A228&lt;&gt;"",$B228&lt;&gt;""),SUMIFS('Leads Pipeline'!$U$5:$U$1004,'Leads Pipeline'!$D$5:$D$1004,$A228,'Leads Pipeline'!$E$5:$E$1004,$B228,'Leads Pipeline'!$O$5:$O$1004,"&lt;&gt;Won",'Leads Pipeline'!$O$5:$O$1004,"&lt;&gt;Lost"),"")</f>
        <v/>
      </c>
      <c r="H228" s="43" t="str">
        <f aca="false">IF(AND($A228&lt;&gt;"",$B228&lt;&gt;""),COUNTIFS('Active Clients'!$B$5:$B$504,$A228,'Active Clients'!$C$5:$C$504,$B228,'Active Clients'!$T$5:$T$504,"Active"),"")</f>
        <v/>
      </c>
      <c r="I228" s="44" t="str">
        <f aca="false">IF(AND($A228&lt;&gt;"",$B228&lt;&gt;""),SUMIFS('Active Clients'!$R$5:$R$504,'Active Clients'!$B$5:$B$504,$A228,'Active Clients'!$C$5:$C$504,$B228),"")</f>
        <v/>
      </c>
      <c r="J228" s="43" t="str">
        <f aca="true">IF(AND($A228&lt;&gt;"",$B228&lt;&gt;""),COUNTIFS('Activity Log'!$E$5:$E$3004,$A228,'Activity Log'!$F$5:$F$3004,$B228,'Activity Log'!$A$5:$A$3004,"&gt;="&amp;(TODAY()-29),'Activity Log'!$A$5:$A$3004,"&lt;="&amp;TODAY()),"")</f>
        <v/>
      </c>
    </row>
    <row r="229" customFormat="false" ht="15" hidden="false" customHeight="false" outlineLevel="0" collapsed="false">
      <c r="A229" s="42"/>
      <c r="B229" s="42"/>
      <c r="C229" s="43" t="str">
        <f aca="false">IF(AND($A229&lt;&gt;"",$B229&lt;&gt;""),COUNTIFS('Leads Pipeline'!$D$5:$D$1004,$A229,'Leads Pipeline'!$E$5:$E$1004,$B229,'Leads Pipeline'!$F$5:$F$1004,"&lt;&gt;"),"")</f>
        <v/>
      </c>
      <c r="D229" s="43" t="str">
        <f aca="false">IF(AND($A229&lt;&gt;"",$B229&lt;&gt;""),COUNTIFS('Leads Pipeline'!$D$5:$D$1004,$A229,'Leads Pipeline'!$E$5:$E$1004,$B229,'Leads Pipeline'!$F$5:$F$1004,"&lt;&gt;",'Leads Pipeline'!$O$5:$O$1004,"&lt;&gt;Won",'Leads Pipeline'!$O$5:$O$1004,"&lt;&gt;Lost"),"")</f>
        <v/>
      </c>
      <c r="E229" s="43" t="str">
        <f aca="false">IF(AND($A229&lt;&gt;"",$B229&lt;&gt;""),COUNTIFS('Leads Pipeline'!$D$5:$D$1004,$A229,'Leads Pipeline'!$E$5:$E$1004,$B229,'Leads Pipeline'!$P$5:$P$1004,"Hot",'Leads Pipeline'!$O$5:$O$1004,"&lt;&gt;Won",'Leads Pipeline'!$O$5:$O$1004,"&lt;&gt;Lost"),"")</f>
        <v/>
      </c>
      <c r="F229" s="43" t="str">
        <f aca="false">IF(AND($A229&lt;&gt;"",$B229&lt;&gt;""),COUNTIFS('Leads Pipeline'!$D$5:$D$1004,$A229,'Leads Pipeline'!$E$5:$E$1004,$B229,'Leads Pipeline'!$O$5:$O$1004,"Won"),"")</f>
        <v/>
      </c>
      <c r="G229" s="44" t="str">
        <f aca="false">IF(AND($A229&lt;&gt;"",$B229&lt;&gt;""),SUMIFS('Leads Pipeline'!$U$5:$U$1004,'Leads Pipeline'!$D$5:$D$1004,$A229,'Leads Pipeline'!$E$5:$E$1004,$B229,'Leads Pipeline'!$O$5:$O$1004,"&lt;&gt;Won",'Leads Pipeline'!$O$5:$O$1004,"&lt;&gt;Lost"),"")</f>
        <v/>
      </c>
      <c r="H229" s="43" t="str">
        <f aca="false">IF(AND($A229&lt;&gt;"",$B229&lt;&gt;""),COUNTIFS('Active Clients'!$B$5:$B$504,$A229,'Active Clients'!$C$5:$C$504,$B229,'Active Clients'!$T$5:$T$504,"Active"),"")</f>
        <v/>
      </c>
      <c r="I229" s="44" t="str">
        <f aca="false">IF(AND($A229&lt;&gt;"",$B229&lt;&gt;""),SUMIFS('Active Clients'!$R$5:$R$504,'Active Clients'!$B$5:$B$504,$A229,'Active Clients'!$C$5:$C$504,$B229),"")</f>
        <v/>
      </c>
      <c r="J229" s="43" t="str">
        <f aca="true">IF(AND($A229&lt;&gt;"",$B229&lt;&gt;""),COUNTIFS('Activity Log'!$E$5:$E$3004,$A229,'Activity Log'!$F$5:$F$3004,$B229,'Activity Log'!$A$5:$A$3004,"&gt;="&amp;(TODAY()-29),'Activity Log'!$A$5:$A$3004,"&lt;="&amp;TODAY()),"")</f>
        <v/>
      </c>
    </row>
    <row r="230" customFormat="false" ht="15" hidden="false" customHeight="false" outlineLevel="0" collapsed="false">
      <c r="A230" s="42"/>
      <c r="B230" s="42"/>
      <c r="C230" s="43" t="str">
        <f aca="false">IF(AND($A230&lt;&gt;"",$B230&lt;&gt;""),COUNTIFS('Leads Pipeline'!$D$5:$D$1004,$A230,'Leads Pipeline'!$E$5:$E$1004,$B230,'Leads Pipeline'!$F$5:$F$1004,"&lt;&gt;"),"")</f>
        <v/>
      </c>
      <c r="D230" s="43" t="str">
        <f aca="false">IF(AND($A230&lt;&gt;"",$B230&lt;&gt;""),COUNTIFS('Leads Pipeline'!$D$5:$D$1004,$A230,'Leads Pipeline'!$E$5:$E$1004,$B230,'Leads Pipeline'!$F$5:$F$1004,"&lt;&gt;",'Leads Pipeline'!$O$5:$O$1004,"&lt;&gt;Won",'Leads Pipeline'!$O$5:$O$1004,"&lt;&gt;Lost"),"")</f>
        <v/>
      </c>
      <c r="E230" s="43" t="str">
        <f aca="false">IF(AND($A230&lt;&gt;"",$B230&lt;&gt;""),COUNTIFS('Leads Pipeline'!$D$5:$D$1004,$A230,'Leads Pipeline'!$E$5:$E$1004,$B230,'Leads Pipeline'!$P$5:$P$1004,"Hot",'Leads Pipeline'!$O$5:$O$1004,"&lt;&gt;Won",'Leads Pipeline'!$O$5:$O$1004,"&lt;&gt;Lost"),"")</f>
        <v/>
      </c>
      <c r="F230" s="43" t="str">
        <f aca="false">IF(AND($A230&lt;&gt;"",$B230&lt;&gt;""),COUNTIFS('Leads Pipeline'!$D$5:$D$1004,$A230,'Leads Pipeline'!$E$5:$E$1004,$B230,'Leads Pipeline'!$O$5:$O$1004,"Won"),"")</f>
        <v/>
      </c>
      <c r="G230" s="44" t="str">
        <f aca="false">IF(AND($A230&lt;&gt;"",$B230&lt;&gt;""),SUMIFS('Leads Pipeline'!$U$5:$U$1004,'Leads Pipeline'!$D$5:$D$1004,$A230,'Leads Pipeline'!$E$5:$E$1004,$B230,'Leads Pipeline'!$O$5:$O$1004,"&lt;&gt;Won",'Leads Pipeline'!$O$5:$O$1004,"&lt;&gt;Lost"),"")</f>
        <v/>
      </c>
      <c r="H230" s="43" t="str">
        <f aca="false">IF(AND($A230&lt;&gt;"",$B230&lt;&gt;""),COUNTIFS('Active Clients'!$B$5:$B$504,$A230,'Active Clients'!$C$5:$C$504,$B230,'Active Clients'!$T$5:$T$504,"Active"),"")</f>
        <v/>
      </c>
      <c r="I230" s="44" t="str">
        <f aca="false">IF(AND($A230&lt;&gt;"",$B230&lt;&gt;""),SUMIFS('Active Clients'!$R$5:$R$504,'Active Clients'!$B$5:$B$504,$A230,'Active Clients'!$C$5:$C$504,$B230),"")</f>
        <v/>
      </c>
      <c r="J230" s="43" t="str">
        <f aca="true">IF(AND($A230&lt;&gt;"",$B230&lt;&gt;""),COUNTIFS('Activity Log'!$E$5:$E$3004,$A230,'Activity Log'!$F$5:$F$3004,$B230,'Activity Log'!$A$5:$A$3004,"&gt;="&amp;(TODAY()-29),'Activity Log'!$A$5:$A$3004,"&lt;="&amp;TODAY()),"")</f>
        <v/>
      </c>
    </row>
    <row r="231" customFormat="false" ht="15" hidden="false" customHeight="false" outlineLevel="0" collapsed="false">
      <c r="A231" s="42"/>
      <c r="B231" s="42"/>
      <c r="C231" s="43" t="str">
        <f aca="false">IF(AND($A231&lt;&gt;"",$B231&lt;&gt;""),COUNTIFS('Leads Pipeline'!$D$5:$D$1004,$A231,'Leads Pipeline'!$E$5:$E$1004,$B231,'Leads Pipeline'!$F$5:$F$1004,"&lt;&gt;"),"")</f>
        <v/>
      </c>
      <c r="D231" s="43" t="str">
        <f aca="false">IF(AND($A231&lt;&gt;"",$B231&lt;&gt;""),COUNTIFS('Leads Pipeline'!$D$5:$D$1004,$A231,'Leads Pipeline'!$E$5:$E$1004,$B231,'Leads Pipeline'!$F$5:$F$1004,"&lt;&gt;",'Leads Pipeline'!$O$5:$O$1004,"&lt;&gt;Won",'Leads Pipeline'!$O$5:$O$1004,"&lt;&gt;Lost"),"")</f>
        <v/>
      </c>
      <c r="E231" s="43" t="str">
        <f aca="false">IF(AND($A231&lt;&gt;"",$B231&lt;&gt;""),COUNTIFS('Leads Pipeline'!$D$5:$D$1004,$A231,'Leads Pipeline'!$E$5:$E$1004,$B231,'Leads Pipeline'!$P$5:$P$1004,"Hot",'Leads Pipeline'!$O$5:$O$1004,"&lt;&gt;Won",'Leads Pipeline'!$O$5:$O$1004,"&lt;&gt;Lost"),"")</f>
        <v/>
      </c>
      <c r="F231" s="43" t="str">
        <f aca="false">IF(AND($A231&lt;&gt;"",$B231&lt;&gt;""),COUNTIFS('Leads Pipeline'!$D$5:$D$1004,$A231,'Leads Pipeline'!$E$5:$E$1004,$B231,'Leads Pipeline'!$O$5:$O$1004,"Won"),"")</f>
        <v/>
      </c>
      <c r="G231" s="44" t="str">
        <f aca="false">IF(AND($A231&lt;&gt;"",$B231&lt;&gt;""),SUMIFS('Leads Pipeline'!$U$5:$U$1004,'Leads Pipeline'!$D$5:$D$1004,$A231,'Leads Pipeline'!$E$5:$E$1004,$B231,'Leads Pipeline'!$O$5:$O$1004,"&lt;&gt;Won",'Leads Pipeline'!$O$5:$O$1004,"&lt;&gt;Lost"),"")</f>
        <v/>
      </c>
      <c r="H231" s="43" t="str">
        <f aca="false">IF(AND($A231&lt;&gt;"",$B231&lt;&gt;""),COUNTIFS('Active Clients'!$B$5:$B$504,$A231,'Active Clients'!$C$5:$C$504,$B231,'Active Clients'!$T$5:$T$504,"Active"),"")</f>
        <v/>
      </c>
      <c r="I231" s="44" t="str">
        <f aca="false">IF(AND($A231&lt;&gt;"",$B231&lt;&gt;""),SUMIFS('Active Clients'!$R$5:$R$504,'Active Clients'!$B$5:$B$504,$A231,'Active Clients'!$C$5:$C$504,$B231),"")</f>
        <v/>
      </c>
      <c r="J231" s="43" t="str">
        <f aca="true">IF(AND($A231&lt;&gt;"",$B231&lt;&gt;""),COUNTIFS('Activity Log'!$E$5:$E$3004,$A231,'Activity Log'!$F$5:$F$3004,$B231,'Activity Log'!$A$5:$A$3004,"&gt;="&amp;(TODAY()-29),'Activity Log'!$A$5:$A$3004,"&lt;="&amp;TODAY()),"")</f>
        <v/>
      </c>
    </row>
    <row r="232" customFormat="false" ht="15" hidden="false" customHeight="false" outlineLevel="0" collapsed="false">
      <c r="A232" s="42"/>
      <c r="B232" s="42"/>
      <c r="C232" s="43" t="str">
        <f aca="false">IF(AND($A232&lt;&gt;"",$B232&lt;&gt;""),COUNTIFS('Leads Pipeline'!$D$5:$D$1004,$A232,'Leads Pipeline'!$E$5:$E$1004,$B232,'Leads Pipeline'!$F$5:$F$1004,"&lt;&gt;"),"")</f>
        <v/>
      </c>
      <c r="D232" s="43" t="str">
        <f aca="false">IF(AND($A232&lt;&gt;"",$B232&lt;&gt;""),COUNTIFS('Leads Pipeline'!$D$5:$D$1004,$A232,'Leads Pipeline'!$E$5:$E$1004,$B232,'Leads Pipeline'!$F$5:$F$1004,"&lt;&gt;",'Leads Pipeline'!$O$5:$O$1004,"&lt;&gt;Won",'Leads Pipeline'!$O$5:$O$1004,"&lt;&gt;Lost"),"")</f>
        <v/>
      </c>
      <c r="E232" s="43" t="str">
        <f aca="false">IF(AND($A232&lt;&gt;"",$B232&lt;&gt;""),COUNTIFS('Leads Pipeline'!$D$5:$D$1004,$A232,'Leads Pipeline'!$E$5:$E$1004,$B232,'Leads Pipeline'!$P$5:$P$1004,"Hot",'Leads Pipeline'!$O$5:$O$1004,"&lt;&gt;Won",'Leads Pipeline'!$O$5:$O$1004,"&lt;&gt;Lost"),"")</f>
        <v/>
      </c>
      <c r="F232" s="43" t="str">
        <f aca="false">IF(AND($A232&lt;&gt;"",$B232&lt;&gt;""),COUNTIFS('Leads Pipeline'!$D$5:$D$1004,$A232,'Leads Pipeline'!$E$5:$E$1004,$B232,'Leads Pipeline'!$O$5:$O$1004,"Won"),"")</f>
        <v/>
      </c>
      <c r="G232" s="44" t="str">
        <f aca="false">IF(AND($A232&lt;&gt;"",$B232&lt;&gt;""),SUMIFS('Leads Pipeline'!$U$5:$U$1004,'Leads Pipeline'!$D$5:$D$1004,$A232,'Leads Pipeline'!$E$5:$E$1004,$B232,'Leads Pipeline'!$O$5:$O$1004,"&lt;&gt;Won",'Leads Pipeline'!$O$5:$O$1004,"&lt;&gt;Lost"),"")</f>
        <v/>
      </c>
      <c r="H232" s="43" t="str">
        <f aca="false">IF(AND($A232&lt;&gt;"",$B232&lt;&gt;""),COUNTIFS('Active Clients'!$B$5:$B$504,$A232,'Active Clients'!$C$5:$C$504,$B232,'Active Clients'!$T$5:$T$504,"Active"),"")</f>
        <v/>
      </c>
      <c r="I232" s="44" t="str">
        <f aca="false">IF(AND($A232&lt;&gt;"",$B232&lt;&gt;""),SUMIFS('Active Clients'!$R$5:$R$504,'Active Clients'!$B$5:$B$504,$A232,'Active Clients'!$C$5:$C$504,$B232),"")</f>
        <v/>
      </c>
      <c r="J232" s="43" t="str">
        <f aca="true">IF(AND($A232&lt;&gt;"",$B232&lt;&gt;""),COUNTIFS('Activity Log'!$E$5:$E$3004,$A232,'Activity Log'!$F$5:$F$3004,$B232,'Activity Log'!$A$5:$A$3004,"&gt;="&amp;(TODAY()-29),'Activity Log'!$A$5:$A$3004,"&lt;="&amp;TODAY()),"")</f>
        <v/>
      </c>
    </row>
    <row r="233" customFormat="false" ht="15" hidden="false" customHeight="false" outlineLevel="0" collapsed="false">
      <c r="A233" s="42"/>
      <c r="B233" s="42"/>
      <c r="C233" s="43" t="str">
        <f aca="false">IF(AND($A233&lt;&gt;"",$B233&lt;&gt;""),COUNTIFS('Leads Pipeline'!$D$5:$D$1004,$A233,'Leads Pipeline'!$E$5:$E$1004,$B233,'Leads Pipeline'!$F$5:$F$1004,"&lt;&gt;"),"")</f>
        <v/>
      </c>
      <c r="D233" s="43" t="str">
        <f aca="false">IF(AND($A233&lt;&gt;"",$B233&lt;&gt;""),COUNTIFS('Leads Pipeline'!$D$5:$D$1004,$A233,'Leads Pipeline'!$E$5:$E$1004,$B233,'Leads Pipeline'!$F$5:$F$1004,"&lt;&gt;",'Leads Pipeline'!$O$5:$O$1004,"&lt;&gt;Won",'Leads Pipeline'!$O$5:$O$1004,"&lt;&gt;Lost"),"")</f>
        <v/>
      </c>
      <c r="E233" s="43" t="str">
        <f aca="false">IF(AND($A233&lt;&gt;"",$B233&lt;&gt;""),COUNTIFS('Leads Pipeline'!$D$5:$D$1004,$A233,'Leads Pipeline'!$E$5:$E$1004,$B233,'Leads Pipeline'!$P$5:$P$1004,"Hot",'Leads Pipeline'!$O$5:$O$1004,"&lt;&gt;Won",'Leads Pipeline'!$O$5:$O$1004,"&lt;&gt;Lost"),"")</f>
        <v/>
      </c>
      <c r="F233" s="43" t="str">
        <f aca="false">IF(AND($A233&lt;&gt;"",$B233&lt;&gt;""),COUNTIFS('Leads Pipeline'!$D$5:$D$1004,$A233,'Leads Pipeline'!$E$5:$E$1004,$B233,'Leads Pipeline'!$O$5:$O$1004,"Won"),"")</f>
        <v/>
      </c>
      <c r="G233" s="44" t="str">
        <f aca="false">IF(AND($A233&lt;&gt;"",$B233&lt;&gt;""),SUMIFS('Leads Pipeline'!$U$5:$U$1004,'Leads Pipeline'!$D$5:$D$1004,$A233,'Leads Pipeline'!$E$5:$E$1004,$B233,'Leads Pipeline'!$O$5:$O$1004,"&lt;&gt;Won",'Leads Pipeline'!$O$5:$O$1004,"&lt;&gt;Lost"),"")</f>
        <v/>
      </c>
      <c r="H233" s="43" t="str">
        <f aca="false">IF(AND($A233&lt;&gt;"",$B233&lt;&gt;""),COUNTIFS('Active Clients'!$B$5:$B$504,$A233,'Active Clients'!$C$5:$C$504,$B233,'Active Clients'!$T$5:$T$504,"Active"),"")</f>
        <v/>
      </c>
      <c r="I233" s="44" t="str">
        <f aca="false">IF(AND($A233&lt;&gt;"",$B233&lt;&gt;""),SUMIFS('Active Clients'!$R$5:$R$504,'Active Clients'!$B$5:$B$504,$A233,'Active Clients'!$C$5:$C$504,$B233),"")</f>
        <v/>
      </c>
      <c r="J233" s="43" t="str">
        <f aca="true">IF(AND($A233&lt;&gt;"",$B233&lt;&gt;""),COUNTIFS('Activity Log'!$E$5:$E$3004,$A233,'Activity Log'!$F$5:$F$3004,$B233,'Activity Log'!$A$5:$A$3004,"&gt;="&amp;(TODAY()-29),'Activity Log'!$A$5:$A$3004,"&lt;="&amp;TODAY()),"")</f>
        <v/>
      </c>
    </row>
    <row r="234" customFormat="false" ht="15" hidden="false" customHeight="false" outlineLevel="0" collapsed="false">
      <c r="A234" s="42"/>
      <c r="B234" s="42"/>
      <c r="C234" s="43" t="str">
        <f aca="false">IF(AND($A234&lt;&gt;"",$B234&lt;&gt;""),COUNTIFS('Leads Pipeline'!$D$5:$D$1004,$A234,'Leads Pipeline'!$E$5:$E$1004,$B234,'Leads Pipeline'!$F$5:$F$1004,"&lt;&gt;"),"")</f>
        <v/>
      </c>
      <c r="D234" s="43" t="str">
        <f aca="false">IF(AND($A234&lt;&gt;"",$B234&lt;&gt;""),COUNTIFS('Leads Pipeline'!$D$5:$D$1004,$A234,'Leads Pipeline'!$E$5:$E$1004,$B234,'Leads Pipeline'!$F$5:$F$1004,"&lt;&gt;",'Leads Pipeline'!$O$5:$O$1004,"&lt;&gt;Won",'Leads Pipeline'!$O$5:$O$1004,"&lt;&gt;Lost"),"")</f>
        <v/>
      </c>
      <c r="E234" s="43" t="str">
        <f aca="false">IF(AND($A234&lt;&gt;"",$B234&lt;&gt;""),COUNTIFS('Leads Pipeline'!$D$5:$D$1004,$A234,'Leads Pipeline'!$E$5:$E$1004,$B234,'Leads Pipeline'!$P$5:$P$1004,"Hot",'Leads Pipeline'!$O$5:$O$1004,"&lt;&gt;Won",'Leads Pipeline'!$O$5:$O$1004,"&lt;&gt;Lost"),"")</f>
        <v/>
      </c>
      <c r="F234" s="43" t="str">
        <f aca="false">IF(AND($A234&lt;&gt;"",$B234&lt;&gt;""),COUNTIFS('Leads Pipeline'!$D$5:$D$1004,$A234,'Leads Pipeline'!$E$5:$E$1004,$B234,'Leads Pipeline'!$O$5:$O$1004,"Won"),"")</f>
        <v/>
      </c>
      <c r="G234" s="44" t="str">
        <f aca="false">IF(AND($A234&lt;&gt;"",$B234&lt;&gt;""),SUMIFS('Leads Pipeline'!$U$5:$U$1004,'Leads Pipeline'!$D$5:$D$1004,$A234,'Leads Pipeline'!$E$5:$E$1004,$B234,'Leads Pipeline'!$O$5:$O$1004,"&lt;&gt;Won",'Leads Pipeline'!$O$5:$O$1004,"&lt;&gt;Lost"),"")</f>
        <v/>
      </c>
      <c r="H234" s="43" t="str">
        <f aca="false">IF(AND($A234&lt;&gt;"",$B234&lt;&gt;""),COUNTIFS('Active Clients'!$B$5:$B$504,$A234,'Active Clients'!$C$5:$C$504,$B234,'Active Clients'!$T$5:$T$504,"Active"),"")</f>
        <v/>
      </c>
      <c r="I234" s="44" t="str">
        <f aca="false">IF(AND($A234&lt;&gt;"",$B234&lt;&gt;""),SUMIFS('Active Clients'!$R$5:$R$504,'Active Clients'!$B$5:$B$504,$A234,'Active Clients'!$C$5:$C$504,$B234),"")</f>
        <v/>
      </c>
      <c r="J234" s="43" t="str">
        <f aca="true">IF(AND($A234&lt;&gt;"",$B234&lt;&gt;""),COUNTIFS('Activity Log'!$E$5:$E$3004,$A234,'Activity Log'!$F$5:$F$3004,$B234,'Activity Log'!$A$5:$A$3004,"&gt;="&amp;(TODAY()-29),'Activity Log'!$A$5:$A$3004,"&lt;="&amp;TODAY()),"")</f>
        <v/>
      </c>
    </row>
    <row r="235" customFormat="false" ht="15" hidden="false" customHeight="false" outlineLevel="0" collapsed="false">
      <c r="A235" s="42"/>
      <c r="B235" s="42"/>
      <c r="C235" s="43" t="str">
        <f aca="false">IF(AND($A235&lt;&gt;"",$B235&lt;&gt;""),COUNTIFS('Leads Pipeline'!$D$5:$D$1004,$A235,'Leads Pipeline'!$E$5:$E$1004,$B235,'Leads Pipeline'!$F$5:$F$1004,"&lt;&gt;"),"")</f>
        <v/>
      </c>
      <c r="D235" s="43" t="str">
        <f aca="false">IF(AND($A235&lt;&gt;"",$B235&lt;&gt;""),COUNTIFS('Leads Pipeline'!$D$5:$D$1004,$A235,'Leads Pipeline'!$E$5:$E$1004,$B235,'Leads Pipeline'!$F$5:$F$1004,"&lt;&gt;",'Leads Pipeline'!$O$5:$O$1004,"&lt;&gt;Won",'Leads Pipeline'!$O$5:$O$1004,"&lt;&gt;Lost"),"")</f>
        <v/>
      </c>
      <c r="E235" s="43" t="str">
        <f aca="false">IF(AND($A235&lt;&gt;"",$B235&lt;&gt;""),COUNTIFS('Leads Pipeline'!$D$5:$D$1004,$A235,'Leads Pipeline'!$E$5:$E$1004,$B235,'Leads Pipeline'!$P$5:$P$1004,"Hot",'Leads Pipeline'!$O$5:$O$1004,"&lt;&gt;Won",'Leads Pipeline'!$O$5:$O$1004,"&lt;&gt;Lost"),"")</f>
        <v/>
      </c>
      <c r="F235" s="43" t="str">
        <f aca="false">IF(AND($A235&lt;&gt;"",$B235&lt;&gt;""),COUNTIFS('Leads Pipeline'!$D$5:$D$1004,$A235,'Leads Pipeline'!$E$5:$E$1004,$B235,'Leads Pipeline'!$O$5:$O$1004,"Won"),"")</f>
        <v/>
      </c>
      <c r="G235" s="44" t="str">
        <f aca="false">IF(AND($A235&lt;&gt;"",$B235&lt;&gt;""),SUMIFS('Leads Pipeline'!$U$5:$U$1004,'Leads Pipeline'!$D$5:$D$1004,$A235,'Leads Pipeline'!$E$5:$E$1004,$B235,'Leads Pipeline'!$O$5:$O$1004,"&lt;&gt;Won",'Leads Pipeline'!$O$5:$O$1004,"&lt;&gt;Lost"),"")</f>
        <v/>
      </c>
      <c r="H235" s="43" t="str">
        <f aca="false">IF(AND($A235&lt;&gt;"",$B235&lt;&gt;""),COUNTIFS('Active Clients'!$B$5:$B$504,$A235,'Active Clients'!$C$5:$C$504,$B235,'Active Clients'!$T$5:$T$504,"Active"),"")</f>
        <v/>
      </c>
      <c r="I235" s="44" t="str">
        <f aca="false">IF(AND($A235&lt;&gt;"",$B235&lt;&gt;""),SUMIFS('Active Clients'!$R$5:$R$504,'Active Clients'!$B$5:$B$504,$A235,'Active Clients'!$C$5:$C$504,$B235),"")</f>
        <v/>
      </c>
      <c r="J235" s="43" t="str">
        <f aca="true">IF(AND($A235&lt;&gt;"",$B235&lt;&gt;""),COUNTIFS('Activity Log'!$E$5:$E$3004,$A235,'Activity Log'!$F$5:$F$3004,$B235,'Activity Log'!$A$5:$A$3004,"&gt;="&amp;(TODAY()-29),'Activity Log'!$A$5:$A$3004,"&lt;="&amp;TODAY()),"")</f>
        <v/>
      </c>
    </row>
    <row r="236" customFormat="false" ht="15" hidden="false" customHeight="false" outlineLevel="0" collapsed="false">
      <c r="A236" s="42"/>
      <c r="B236" s="42"/>
      <c r="C236" s="43" t="str">
        <f aca="false">IF(AND($A236&lt;&gt;"",$B236&lt;&gt;""),COUNTIFS('Leads Pipeline'!$D$5:$D$1004,$A236,'Leads Pipeline'!$E$5:$E$1004,$B236,'Leads Pipeline'!$F$5:$F$1004,"&lt;&gt;"),"")</f>
        <v/>
      </c>
      <c r="D236" s="43" t="str">
        <f aca="false">IF(AND($A236&lt;&gt;"",$B236&lt;&gt;""),COUNTIFS('Leads Pipeline'!$D$5:$D$1004,$A236,'Leads Pipeline'!$E$5:$E$1004,$B236,'Leads Pipeline'!$F$5:$F$1004,"&lt;&gt;",'Leads Pipeline'!$O$5:$O$1004,"&lt;&gt;Won",'Leads Pipeline'!$O$5:$O$1004,"&lt;&gt;Lost"),"")</f>
        <v/>
      </c>
      <c r="E236" s="43" t="str">
        <f aca="false">IF(AND($A236&lt;&gt;"",$B236&lt;&gt;""),COUNTIFS('Leads Pipeline'!$D$5:$D$1004,$A236,'Leads Pipeline'!$E$5:$E$1004,$B236,'Leads Pipeline'!$P$5:$P$1004,"Hot",'Leads Pipeline'!$O$5:$O$1004,"&lt;&gt;Won",'Leads Pipeline'!$O$5:$O$1004,"&lt;&gt;Lost"),"")</f>
        <v/>
      </c>
      <c r="F236" s="43" t="str">
        <f aca="false">IF(AND($A236&lt;&gt;"",$B236&lt;&gt;""),COUNTIFS('Leads Pipeline'!$D$5:$D$1004,$A236,'Leads Pipeline'!$E$5:$E$1004,$B236,'Leads Pipeline'!$O$5:$O$1004,"Won"),"")</f>
        <v/>
      </c>
      <c r="G236" s="44" t="str">
        <f aca="false">IF(AND($A236&lt;&gt;"",$B236&lt;&gt;""),SUMIFS('Leads Pipeline'!$U$5:$U$1004,'Leads Pipeline'!$D$5:$D$1004,$A236,'Leads Pipeline'!$E$5:$E$1004,$B236,'Leads Pipeline'!$O$5:$O$1004,"&lt;&gt;Won",'Leads Pipeline'!$O$5:$O$1004,"&lt;&gt;Lost"),"")</f>
        <v/>
      </c>
      <c r="H236" s="43" t="str">
        <f aca="false">IF(AND($A236&lt;&gt;"",$B236&lt;&gt;""),COUNTIFS('Active Clients'!$B$5:$B$504,$A236,'Active Clients'!$C$5:$C$504,$B236,'Active Clients'!$T$5:$T$504,"Active"),"")</f>
        <v/>
      </c>
      <c r="I236" s="44" t="str">
        <f aca="false">IF(AND($A236&lt;&gt;"",$B236&lt;&gt;""),SUMIFS('Active Clients'!$R$5:$R$504,'Active Clients'!$B$5:$B$504,$A236,'Active Clients'!$C$5:$C$504,$B236),"")</f>
        <v/>
      </c>
      <c r="J236" s="43" t="str">
        <f aca="true">IF(AND($A236&lt;&gt;"",$B236&lt;&gt;""),COUNTIFS('Activity Log'!$E$5:$E$3004,$A236,'Activity Log'!$F$5:$F$3004,$B236,'Activity Log'!$A$5:$A$3004,"&gt;="&amp;(TODAY()-29),'Activity Log'!$A$5:$A$3004,"&lt;="&amp;TODAY()),"")</f>
        <v/>
      </c>
    </row>
    <row r="237" customFormat="false" ht="15" hidden="false" customHeight="false" outlineLevel="0" collapsed="false">
      <c r="A237" s="42"/>
      <c r="B237" s="42"/>
      <c r="C237" s="43" t="str">
        <f aca="false">IF(AND($A237&lt;&gt;"",$B237&lt;&gt;""),COUNTIFS('Leads Pipeline'!$D$5:$D$1004,$A237,'Leads Pipeline'!$E$5:$E$1004,$B237,'Leads Pipeline'!$F$5:$F$1004,"&lt;&gt;"),"")</f>
        <v/>
      </c>
      <c r="D237" s="43" t="str">
        <f aca="false">IF(AND($A237&lt;&gt;"",$B237&lt;&gt;""),COUNTIFS('Leads Pipeline'!$D$5:$D$1004,$A237,'Leads Pipeline'!$E$5:$E$1004,$B237,'Leads Pipeline'!$F$5:$F$1004,"&lt;&gt;",'Leads Pipeline'!$O$5:$O$1004,"&lt;&gt;Won",'Leads Pipeline'!$O$5:$O$1004,"&lt;&gt;Lost"),"")</f>
        <v/>
      </c>
      <c r="E237" s="43" t="str">
        <f aca="false">IF(AND($A237&lt;&gt;"",$B237&lt;&gt;""),COUNTIFS('Leads Pipeline'!$D$5:$D$1004,$A237,'Leads Pipeline'!$E$5:$E$1004,$B237,'Leads Pipeline'!$P$5:$P$1004,"Hot",'Leads Pipeline'!$O$5:$O$1004,"&lt;&gt;Won",'Leads Pipeline'!$O$5:$O$1004,"&lt;&gt;Lost"),"")</f>
        <v/>
      </c>
      <c r="F237" s="43" t="str">
        <f aca="false">IF(AND($A237&lt;&gt;"",$B237&lt;&gt;""),COUNTIFS('Leads Pipeline'!$D$5:$D$1004,$A237,'Leads Pipeline'!$E$5:$E$1004,$B237,'Leads Pipeline'!$O$5:$O$1004,"Won"),"")</f>
        <v/>
      </c>
      <c r="G237" s="44" t="str">
        <f aca="false">IF(AND($A237&lt;&gt;"",$B237&lt;&gt;""),SUMIFS('Leads Pipeline'!$U$5:$U$1004,'Leads Pipeline'!$D$5:$D$1004,$A237,'Leads Pipeline'!$E$5:$E$1004,$B237,'Leads Pipeline'!$O$5:$O$1004,"&lt;&gt;Won",'Leads Pipeline'!$O$5:$O$1004,"&lt;&gt;Lost"),"")</f>
        <v/>
      </c>
      <c r="H237" s="43" t="str">
        <f aca="false">IF(AND($A237&lt;&gt;"",$B237&lt;&gt;""),COUNTIFS('Active Clients'!$B$5:$B$504,$A237,'Active Clients'!$C$5:$C$504,$B237,'Active Clients'!$T$5:$T$504,"Active"),"")</f>
        <v/>
      </c>
      <c r="I237" s="44" t="str">
        <f aca="false">IF(AND($A237&lt;&gt;"",$B237&lt;&gt;""),SUMIFS('Active Clients'!$R$5:$R$504,'Active Clients'!$B$5:$B$504,$A237,'Active Clients'!$C$5:$C$504,$B237),"")</f>
        <v/>
      </c>
      <c r="J237" s="43" t="str">
        <f aca="true">IF(AND($A237&lt;&gt;"",$B237&lt;&gt;""),COUNTIFS('Activity Log'!$E$5:$E$3004,$A237,'Activity Log'!$F$5:$F$3004,$B237,'Activity Log'!$A$5:$A$3004,"&gt;="&amp;(TODAY()-29),'Activity Log'!$A$5:$A$3004,"&lt;="&amp;TODAY()),"")</f>
        <v/>
      </c>
    </row>
    <row r="238" customFormat="false" ht="15" hidden="false" customHeight="false" outlineLevel="0" collapsed="false">
      <c r="A238" s="42"/>
      <c r="B238" s="42"/>
      <c r="C238" s="43" t="str">
        <f aca="false">IF(AND($A238&lt;&gt;"",$B238&lt;&gt;""),COUNTIFS('Leads Pipeline'!$D$5:$D$1004,$A238,'Leads Pipeline'!$E$5:$E$1004,$B238,'Leads Pipeline'!$F$5:$F$1004,"&lt;&gt;"),"")</f>
        <v/>
      </c>
      <c r="D238" s="43" t="str">
        <f aca="false">IF(AND($A238&lt;&gt;"",$B238&lt;&gt;""),COUNTIFS('Leads Pipeline'!$D$5:$D$1004,$A238,'Leads Pipeline'!$E$5:$E$1004,$B238,'Leads Pipeline'!$F$5:$F$1004,"&lt;&gt;",'Leads Pipeline'!$O$5:$O$1004,"&lt;&gt;Won",'Leads Pipeline'!$O$5:$O$1004,"&lt;&gt;Lost"),"")</f>
        <v/>
      </c>
      <c r="E238" s="43" t="str">
        <f aca="false">IF(AND($A238&lt;&gt;"",$B238&lt;&gt;""),COUNTIFS('Leads Pipeline'!$D$5:$D$1004,$A238,'Leads Pipeline'!$E$5:$E$1004,$B238,'Leads Pipeline'!$P$5:$P$1004,"Hot",'Leads Pipeline'!$O$5:$O$1004,"&lt;&gt;Won",'Leads Pipeline'!$O$5:$O$1004,"&lt;&gt;Lost"),"")</f>
        <v/>
      </c>
      <c r="F238" s="43" t="str">
        <f aca="false">IF(AND($A238&lt;&gt;"",$B238&lt;&gt;""),COUNTIFS('Leads Pipeline'!$D$5:$D$1004,$A238,'Leads Pipeline'!$E$5:$E$1004,$B238,'Leads Pipeline'!$O$5:$O$1004,"Won"),"")</f>
        <v/>
      </c>
      <c r="G238" s="44" t="str">
        <f aca="false">IF(AND($A238&lt;&gt;"",$B238&lt;&gt;""),SUMIFS('Leads Pipeline'!$U$5:$U$1004,'Leads Pipeline'!$D$5:$D$1004,$A238,'Leads Pipeline'!$E$5:$E$1004,$B238,'Leads Pipeline'!$O$5:$O$1004,"&lt;&gt;Won",'Leads Pipeline'!$O$5:$O$1004,"&lt;&gt;Lost"),"")</f>
        <v/>
      </c>
      <c r="H238" s="43" t="str">
        <f aca="false">IF(AND($A238&lt;&gt;"",$B238&lt;&gt;""),COUNTIFS('Active Clients'!$B$5:$B$504,$A238,'Active Clients'!$C$5:$C$504,$B238,'Active Clients'!$T$5:$T$504,"Active"),"")</f>
        <v/>
      </c>
      <c r="I238" s="44" t="str">
        <f aca="false">IF(AND($A238&lt;&gt;"",$B238&lt;&gt;""),SUMIFS('Active Clients'!$R$5:$R$504,'Active Clients'!$B$5:$B$504,$A238,'Active Clients'!$C$5:$C$504,$B238),"")</f>
        <v/>
      </c>
      <c r="J238" s="43" t="str">
        <f aca="true">IF(AND($A238&lt;&gt;"",$B238&lt;&gt;""),COUNTIFS('Activity Log'!$E$5:$E$3004,$A238,'Activity Log'!$F$5:$F$3004,$B238,'Activity Log'!$A$5:$A$3004,"&gt;="&amp;(TODAY()-29),'Activity Log'!$A$5:$A$3004,"&lt;="&amp;TODAY()),"")</f>
        <v/>
      </c>
    </row>
    <row r="239" customFormat="false" ht="15" hidden="false" customHeight="false" outlineLevel="0" collapsed="false">
      <c r="A239" s="42"/>
      <c r="B239" s="42"/>
      <c r="C239" s="43" t="str">
        <f aca="false">IF(AND($A239&lt;&gt;"",$B239&lt;&gt;""),COUNTIFS('Leads Pipeline'!$D$5:$D$1004,$A239,'Leads Pipeline'!$E$5:$E$1004,$B239,'Leads Pipeline'!$F$5:$F$1004,"&lt;&gt;"),"")</f>
        <v/>
      </c>
      <c r="D239" s="43" t="str">
        <f aca="false">IF(AND($A239&lt;&gt;"",$B239&lt;&gt;""),COUNTIFS('Leads Pipeline'!$D$5:$D$1004,$A239,'Leads Pipeline'!$E$5:$E$1004,$B239,'Leads Pipeline'!$F$5:$F$1004,"&lt;&gt;",'Leads Pipeline'!$O$5:$O$1004,"&lt;&gt;Won",'Leads Pipeline'!$O$5:$O$1004,"&lt;&gt;Lost"),"")</f>
        <v/>
      </c>
      <c r="E239" s="43" t="str">
        <f aca="false">IF(AND($A239&lt;&gt;"",$B239&lt;&gt;""),COUNTIFS('Leads Pipeline'!$D$5:$D$1004,$A239,'Leads Pipeline'!$E$5:$E$1004,$B239,'Leads Pipeline'!$P$5:$P$1004,"Hot",'Leads Pipeline'!$O$5:$O$1004,"&lt;&gt;Won",'Leads Pipeline'!$O$5:$O$1004,"&lt;&gt;Lost"),"")</f>
        <v/>
      </c>
      <c r="F239" s="43" t="str">
        <f aca="false">IF(AND($A239&lt;&gt;"",$B239&lt;&gt;""),COUNTIFS('Leads Pipeline'!$D$5:$D$1004,$A239,'Leads Pipeline'!$E$5:$E$1004,$B239,'Leads Pipeline'!$O$5:$O$1004,"Won"),"")</f>
        <v/>
      </c>
      <c r="G239" s="44" t="str">
        <f aca="false">IF(AND($A239&lt;&gt;"",$B239&lt;&gt;""),SUMIFS('Leads Pipeline'!$U$5:$U$1004,'Leads Pipeline'!$D$5:$D$1004,$A239,'Leads Pipeline'!$E$5:$E$1004,$B239,'Leads Pipeline'!$O$5:$O$1004,"&lt;&gt;Won",'Leads Pipeline'!$O$5:$O$1004,"&lt;&gt;Lost"),"")</f>
        <v/>
      </c>
      <c r="H239" s="43" t="str">
        <f aca="false">IF(AND($A239&lt;&gt;"",$B239&lt;&gt;""),COUNTIFS('Active Clients'!$B$5:$B$504,$A239,'Active Clients'!$C$5:$C$504,$B239,'Active Clients'!$T$5:$T$504,"Active"),"")</f>
        <v/>
      </c>
      <c r="I239" s="44" t="str">
        <f aca="false">IF(AND($A239&lt;&gt;"",$B239&lt;&gt;""),SUMIFS('Active Clients'!$R$5:$R$504,'Active Clients'!$B$5:$B$504,$A239,'Active Clients'!$C$5:$C$504,$B239),"")</f>
        <v/>
      </c>
      <c r="J239" s="43" t="str">
        <f aca="true">IF(AND($A239&lt;&gt;"",$B239&lt;&gt;""),COUNTIFS('Activity Log'!$E$5:$E$3004,$A239,'Activity Log'!$F$5:$F$3004,$B239,'Activity Log'!$A$5:$A$3004,"&gt;="&amp;(TODAY()-29),'Activity Log'!$A$5:$A$3004,"&lt;="&amp;TODAY()),"")</f>
        <v/>
      </c>
    </row>
    <row r="240" customFormat="false" ht="15" hidden="false" customHeight="false" outlineLevel="0" collapsed="false">
      <c r="A240" s="42"/>
      <c r="B240" s="42"/>
      <c r="C240" s="43" t="str">
        <f aca="false">IF(AND($A240&lt;&gt;"",$B240&lt;&gt;""),COUNTIFS('Leads Pipeline'!$D$5:$D$1004,$A240,'Leads Pipeline'!$E$5:$E$1004,$B240,'Leads Pipeline'!$F$5:$F$1004,"&lt;&gt;"),"")</f>
        <v/>
      </c>
      <c r="D240" s="43" t="str">
        <f aca="false">IF(AND($A240&lt;&gt;"",$B240&lt;&gt;""),COUNTIFS('Leads Pipeline'!$D$5:$D$1004,$A240,'Leads Pipeline'!$E$5:$E$1004,$B240,'Leads Pipeline'!$F$5:$F$1004,"&lt;&gt;",'Leads Pipeline'!$O$5:$O$1004,"&lt;&gt;Won",'Leads Pipeline'!$O$5:$O$1004,"&lt;&gt;Lost"),"")</f>
        <v/>
      </c>
      <c r="E240" s="43" t="str">
        <f aca="false">IF(AND($A240&lt;&gt;"",$B240&lt;&gt;""),COUNTIFS('Leads Pipeline'!$D$5:$D$1004,$A240,'Leads Pipeline'!$E$5:$E$1004,$B240,'Leads Pipeline'!$P$5:$P$1004,"Hot",'Leads Pipeline'!$O$5:$O$1004,"&lt;&gt;Won",'Leads Pipeline'!$O$5:$O$1004,"&lt;&gt;Lost"),"")</f>
        <v/>
      </c>
      <c r="F240" s="43" t="str">
        <f aca="false">IF(AND($A240&lt;&gt;"",$B240&lt;&gt;""),COUNTIFS('Leads Pipeline'!$D$5:$D$1004,$A240,'Leads Pipeline'!$E$5:$E$1004,$B240,'Leads Pipeline'!$O$5:$O$1004,"Won"),"")</f>
        <v/>
      </c>
      <c r="G240" s="44" t="str">
        <f aca="false">IF(AND($A240&lt;&gt;"",$B240&lt;&gt;""),SUMIFS('Leads Pipeline'!$U$5:$U$1004,'Leads Pipeline'!$D$5:$D$1004,$A240,'Leads Pipeline'!$E$5:$E$1004,$B240,'Leads Pipeline'!$O$5:$O$1004,"&lt;&gt;Won",'Leads Pipeline'!$O$5:$O$1004,"&lt;&gt;Lost"),"")</f>
        <v/>
      </c>
      <c r="H240" s="43" t="str">
        <f aca="false">IF(AND($A240&lt;&gt;"",$B240&lt;&gt;""),COUNTIFS('Active Clients'!$B$5:$B$504,$A240,'Active Clients'!$C$5:$C$504,$B240,'Active Clients'!$T$5:$T$504,"Active"),"")</f>
        <v/>
      </c>
      <c r="I240" s="44" t="str">
        <f aca="false">IF(AND($A240&lt;&gt;"",$B240&lt;&gt;""),SUMIFS('Active Clients'!$R$5:$R$504,'Active Clients'!$B$5:$B$504,$A240,'Active Clients'!$C$5:$C$504,$B240),"")</f>
        <v/>
      </c>
      <c r="J240" s="43" t="str">
        <f aca="true">IF(AND($A240&lt;&gt;"",$B240&lt;&gt;""),COUNTIFS('Activity Log'!$E$5:$E$3004,$A240,'Activity Log'!$F$5:$F$3004,$B240,'Activity Log'!$A$5:$A$3004,"&gt;="&amp;(TODAY()-29),'Activity Log'!$A$5:$A$3004,"&lt;="&amp;TODAY()),"")</f>
        <v/>
      </c>
    </row>
    <row r="241" customFormat="false" ht="15" hidden="false" customHeight="false" outlineLevel="0" collapsed="false">
      <c r="A241" s="42"/>
      <c r="B241" s="42"/>
      <c r="C241" s="43" t="str">
        <f aca="false">IF(AND($A241&lt;&gt;"",$B241&lt;&gt;""),COUNTIFS('Leads Pipeline'!$D$5:$D$1004,$A241,'Leads Pipeline'!$E$5:$E$1004,$B241,'Leads Pipeline'!$F$5:$F$1004,"&lt;&gt;"),"")</f>
        <v/>
      </c>
      <c r="D241" s="43" t="str">
        <f aca="false">IF(AND($A241&lt;&gt;"",$B241&lt;&gt;""),COUNTIFS('Leads Pipeline'!$D$5:$D$1004,$A241,'Leads Pipeline'!$E$5:$E$1004,$B241,'Leads Pipeline'!$F$5:$F$1004,"&lt;&gt;",'Leads Pipeline'!$O$5:$O$1004,"&lt;&gt;Won",'Leads Pipeline'!$O$5:$O$1004,"&lt;&gt;Lost"),"")</f>
        <v/>
      </c>
      <c r="E241" s="43" t="str">
        <f aca="false">IF(AND($A241&lt;&gt;"",$B241&lt;&gt;""),COUNTIFS('Leads Pipeline'!$D$5:$D$1004,$A241,'Leads Pipeline'!$E$5:$E$1004,$B241,'Leads Pipeline'!$P$5:$P$1004,"Hot",'Leads Pipeline'!$O$5:$O$1004,"&lt;&gt;Won",'Leads Pipeline'!$O$5:$O$1004,"&lt;&gt;Lost"),"")</f>
        <v/>
      </c>
      <c r="F241" s="43" t="str">
        <f aca="false">IF(AND($A241&lt;&gt;"",$B241&lt;&gt;""),COUNTIFS('Leads Pipeline'!$D$5:$D$1004,$A241,'Leads Pipeline'!$E$5:$E$1004,$B241,'Leads Pipeline'!$O$5:$O$1004,"Won"),"")</f>
        <v/>
      </c>
      <c r="G241" s="44" t="str">
        <f aca="false">IF(AND($A241&lt;&gt;"",$B241&lt;&gt;""),SUMIFS('Leads Pipeline'!$U$5:$U$1004,'Leads Pipeline'!$D$5:$D$1004,$A241,'Leads Pipeline'!$E$5:$E$1004,$B241,'Leads Pipeline'!$O$5:$O$1004,"&lt;&gt;Won",'Leads Pipeline'!$O$5:$O$1004,"&lt;&gt;Lost"),"")</f>
        <v/>
      </c>
      <c r="H241" s="43" t="str">
        <f aca="false">IF(AND($A241&lt;&gt;"",$B241&lt;&gt;""),COUNTIFS('Active Clients'!$B$5:$B$504,$A241,'Active Clients'!$C$5:$C$504,$B241,'Active Clients'!$T$5:$T$504,"Active"),"")</f>
        <v/>
      </c>
      <c r="I241" s="44" t="str">
        <f aca="false">IF(AND($A241&lt;&gt;"",$B241&lt;&gt;""),SUMIFS('Active Clients'!$R$5:$R$504,'Active Clients'!$B$5:$B$504,$A241,'Active Clients'!$C$5:$C$504,$B241),"")</f>
        <v/>
      </c>
      <c r="J241" s="43" t="str">
        <f aca="true">IF(AND($A241&lt;&gt;"",$B241&lt;&gt;""),COUNTIFS('Activity Log'!$E$5:$E$3004,$A241,'Activity Log'!$F$5:$F$3004,$B241,'Activity Log'!$A$5:$A$3004,"&gt;="&amp;(TODAY()-29),'Activity Log'!$A$5:$A$3004,"&lt;="&amp;TODAY()),"")</f>
        <v/>
      </c>
    </row>
    <row r="242" customFormat="false" ht="15" hidden="false" customHeight="false" outlineLevel="0" collapsed="false">
      <c r="A242" s="42"/>
      <c r="B242" s="42"/>
      <c r="C242" s="43" t="str">
        <f aca="false">IF(AND($A242&lt;&gt;"",$B242&lt;&gt;""),COUNTIFS('Leads Pipeline'!$D$5:$D$1004,$A242,'Leads Pipeline'!$E$5:$E$1004,$B242,'Leads Pipeline'!$F$5:$F$1004,"&lt;&gt;"),"")</f>
        <v/>
      </c>
      <c r="D242" s="43" t="str">
        <f aca="false">IF(AND($A242&lt;&gt;"",$B242&lt;&gt;""),COUNTIFS('Leads Pipeline'!$D$5:$D$1004,$A242,'Leads Pipeline'!$E$5:$E$1004,$B242,'Leads Pipeline'!$F$5:$F$1004,"&lt;&gt;",'Leads Pipeline'!$O$5:$O$1004,"&lt;&gt;Won",'Leads Pipeline'!$O$5:$O$1004,"&lt;&gt;Lost"),"")</f>
        <v/>
      </c>
      <c r="E242" s="43" t="str">
        <f aca="false">IF(AND($A242&lt;&gt;"",$B242&lt;&gt;""),COUNTIFS('Leads Pipeline'!$D$5:$D$1004,$A242,'Leads Pipeline'!$E$5:$E$1004,$B242,'Leads Pipeline'!$P$5:$P$1004,"Hot",'Leads Pipeline'!$O$5:$O$1004,"&lt;&gt;Won",'Leads Pipeline'!$O$5:$O$1004,"&lt;&gt;Lost"),"")</f>
        <v/>
      </c>
      <c r="F242" s="43" t="str">
        <f aca="false">IF(AND($A242&lt;&gt;"",$B242&lt;&gt;""),COUNTIFS('Leads Pipeline'!$D$5:$D$1004,$A242,'Leads Pipeline'!$E$5:$E$1004,$B242,'Leads Pipeline'!$O$5:$O$1004,"Won"),"")</f>
        <v/>
      </c>
      <c r="G242" s="44" t="str">
        <f aca="false">IF(AND($A242&lt;&gt;"",$B242&lt;&gt;""),SUMIFS('Leads Pipeline'!$U$5:$U$1004,'Leads Pipeline'!$D$5:$D$1004,$A242,'Leads Pipeline'!$E$5:$E$1004,$B242,'Leads Pipeline'!$O$5:$O$1004,"&lt;&gt;Won",'Leads Pipeline'!$O$5:$O$1004,"&lt;&gt;Lost"),"")</f>
        <v/>
      </c>
      <c r="H242" s="43" t="str">
        <f aca="false">IF(AND($A242&lt;&gt;"",$B242&lt;&gt;""),COUNTIFS('Active Clients'!$B$5:$B$504,$A242,'Active Clients'!$C$5:$C$504,$B242,'Active Clients'!$T$5:$T$504,"Active"),"")</f>
        <v/>
      </c>
      <c r="I242" s="44" t="str">
        <f aca="false">IF(AND($A242&lt;&gt;"",$B242&lt;&gt;""),SUMIFS('Active Clients'!$R$5:$R$504,'Active Clients'!$B$5:$B$504,$A242,'Active Clients'!$C$5:$C$504,$B242),"")</f>
        <v/>
      </c>
      <c r="J242" s="43" t="str">
        <f aca="true">IF(AND($A242&lt;&gt;"",$B242&lt;&gt;""),COUNTIFS('Activity Log'!$E$5:$E$3004,$A242,'Activity Log'!$F$5:$F$3004,$B242,'Activity Log'!$A$5:$A$3004,"&gt;="&amp;(TODAY()-29),'Activity Log'!$A$5:$A$3004,"&lt;="&amp;TODAY()),"")</f>
        <v/>
      </c>
    </row>
    <row r="243" customFormat="false" ht="15" hidden="false" customHeight="false" outlineLevel="0" collapsed="false">
      <c r="A243" s="42"/>
      <c r="B243" s="42"/>
      <c r="C243" s="43" t="str">
        <f aca="false">IF(AND($A243&lt;&gt;"",$B243&lt;&gt;""),COUNTIFS('Leads Pipeline'!$D$5:$D$1004,$A243,'Leads Pipeline'!$E$5:$E$1004,$B243,'Leads Pipeline'!$F$5:$F$1004,"&lt;&gt;"),"")</f>
        <v/>
      </c>
      <c r="D243" s="43" t="str">
        <f aca="false">IF(AND($A243&lt;&gt;"",$B243&lt;&gt;""),COUNTIFS('Leads Pipeline'!$D$5:$D$1004,$A243,'Leads Pipeline'!$E$5:$E$1004,$B243,'Leads Pipeline'!$F$5:$F$1004,"&lt;&gt;",'Leads Pipeline'!$O$5:$O$1004,"&lt;&gt;Won",'Leads Pipeline'!$O$5:$O$1004,"&lt;&gt;Lost"),"")</f>
        <v/>
      </c>
      <c r="E243" s="43" t="str">
        <f aca="false">IF(AND($A243&lt;&gt;"",$B243&lt;&gt;""),COUNTIFS('Leads Pipeline'!$D$5:$D$1004,$A243,'Leads Pipeline'!$E$5:$E$1004,$B243,'Leads Pipeline'!$P$5:$P$1004,"Hot",'Leads Pipeline'!$O$5:$O$1004,"&lt;&gt;Won",'Leads Pipeline'!$O$5:$O$1004,"&lt;&gt;Lost"),"")</f>
        <v/>
      </c>
      <c r="F243" s="43" t="str">
        <f aca="false">IF(AND($A243&lt;&gt;"",$B243&lt;&gt;""),COUNTIFS('Leads Pipeline'!$D$5:$D$1004,$A243,'Leads Pipeline'!$E$5:$E$1004,$B243,'Leads Pipeline'!$O$5:$O$1004,"Won"),"")</f>
        <v/>
      </c>
      <c r="G243" s="44" t="str">
        <f aca="false">IF(AND($A243&lt;&gt;"",$B243&lt;&gt;""),SUMIFS('Leads Pipeline'!$U$5:$U$1004,'Leads Pipeline'!$D$5:$D$1004,$A243,'Leads Pipeline'!$E$5:$E$1004,$B243,'Leads Pipeline'!$O$5:$O$1004,"&lt;&gt;Won",'Leads Pipeline'!$O$5:$O$1004,"&lt;&gt;Lost"),"")</f>
        <v/>
      </c>
      <c r="H243" s="43" t="str">
        <f aca="false">IF(AND($A243&lt;&gt;"",$B243&lt;&gt;""),COUNTIFS('Active Clients'!$B$5:$B$504,$A243,'Active Clients'!$C$5:$C$504,$B243,'Active Clients'!$T$5:$T$504,"Active"),"")</f>
        <v/>
      </c>
      <c r="I243" s="44" t="str">
        <f aca="false">IF(AND($A243&lt;&gt;"",$B243&lt;&gt;""),SUMIFS('Active Clients'!$R$5:$R$504,'Active Clients'!$B$5:$B$504,$A243,'Active Clients'!$C$5:$C$504,$B243),"")</f>
        <v/>
      </c>
      <c r="J243" s="43" t="str">
        <f aca="true">IF(AND($A243&lt;&gt;"",$B243&lt;&gt;""),COUNTIFS('Activity Log'!$E$5:$E$3004,$A243,'Activity Log'!$F$5:$F$3004,$B243,'Activity Log'!$A$5:$A$3004,"&gt;="&amp;(TODAY()-29),'Activity Log'!$A$5:$A$3004,"&lt;="&amp;TODAY()),"")</f>
        <v/>
      </c>
    </row>
    <row r="244" customFormat="false" ht="15" hidden="false" customHeight="false" outlineLevel="0" collapsed="false">
      <c r="A244" s="42"/>
      <c r="B244" s="42"/>
      <c r="C244" s="43" t="str">
        <f aca="false">IF(AND($A244&lt;&gt;"",$B244&lt;&gt;""),COUNTIFS('Leads Pipeline'!$D$5:$D$1004,$A244,'Leads Pipeline'!$E$5:$E$1004,$B244,'Leads Pipeline'!$F$5:$F$1004,"&lt;&gt;"),"")</f>
        <v/>
      </c>
      <c r="D244" s="43" t="str">
        <f aca="false">IF(AND($A244&lt;&gt;"",$B244&lt;&gt;""),COUNTIFS('Leads Pipeline'!$D$5:$D$1004,$A244,'Leads Pipeline'!$E$5:$E$1004,$B244,'Leads Pipeline'!$F$5:$F$1004,"&lt;&gt;",'Leads Pipeline'!$O$5:$O$1004,"&lt;&gt;Won",'Leads Pipeline'!$O$5:$O$1004,"&lt;&gt;Lost"),"")</f>
        <v/>
      </c>
      <c r="E244" s="43" t="str">
        <f aca="false">IF(AND($A244&lt;&gt;"",$B244&lt;&gt;""),COUNTIFS('Leads Pipeline'!$D$5:$D$1004,$A244,'Leads Pipeline'!$E$5:$E$1004,$B244,'Leads Pipeline'!$P$5:$P$1004,"Hot",'Leads Pipeline'!$O$5:$O$1004,"&lt;&gt;Won",'Leads Pipeline'!$O$5:$O$1004,"&lt;&gt;Lost"),"")</f>
        <v/>
      </c>
      <c r="F244" s="43" t="str">
        <f aca="false">IF(AND($A244&lt;&gt;"",$B244&lt;&gt;""),COUNTIFS('Leads Pipeline'!$D$5:$D$1004,$A244,'Leads Pipeline'!$E$5:$E$1004,$B244,'Leads Pipeline'!$O$5:$O$1004,"Won"),"")</f>
        <v/>
      </c>
      <c r="G244" s="44" t="str">
        <f aca="false">IF(AND($A244&lt;&gt;"",$B244&lt;&gt;""),SUMIFS('Leads Pipeline'!$U$5:$U$1004,'Leads Pipeline'!$D$5:$D$1004,$A244,'Leads Pipeline'!$E$5:$E$1004,$B244,'Leads Pipeline'!$O$5:$O$1004,"&lt;&gt;Won",'Leads Pipeline'!$O$5:$O$1004,"&lt;&gt;Lost"),"")</f>
        <v/>
      </c>
      <c r="H244" s="43" t="str">
        <f aca="false">IF(AND($A244&lt;&gt;"",$B244&lt;&gt;""),COUNTIFS('Active Clients'!$B$5:$B$504,$A244,'Active Clients'!$C$5:$C$504,$B244,'Active Clients'!$T$5:$T$504,"Active"),"")</f>
        <v/>
      </c>
      <c r="I244" s="44" t="str">
        <f aca="false">IF(AND($A244&lt;&gt;"",$B244&lt;&gt;""),SUMIFS('Active Clients'!$R$5:$R$504,'Active Clients'!$B$5:$B$504,$A244,'Active Clients'!$C$5:$C$504,$B244),"")</f>
        <v/>
      </c>
      <c r="J244" s="43" t="str">
        <f aca="true">IF(AND($A244&lt;&gt;"",$B244&lt;&gt;""),COUNTIFS('Activity Log'!$E$5:$E$3004,$A244,'Activity Log'!$F$5:$F$3004,$B244,'Activity Log'!$A$5:$A$3004,"&gt;="&amp;(TODAY()-29),'Activity Log'!$A$5:$A$3004,"&lt;="&amp;TODAY()),"")</f>
        <v/>
      </c>
    </row>
    <row r="245" customFormat="false" ht="15" hidden="false" customHeight="false" outlineLevel="0" collapsed="false">
      <c r="A245" s="42"/>
      <c r="B245" s="42"/>
      <c r="C245" s="43" t="str">
        <f aca="false">IF(AND($A245&lt;&gt;"",$B245&lt;&gt;""),COUNTIFS('Leads Pipeline'!$D$5:$D$1004,$A245,'Leads Pipeline'!$E$5:$E$1004,$B245,'Leads Pipeline'!$F$5:$F$1004,"&lt;&gt;"),"")</f>
        <v/>
      </c>
      <c r="D245" s="43" t="str">
        <f aca="false">IF(AND($A245&lt;&gt;"",$B245&lt;&gt;""),COUNTIFS('Leads Pipeline'!$D$5:$D$1004,$A245,'Leads Pipeline'!$E$5:$E$1004,$B245,'Leads Pipeline'!$F$5:$F$1004,"&lt;&gt;",'Leads Pipeline'!$O$5:$O$1004,"&lt;&gt;Won",'Leads Pipeline'!$O$5:$O$1004,"&lt;&gt;Lost"),"")</f>
        <v/>
      </c>
      <c r="E245" s="43" t="str">
        <f aca="false">IF(AND($A245&lt;&gt;"",$B245&lt;&gt;""),COUNTIFS('Leads Pipeline'!$D$5:$D$1004,$A245,'Leads Pipeline'!$E$5:$E$1004,$B245,'Leads Pipeline'!$P$5:$P$1004,"Hot",'Leads Pipeline'!$O$5:$O$1004,"&lt;&gt;Won",'Leads Pipeline'!$O$5:$O$1004,"&lt;&gt;Lost"),"")</f>
        <v/>
      </c>
      <c r="F245" s="43" t="str">
        <f aca="false">IF(AND($A245&lt;&gt;"",$B245&lt;&gt;""),COUNTIFS('Leads Pipeline'!$D$5:$D$1004,$A245,'Leads Pipeline'!$E$5:$E$1004,$B245,'Leads Pipeline'!$O$5:$O$1004,"Won"),"")</f>
        <v/>
      </c>
      <c r="G245" s="44" t="str">
        <f aca="false">IF(AND($A245&lt;&gt;"",$B245&lt;&gt;""),SUMIFS('Leads Pipeline'!$U$5:$U$1004,'Leads Pipeline'!$D$5:$D$1004,$A245,'Leads Pipeline'!$E$5:$E$1004,$B245,'Leads Pipeline'!$O$5:$O$1004,"&lt;&gt;Won",'Leads Pipeline'!$O$5:$O$1004,"&lt;&gt;Lost"),"")</f>
        <v/>
      </c>
      <c r="H245" s="43" t="str">
        <f aca="false">IF(AND($A245&lt;&gt;"",$B245&lt;&gt;""),COUNTIFS('Active Clients'!$B$5:$B$504,$A245,'Active Clients'!$C$5:$C$504,$B245,'Active Clients'!$T$5:$T$504,"Active"),"")</f>
        <v/>
      </c>
      <c r="I245" s="44" t="str">
        <f aca="false">IF(AND($A245&lt;&gt;"",$B245&lt;&gt;""),SUMIFS('Active Clients'!$R$5:$R$504,'Active Clients'!$B$5:$B$504,$A245,'Active Clients'!$C$5:$C$504,$B245),"")</f>
        <v/>
      </c>
      <c r="J245" s="43" t="str">
        <f aca="true">IF(AND($A245&lt;&gt;"",$B245&lt;&gt;""),COUNTIFS('Activity Log'!$E$5:$E$3004,$A245,'Activity Log'!$F$5:$F$3004,$B245,'Activity Log'!$A$5:$A$3004,"&gt;="&amp;(TODAY()-29),'Activity Log'!$A$5:$A$3004,"&lt;="&amp;TODAY()),"")</f>
        <v/>
      </c>
    </row>
    <row r="246" customFormat="false" ht="15" hidden="false" customHeight="false" outlineLevel="0" collapsed="false">
      <c r="A246" s="42"/>
      <c r="B246" s="42"/>
      <c r="C246" s="43" t="str">
        <f aca="false">IF(AND($A246&lt;&gt;"",$B246&lt;&gt;""),COUNTIFS('Leads Pipeline'!$D$5:$D$1004,$A246,'Leads Pipeline'!$E$5:$E$1004,$B246,'Leads Pipeline'!$F$5:$F$1004,"&lt;&gt;"),"")</f>
        <v/>
      </c>
      <c r="D246" s="43" t="str">
        <f aca="false">IF(AND($A246&lt;&gt;"",$B246&lt;&gt;""),COUNTIFS('Leads Pipeline'!$D$5:$D$1004,$A246,'Leads Pipeline'!$E$5:$E$1004,$B246,'Leads Pipeline'!$F$5:$F$1004,"&lt;&gt;",'Leads Pipeline'!$O$5:$O$1004,"&lt;&gt;Won",'Leads Pipeline'!$O$5:$O$1004,"&lt;&gt;Lost"),"")</f>
        <v/>
      </c>
      <c r="E246" s="43" t="str">
        <f aca="false">IF(AND($A246&lt;&gt;"",$B246&lt;&gt;""),COUNTIFS('Leads Pipeline'!$D$5:$D$1004,$A246,'Leads Pipeline'!$E$5:$E$1004,$B246,'Leads Pipeline'!$P$5:$P$1004,"Hot",'Leads Pipeline'!$O$5:$O$1004,"&lt;&gt;Won",'Leads Pipeline'!$O$5:$O$1004,"&lt;&gt;Lost"),"")</f>
        <v/>
      </c>
      <c r="F246" s="43" t="str">
        <f aca="false">IF(AND($A246&lt;&gt;"",$B246&lt;&gt;""),COUNTIFS('Leads Pipeline'!$D$5:$D$1004,$A246,'Leads Pipeline'!$E$5:$E$1004,$B246,'Leads Pipeline'!$O$5:$O$1004,"Won"),"")</f>
        <v/>
      </c>
      <c r="G246" s="44" t="str">
        <f aca="false">IF(AND($A246&lt;&gt;"",$B246&lt;&gt;""),SUMIFS('Leads Pipeline'!$U$5:$U$1004,'Leads Pipeline'!$D$5:$D$1004,$A246,'Leads Pipeline'!$E$5:$E$1004,$B246,'Leads Pipeline'!$O$5:$O$1004,"&lt;&gt;Won",'Leads Pipeline'!$O$5:$O$1004,"&lt;&gt;Lost"),"")</f>
        <v/>
      </c>
      <c r="H246" s="43" t="str">
        <f aca="false">IF(AND($A246&lt;&gt;"",$B246&lt;&gt;""),COUNTIFS('Active Clients'!$B$5:$B$504,$A246,'Active Clients'!$C$5:$C$504,$B246,'Active Clients'!$T$5:$T$504,"Active"),"")</f>
        <v/>
      </c>
      <c r="I246" s="44" t="str">
        <f aca="false">IF(AND($A246&lt;&gt;"",$B246&lt;&gt;""),SUMIFS('Active Clients'!$R$5:$R$504,'Active Clients'!$B$5:$B$504,$A246,'Active Clients'!$C$5:$C$504,$B246),"")</f>
        <v/>
      </c>
      <c r="J246" s="43" t="str">
        <f aca="true">IF(AND($A246&lt;&gt;"",$B246&lt;&gt;""),COUNTIFS('Activity Log'!$E$5:$E$3004,$A246,'Activity Log'!$F$5:$F$3004,$B246,'Activity Log'!$A$5:$A$3004,"&gt;="&amp;(TODAY()-29),'Activity Log'!$A$5:$A$3004,"&lt;="&amp;TODAY()),"")</f>
        <v/>
      </c>
    </row>
    <row r="247" customFormat="false" ht="15" hidden="false" customHeight="false" outlineLevel="0" collapsed="false">
      <c r="A247" s="42"/>
      <c r="B247" s="42"/>
      <c r="C247" s="43" t="str">
        <f aca="false">IF(AND($A247&lt;&gt;"",$B247&lt;&gt;""),COUNTIFS('Leads Pipeline'!$D$5:$D$1004,$A247,'Leads Pipeline'!$E$5:$E$1004,$B247,'Leads Pipeline'!$F$5:$F$1004,"&lt;&gt;"),"")</f>
        <v/>
      </c>
      <c r="D247" s="43" t="str">
        <f aca="false">IF(AND($A247&lt;&gt;"",$B247&lt;&gt;""),COUNTIFS('Leads Pipeline'!$D$5:$D$1004,$A247,'Leads Pipeline'!$E$5:$E$1004,$B247,'Leads Pipeline'!$F$5:$F$1004,"&lt;&gt;",'Leads Pipeline'!$O$5:$O$1004,"&lt;&gt;Won",'Leads Pipeline'!$O$5:$O$1004,"&lt;&gt;Lost"),"")</f>
        <v/>
      </c>
      <c r="E247" s="43" t="str">
        <f aca="false">IF(AND($A247&lt;&gt;"",$B247&lt;&gt;""),COUNTIFS('Leads Pipeline'!$D$5:$D$1004,$A247,'Leads Pipeline'!$E$5:$E$1004,$B247,'Leads Pipeline'!$P$5:$P$1004,"Hot",'Leads Pipeline'!$O$5:$O$1004,"&lt;&gt;Won",'Leads Pipeline'!$O$5:$O$1004,"&lt;&gt;Lost"),"")</f>
        <v/>
      </c>
      <c r="F247" s="43" t="str">
        <f aca="false">IF(AND($A247&lt;&gt;"",$B247&lt;&gt;""),COUNTIFS('Leads Pipeline'!$D$5:$D$1004,$A247,'Leads Pipeline'!$E$5:$E$1004,$B247,'Leads Pipeline'!$O$5:$O$1004,"Won"),"")</f>
        <v/>
      </c>
      <c r="G247" s="44" t="str">
        <f aca="false">IF(AND($A247&lt;&gt;"",$B247&lt;&gt;""),SUMIFS('Leads Pipeline'!$U$5:$U$1004,'Leads Pipeline'!$D$5:$D$1004,$A247,'Leads Pipeline'!$E$5:$E$1004,$B247,'Leads Pipeline'!$O$5:$O$1004,"&lt;&gt;Won",'Leads Pipeline'!$O$5:$O$1004,"&lt;&gt;Lost"),"")</f>
        <v/>
      </c>
      <c r="H247" s="43" t="str">
        <f aca="false">IF(AND($A247&lt;&gt;"",$B247&lt;&gt;""),COUNTIFS('Active Clients'!$B$5:$B$504,$A247,'Active Clients'!$C$5:$C$504,$B247,'Active Clients'!$T$5:$T$504,"Active"),"")</f>
        <v/>
      </c>
      <c r="I247" s="44" t="str">
        <f aca="false">IF(AND($A247&lt;&gt;"",$B247&lt;&gt;""),SUMIFS('Active Clients'!$R$5:$R$504,'Active Clients'!$B$5:$B$504,$A247,'Active Clients'!$C$5:$C$504,$B247),"")</f>
        <v/>
      </c>
      <c r="J247" s="43" t="str">
        <f aca="true">IF(AND($A247&lt;&gt;"",$B247&lt;&gt;""),COUNTIFS('Activity Log'!$E$5:$E$3004,$A247,'Activity Log'!$F$5:$F$3004,$B247,'Activity Log'!$A$5:$A$3004,"&gt;="&amp;(TODAY()-29),'Activity Log'!$A$5:$A$3004,"&lt;="&amp;TODAY()),"")</f>
        <v/>
      </c>
    </row>
    <row r="248" customFormat="false" ht="15" hidden="false" customHeight="false" outlineLevel="0" collapsed="false">
      <c r="A248" s="42"/>
      <c r="B248" s="42"/>
      <c r="C248" s="43" t="str">
        <f aca="false">IF(AND($A248&lt;&gt;"",$B248&lt;&gt;""),COUNTIFS('Leads Pipeline'!$D$5:$D$1004,$A248,'Leads Pipeline'!$E$5:$E$1004,$B248,'Leads Pipeline'!$F$5:$F$1004,"&lt;&gt;"),"")</f>
        <v/>
      </c>
      <c r="D248" s="43" t="str">
        <f aca="false">IF(AND($A248&lt;&gt;"",$B248&lt;&gt;""),COUNTIFS('Leads Pipeline'!$D$5:$D$1004,$A248,'Leads Pipeline'!$E$5:$E$1004,$B248,'Leads Pipeline'!$F$5:$F$1004,"&lt;&gt;",'Leads Pipeline'!$O$5:$O$1004,"&lt;&gt;Won",'Leads Pipeline'!$O$5:$O$1004,"&lt;&gt;Lost"),"")</f>
        <v/>
      </c>
      <c r="E248" s="43" t="str">
        <f aca="false">IF(AND($A248&lt;&gt;"",$B248&lt;&gt;""),COUNTIFS('Leads Pipeline'!$D$5:$D$1004,$A248,'Leads Pipeline'!$E$5:$E$1004,$B248,'Leads Pipeline'!$P$5:$P$1004,"Hot",'Leads Pipeline'!$O$5:$O$1004,"&lt;&gt;Won",'Leads Pipeline'!$O$5:$O$1004,"&lt;&gt;Lost"),"")</f>
        <v/>
      </c>
      <c r="F248" s="43" t="str">
        <f aca="false">IF(AND($A248&lt;&gt;"",$B248&lt;&gt;""),COUNTIFS('Leads Pipeline'!$D$5:$D$1004,$A248,'Leads Pipeline'!$E$5:$E$1004,$B248,'Leads Pipeline'!$O$5:$O$1004,"Won"),"")</f>
        <v/>
      </c>
      <c r="G248" s="44" t="str">
        <f aca="false">IF(AND($A248&lt;&gt;"",$B248&lt;&gt;""),SUMIFS('Leads Pipeline'!$U$5:$U$1004,'Leads Pipeline'!$D$5:$D$1004,$A248,'Leads Pipeline'!$E$5:$E$1004,$B248,'Leads Pipeline'!$O$5:$O$1004,"&lt;&gt;Won",'Leads Pipeline'!$O$5:$O$1004,"&lt;&gt;Lost"),"")</f>
        <v/>
      </c>
      <c r="H248" s="43" t="str">
        <f aca="false">IF(AND($A248&lt;&gt;"",$B248&lt;&gt;""),COUNTIFS('Active Clients'!$B$5:$B$504,$A248,'Active Clients'!$C$5:$C$504,$B248,'Active Clients'!$T$5:$T$504,"Active"),"")</f>
        <v/>
      </c>
      <c r="I248" s="44" t="str">
        <f aca="false">IF(AND($A248&lt;&gt;"",$B248&lt;&gt;""),SUMIFS('Active Clients'!$R$5:$R$504,'Active Clients'!$B$5:$B$504,$A248,'Active Clients'!$C$5:$C$504,$B248),"")</f>
        <v/>
      </c>
      <c r="J248" s="43" t="str">
        <f aca="true">IF(AND($A248&lt;&gt;"",$B248&lt;&gt;""),COUNTIFS('Activity Log'!$E$5:$E$3004,$A248,'Activity Log'!$F$5:$F$3004,$B248,'Activity Log'!$A$5:$A$3004,"&gt;="&amp;(TODAY()-29),'Activity Log'!$A$5:$A$3004,"&lt;="&amp;TODAY()),"")</f>
        <v/>
      </c>
    </row>
    <row r="249" customFormat="false" ht="15" hidden="false" customHeight="false" outlineLevel="0" collapsed="false">
      <c r="A249" s="42"/>
      <c r="B249" s="42"/>
      <c r="C249" s="43" t="str">
        <f aca="false">IF(AND($A249&lt;&gt;"",$B249&lt;&gt;""),COUNTIFS('Leads Pipeline'!$D$5:$D$1004,$A249,'Leads Pipeline'!$E$5:$E$1004,$B249,'Leads Pipeline'!$F$5:$F$1004,"&lt;&gt;"),"")</f>
        <v/>
      </c>
      <c r="D249" s="43" t="str">
        <f aca="false">IF(AND($A249&lt;&gt;"",$B249&lt;&gt;""),COUNTIFS('Leads Pipeline'!$D$5:$D$1004,$A249,'Leads Pipeline'!$E$5:$E$1004,$B249,'Leads Pipeline'!$F$5:$F$1004,"&lt;&gt;",'Leads Pipeline'!$O$5:$O$1004,"&lt;&gt;Won",'Leads Pipeline'!$O$5:$O$1004,"&lt;&gt;Lost"),"")</f>
        <v/>
      </c>
      <c r="E249" s="43" t="str">
        <f aca="false">IF(AND($A249&lt;&gt;"",$B249&lt;&gt;""),COUNTIFS('Leads Pipeline'!$D$5:$D$1004,$A249,'Leads Pipeline'!$E$5:$E$1004,$B249,'Leads Pipeline'!$P$5:$P$1004,"Hot",'Leads Pipeline'!$O$5:$O$1004,"&lt;&gt;Won",'Leads Pipeline'!$O$5:$O$1004,"&lt;&gt;Lost"),"")</f>
        <v/>
      </c>
      <c r="F249" s="43" t="str">
        <f aca="false">IF(AND($A249&lt;&gt;"",$B249&lt;&gt;""),COUNTIFS('Leads Pipeline'!$D$5:$D$1004,$A249,'Leads Pipeline'!$E$5:$E$1004,$B249,'Leads Pipeline'!$O$5:$O$1004,"Won"),"")</f>
        <v/>
      </c>
      <c r="G249" s="44" t="str">
        <f aca="false">IF(AND($A249&lt;&gt;"",$B249&lt;&gt;""),SUMIFS('Leads Pipeline'!$U$5:$U$1004,'Leads Pipeline'!$D$5:$D$1004,$A249,'Leads Pipeline'!$E$5:$E$1004,$B249,'Leads Pipeline'!$O$5:$O$1004,"&lt;&gt;Won",'Leads Pipeline'!$O$5:$O$1004,"&lt;&gt;Lost"),"")</f>
        <v/>
      </c>
      <c r="H249" s="43" t="str">
        <f aca="false">IF(AND($A249&lt;&gt;"",$B249&lt;&gt;""),COUNTIFS('Active Clients'!$B$5:$B$504,$A249,'Active Clients'!$C$5:$C$504,$B249,'Active Clients'!$T$5:$T$504,"Active"),"")</f>
        <v/>
      </c>
      <c r="I249" s="44" t="str">
        <f aca="false">IF(AND($A249&lt;&gt;"",$B249&lt;&gt;""),SUMIFS('Active Clients'!$R$5:$R$504,'Active Clients'!$B$5:$B$504,$A249,'Active Clients'!$C$5:$C$504,$B249),"")</f>
        <v/>
      </c>
      <c r="J249" s="43" t="str">
        <f aca="true">IF(AND($A249&lt;&gt;"",$B249&lt;&gt;""),COUNTIFS('Activity Log'!$E$5:$E$3004,$A249,'Activity Log'!$F$5:$F$3004,$B249,'Activity Log'!$A$5:$A$3004,"&gt;="&amp;(TODAY()-29),'Activity Log'!$A$5:$A$3004,"&lt;="&amp;TODAY()),"")</f>
        <v/>
      </c>
    </row>
    <row r="250" customFormat="false" ht="15" hidden="false" customHeight="false" outlineLevel="0" collapsed="false">
      <c r="A250" s="42"/>
      <c r="B250" s="42"/>
      <c r="C250" s="43" t="str">
        <f aca="false">IF(AND($A250&lt;&gt;"",$B250&lt;&gt;""),COUNTIFS('Leads Pipeline'!$D$5:$D$1004,$A250,'Leads Pipeline'!$E$5:$E$1004,$B250,'Leads Pipeline'!$F$5:$F$1004,"&lt;&gt;"),"")</f>
        <v/>
      </c>
      <c r="D250" s="43" t="str">
        <f aca="false">IF(AND($A250&lt;&gt;"",$B250&lt;&gt;""),COUNTIFS('Leads Pipeline'!$D$5:$D$1004,$A250,'Leads Pipeline'!$E$5:$E$1004,$B250,'Leads Pipeline'!$F$5:$F$1004,"&lt;&gt;",'Leads Pipeline'!$O$5:$O$1004,"&lt;&gt;Won",'Leads Pipeline'!$O$5:$O$1004,"&lt;&gt;Lost"),"")</f>
        <v/>
      </c>
      <c r="E250" s="43" t="str">
        <f aca="false">IF(AND($A250&lt;&gt;"",$B250&lt;&gt;""),COUNTIFS('Leads Pipeline'!$D$5:$D$1004,$A250,'Leads Pipeline'!$E$5:$E$1004,$B250,'Leads Pipeline'!$P$5:$P$1004,"Hot",'Leads Pipeline'!$O$5:$O$1004,"&lt;&gt;Won",'Leads Pipeline'!$O$5:$O$1004,"&lt;&gt;Lost"),"")</f>
        <v/>
      </c>
      <c r="F250" s="43" t="str">
        <f aca="false">IF(AND($A250&lt;&gt;"",$B250&lt;&gt;""),COUNTIFS('Leads Pipeline'!$D$5:$D$1004,$A250,'Leads Pipeline'!$E$5:$E$1004,$B250,'Leads Pipeline'!$O$5:$O$1004,"Won"),"")</f>
        <v/>
      </c>
      <c r="G250" s="44" t="str">
        <f aca="false">IF(AND($A250&lt;&gt;"",$B250&lt;&gt;""),SUMIFS('Leads Pipeline'!$U$5:$U$1004,'Leads Pipeline'!$D$5:$D$1004,$A250,'Leads Pipeline'!$E$5:$E$1004,$B250,'Leads Pipeline'!$O$5:$O$1004,"&lt;&gt;Won",'Leads Pipeline'!$O$5:$O$1004,"&lt;&gt;Lost"),"")</f>
        <v/>
      </c>
      <c r="H250" s="43" t="str">
        <f aca="false">IF(AND($A250&lt;&gt;"",$B250&lt;&gt;""),COUNTIFS('Active Clients'!$B$5:$B$504,$A250,'Active Clients'!$C$5:$C$504,$B250,'Active Clients'!$T$5:$T$504,"Active"),"")</f>
        <v/>
      </c>
      <c r="I250" s="44" t="str">
        <f aca="false">IF(AND($A250&lt;&gt;"",$B250&lt;&gt;""),SUMIFS('Active Clients'!$R$5:$R$504,'Active Clients'!$B$5:$B$504,$A250,'Active Clients'!$C$5:$C$504,$B250),"")</f>
        <v/>
      </c>
      <c r="J250" s="43" t="str">
        <f aca="true">IF(AND($A250&lt;&gt;"",$B250&lt;&gt;""),COUNTIFS('Activity Log'!$E$5:$E$3004,$A250,'Activity Log'!$F$5:$F$3004,$B250,'Activity Log'!$A$5:$A$3004,"&gt;="&amp;(TODAY()-29),'Activity Log'!$A$5:$A$3004,"&lt;="&amp;TODAY()),"")</f>
        <v/>
      </c>
    </row>
    <row r="251" customFormat="false" ht="15" hidden="false" customHeight="false" outlineLevel="0" collapsed="false">
      <c r="A251" s="42"/>
      <c r="B251" s="42"/>
      <c r="C251" s="43" t="str">
        <f aca="false">IF(AND($A251&lt;&gt;"",$B251&lt;&gt;""),COUNTIFS('Leads Pipeline'!$D$5:$D$1004,$A251,'Leads Pipeline'!$E$5:$E$1004,$B251,'Leads Pipeline'!$F$5:$F$1004,"&lt;&gt;"),"")</f>
        <v/>
      </c>
      <c r="D251" s="43" t="str">
        <f aca="false">IF(AND($A251&lt;&gt;"",$B251&lt;&gt;""),COUNTIFS('Leads Pipeline'!$D$5:$D$1004,$A251,'Leads Pipeline'!$E$5:$E$1004,$B251,'Leads Pipeline'!$F$5:$F$1004,"&lt;&gt;",'Leads Pipeline'!$O$5:$O$1004,"&lt;&gt;Won",'Leads Pipeline'!$O$5:$O$1004,"&lt;&gt;Lost"),"")</f>
        <v/>
      </c>
      <c r="E251" s="43" t="str">
        <f aca="false">IF(AND($A251&lt;&gt;"",$B251&lt;&gt;""),COUNTIFS('Leads Pipeline'!$D$5:$D$1004,$A251,'Leads Pipeline'!$E$5:$E$1004,$B251,'Leads Pipeline'!$P$5:$P$1004,"Hot",'Leads Pipeline'!$O$5:$O$1004,"&lt;&gt;Won",'Leads Pipeline'!$O$5:$O$1004,"&lt;&gt;Lost"),"")</f>
        <v/>
      </c>
      <c r="F251" s="43" t="str">
        <f aca="false">IF(AND($A251&lt;&gt;"",$B251&lt;&gt;""),COUNTIFS('Leads Pipeline'!$D$5:$D$1004,$A251,'Leads Pipeline'!$E$5:$E$1004,$B251,'Leads Pipeline'!$O$5:$O$1004,"Won"),"")</f>
        <v/>
      </c>
      <c r="G251" s="44" t="str">
        <f aca="false">IF(AND($A251&lt;&gt;"",$B251&lt;&gt;""),SUMIFS('Leads Pipeline'!$U$5:$U$1004,'Leads Pipeline'!$D$5:$D$1004,$A251,'Leads Pipeline'!$E$5:$E$1004,$B251,'Leads Pipeline'!$O$5:$O$1004,"&lt;&gt;Won",'Leads Pipeline'!$O$5:$O$1004,"&lt;&gt;Lost"),"")</f>
        <v/>
      </c>
      <c r="H251" s="43" t="str">
        <f aca="false">IF(AND($A251&lt;&gt;"",$B251&lt;&gt;""),COUNTIFS('Active Clients'!$B$5:$B$504,$A251,'Active Clients'!$C$5:$C$504,$B251,'Active Clients'!$T$5:$T$504,"Active"),"")</f>
        <v/>
      </c>
      <c r="I251" s="44" t="str">
        <f aca="false">IF(AND($A251&lt;&gt;"",$B251&lt;&gt;""),SUMIFS('Active Clients'!$R$5:$R$504,'Active Clients'!$B$5:$B$504,$A251,'Active Clients'!$C$5:$C$504,$B251),"")</f>
        <v/>
      </c>
      <c r="J251" s="43" t="str">
        <f aca="true">IF(AND($A251&lt;&gt;"",$B251&lt;&gt;""),COUNTIFS('Activity Log'!$E$5:$E$3004,$A251,'Activity Log'!$F$5:$F$3004,$B251,'Activity Log'!$A$5:$A$3004,"&gt;="&amp;(TODAY()-29),'Activity Log'!$A$5:$A$3004,"&lt;="&amp;TODAY()),"")</f>
        <v/>
      </c>
    </row>
    <row r="252" customFormat="false" ht="15" hidden="false" customHeight="false" outlineLevel="0" collapsed="false">
      <c r="A252" s="42"/>
      <c r="B252" s="42"/>
      <c r="C252" s="43" t="str">
        <f aca="false">IF(AND($A252&lt;&gt;"",$B252&lt;&gt;""),COUNTIFS('Leads Pipeline'!$D$5:$D$1004,$A252,'Leads Pipeline'!$E$5:$E$1004,$B252,'Leads Pipeline'!$F$5:$F$1004,"&lt;&gt;"),"")</f>
        <v/>
      </c>
      <c r="D252" s="43" t="str">
        <f aca="false">IF(AND($A252&lt;&gt;"",$B252&lt;&gt;""),COUNTIFS('Leads Pipeline'!$D$5:$D$1004,$A252,'Leads Pipeline'!$E$5:$E$1004,$B252,'Leads Pipeline'!$F$5:$F$1004,"&lt;&gt;",'Leads Pipeline'!$O$5:$O$1004,"&lt;&gt;Won",'Leads Pipeline'!$O$5:$O$1004,"&lt;&gt;Lost"),"")</f>
        <v/>
      </c>
      <c r="E252" s="43" t="str">
        <f aca="false">IF(AND($A252&lt;&gt;"",$B252&lt;&gt;""),COUNTIFS('Leads Pipeline'!$D$5:$D$1004,$A252,'Leads Pipeline'!$E$5:$E$1004,$B252,'Leads Pipeline'!$P$5:$P$1004,"Hot",'Leads Pipeline'!$O$5:$O$1004,"&lt;&gt;Won",'Leads Pipeline'!$O$5:$O$1004,"&lt;&gt;Lost"),"")</f>
        <v/>
      </c>
      <c r="F252" s="43" t="str">
        <f aca="false">IF(AND($A252&lt;&gt;"",$B252&lt;&gt;""),COUNTIFS('Leads Pipeline'!$D$5:$D$1004,$A252,'Leads Pipeline'!$E$5:$E$1004,$B252,'Leads Pipeline'!$O$5:$O$1004,"Won"),"")</f>
        <v/>
      </c>
      <c r="G252" s="44" t="str">
        <f aca="false">IF(AND($A252&lt;&gt;"",$B252&lt;&gt;""),SUMIFS('Leads Pipeline'!$U$5:$U$1004,'Leads Pipeline'!$D$5:$D$1004,$A252,'Leads Pipeline'!$E$5:$E$1004,$B252,'Leads Pipeline'!$O$5:$O$1004,"&lt;&gt;Won",'Leads Pipeline'!$O$5:$O$1004,"&lt;&gt;Lost"),"")</f>
        <v/>
      </c>
      <c r="H252" s="43" t="str">
        <f aca="false">IF(AND($A252&lt;&gt;"",$B252&lt;&gt;""),COUNTIFS('Active Clients'!$B$5:$B$504,$A252,'Active Clients'!$C$5:$C$504,$B252,'Active Clients'!$T$5:$T$504,"Active"),"")</f>
        <v/>
      </c>
      <c r="I252" s="44" t="str">
        <f aca="false">IF(AND($A252&lt;&gt;"",$B252&lt;&gt;""),SUMIFS('Active Clients'!$R$5:$R$504,'Active Clients'!$B$5:$B$504,$A252,'Active Clients'!$C$5:$C$504,$B252),"")</f>
        <v/>
      </c>
      <c r="J252" s="43" t="str">
        <f aca="true">IF(AND($A252&lt;&gt;"",$B252&lt;&gt;""),COUNTIFS('Activity Log'!$E$5:$E$3004,$A252,'Activity Log'!$F$5:$F$3004,$B252,'Activity Log'!$A$5:$A$3004,"&gt;="&amp;(TODAY()-29),'Activity Log'!$A$5:$A$3004,"&lt;="&amp;TODAY()),"")</f>
        <v/>
      </c>
    </row>
    <row r="253" customFormat="false" ht="15" hidden="false" customHeight="false" outlineLevel="0" collapsed="false">
      <c r="A253" s="42"/>
      <c r="B253" s="42"/>
      <c r="C253" s="43" t="str">
        <f aca="false">IF(AND($A253&lt;&gt;"",$B253&lt;&gt;""),COUNTIFS('Leads Pipeline'!$D$5:$D$1004,$A253,'Leads Pipeline'!$E$5:$E$1004,$B253,'Leads Pipeline'!$F$5:$F$1004,"&lt;&gt;"),"")</f>
        <v/>
      </c>
      <c r="D253" s="43" t="str">
        <f aca="false">IF(AND($A253&lt;&gt;"",$B253&lt;&gt;""),COUNTIFS('Leads Pipeline'!$D$5:$D$1004,$A253,'Leads Pipeline'!$E$5:$E$1004,$B253,'Leads Pipeline'!$F$5:$F$1004,"&lt;&gt;",'Leads Pipeline'!$O$5:$O$1004,"&lt;&gt;Won",'Leads Pipeline'!$O$5:$O$1004,"&lt;&gt;Lost"),"")</f>
        <v/>
      </c>
      <c r="E253" s="43" t="str">
        <f aca="false">IF(AND($A253&lt;&gt;"",$B253&lt;&gt;""),COUNTIFS('Leads Pipeline'!$D$5:$D$1004,$A253,'Leads Pipeline'!$E$5:$E$1004,$B253,'Leads Pipeline'!$P$5:$P$1004,"Hot",'Leads Pipeline'!$O$5:$O$1004,"&lt;&gt;Won",'Leads Pipeline'!$O$5:$O$1004,"&lt;&gt;Lost"),"")</f>
        <v/>
      </c>
      <c r="F253" s="43" t="str">
        <f aca="false">IF(AND($A253&lt;&gt;"",$B253&lt;&gt;""),COUNTIFS('Leads Pipeline'!$D$5:$D$1004,$A253,'Leads Pipeline'!$E$5:$E$1004,$B253,'Leads Pipeline'!$O$5:$O$1004,"Won"),"")</f>
        <v/>
      </c>
      <c r="G253" s="44" t="str">
        <f aca="false">IF(AND($A253&lt;&gt;"",$B253&lt;&gt;""),SUMIFS('Leads Pipeline'!$U$5:$U$1004,'Leads Pipeline'!$D$5:$D$1004,$A253,'Leads Pipeline'!$E$5:$E$1004,$B253,'Leads Pipeline'!$O$5:$O$1004,"&lt;&gt;Won",'Leads Pipeline'!$O$5:$O$1004,"&lt;&gt;Lost"),"")</f>
        <v/>
      </c>
      <c r="H253" s="43" t="str">
        <f aca="false">IF(AND($A253&lt;&gt;"",$B253&lt;&gt;""),COUNTIFS('Active Clients'!$B$5:$B$504,$A253,'Active Clients'!$C$5:$C$504,$B253,'Active Clients'!$T$5:$T$504,"Active"),"")</f>
        <v/>
      </c>
      <c r="I253" s="44" t="str">
        <f aca="false">IF(AND($A253&lt;&gt;"",$B253&lt;&gt;""),SUMIFS('Active Clients'!$R$5:$R$504,'Active Clients'!$B$5:$B$504,$A253,'Active Clients'!$C$5:$C$504,$B253),"")</f>
        <v/>
      </c>
      <c r="J253" s="43" t="str">
        <f aca="true">IF(AND($A253&lt;&gt;"",$B253&lt;&gt;""),COUNTIFS('Activity Log'!$E$5:$E$3004,$A253,'Activity Log'!$F$5:$F$3004,$B253,'Activity Log'!$A$5:$A$3004,"&gt;="&amp;(TODAY()-29),'Activity Log'!$A$5:$A$3004,"&lt;="&amp;TODAY()),"")</f>
        <v/>
      </c>
    </row>
    <row r="254" customFormat="false" ht="15" hidden="false" customHeight="false" outlineLevel="0" collapsed="false">
      <c r="A254" s="42"/>
      <c r="B254" s="42"/>
      <c r="C254" s="43" t="str">
        <f aca="false">IF(AND($A254&lt;&gt;"",$B254&lt;&gt;""),COUNTIFS('Leads Pipeline'!$D$5:$D$1004,$A254,'Leads Pipeline'!$E$5:$E$1004,$B254,'Leads Pipeline'!$F$5:$F$1004,"&lt;&gt;"),"")</f>
        <v/>
      </c>
      <c r="D254" s="43" t="str">
        <f aca="false">IF(AND($A254&lt;&gt;"",$B254&lt;&gt;""),COUNTIFS('Leads Pipeline'!$D$5:$D$1004,$A254,'Leads Pipeline'!$E$5:$E$1004,$B254,'Leads Pipeline'!$F$5:$F$1004,"&lt;&gt;",'Leads Pipeline'!$O$5:$O$1004,"&lt;&gt;Won",'Leads Pipeline'!$O$5:$O$1004,"&lt;&gt;Lost"),"")</f>
        <v/>
      </c>
      <c r="E254" s="43" t="str">
        <f aca="false">IF(AND($A254&lt;&gt;"",$B254&lt;&gt;""),COUNTIFS('Leads Pipeline'!$D$5:$D$1004,$A254,'Leads Pipeline'!$E$5:$E$1004,$B254,'Leads Pipeline'!$P$5:$P$1004,"Hot",'Leads Pipeline'!$O$5:$O$1004,"&lt;&gt;Won",'Leads Pipeline'!$O$5:$O$1004,"&lt;&gt;Lost"),"")</f>
        <v/>
      </c>
      <c r="F254" s="43" t="str">
        <f aca="false">IF(AND($A254&lt;&gt;"",$B254&lt;&gt;""),COUNTIFS('Leads Pipeline'!$D$5:$D$1004,$A254,'Leads Pipeline'!$E$5:$E$1004,$B254,'Leads Pipeline'!$O$5:$O$1004,"Won"),"")</f>
        <v/>
      </c>
      <c r="G254" s="44" t="str">
        <f aca="false">IF(AND($A254&lt;&gt;"",$B254&lt;&gt;""),SUMIFS('Leads Pipeline'!$U$5:$U$1004,'Leads Pipeline'!$D$5:$D$1004,$A254,'Leads Pipeline'!$E$5:$E$1004,$B254,'Leads Pipeline'!$O$5:$O$1004,"&lt;&gt;Won",'Leads Pipeline'!$O$5:$O$1004,"&lt;&gt;Lost"),"")</f>
        <v/>
      </c>
      <c r="H254" s="43" t="str">
        <f aca="false">IF(AND($A254&lt;&gt;"",$B254&lt;&gt;""),COUNTIFS('Active Clients'!$B$5:$B$504,$A254,'Active Clients'!$C$5:$C$504,$B254,'Active Clients'!$T$5:$T$504,"Active"),"")</f>
        <v/>
      </c>
      <c r="I254" s="44" t="str">
        <f aca="false">IF(AND($A254&lt;&gt;"",$B254&lt;&gt;""),SUMIFS('Active Clients'!$R$5:$R$504,'Active Clients'!$B$5:$B$504,$A254,'Active Clients'!$C$5:$C$504,$B254),"")</f>
        <v/>
      </c>
      <c r="J254" s="43" t="str">
        <f aca="true">IF(AND($A254&lt;&gt;"",$B254&lt;&gt;""),COUNTIFS('Activity Log'!$E$5:$E$3004,$A254,'Activity Log'!$F$5:$F$3004,$B254,'Activity Log'!$A$5:$A$3004,"&gt;="&amp;(TODAY()-29),'Activity Log'!$A$5:$A$3004,"&lt;="&amp;TODAY()),"")</f>
        <v/>
      </c>
    </row>
    <row r="255" customFormat="false" ht="15" hidden="false" customHeight="false" outlineLevel="0" collapsed="false">
      <c r="A255" s="42"/>
      <c r="B255" s="42"/>
      <c r="C255" s="43" t="str">
        <f aca="false">IF(AND($A255&lt;&gt;"",$B255&lt;&gt;""),COUNTIFS('Leads Pipeline'!$D$5:$D$1004,$A255,'Leads Pipeline'!$E$5:$E$1004,$B255,'Leads Pipeline'!$F$5:$F$1004,"&lt;&gt;"),"")</f>
        <v/>
      </c>
      <c r="D255" s="43" t="str">
        <f aca="false">IF(AND($A255&lt;&gt;"",$B255&lt;&gt;""),COUNTIFS('Leads Pipeline'!$D$5:$D$1004,$A255,'Leads Pipeline'!$E$5:$E$1004,$B255,'Leads Pipeline'!$F$5:$F$1004,"&lt;&gt;",'Leads Pipeline'!$O$5:$O$1004,"&lt;&gt;Won",'Leads Pipeline'!$O$5:$O$1004,"&lt;&gt;Lost"),"")</f>
        <v/>
      </c>
      <c r="E255" s="43" t="str">
        <f aca="false">IF(AND($A255&lt;&gt;"",$B255&lt;&gt;""),COUNTIFS('Leads Pipeline'!$D$5:$D$1004,$A255,'Leads Pipeline'!$E$5:$E$1004,$B255,'Leads Pipeline'!$P$5:$P$1004,"Hot",'Leads Pipeline'!$O$5:$O$1004,"&lt;&gt;Won",'Leads Pipeline'!$O$5:$O$1004,"&lt;&gt;Lost"),"")</f>
        <v/>
      </c>
      <c r="F255" s="43" t="str">
        <f aca="false">IF(AND($A255&lt;&gt;"",$B255&lt;&gt;""),COUNTIFS('Leads Pipeline'!$D$5:$D$1004,$A255,'Leads Pipeline'!$E$5:$E$1004,$B255,'Leads Pipeline'!$O$5:$O$1004,"Won"),"")</f>
        <v/>
      </c>
      <c r="G255" s="44" t="str">
        <f aca="false">IF(AND($A255&lt;&gt;"",$B255&lt;&gt;""),SUMIFS('Leads Pipeline'!$U$5:$U$1004,'Leads Pipeline'!$D$5:$D$1004,$A255,'Leads Pipeline'!$E$5:$E$1004,$B255,'Leads Pipeline'!$O$5:$O$1004,"&lt;&gt;Won",'Leads Pipeline'!$O$5:$O$1004,"&lt;&gt;Lost"),"")</f>
        <v/>
      </c>
      <c r="H255" s="43" t="str">
        <f aca="false">IF(AND($A255&lt;&gt;"",$B255&lt;&gt;""),COUNTIFS('Active Clients'!$B$5:$B$504,$A255,'Active Clients'!$C$5:$C$504,$B255,'Active Clients'!$T$5:$T$504,"Active"),"")</f>
        <v/>
      </c>
      <c r="I255" s="44" t="str">
        <f aca="false">IF(AND($A255&lt;&gt;"",$B255&lt;&gt;""),SUMIFS('Active Clients'!$R$5:$R$504,'Active Clients'!$B$5:$B$504,$A255,'Active Clients'!$C$5:$C$504,$B255),"")</f>
        <v/>
      </c>
      <c r="J255" s="43" t="str">
        <f aca="true">IF(AND($A255&lt;&gt;"",$B255&lt;&gt;""),COUNTIFS('Activity Log'!$E$5:$E$3004,$A255,'Activity Log'!$F$5:$F$3004,$B255,'Activity Log'!$A$5:$A$3004,"&gt;="&amp;(TODAY()-29),'Activity Log'!$A$5:$A$3004,"&lt;="&amp;TODAY()),"")</f>
        <v/>
      </c>
    </row>
    <row r="256" customFormat="false" ht="15" hidden="false" customHeight="false" outlineLevel="0" collapsed="false">
      <c r="A256" s="42"/>
      <c r="B256" s="42"/>
      <c r="C256" s="43" t="str">
        <f aca="false">IF(AND($A256&lt;&gt;"",$B256&lt;&gt;""),COUNTIFS('Leads Pipeline'!$D$5:$D$1004,$A256,'Leads Pipeline'!$E$5:$E$1004,$B256,'Leads Pipeline'!$F$5:$F$1004,"&lt;&gt;"),"")</f>
        <v/>
      </c>
      <c r="D256" s="43" t="str">
        <f aca="false">IF(AND($A256&lt;&gt;"",$B256&lt;&gt;""),COUNTIFS('Leads Pipeline'!$D$5:$D$1004,$A256,'Leads Pipeline'!$E$5:$E$1004,$B256,'Leads Pipeline'!$F$5:$F$1004,"&lt;&gt;",'Leads Pipeline'!$O$5:$O$1004,"&lt;&gt;Won",'Leads Pipeline'!$O$5:$O$1004,"&lt;&gt;Lost"),"")</f>
        <v/>
      </c>
      <c r="E256" s="43" t="str">
        <f aca="false">IF(AND($A256&lt;&gt;"",$B256&lt;&gt;""),COUNTIFS('Leads Pipeline'!$D$5:$D$1004,$A256,'Leads Pipeline'!$E$5:$E$1004,$B256,'Leads Pipeline'!$P$5:$P$1004,"Hot",'Leads Pipeline'!$O$5:$O$1004,"&lt;&gt;Won",'Leads Pipeline'!$O$5:$O$1004,"&lt;&gt;Lost"),"")</f>
        <v/>
      </c>
      <c r="F256" s="43" t="str">
        <f aca="false">IF(AND($A256&lt;&gt;"",$B256&lt;&gt;""),COUNTIFS('Leads Pipeline'!$D$5:$D$1004,$A256,'Leads Pipeline'!$E$5:$E$1004,$B256,'Leads Pipeline'!$O$5:$O$1004,"Won"),"")</f>
        <v/>
      </c>
      <c r="G256" s="44" t="str">
        <f aca="false">IF(AND($A256&lt;&gt;"",$B256&lt;&gt;""),SUMIFS('Leads Pipeline'!$U$5:$U$1004,'Leads Pipeline'!$D$5:$D$1004,$A256,'Leads Pipeline'!$E$5:$E$1004,$B256,'Leads Pipeline'!$O$5:$O$1004,"&lt;&gt;Won",'Leads Pipeline'!$O$5:$O$1004,"&lt;&gt;Lost"),"")</f>
        <v/>
      </c>
      <c r="H256" s="43" t="str">
        <f aca="false">IF(AND($A256&lt;&gt;"",$B256&lt;&gt;""),COUNTIFS('Active Clients'!$B$5:$B$504,$A256,'Active Clients'!$C$5:$C$504,$B256,'Active Clients'!$T$5:$T$504,"Active"),"")</f>
        <v/>
      </c>
      <c r="I256" s="44" t="str">
        <f aca="false">IF(AND($A256&lt;&gt;"",$B256&lt;&gt;""),SUMIFS('Active Clients'!$R$5:$R$504,'Active Clients'!$B$5:$B$504,$A256,'Active Clients'!$C$5:$C$504,$B256),"")</f>
        <v/>
      </c>
      <c r="J256" s="43" t="str">
        <f aca="true">IF(AND($A256&lt;&gt;"",$B256&lt;&gt;""),COUNTIFS('Activity Log'!$E$5:$E$3004,$A256,'Activity Log'!$F$5:$F$3004,$B256,'Activity Log'!$A$5:$A$3004,"&gt;="&amp;(TODAY()-29),'Activity Log'!$A$5:$A$3004,"&lt;="&amp;TODAY()),"")</f>
        <v/>
      </c>
    </row>
    <row r="257" customFormat="false" ht="15" hidden="false" customHeight="false" outlineLevel="0" collapsed="false">
      <c r="A257" s="42"/>
      <c r="B257" s="42"/>
      <c r="C257" s="43" t="str">
        <f aca="false">IF(AND($A257&lt;&gt;"",$B257&lt;&gt;""),COUNTIFS('Leads Pipeline'!$D$5:$D$1004,$A257,'Leads Pipeline'!$E$5:$E$1004,$B257,'Leads Pipeline'!$F$5:$F$1004,"&lt;&gt;"),"")</f>
        <v/>
      </c>
      <c r="D257" s="43" t="str">
        <f aca="false">IF(AND($A257&lt;&gt;"",$B257&lt;&gt;""),COUNTIFS('Leads Pipeline'!$D$5:$D$1004,$A257,'Leads Pipeline'!$E$5:$E$1004,$B257,'Leads Pipeline'!$F$5:$F$1004,"&lt;&gt;",'Leads Pipeline'!$O$5:$O$1004,"&lt;&gt;Won",'Leads Pipeline'!$O$5:$O$1004,"&lt;&gt;Lost"),"")</f>
        <v/>
      </c>
      <c r="E257" s="43" t="str">
        <f aca="false">IF(AND($A257&lt;&gt;"",$B257&lt;&gt;""),COUNTIFS('Leads Pipeline'!$D$5:$D$1004,$A257,'Leads Pipeline'!$E$5:$E$1004,$B257,'Leads Pipeline'!$P$5:$P$1004,"Hot",'Leads Pipeline'!$O$5:$O$1004,"&lt;&gt;Won",'Leads Pipeline'!$O$5:$O$1004,"&lt;&gt;Lost"),"")</f>
        <v/>
      </c>
      <c r="F257" s="43" t="str">
        <f aca="false">IF(AND($A257&lt;&gt;"",$B257&lt;&gt;""),COUNTIFS('Leads Pipeline'!$D$5:$D$1004,$A257,'Leads Pipeline'!$E$5:$E$1004,$B257,'Leads Pipeline'!$O$5:$O$1004,"Won"),"")</f>
        <v/>
      </c>
      <c r="G257" s="44" t="str">
        <f aca="false">IF(AND($A257&lt;&gt;"",$B257&lt;&gt;""),SUMIFS('Leads Pipeline'!$U$5:$U$1004,'Leads Pipeline'!$D$5:$D$1004,$A257,'Leads Pipeline'!$E$5:$E$1004,$B257,'Leads Pipeline'!$O$5:$O$1004,"&lt;&gt;Won",'Leads Pipeline'!$O$5:$O$1004,"&lt;&gt;Lost"),"")</f>
        <v/>
      </c>
      <c r="H257" s="43" t="str">
        <f aca="false">IF(AND($A257&lt;&gt;"",$B257&lt;&gt;""),COUNTIFS('Active Clients'!$B$5:$B$504,$A257,'Active Clients'!$C$5:$C$504,$B257,'Active Clients'!$T$5:$T$504,"Active"),"")</f>
        <v/>
      </c>
      <c r="I257" s="44" t="str">
        <f aca="false">IF(AND($A257&lt;&gt;"",$B257&lt;&gt;""),SUMIFS('Active Clients'!$R$5:$R$504,'Active Clients'!$B$5:$B$504,$A257,'Active Clients'!$C$5:$C$504,$B257),"")</f>
        <v/>
      </c>
      <c r="J257" s="43" t="str">
        <f aca="true">IF(AND($A257&lt;&gt;"",$B257&lt;&gt;""),COUNTIFS('Activity Log'!$E$5:$E$3004,$A257,'Activity Log'!$F$5:$F$3004,$B257,'Activity Log'!$A$5:$A$3004,"&gt;="&amp;(TODAY()-29),'Activity Log'!$A$5:$A$3004,"&lt;="&amp;TODAY()),"")</f>
        <v/>
      </c>
    </row>
    <row r="258" customFormat="false" ht="15" hidden="false" customHeight="false" outlineLevel="0" collapsed="false">
      <c r="A258" s="42"/>
      <c r="B258" s="42"/>
      <c r="C258" s="43" t="str">
        <f aca="false">IF(AND($A258&lt;&gt;"",$B258&lt;&gt;""),COUNTIFS('Leads Pipeline'!$D$5:$D$1004,$A258,'Leads Pipeline'!$E$5:$E$1004,$B258,'Leads Pipeline'!$F$5:$F$1004,"&lt;&gt;"),"")</f>
        <v/>
      </c>
      <c r="D258" s="43" t="str">
        <f aca="false">IF(AND($A258&lt;&gt;"",$B258&lt;&gt;""),COUNTIFS('Leads Pipeline'!$D$5:$D$1004,$A258,'Leads Pipeline'!$E$5:$E$1004,$B258,'Leads Pipeline'!$F$5:$F$1004,"&lt;&gt;",'Leads Pipeline'!$O$5:$O$1004,"&lt;&gt;Won",'Leads Pipeline'!$O$5:$O$1004,"&lt;&gt;Lost"),"")</f>
        <v/>
      </c>
      <c r="E258" s="43" t="str">
        <f aca="false">IF(AND($A258&lt;&gt;"",$B258&lt;&gt;""),COUNTIFS('Leads Pipeline'!$D$5:$D$1004,$A258,'Leads Pipeline'!$E$5:$E$1004,$B258,'Leads Pipeline'!$P$5:$P$1004,"Hot",'Leads Pipeline'!$O$5:$O$1004,"&lt;&gt;Won",'Leads Pipeline'!$O$5:$O$1004,"&lt;&gt;Lost"),"")</f>
        <v/>
      </c>
      <c r="F258" s="43" t="str">
        <f aca="false">IF(AND($A258&lt;&gt;"",$B258&lt;&gt;""),COUNTIFS('Leads Pipeline'!$D$5:$D$1004,$A258,'Leads Pipeline'!$E$5:$E$1004,$B258,'Leads Pipeline'!$O$5:$O$1004,"Won"),"")</f>
        <v/>
      </c>
      <c r="G258" s="44" t="str">
        <f aca="false">IF(AND($A258&lt;&gt;"",$B258&lt;&gt;""),SUMIFS('Leads Pipeline'!$U$5:$U$1004,'Leads Pipeline'!$D$5:$D$1004,$A258,'Leads Pipeline'!$E$5:$E$1004,$B258,'Leads Pipeline'!$O$5:$O$1004,"&lt;&gt;Won",'Leads Pipeline'!$O$5:$O$1004,"&lt;&gt;Lost"),"")</f>
        <v/>
      </c>
      <c r="H258" s="43" t="str">
        <f aca="false">IF(AND($A258&lt;&gt;"",$B258&lt;&gt;""),COUNTIFS('Active Clients'!$B$5:$B$504,$A258,'Active Clients'!$C$5:$C$504,$B258,'Active Clients'!$T$5:$T$504,"Active"),"")</f>
        <v/>
      </c>
      <c r="I258" s="44" t="str">
        <f aca="false">IF(AND($A258&lt;&gt;"",$B258&lt;&gt;""),SUMIFS('Active Clients'!$R$5:$R$504,'Active Clients'!$B$5:$B$504,$A258,'Active Clients'!$C$5:$C$504,$B258),"")</f>
        <v/>
      </c>
      <c r="J258" s="43" t="str">
        <f aca="true">IF(AND($A258&lt;&gt;"",$B258&lt;&gt;""),COUNTIFS('Activity Log'!$E$5:$E$3004,$A258,'Activity Log'!$F$5:$F$3004,$B258,'Activity Log'!$A$5:$A$3004,"&gt;="&amp;(TODAY()-29),'Activity Log'!$A$5:$A$3004,"&lt;="&amp;TODAY()),"")</f>
        <v/>
      </c>
    </row>
    <row r="259" customFormat="false" ht="15" hidden="false" customHeight="false" outlineLevel="0" collapsed="false">
      <c r="A259" s="42"/>
      <c r="B259" s="42"/>
      <c r="C259" s="43" t="str">
        <f aca="false">IF(AND($A259&lt;&gt;"",$B259&lt;&gt;""),COUNTIFS('Leads Pipeline'!$D$5:$D$1004,$A259,'Leads Pipeline'!$E$5:$E$1004,$B259,'Leads Pipeline'!$F$5:$F$1004,"&lt;&gt;"),"")</f>
        <v/>
      </c>
      <c r="D259" s="43" t="str">
        <f aca="false">IF(AND($A259&lt;&gt;"",$B259&lt;&gt;""),COUNTIFS('Leads Pipeline'!$D$5:$D$1004,$A259,'Leads Pipeline'!$E$5:$E$1004,$B259,'Leads Pipeline'!$F$5:$F$1004,"&lt;&gt;",'Leads Pipeline'!$O$5:$O$1004,"&lt;&gt;Won",'Leads Pipeline'!$O$5:$O$1004,"&lt;&gt;Lost"),"")</f>
        <v/>
      </c>
      <c r="E259" s="43" t="str">
        <f aca="false">IF(AND($A259&lt;&gt;"",$B259&lt;&gt;""),COUNTIFS('Leads Pipeline'!$D$5:$D$1004,$A259,'Leads Pipeline'!$E$5:$E$1004,$B259,'Leads Pipeline'!$P$5:$P$1004,"Hot",'Leads Pipeline'!$O$5:$O$1004,"&lt;&gt;Won",'Leads Pipeline'!$O$5:$O$1004,"&lt;&gt;Lost"),"")</f>
        <v/>
      </c>
      <c r="F259" s="43" t="str">
        <f aca="false">IF(AND($A259&lt;&gt;"",$B259&lt;&gt;""),COUNTIFS('Leads Pipeline'!$D$5:$D$1004,$A259,'Leads Pipeline'!$E$5:$E$1004,$B259,'Leads Pipeline'!$O$5:$O$1004,"Won"),"")</f>
        <v/>
      </c>
      <c r="G259" s="44" t="str">
        <f aca="false">IF(AND($A259&lt;&gt;"",$B259&lt;&gt;""),SUMIFS('Leads Pipeline'!$U$5:$U$1004,'Leads Pipeline'!$D$5:$D$1004,$A259,'Leads Pipeline'!$E$5:$E$1004,$B259,'Leads Pipeline'!$O$5:$O$1004,"&lt;&gt;Won",'Leads Pipeline'!$O$5:$O$1004,"&lt;&gt;Lost"),"")</f>
        <v/>
      </c>
      <c r="H259" s="43" t="str">
        <f aca="false">IF(AND($A259&lt;&gt;"",$B259&lt;&gt;""),COUNTIFS('Active Clients'!$B$5:$B$504,$A259,'Active Clients'!$C$5:$C$504,$B259,'Active Clients'!$T$5:$T$504,"Active"),"")</f>
        <v/>
      </c>
      <c r="I259" s="44" t="str">
        <f aca="false">IF(AND($A259&lt;&gt;"",$B259&lt;&gt;""),SUMIFS('Active Clients'!$R$5:$R$504,'Active Clients'!$B$5:$B$504,$A259,'Active Clients'!$C$5:$C$504,$B259),"")</f>
        <v/>
      </c>
      <c r="J259" s="43" t="str">
        <f aca="true">IF(AND($A259&lt;&gt;"",$B259&lt;&gt;""),COUNTIFS('Activity Log'!$E$5:$E$3004,$A259,'Activity Log'!$F$5:$F$3004,$B259,'Activity Log'!$A$5:$A$3004,"&gt;="&amp;(TODAY()-29),'Activity Log'!$A$5:$A$3004,"&lt;="&amp;TODAY()),"")</f>
        <v/>
      </c>
    </row>
    <row r="260" customFormat="false" ht="15" hidden="false" customHeight="false" outlineLevel="0" collapsed="false">
      <c r="A260" s="42"/>
      <c r="B260" s="42"/>
      <c r="C260" s="43" t="str">
        <f aca="false">IF(AND($A260&lt;&gt;"",$B260&lt;&gt;""),COUNTIFS('Leads Pipeline'!$D$5:$D$1004,$A260,'Leads Pipeline'!$E$5:$E$1004,$B260,'Leads Pipeline'!$F$5:$F$1004,"&lt;&gt;"),"")</f>
        <v/>
      </c>
      <c r="D260" s="43" t="str">
        <f aca="false">IF(AND($A260&lt;&gt;"",$B260&lt;&gt;""),COUNTIFS('Leads Pipeline'!$D$5:$D$1004,$A260,'Leads Pipeline'!$E$5:$E$1004,$B260,'Leads Pipeline'!$F$5:$F$1004,"&lt;&gt;",'Leads Pipeline'!$O$5:$O$1004,"&lt;&gt;Won",'Leads Pipeline'!$O$5:$O$1004,"&lt;&gt;Lost"),"")</f>
        <v/>
      </c>
      <c r="E260" s="43" t="str">
        <f aca="false">IF(AND($A260&lt;&gt;"",$B260&lt;&gt;""),COUNTIFS('Leads Pipeline'!$D$5:$D$1004,$A260,'Leads Pipeline'!$E$5:$E$1004,$B260,'Leads Pipeline'!$P$5:$P$1004,"Hot",'Leads Pipeline'!$O$5:$O$1004,"&lt;&gt;Won",'Leads Pipeline'!$O$5:$O$1004,"&lt;&gt;Lost"),"")</f>
        <v/>
      </c>
      <c r="F260" s="43" t="str">
        <f aca="false">IF(AND($A260&lt;&gt;"",$B260&lt;&gt;""),COUNTIFS('Leads Pipeline'!$D$5:$D$1004,$A260,'Leads Pipeline'!$E$5:$E$1004,$B260,'Leads Pipeline'!$O$5:$O$1004,"Won"),"")</f>
        <v/>
      </c>
      <c r="G260" s="44" t="str">
        <f aca="false">IF(AND($A260&lt;&gt;"",$B260&lt;&gt;""),SUMIFS('Leads Pipeline'!$U$5:$U$1004,'Leads Pipeline'!$D$5:$D$1004,$A260,'Leads Pipeline'!$E$5:$E$1004,$B260,'Leads Pipeline'!$O$5:$O$1004,"&lt;&gt;Won",'Leads Pipeline'!$O$5:$O$1004,"&lt;&gt;Lost"),"")</f>
        <v/>
      </c>
      <c r="H260" s="43" t="str">
        <f aca="false">IF(AND($A260&lt;&gt;"",$B260&lt;&gt;""),COUNTIFS('Active Clients'!$B$5:$B$504,$A260,'Active Clients'!$C$5:$C$504,$B260,'Active Clients'!$T$5:$T$504,"Active"),"")</f>
        <v/>
      </c>
      <c r="I260" s="44" t="str">
        <f aca="false">IF(AND($A260&lt;&gt;"",$B260&lt;&gt;""),SUMIFS('Active Clients'!$R$5:$R$504,'Active Clients'!$B$5:$B$504,$A260,'Active Clients'!$C$5:$C$504,$B260),"")</f>
        <v/>
      </c>
      <c r="J260" s="43" t="str">
        <f aca="true">IF(AND($A260&lt;&gt;"",$B260&lt;&gt;""),COUNTIFS('Activity Log'!$E$5:$E$3004,$A260,'Activity Log'!$F$5:$F$3004,$B260,'Activity Log'!$A$5:$A$3004,"&gt;="&amp;(TODAY()-29),'Activity Log'!$A$5:$A$3004,"&lt;="&amp;TODAY()),"")</f>
        <v/>
      </c>
    </row>
    <row r="261" customFormat="false" ht="15" hidden="false" customHeight="false" outlineLevel="0" collapsed="false">
      <c r="A261" s="42"/>
      <c r="B261" s="42"/>
      <c r="C261" s="43" t="str">
        <f aca="false">IF(AND($A261&lt;&gt;"",$B261&lt;&gt;""),COUNTIFS('Leads Pipeline'!$D$5:$D$1004,$A261,'Leads Pipeline'!$E$5:$E$1004,$B261,'Leads Pipeline'!$F$5:$F$1004,"&lt;&gt;"),"")</f>
        <v/>
      </c>
      <c r="D261" s="43" t="str">
        <f aca="false">IF(AND($A261&lt;&gt;"",$B261&lt;&gt;""),COUNTIFS('Leads Pipeline'!$D$5:$D$1004,$A261,'Leads Pipeline'!$E$5:$E$1004,$B261,'Leads Pipeline'!$F$5:$F$1004,"&lt;&gt;",'Leads Pipeline'!$O$5:$O$1004,"&lt;&gt;Won",'Leads Pipeline'!$O$5:$O$1004,"&lt;&gt;Lost"),"")</f>
        <v/>
      </c>
      <c r="E261" s="43" t="str">
        <f aca="false">IF(AND($A261&lt;&gt;"",$B261&lt;&gt;""),COUNTIFS('Leads Pipeline'!$D$5:$D$1004,$A261,'Leads Pipeline'!$E$5:$E$1004,$B261,'Leads Pipeline'!$P$5:$P$1004,"Hot",'Leads Pipeline'!$O$5:$O$1004,"&lt;&gt;Won",'Leads Pipeline'!$O$5:$O$1004,"&lt;&gt;Lost"),"")</f>
        <v/>
      </c>
      <c r="F261" s="43" t="str">
        <f aca="false">IF(AND($A261&lt;&gt;"",$B261&lt;&gt;""),COUNTIFS('Leads Pipeline'!$D$5:$D$1004,$A261,'Leads Pipeline'!$E$5:$E$1004,$B261,'Leads Pipeline'!$O$5:$O$1004,"Won"),"")</f>
        <v/>
      </c>
      <c r="G261" s="44" t="str">
        <f aca="false">IF(AND($A261&lt;&gt;"",$B261&lt;&gt;""),SUMIFS('Leads Pipeline'!$U$5:$U$1004,'Leads Pipeline'!$D$5:$D$1004,$A261,'Leads Pipeline'!$E$5:$E$1004,$B261,'Leads Pipeline'!$O$5:$O$1004,"&lt;&gt;Won",'Leads Pipeline'!$O$5:$O$1004,"&lt;&gt;Lost"),"")</f>
        <v/>
      </c>
      <c r="H261" s="43" t="str">
        <f aca="false">IF(AND($A261&lt;&gt;"",$B261&lt;&gt;""),COUNTIFS('Active Clients'!$B$5:$B$504,$A261,'Active Clients'!$C$5:$C$504,$B261,'Active Clients'!$T$5:$T$504,"Active"),"")</f>
        <v/>
      </c>
      <c r="I261" s="44" t="str">
        <f aca="false">IF(AND($A261&lt;&gt;"",$B261&lt;&gt;""),SUMIFS('Active Clients'!$R$5:$R$504,'Active Clients'!$B$5:$B$504,$A261,'Active Clients'!$C$5:$C$504,$B261),"")</f>
        <v/>
      </c>
      <c r="J261" s="43" t="str">
        <f aca="true">IF(AND($A261&lt;&gt;"",$B261&lt;&gt;""),COUNTIFS('Activity Log'!$E$5:$E$3004,$A261,'Activity Log'!$F$5:$F$3004,$B261,'Activity Log'!$A$5:$A$3004,"&gt;="&amp;(TODAY()-29),'Activity Log'!$A$5:$A$3004,"&lt;="&amp;TODAY()),"")</f>
        <v/>
      </c>
    </row>
    <row r="262" customFormat="false" ht="15" hidden="false" customHeight="false" outlineLevel="0" collapsed="false">
      <c r="A262" s="42"/>
      <c r="B262" s="42"/>
      <c r="C262" s="43" t="str">
        <f aca="false">IF(AND($A262&lt;&gt;"",$B262&lt;&gt;""),COUNTIFS('Leads Pipeline'!$D$5:$D$1004,$A262,'Leads Pipeline'!$E$5:$E$1004,$B262,'Leads Pipeline'!$F$5:$F$1004,"&lt;&gt;"),"")</f>
        <v/>
      </c>
      <c r="D262" s="43" t="str">
        <f aca="false">IF(AND($A262&lt;&gt;"",$B262&lt;&gt;""),COUNTIFS('Leads Pipeline'!$D$5:$D$1004,$A262,'Leads Pipeline'!$E$5:$E$1004,$B262,'Leads Pipeline'!$F$5:$F$1004,"&lt;&gt;",'Leads Pipeline'!$O$5:$O$1004,"&lt;&gt;Won",'Leads Pipeline'!$O$5:$O$1004,"&lt;&gt;Lost"),"")</f>
        <v/>
      </c>
      <c r="E262" s="43" t="str">
        <f aca="false">IF(AND($A262&lt;&gt;"",$B262&lt;&gt;""),COUNTIFS('Leads Pipeline'!$D$5:$D$1004,$A262,'Leads Pipeline'!$E$5:$E$1004,$B262,'Leads Pipeline'!$P$5:$P$1004,"Hot",'Leads Pipeline'!$O$5:$O$1004,"&lt;&gt;Won",'Leads Pipeline'!$O$5:$O$1004,"&lt;&gt;Lost"),"")</f>
        <v/>
      </c>
      <c r="F262" s="43" t="str">
        <f aca="false">IF(AND($A262&lt;&gt;"",$B262&lt;&gt;""),COUNTIFS('Leads Pipeline'!$D$5:$D$1004,$A262,'Leads Pipeline'!$E$5:$E$1004,$B262,'Leads Pipeline'!$O$5:$O$1004,"Won"),"")</f>
        <v/>
      </c>
      <c r="G262" s="44" t="str">
        <f aca="false">IF(AND($A262&lt;&gt;"",$B262&lt;&gt;""),SUMIFS('Leads Pipeline'!$U$5:$U$1004,'Leads Pipeline'!$D$5:$D$1004,$A262,'Leads Pipeline'!$E$5:$E$1004,$B262,'Leads Pipeline'!$O$5:$O$1004,"&lt;&gt;Won",'Leads Pipeline'!$O$5:$O$1004,"&lt;&gt;Lost"),"")</f>
        <v/>
      </c>
      <c r="H262" s="43" t="str">
        <f aca="false">IF(AND($A262&lt;&gt;"",$B262&lt;&gt;""),COUNTIFS('Active Clients'!$B$5:$B$504,$A262,'Active Clients'!$C$5:$C$504,$B262,'Active Clients'!$T$5:$T$504,"Active"),"")</f>
        <v/>
      </c>
      <c r="I262" s="44" t="str">
        <f aca="false">IF(AND($A262&lt;&gt;"",$B262&lt;&gt;""),SUMIFS('Active Clients'!$R$5:$R$504,'Active Clients'!$B$5:$B$504,$A262,'Active Clients'!$C$5:$C$504,$B262),"")</f>
        <v/>
      </c>
      <c r="J262" s="43" t="str">
        <f aca="true">IF(AND($A262&lt;&gt;"",$B262&lt;&gt;""),COUNTIFS('Activity Log'!$E$5:$E$3004,$A262,'Activity Log'!$F$5:$F$3004,$B262,'Activity Log'!$A$5:$A$3004,"&gt;="&amp;(TODAY()-29),'Activity Log'!$A$5:$A$3004,"&lt;="&amp;TODAY()),"")</f>
        <v/>
      </c>
    </row>
    <row r="263" customFormat="false" ht="15" hidden="false" customHeight="false" outlineLevel="0" collapsed="false">
      <c r="A263" s="42"/>
      <c r="B263" s="42"/>
      <c r="C263" s="43" t="str">
        <f aca="false">IF(AND($A263&lt;&gt;"",$B263&lt;&gt;""),COUNTIFS('Leads Pipeline'!$D$5:$D$1004,$A263,'Leads Pipeline'!$E$5:$E$1004,$B263,'Leads Pipeline'!$F$5:$F$1004,"&lt;&gt;"),"")</f>
        <v/>
      </c>
      <c r="D263" s="43" t="str">
        <f aca="false">IF(AND($A263&lt;&gt;"",$B263&lt;&gt;""),COUNTIFS('Leads Pipeline'!$D$5:$D$1004,$A263,'Leads Pipeline'!$E$5:$E$1004,$B263,'Leads Pipeline'!$F$5:$F$1004,"&lt;&gt;",'Leads Pipeline'!$O$5:$O$1004,"&lt;&gt;Won",'Leads Pipeline'!$O$5:$O$1004,"&lt;&gt;Lost"),"")</f>
        <v/>
      </c>
      <c r="E263" s="43" t="str">
        <f aca="false">IF(AND($A263&lt;&gt;"",$B263&lt;&gt;""),COUNTIFS('Leads Pipeline'!$D$5:$D$1004,$A263,'Leads Pipeline'!$E$5:$E$1004,$B263,'Leads Pipeline'!$P$5:$P$1004,"Hot",'Leads Pipeline'!$O$5:$O$1004,"&lt;&gt;Won",'Leads Pipeline'!$O$5:$O$1004,"&lt;&gt;Lost"),"")</f>
        <v/>
      </c>
      <c r="F263" s="43" t="str">
        <f aca="false">IF(AND($A263&lt;&gt;"",$B263&lt;&gt;""),COUNTIFS('Leads Pipeline'!$D$5:$D$1004,$A263,'Leads Pipeline'!$E$5:$E$1004,$B263,'Leads Pipeline'!$O$5:$O$1004,"Won"),"")</f>
        <v/>
      </c>
      <c r="G263" s="44" t="str">
        <f aca="false">IF(AND($A263&lt;&gt;"",$B263&lt;&gt;""),SUMIFS('Leads Pipeline'!$U$5:$U$1004,'Leads Pipeline'!$D$5:$D$1004,$A263,'Leads Pipeline'!$E$5:$E$1004,$B263,'Leads Pipeline'!$O$5:$O$1004,"&lt;&gt;Won",'Leads Pipeline'!$O$5:$O$1004,"&lt;&gt;Lost"),"")</f>
        <v/>
      </c>
      <c r="H263" s="43" t="str">
        <f aca="false">IF(AND($A263&lt;&gt;"",$B263&lt;&gt;""),COUNTIFS('Active Clients'!$B$5:$B$504,$A263,'Active Clients'!$C$5:$C$504,$B263,'Active Clients'!$T$5:$T$504,"Active"),"")</f>
        <v/>
      </c>
      <c r="I263" s="44" t="str">
        <f aca="false">IF(AND($A263&lt;&gt;"",$B263&lt;&gt;""),SUMIFS('Active Clients'!$R$5:$R$504,'Active Clients'!$B$5:$B$504,$A263,'Active Clients'!$C$5:$C$504,$B263),"")</f>
        <v/>
      </c>
      <c r="J263" s="43" t="str">
        <f aca="true">IF(AND($A263&lt;&gt;"",$B263&lt;&gt;""),COUNTIFS('Activity Log'!$E$5:$E$3004,$A263,'Activity Log'!$F$5:$F$3004,$B263,'Activity Log'!$A$5:$A$3004,"&gt;="&amp;(TODAY()-29),'Activity Log'!$A$5:$A$3004,"&lt;="&amp;TODAY()),"")</f>
        <v/>
      </c>
    </row>
    <row r="264" customFormat="false" ht="15" hidden="false" customHeight="false" outlineLevel="0" collapsed="false">
      <c r="A264" s="42"/>
      <c r="B264" s="42"/>
      <c r="C264" s="43" t="str">
        <f aca="false">IF(AND($A264&lt;&gt;"",$B264&lt;&gt;""),COUNTIFS('Leads Pipeline'!$D$5:$D$1004,$A264,'Leads Pipeline'!$E$5:$E$1004,$B264,'Leads Pipeline'!$F$5:$F$1004,"&lt;&gt;"),"")</f>
        <v/>
      </c>
      <c r="D264" s="43" t="str">
        <f aca="false">IF(AND($A264&lt;&gt;"",$B264&lt;&gt;""),COUNTIFS('Leads Pipeline'!$D$5:$D$1004,$A264,'Leads Pipeline'!$E$5:$E$1004,$B264,'Leads Pipeline'!$F$5:$F$1004,"&lt;&gt;",'Leads Pipeline'!$O$5:$O$1004,"&lt;&gt;Won",'Leads Pipeline'!$O$5:$O$1004,"&lt;&gt;Lost"),"")</f>
        <v/>
      </c>
      <c r="E264" s="43" t="str">
        <f aca="false">IF(AND($A264&lt;&gt;"",$B264&lt;&gt;""),COUNTIFS('Leads Pipeline'!$D$5:$D$1004,$A264,'Leads Pipeline'!$E$5:$E$1004,$B264,'Leads Pipeline'!$P$5:$P$1004,"Hot",'Leads Pipeline'!$O$5:$O$1004,"&lt;&gt;Won",'Leads Pipeline'!$O$5:$O$1004,"&lt;&gt;Lost"),"")</f>
        <v/>
      </c>
      <c r="F264" s="43" t="str">
        <f aca="false">IF(AND($A264&lt;&gt;"",$B264&lt;&gt;""),COUNTIFS('Leads Pipeline'!$D$5:$D$1004,$A264,'Leads Pipeline'!$E$5:$E$1004,$B264,'Leads Pipeline'!$O$5:$O$1004,"Won"),"")</f>
        <v/>
      </c>
      <c r="G264" s="44" t="str">
        <f aca="false">IF(AND($A264&lt;&gt;"",$B264&lt;&gt;""),SUMIFS('Leads Pipeline'!$U$5:$U$1004,'Leads Pipeline'!$D$5:$D$1004,$A264,'Leads Pipeline'!$E$5:$E$1004,$B264,'Leads Pipeline'!$O$5:$O$1004,"&lt;&gt;Won",'Leads Pipeline'!$O$5:$O$1004,"&lt;&gt;Lost"),"")</f>
        <v/>
      </c>
      <c r="H264" s="43" t="str">
        <f aca="false">IF(AND($A264&lt;&gt;"",$B264&lt;&gt;""),COUNTIFS('Active Clients'!$B$5:$B$504,$A264,'Active Clients'!$C$5:$C$504,$B264,'Active Clients'!$T$5:$T$504,"Active"),"")</f>
        <v/>
      </c>
      <c r="I264" s="44" t="str">
        <f aca="false">IF(AND($A264&lt;&gt;"",$B264&lt;&gt;""),SUMIFS('Active Clients'!$R$5:$R$504,'Active Clients'!$B$5:$B$504,$A264,'Active Clients'!$C$5:$C$504,$B264),"")</f>
        <v/>
      </c>
      <c r="J264" s="43" t="str">
        <f aca="true">IF(AND($A264&lt;&gt;"",$B264&lt;&gt;""),COUNTIFS('Activity Log'!$E$5:$E$3004,$A264,'Activity Log'!$F$5:$F$3004,$B264,'Activity Log'!$A$5:$A$3004,"&gt;="&amp;(TODAY()-29),'Activity Log'!$A$5:$A$3004,"&lt;="&amp;TODAY()),"")</f>
        <v/>
      </c>
    </row>
    <row r="265" customFormat="false" ht="15" hidden="false" customHeight="false" outlineLevel="0" collapsed="false">
      <c r="A265" s="42"/>
      <c r="B265" s="42"/>
      <c r="C265" s="43" t="str">
        <f aca="false">IF(AND($A265&lt;&gt;"",$B265&lt;&gt;""),COUNTIFS('Leads Pipeline'!$D$5:$D$1004,$A265,'Leads Pipeline'!$E$5:$E$1004,$B265,'Leads Pipeline'!$F$5:$F$1004,"&lt;&gt;"),"")</f>
        <v/>
      </c>
      <c r="D265" s="43" t="str">
        <f aca="false">IF(AND($A265&lt;&gt;"",$B265&lt;&gt;""),COUNTIFS('Leads Pipeline'!$D$5:$D$1004,$A265,'Leads Pipeline'!$E$5:$E$1004,$B265,'Leads Pipeline'!$F$5:$F$1004,"&lt;&gt;",'Leads Pipeline'!$O$5:$O$1004,"&lt;&gt;Won",'Leads Pipeline'!$O$5:$O$1004,"&lt;&gt;Lost"),"")</f>
        <v/>
      </c>
      <c r="E265" s="43" t="str">
        <f aca="false">IF(AND($A265&lt;&gt;"",$B265&lt;&gt;""),COUNTIFS('Leads Pipeline'!$D$5:$D$1004,$A265,'Leads Pipeline'!$E$5:$E$1004,$B265,'Leads Pipeline'!$P$5:$P$1004,"Hot",'Leads Pipeline'!$O$5:$O$1004,"&lt;&gt;Won",'Leads Pipeline'!$O$5:$O$1004,"&lt;&gt;Lost"),"")</f>
        <v/>
      </c>
      <c r="F265" s="43" t="str">
        <f aca="false">IF(AND($A265&lt;&gt;"",$B265&lt;&gt;""),COUNTIFS('Leads Pipeline'!$D$5:$D$1004,$A265,'Leads Pipeline'!$E$5:$E$1004,$B265,'Leads Pipeline'!$O$5:$O$1004,"Won"),"")</f>
        <v/>
      </c>
      <c r="G265" s="44" t="str">
        <f aca="false">IF(AND($A265&lt;&gt;"",$B265&lt;&gt;""),SUMIFS('Leads Pipeline'!$U$5:$U$1004,'Leads Pipeline'!$D$5:$D$1004,$A265,'Leads Pipeline'!$E$5:$E$1004,$B265,'Leads Pipeline'!$O$5:$O$1004,"&lt;&gt;Won",'Leads Pipeline'!$O$5:$O$1004,"&lt;&gt;Lost"),"")</f>
        <v/>
      </c>
      <c r="H265" s="43" t="str">
        <f aca="false">IF(AND($A265&lt;&gt;"",$B265&lt;&gt;""),COUNTIFS('Active Clients'!$B$5:$B$504,$A265,'Active Clients'!$C$5:$C$504,$B265,'Active Clients'!$T$5:$T$504,"Active"),"")</f>
        <v/>
      </c>
      <c r="I265" s="44" t="str">
        <f aca="false">IF(AND($A265&lt;&gt;"",$B265&lt;&gt;""),SUMIFS('Active Clients'!$R$5:$R$504,'Active Clients'!$B$5:$B$504,$A265,'Active Clients'!$C$5:$C$504,$B265),"")</f>
        <v/>
      </c>
      <c r="J265" s="43" t="str">
        <f aca="true">IF(AND($A265&lt;&gt;"",$B265&lt;&gt;""),COUNTIFS('Activity Log'!$E$5:$E$3004,$A265,'Activity Log'!$F$5:$F$3004,$B265,'Activity Log'!$A$5:$A$3004,"&gt;="&amp;(TODAY()-29),'Activity Log'!$A$5:$A$3004,"&lt;="&amp;TODAY()),"")</f>
        <v/>
      </c>
    </row>
    <row r="266" customFormat="false" ht="15" hidden="false" customHeight="false" outlineLevel="0" collapsed="false">
      <c r="A266" s="42"/>
      <c r="B266" s="42"/>
      <c r="C266" s="43" t="str">
        <f aca="false">IF(AND($A266&lt;&gt;"",$B266&lt;&gt;""),COUNTIFS('Leads Pipeline'!$D$5:$D$1004,$A266,'Leads Pipeline'!$E$5:$E$1004,$B266,'Leads Pipeline'!$F$5:$F$1004,"&lt;&gt;"),"")</f>
        <v/>
      </c>
      <c r="D266" s="43" t="str">
        <f aca="false">IF(AND($A266&lt;&gt;"",$B266&lt;&gt;""),COUNTIFS('Leads Pipeline'!$D$5:$D$1004,$A266,'Leads Pipeline'!$E$5:$E$1004,$B266,'Leads Pipeline'!$F$5:$F$1004,"&lt;&gt;",'Leads Pipeline'!$O$5:$O$1004,"&lt;&gt;Won",'Leads Pipeline'!$O$5:$O$1004,"&lt;&gt;Lost"),"")</f>
        <v/>
      </c>
      <c r="E266" s="43" t="str">
        <f aca="false">IF(AND($A266&lt;&gt;"",$B266&lt;&gt;""),COUNTIFS('Leads Pipeline'!$D$5:$D$1004,$A266,'Leads Pipeline'!$E$5:$E$1004,$B266,'Leads Pipeline'!$P$5:$P$1004,"Hot",'Leads Pipeline'!$O$5:$O$1004,"&lt;&gt;Won",'Leads Pipeline'!$O$5:$O$1004,"&lt;&gt;Lost"),"")</f>
        <v/>
      </c>
      <c r="F266" s="43" t="str">
        <f aca="false">IF(AND($A266&lt;&gt;"",$B266&lt;&gt;""),COUNTIFS('Leads Pipeline'!$D$5:$D$1004,$A266,'Leads Pipeline'!$E$5:$E$1004,$B266,'Leads Pipeline'!$O$5:$O$1004,"Won"),"")</f>
        <v/>
      </c>
      <c r="G266" s="44" t="str">
        <f aca="false">IF(AND($A266&lt;&gt;"",$B266&lt;&gt;""),SUMIFS('Leads Pipeline'!$U$5:$U$1004,'Leads Pipeline'!$D$5:$D$1004,$A266,'Leads Pipeline'!$E$5:$E$1004,$B266,'Leads Pipeline'!$O$5:$O$1004,"&lt;&gt;Won",'Leads Pipeline'!$O$5:$O$1004,"&lt;&gt;Lost"),"")</f>
        <v/>
      </c>
      <c r="H266" s="43" t="str">
        <f aca="false">IF(AND($A266&lt;&gt;"",$B266&lt;&gt;""),COUNTIFS('Active Clients'!$B$5:$B$504,$A266,'Active Clients'!$C$5:$C$504,$B266,'Active Clients'!$T$5:$T$504,"Active"),"")</f>
        <v/>
      </c>
      <c r="I266" s="44" t="str">
        <f aca="false">IF(AND($A266&lt;&gt;"",$B266&lt;&gt;""),SUMIFS('Active Clients'!$R$5:$R$504,'Active Clients'!$B$5:$B$504,$A266,'Active Clients'!$C$5:$C$504,$B266),"")</f>
        <v/>
      </c>
      <c r="J266" s="43" t="str">
        <f aca="true">IF(AND($A266&lt;&gt;"",$B266&lt;&gt;""),COUNTIFS('Activity Log'!$E$5:$E$3004,$A266,'Activity Log'!$F$5:$F$3004,$B266,'Activity Log'!$A$5:$A$3004,"&gt;="&amp;(TODAY()-29),'Activity Log'!$A$5:$A$3004,"&lt;="&amp;TODAY()),"")</f>
        <v/>
      </c>
    </row>
    <row r="267" customFormat="false" ht="15" hidden="false" customHeight="false" outlineLevel="0" collapsed="false">
      <c r="A267" s="42"/>
      <c r="B267" s="42"/>
      <c r="C267" s="43" t="str">
        <f aca="false">IF(AND($A267&lt;&gt;"",$B267&lt;&gt;""),COUNTIFS('Leads Pipeline'!$D$5:$D$1004,$A267,'Leads Pipeline'!$E$5:$E$1004,$B267,'Leads Pipeline'!$F$5:$F$1004,"&lt;&gt;"),"")</f>
        <v/>
      </c>
      <c r="D267" s="43" t="str">
        <f aca="false">IF(AND($A267&lt;&gt;"",$B267&lt;&gt;""),COUNTIFS('Leads Pipeline'!$D$5:$D$1004,$A267,'Leads Pipeline'!$E$5:$E$1004,$B267,'Leads Pipeline'!$F$5:$F$1004,"&lt;&gt;",'Leads Pipeline'!$O$5:$O$1004,"&lt;&gt;Won",'Leads Pipeline'!$O$5:$O$1004,"&lt;&gt;Lost"),"")</f>
        <v/>
      </c>
      <c r="E267" s="43" t="str">
        <f aca="false">IF(AND($A267&lt;&gt;"",$B267&lt;&gt;""),COUNTIFS('Leads Pipeline'!$D$5:$D$1004,$A267,'Leads Pipeline'!$E$5:$E$1004,$B267,'Leads Pipeline'!$P$5:$P$1004,"Hot",'Leads Pipeline'!$O$5:$O$1004,"&lt;&gt;Won",'Leads Pipeline'!$O$5:$O$1004,"&lt;&gt;Lost"),"")</f>
        <v/>
      </c>
      <c r="F267" s="43" t="str">
        <f aca="false">IF(AND($A267&lt;&gt;"",$B267&lt;&gt;""),COUNTIFS('Leads Pipeline'!$D$5:$D$1004,$A267,'Leads Pipeline'!$E$5:$E$1004,$B267,'Leads Pipeline'!$O$5:$O$1004,"Won"),"")</f>
        <v/>
      </c>
      <c r="G267" s="44" t="str">
        <f aca="false">IF(AND($A267&lt;&gt;"",$B267&lt;&gt;""),SUMIFS('Leads Pipeline'!$U$5:$U$1004,'Leads Pipeline'!$D$5:$D$1004,$A267,'Leads Pipeline'!$E$5:$E$1004,$B267,'Leads Pipeline'!$O$5:$O$1004,"&lt;&gt;Won",'Leads Pipeline'!$O$5:$O$1004,"&lt;&gt;Lost"),"")</f>
        <v/>
      </c>
      <c r="H267" s="43" t="str">
        <f aca="false">IF(AND($A267&lt;&gt;"",$B267&lt;&gt;""),COUNTIFS('Active Clients'!$B$5:$B$504,$A267,'Active Clients'!$C$5:$C$504,$B267,'Active Clients'!$T$5:$T$504,"Active"),"")</f>
        <v/>
      </c>
      <c r="I267" s="44" t="str">
        <f aca="false">IF(AND($A267&lt;&gt;"",$B267&lt;&gt;""),SUMIFS('Active Clients'!$R$5:$R$504,'Active Clients'!$B$5:$B$504,$A267,'Active Clients'!$C$5:$C$504,$B267),"")</f>
        <v/>
      </c>
      <c r="J267" s="43" t="str">
        <f aca="true">IF(AND($A267&lt;&gt;"",$B267&lt;&gt;""),COUNTIFS('Activity Log'!$E$5:$E$3004,$A267,'Activity Log'!$F$5:$F$3004,$B267,'Activity Log'!$A$5:$A$3004,"&gt;="&amp;(TODAY()-29),'Activity Log'!$A$5:$A$3004,"&lt;="&amp;TODAY()),"")</f>
        <v/>
      </c>
    </row>
    <row r="268" customFormat="false" ht="15" hidden="false" customHeight="false" outlineLevel="0" collapsed="false">
      <c r="A268" s="42"/>
      <c r="B268" s="42"/>
      <c r="C268" s="43" t="str">
        <f aca="false">IF(AND($A268&lt;&gt;"",$B268&lt;&gt;""),COUNTIFS('Leads Pipeline'!$D$5:$D$1004,$A268,'Leads Pipeline'!$E$5:$E$1004,$B268,'Leads Pipeline'!$F$5:$F$1004,"&lt;&gt;"),"")</f>
        <v/>
      </c>
      <c r="D268" s="43" t="str">
        <f aca="false">IF(AND($A268&lt;&gt;"",$B268&lt;&gt;""),COUNTIFS('Leads Pipeline'!$D$5:$D$1004,$A268,'Leads Pipeline'!$E$5:$E$1004,$B268,'Leads Pipeline'!$F$5:$F$1004,"&lt;&gt;",'Leads Pipeline'!$O$5:$O$1004,"&lt;&gt;Won",'Leads Pipeline'!$O$5:$O$1004,"&lt;&gt;Lost"),"")</f>
        <v/>
      </c>
      <c r="E268" s="43" t="str">
        <f aca="false">IF(AND($A268&lt;&gt;"",$B268&lt;&gt;""),COUNTIFS('Leads Pipeline'!$D$5:$D$1004,$A268,'Leads Pipeline'!$E$5:$E$1004,$B268,'Leads Pipeline'!$P$5:$P$1004,"Hot",'Leads Pipeline'!$O$5:$O$1004,"&lt;&gt;Won",'Leads Pipeline'!$O$5:$O$1004,"&lt;&gt;Lost"),"")</f>
        <v/>
      </c>
      <c r="F268" s="43" t="str">
        <f aca="false">IF(AND($A268&lt;&gt;"",$B268&lt;&gt;""),COUNTIFS('Leads Pipeline'!$D$5:$D$1004,$A268,'Leads Pipeline'!$E$5:$E$1004,$B268,'Leads Pipeline'!$O$5:$O$1004,"Won"),"")</f>
        <v/>
      </c>
      <c r="G268" s="44" t="str">
        <f aca="false">IF(AND($A268&lt;&gt;"",$B268&lt;&gt;""),SUMIFS('Leads Pipeline'!$U$5:$U$1004,'Leads Pipeline'!$D$5:$D$1004,$A268,'Leads Pipeline'!$E$5:$E$1004,$B268,'Leads Pipeline'!$O$5:$O$1004,"&lt;&gt;Won",'Leads Pipeline'!$O$5:$O$1004,"&lt;&gt;Lost"),"")</f>
        <v/>
      </c>
      <c r="H268" s="43" t="str">
        <f aca="false">IF(AND($A268&lt;&gt;"",$B268&lt;&gt;""),COUNTIFS('Active Clients'!$B$5:$B$504,$A268,'Active Clients'!$C$5:$C$504,$B268,'Active Clients'!$T$5:$T$504,"Active"),"")</f>
        <v/>
      </c>
      <c r="I268" s="44" t="str">
        <f aca="false">IF(AND($A268&lt;&gt;"",$B268&lt;&gt;""),SUMIFS('Active Clients'!$R$5:$R$504,'Active Clients'!$B$5:$B$504,$A268,'Active Clients'!$C$5:$C$504,$B268),"")</f>
        <v/>
      </c>
      <c r="J268" s="43" t="str">
        <f aca="true">IF(AND($A268&lt;&gt;"",$B268&lt;&gt;""),COUNTIFS('Activity Log'!$E$5:$E$3004,$A268,'Activity Log'!$F$5:$F$3004,$B268,'Activity Log'!$A$5:$A$3004,"&gt;="&amp;(TODAY()-29),'Activity Log'!$A$5:$A$3004,"&lt;="&amp;TODAY()),"")</f>
        <v/>
      </c>
    </row>
    <row r="269" customFormat="false" ht="15" hidden="false" customHeight="false" outlineLevel="0" collapsed="false">
      <c r="A269" s="42"/>
      <c r="B269" s="42"/>
      <c r="C269" s="43" t="str">
        <f aca="false">IF(AND($A269&lt;&gt;"",$B269&lt;&gt;""),COUNTIFS('Leads Pipeline'!$D$5:$D$1004,$A269,'Leads Pipeline'!$E$5:$E$1004,$B269,'Leads Pipeline'!$F$5:$F$1004,"&lt;&gt;"),"")</f>
        <v/>
      </c>
      <c r="D269" s="43" t="str">
        <f aca="false">IF(AND($A269&lt;&gt;"",$B269&lt;&gt;""),COUNTIFS('Leads Pipeline'!$D$5:$D$1004,$A269,'Leads Pipeline'!$E$5:$E$1004,$B269,'Leads Pipeline'!$F$5:$F$1004,"&lt;&gt;",'Leads Pipeline'!$O$5:$O$1004,"&lt;&gt;Won",'Leads Pipeline'!$O$5:$O$1004,"&lt;&gt;Lost"),"")</f>
        <v/>
      </c>
      <c r="E269" s="43" t="str">
        <f aca="false">IF(AND($A269&lt;&gt;"",$B269&lt;&gt;""),COUNTIFS('Leads Pipeline'!$D$5:$D$1004,$A269,'Leads Pipeline'!$E$5:$E$1004,$B269,'Leads Pipeline'!$P$5:$P$1004,"Hot",'Leads Pipeline'!$O$5:$O$1004,"&lt;&gt;Won",'Leads Pipeline'!$O$5:$O$1004,"&lt;&gt;Lost"),"")</f>
        <v/>
      </c>
      <c r="F269" s="43" t="str">
        <f aca="false">IF(AND($A269&lt;&gt;"",$B269&lt;&gt;""),COUNTIFS('Leads Pipeline'!$D$5:$D$1004,$A269,'Leads Pipeline'!$E$5:$E$1004,$B269,'Leads Pipeline'!$O$5:$O$1004,"Won"),"")</f>
        <v/>
      </c>
      <c r="G269" s="44" t="str">
        <f aca="false">IF(AND($A269&lt;&gt;"",$B269&lt;&gt;""),SUMIFS('Leads Pipeline'!$U$5:$U$1004,'Leads Pipeline'!$D$5:$D$1004,$A269,'Leads Pipeline'!$E$5:$E$1004,$B269,'Leads Pipeline'!$O$5:$O$1004,"&lt;&gt;Won",'Leads Pipeline'!$O$5:$O$1004,"&lt;&gt;Lost"),"")</f>
        <v/>
      </c>
      <c r="H269" s="43" t="str">
        <f aca="false">IF(AND($A269&lt;&gt;"",$B269&lt;&gt;""),COUNTIFS('Active Clients'!$B$5:$B$504,$A269,'Active Clients'!$C$5:$C$504,$B269,'Active Clients'!$T$5:$T$504,"Active"),"")</f>
        <v/>
      </c>
      <c r="I269" s="44" t="str">
        <f aca="false">IF(AND($A269&lt;&gt;"",$B269&lt;&gt;""),SUMIFS('Active Clients'!$R$5:$R$504,'Active Clients'!$B$5:$B$504,$A269,'Active Clients'!$C$5:$C$504,$B269),"")</f>
        <v/>
      </c>
      <c r="J269" s="43" t="str">
        <f aca="true">IF(AND($A269&lt;&gt;"",$B269&lt;&gt;""),COUNTIFS('Activity Log'!$E$5:$E$3004,$A269,'Activity Log'!$F$5:$F$3004,$B269,'Activity Log'!$A$5:$A$3004,"&gt;="&amp;(TODAY()-29),'Activity Log'!$A$5:$A$3004,"&lt;="&amp;TODAY()),"")</f>
        <v/>
      </c>
    </row>
    <row r="270" customFormat="false" ht="15" hidden="false" customHeight="false" outlineLevel="0" collapsed="false">
      <c r="A270" s="42"/>
      <c r="B270" s="42"/>
      <c r="C270" s="43" t="str">
        <f aca="false">IF(AND($A270&lt;&gt;"",$B270&lt;&gt;""),COUNTIFS('Leads Pipeline'!$D$5:$D$1004,$A270,'Leads Pipeline'!$E$5:$E$1004,$B270,'Leads Pipeline'!$F$5:$F$1004,"&lt;&gt;"),"")</f>
        <v/>
      </c>
      <c r="D270" s="43" t="str">
        <f aca="false">IF(AND($A270&lt;&gt;"",$B270&lt;&gt;""),COUNTIFS('Leads Pipeline'!$D$5:$D$1004,$A270,'Leads Pipeline'!$E$5:$E$1004,$B270,'Leads Pipeline'!$F$5:$F$1004,"&lt;&gt;",'Leads Pipeline'!$O$5:$O$1004,"&lt;&gt;Won",'Leads Pipeline'!$O$5:$O$1004,"&lt;&gt;Lost"),"")</f>
        <v/>
      </c>
      <c r="E270" s="43" t="str">
        <f aca="false">IF(AND($A270&lt;&gt;"",$B270&lt;&gt;""),COUNTIFS('Leads Pipeline'!$D$5:$D$1004,$A270,'Leads Pipeline'!$E$5:$E$1004,$B270,'Leads Pipeline'!$P$5:$P$1004,"Hot",'Leads Pipeline'!$O$5:$O$1004,"&lt;&gt;Won",'Leads Pipeline'!$O$5:$O$1004,"&lt;&gt;Lost"),"")</f>
        <v/>
      </c>
      <c r="F270" s="43" t="str">
        <f aca="false">IF(AND($A270&lt;&gt;"",$B270&lt;&gt;""),COUNTIFS('Leads Pipeline'!$D$5:$D$1004,$A270,'Leads Pipeline'!$E$5:$E$1004,$B270,'Leads Pipeline'!$O$5:$O$1004,"Won"),"")</f>
        <v/>
      </c>
      <c r="G270" s="44" t="str">
        <f aca="false">IF(AND($A270&lt;&gt;"",$B270&lt;&gt;""),SUMIFS('Leads Pipeline'!$U$5:$U$1004,'Leads Pipeline'!$D$5:$D$1004,$A270,'Leads Pipeline'!$E$5:$E$1004,$B270,'Leads Pipeline'!$O$5:$O$1004,"&lt;&gt;Won",'Leads Pipeline'!$O$5:$O$1004,"&lt;&gt;Lost"),"")</f>
        <v/>
      </c>
      <c r="H270" s="43" t="str">
        <f aca="false">IF(AND($A270&lt;&gt;"",$B270&lt;&gt;""),COUNTIFS('Active Clients'!$B$5:$B$504,$A270,'Active Clients'!$C$5:$C$504,$B270,'Active Clients'!$T$5:$T$504,"Active"),"")</f>
        <v/>
      </c>
      <c r="I270" s="44" t="str">
        <f aca="false">IF(AND($A270&lt;&gt;"",$B270&lt;&gt;""),SUMIFS('Active Clients'!$R$5:$R$504,'Active Clients'!$B$5:$B$504,$A270,'Active Clients'!$C$5:$C$504,$B270),"")</f>
        <v/>
      </c>
      <c r="J270" s="43" t="str">
        <f aca="true">IF(AND($A270&lt;&gt;"",$B270&lt;&gt;""),COUNTIFS('Activity Log'!$E$5:$E$3004,$A270,'Activity Log'!$F$5:$F$3004,$B270,'Activity Log'!$A$5:$A$3004,"&gt;="&amp;(TODAY()-29),'Activity Log'!$A$5:$A$3004,"&lt;="&amp;TODAY()),"")</f>
        <v/>
      </c>
    </row>
    <row r="271" customFormat="false" ht="15" hidden="false" customHeight="false" outlineLevel="0" collapsed="false">
      <c r="A271" s="42"/>
      <c r="B271" s="42"/>
      <c r="C271" s="43" t="str">
        <f aca="false">IF(AND($A271&lt;&gt;"",$B271&lt;&gt;""),COUNTIFS('Leads Pipeline'!$D$5:$D$1004,$A271,'Leads Pipeline'!$E$5:$E$1004,$B271,'Leads Pipeline'!$F$5:$F$1004,"&lt;&gt;"),"")</f>
        <v/>
      </c>
      <c r="D271" s="43" t="str">
        <f aca="false">IF(AND($A271&lt;&gt;"",$B271&lt;&gt;""),COUNTIFS('Leads Pipeline'!$D$5:$D$1004,$A271,'Leads Pipeline'!$E$5:$E$1004,$B271,'Leads Pipeline'!$F$5:$F$1004,"&lt;&gt;",'Leads Pipeline'!$O$5:$O$1004,"&lt;&gt;Won",'Leads Pipeline'!$O$5:$O$1004,"&lt;&gt;Lost"),"")</f>
        <v/>
      </c>
      <c r="E271" s="43" t="str">
        <f aca="false">IF(AND($A271&lt;&gt;"",$B271&lt;&gt;""),COUNTIFS('Leads Pipeline'!$D$5:$D$1004,$A271,'Leads Pipeline'!$E$5:$E$1004,$B271,'Leads Pipeline'!$P$5:$P$1004,"Hot",'Leads Pipeline'!$O$5:$O$1004,"&lt;&gt;Won",'Leads Pipeline'!$O$5:$O$1004,"&lt;&gt;Lost"),"")</f>
        <v/>
      </c>
      <c r="F271" s="43" t="str">
        <f aca="false">IF(AND($A271&lt;&gt;"",$B271&lt;&gt;""),COUNTIFS('Leads Pipeline'!$D$5:$D$1004,$A271,'Leads Pipeline'!$E$5:$E$1004,$B271,'Leads Pipeline'!$O$5:$O$1004,"Won"),"")</f>
        <v/>
      </c>
      <c r="G271" s="44" t="str">
        <f aca="false">IF(AND($A271&lt;&gt;"",$B271&lt;&gt;""),SUMIFS('Leads Pipeline'!$U$5:$U$1004,'Leads Pipeline'!$D$5:$D$1004,$A271,'Leads Pipeline'!$E$5:$E$1004,$B271,'Leads Pipeline'!$O$5:$O$1004,"&lt;&gt;Won",'Leads Pipeline'!$O$5:$O$1004,"&lt;&gt;Lost"),"")</f>
        <v/>
      </c>
      <c r="H271" s="43" t="str">
        <f aca="false">IF(AND($A271&lt;&gt;"",$B271&lt;&gt;""),COUNTIFS('Active Clients'!$B$5:$B$504,$A271,'Active Clients'!$C$5:$C$504,$B271,'Active Clients'!$T$5:$T$504,"Active"),"")</f>
        <v/>
      </c>
      <c r="I271" s="44" t="str">
        <f aca="false">IF(AND($A271&lt;&gt;"",$B271&lt;&gt;""),SUMIFS('Active Clients'!$R$5:$R$504,'Active Clients'!$B$5:$B$504,$A271,'Active Clients'!$C$5:$C$504,$B271),"")</f>
        <v/>
      </c>
      <c r="J271" s="43" t="str">
        <f aca="true">IF(AND($A271&lt;&gt;"",$B271&lt;&gt;""),COUNTIFS('Activity Log'!$E$5:$E$3004,$A271,'Activity Log'!$F$5:$F$3004,$B271,'Activity Log'!$A$5:$A$3004,"&gt;="&amp;(TODAY()-29),'Activity Log'!$A$5:$A$3004,"&lt;="&amp;TODAY()),"")</f>
        <v/>
      </c>
    </row>
    <row r="272" customFormat="false" ht="15" hidden="false" customHeight="false" outlineLevel="0" collapsed="false">
      <c r="A272" s="42"/>
      <c r="B272" s="42"/>
      <c r="C272" s="43" t="str">
        <f aca="false">IF(AND($A272&lt;&gt;"",$B272&lt;&gt;""),COUNTIFS('Leads Pipeline'!$D$5:$D$1004,$A272,'Leads Pipeline'!$E$5:$E$1004,$B272,'Leads Pipeline'!$F$5:$F$1004,"&lt;&gt;"),"")</f>
        <v/>
      </c>
      <c r="D272" s="43" t="str">
        <f aca="false">IF(AND($A272&lt;&gt;"",$B272&lt;&gt;""),COUNTIFS('Leads Pipeline'!$D$5:$D$1004,$A272,'Leads Pipeline'!$E$5:$E$1004,$B272,'Leads Pipeline'!$F$5:$F$1004,"&lt;&gt;",'Leads Pipeline'!$O$5:$O$1004,"&lt;&gt;Won",'Leads Pipeline'!$O$5:$O$1004,"&lt;&gt;Lost"),"")</f>
        <v/>
      </c>
      <c r="E272" s="43" t="str">
        <f aca="false">IF(AND($A272&lt;&gt;"",$B272&lt;&gt;""),COUNTIFS('Leads Pipeline'!$D$5:$D$1004,$A272,'Leads Pipeline'!$E$5:$E$1004,$B272,'Leads Pipeline'!$P$5:$P$1004,"Hot",'Leads Pipeline'!$O$5:$O$1004,"&lt;&gt;Won",'Leads Pipeline'!$O$5:$O$1004,"&lt;&gt;Lost"),"")</f>
        <v/>
      </c>
      <c r="F272" s="43" t="str">
        <f aca="false">IF(AND($A272&lt;&gt;"",$B272&lt;&gt;""),COUNTIFS('Leads Pipeline'!$D$5:$D$1004,$A272,'Leads Pipeline'!$E$5:$E$1004,$B272,'Leads Pipeline'!$O$5:$O$1004,"Won"),"")</f>
        <v/>
      </c>
      <c r="G272" s="44" t="str">
        <f aca="false">IF(AND($A272&lt;&gt;"",$B272&lt;&gt;""),SUMIFS('Leads Pipeline'!$U$5:$U$1004,'Leads Pipeline'!$D$5:$D$1004,$A272,'Leads Pipeline'!$E$5:$E$1004,$B272,'Leads Pipeline'!$O$5:$O$1004,"&lt;&gt;Won",'Leads Pipeline'!$O$5:$O$1004,"&lt;&gt;Lost"),"")</f>
        <v/>
      </c>
      <c r="H272" s="43" t="str">
        <f aca="false">IF(AND($A272&lt;&gt;"",$B272&lt;&gt;""),COUNTIFS('Active Clients'!$B$5:$B$504,$A272,'Active Clients'!$C$5:$C$504,$B272,'Active Clients'!$T$5:$T$504,"Active"),"")</f>
        <v/>
      </c>
      <c r="I272" s="44" t="str">
        <f aca="false">IF(AND($A272&lt;&gt;"",$B272&lt;&gt;""),SUMIFS('Active Clients'!$R$5:$R$504,'Active Clients'!$B$5:$B$504,$A272,'Active Clients'!$C$5:$C$504,$B272),"")</f>
        <v/>
      </c>
      <c r="J272" s="43" t="str">
        <f aca="true">IF(AND($A272&lt;&gt;"",$B272&lt;&gt;""),COUNTIFS('Activity Log'!$E$5:$E$3004,$A272,'Activity Log'!$F$5:$F$3004,$B272,'Activity Log'!$A$5:$A$3004,"&gt;="&amp;(TODAY()-29),'Activity Log'!$A$5:$A$3004,"&lt;="&amp;TODAY()),"")</f>
        <v/>
      </c>
    </row>
    <row r="273" customFormat="false" ht="15" hidden="false" customHeight="false" outlineLevel="0" collapsed="false">
      <c r="A273" s="42"/>
      <c r="B273" s="42"/>
      <c r="C273" s="43" t="str">
        <f aca="false">IF(AND($A273&lt;&gt;"",$B273&lt;&gt;""),COUNTIFS('Leads Pipeline'!$D$5:$D$1004,$A273,'Leads Pipeline'!$E$5:$E$1004,$B273,'Leads Pipeline'!$F$5:$F$1004,"&lt;&gt;"),"")</f>
        <v/>
      </c>
      <c r="D273" s="43" t="str">
        <f aca="false">IF(AND($A273&lt;&gt;"",$B273&lt;&gt;""),COUNTIFS('Leads Pipeline'!$D$5:$D$1004,$A273,'Leads Pipeline'!$E$5:$E$1004,$B273,'Leads Pipeline'!$F$5:$F$1004,"&lt;&gt;",'Leads Pipeline'!$O$5:$O$1004,"&lt;&gt;Won",'Leads Pipeline'!$O$5:$O$1004,"&lt;&gt;Lost"),"")</f>
        <v/>
      </c>
      <c r="E273" s="43" t="str">
        <f aca="false">IF(AND($A273&lt;&gt;"",$B273&lt;&gt;""),COUNTIFS('Leads Pipeline'!$D$5:$D$1004,$A273,'Leads Pipeline'!$E$5:$E$1004,$B273,'Leads Pipeline'!$P$5:$P$1004,"Hot",'Leads Pipeline'!$O$5:$O$1004,"&lt;&gt;Won",'Leads Pipeline'!$O$5:$O$1004,"&lt;&gt;Lost"),"")</f>
        <v/>
      </c>
      <c r="F273" s="43" t="str">
        <f aca="false">IF(AND($A273&lt;&gt;"",$B273&lt;&gt;""),COUNTIFS('Leads Pipeline'!$D$5:$D$1004,$A273,'Leads Pipeline'!$E$5:$E$1004,$B273,'Leads Pipeline'!$O$5:$O$1004,"Won"),"")</f>
        <v/>
      </c>
      <c r="G273" s="44" t="str">
        <f aca="false">IF(AND($A273&lt;&gt;"",$B273&lt;&gt;""),SUMIFS('Leads Pipeline'!$U$5:$U$1004,'Leads Pipeline'!$D$5:$D$1004,$A273,'Leads Pipeline'!$E$5:$E$1004,$B273,'Leads Pipeline'!$O$5:$O$1004,"&lt;&gt;Won",'Leads Pipeline'!$O$5:$O$1004,"&lt;&gt;Lost"),"")</f>
        <v/>
      </c>
      <c r="H273" s="43" t="str">
        <f aca="false">IF(AND($A273&lt;&gt;"",$B273&lt;&gt;""),COUNTIFS('Active Clients'!$B$5:$B$504,$A273,'Active Clients'!$C$5:$C$504,$B273,'Active Clients'!$T$5:$T$504,"Active"),"")</f>
        <v/>
      </c>
      <c r="I273" s="44" t="str">
        <f aca="false">IF(AND($A273&lt;&gt;"",$B273&lt;&gt;""),SUMIFS('Active Clients'!$R$5:$R$504,'Active Clients'!$B$5:$B$504,$A273,'Active Clients'!$C$5:$C$504,$B273),"")</f>
        <v/>
      </c>
      <c r="J273" s="43" t="str">
        <f aca="true">IF(AND($A273&lt;&gt;"",$B273&lt;&gt;""),COUNTIFS('Activity Log'!$E$5:$E$3004,$A273,'Activity Log'!$F$5:$F$3004,$B273,'Activity Log'!$A$5:$A$3004,"&gt;="&amp;(TODAY()-29),'Activity Log'!$A$5:$A$3004,"&lt;="&amp;TODAY()),"")</f>
        <v/>
      </c>
    </row>
    <row r="274" customFormat="false" ht="15" hidden="false" customHeight="false" outlineLevel="0" collapsed="false">
      <c r="A274" s="42"/>
      <c r="B274" s="42"/>
      <c r="C274" s="43" t="str">
        <f aca="false">IF(AND($A274&lt;&gt;"",$B274&lt;&gt;""),COUNTIFS('Leads Pipeline'!$D$5:$D$1004,$A274,'Leads Pipeline'!$E$5:$E$1004,$B274,'Leads Pipeline'!$F$5:$F$1004,"&lt;&gt;"),"")</f>
        <v/>
      </c>
      <c r="D274" s="43" t="str">
        <f aca="false">IF(AND($A274&lt;&gt;"",$B274&lt;&gt;""),COUNTIFS('Leads Pipeline'!$D$5:$D$1004,$A274,'Leads Pipeline'!$E$5:$E$1004,$B274,'Leads Pipeline'!$F$5:$F$1004,"&lt;&gt;",'Leads Pipeline'!$O$5:$O$1004,"&lt;&gt;Won",'Leads Pipeline'!$O$5:$O$1004,"&lt;&gt;Lost"),"")</f>
        <v/>
      </c>
      <c r="E274" s="43" t="str">
        <f aca="false">IF(AND($A274&lt;&gt;"",$B274&lt;&gt;""),COUNTIFS('Leads Pipeline'!$D$5:$D$1004,$A274,'Leads Pipeline'!$E$5:$E$1004,$B274,'Leads Pipeline'!$P$5:$P$1004,"Hot",'Leads Pipeline'!$O$5:$O$1004,"&lt;&gt;Won",'Leads Pipeline'!$O$5:$O$1004,"&lt;&gt;Lost"),"")</f>
        <v/>
      </c>
      <c r="F274" s="43" t="str">
        <f aca="false">IF(AND($A274&lt;&gt;"",$B274&lt;&gt;""),COUNTIFS('Leads Pipeline'!$D$5:$D$1004,$A274,'Leads Pipeline'!$E$5:$E$1004,$B274,'Leads Pipeline'!$O$5:$O$1004,"Won"),"")</f>
        <v/>
      </c>
      <c r="G274" s="44" t="str">
        <f aca="false">IF(AND($A274&lt;&gt;"",$B274&lt;&gt;""),SUMIFS('Leads Pipeline'!$U$5:$U$1004,'Leads Pipeline'!$D$5:$D$1004,$A274,'Leads Pipeline'!$E$5:$E$1004,$B274,'Leads Pipeline'!$O$5:$O$1004,"&lt;&gt;Won",'Leads Pipeline'!$O$5:$O$1004,"&lt;&gt;Lost"),"")</f>
        <v/>
      </c>
      <c r="H274" s="43" t="str">
        <f aca="false">IF(AND($A274&lt;&gt;"",$B274&lt;&gt;""),COUNTIFS('Active Clients'!$B$5:$B$504,$A274,'Active Clients'!$C$5:$C$504,$B274,'Active Clients'!$T$5:$T$504,"Active"),"")</f>
        <v/>
      </c>
      <c r="I274" s="44" t="str">
        <f aca="false">IF(AND($A274&lt;&gt;"",$B274&lt;&gt;""),SUMIFS('Active Clients'!$R$5:$R$504,'Active Clients'!$B$5:$B$504,$A274,'Active Clients'!$C$5:$C$504,$B274),"")</f>
        <v/>
      </c>
      <c r="J274" s="43" t="str">
        <f aca="true">IF(AND($A274&lt;&gt;"",$B274&lt;&gt;""),COUNTIFS('Activity Log'!$E$5:$E$3004,$A274,'Activity Log'!$F$5:$F$3004,$B274,'Activity Log'!$A$5:$A$3004,"&gt;="&amp;(TODAY()-29),'Activity Log'!$A$5:$A$3004,"&lt;="&amp;TODAY()),"")</f>
        <v/>
      </c>
    </row>
    <row r="275" customFormat="false" ht="15" hidden="false" customHeight="false" outlineLevel="0" collapsed="false">
      <c r="A275" s="42"/>
      <c r="B275" s="42"/>
      <c r="C275" s="43" t="str">
        <f aca="false">IF(AND($A275&lt;&gt;"",$B275&lt;&gt;""),COUNTIFS('Leads Pipeline'!$D$5:$D$1004,$A275,'Leads Pipeline'!$E$5:$E$1004,$B275,'Leads Pipeline'!$F$5:$F$1004,"&lt;&gt;"),"")</f>
        <v/>
      </c>
      <c r="D275" s="43" t="str">
        <f aca="false">IF(AND($A275&lt;&gt;"",$B275&lt;&gt;""),COUNTIFS('Leads Pipeline'!$D$5:$D$1004,$A275,'Leads Pipeline'!$E$5:$E$1004,$B275,'Leads Pipeline'!$F$5:$F$1004,"&lt;&gt;",'Leads Pipeline'!$O$5:$O$1004,"&lt;&gt;Won",'Leads Pipeline'!$O$5:$O$1004,"&lt;&gt;Lost"),"")</f>
        <v/>
      </c>
      <c r="E275" s="43" t="str">
        <f aca="false">IF(AND($A275&lt;&gt;"",$B275&lt;&gt;""),COUNTIFS('Leads Pipeline'!$D$5:$D$1004,$A275,'Leads Pipeline'!$E$5:$E$1004,$B275,'Leads Pipeline'!$P$5:$P$1004,"Hot",'Leads Pipeline'!$O$5:$O$1004,"&lt;&gt;Won",'Leads Pipeline'!$O$5:$O$1004,"&lt;&gt;Lost"),"")</f>
        <v/>
      </c>
      <c r="F275" s="43" t="str">
        <f aca="false">IF(AND($A275&lt;&gt;"",$B275&lt;&gt;""),COUNTIFS('Leads Pipeline'!$D$5:$D$1004,$A275,'Leads Pipeline'!$E$5:$E$1004,$B275,'Leads Pipeline'!$O$5:$O$1004,"Won"),"")</f>
        <v/>
      </c>
      <c r="G275" s="44" t="str">
        <f aca="false">IF(AND($A275&lt;&gt;"",$B275&lt;&gt;""),SUMIFS('Leads Pipeline'!$U$5:$U$1004,'Leads Pipeline'!$D$5:$D$1004,$A275,'Leads Pipeline'!$E$5:$E$1004,$B275,'Leads Pipeline'!$O$5:$O$1004,"&lt;&gt;Won",'Leads Pipeline'!$O$5:$O$1004,"&lt;&gt;Lost"),"")</f>
        <v/>
      </c>
      <c r="H275" s="43" t="str">
        <f aca="false">IF(AND($A275&lt;&gt;"",$B275&lt;&gt;""),COUNTIFS('Active Clients'!$B$5:$B$504,$A275,'Active Clients'!$C$5:$C$504,$B275,'Active Clients'!$T$5:$T$504,"Active"),"")</f>
        <v/>
      </c>
      <c r="I275" s="44" t="str">
        <f aca="false">IF(AND($A275&lt;&gt;"",$B275&lt;&gt;""),SUMIFS('Active Clients'!$R$5:$R$504,'Active Clients'!$B$5:$B$504,$A275,'Active Clients'!$C$5:$C$504,$B275),"")</f>
        <v/>
      </c>
      <c r="J275" s="43" t="str">
        <f aca="true">IF(AND($A275&lt;&gt;"",$B275&lt;&gt;""),COUNTIFS('Activity Log'!$E$5:$E$3004,$A275,'Activity Log'!$F$5:$F$3004,$B275,'Activity Log'!$A$5:$A$3004,"&gt;="&amp;(TODAY()-29),'Activity Log'!$A$5:$A$3004,"&lt;="&amp;TODAY()),"")</f>
        <v/>
      </c>
    </row>
    <row r="276" customFormat="false" ht="15" hidden="false" customHeight="false" outlineLevel="0" collapsed="false">
      <c r="A276" s="42"/>
      <c r="B276" s="42"/>
      <c r="C276" s="43" t="str">
        <f aca="false">IF(AND($A276&lt;&gt;"",$B276&lt;&gt;""),COUNTIFS('Leads Pipeline'!$D$5:$D$1004,$A276,'Leads Pipeline'!$E$5:$E$1004,$B276,'Leads Pipeline'!$F$5:$F$1004,"&lt;&gt;"),"")</f>
        <v/>
      </c>
      <c r="D276" s="43" t="str">
        <f aca="false">IF(AND($A276&lt;&gt;"",$B276&lt;&gt;""),COUNTIFS('Leads Pipeline'!$D$5:$D$1004,$A276,'Leads Pipeline'!$E$5:$E$1004,$B276,'Leads Pipeline'!$F$5:$F$1004,"&lt;&gt;",'Leads Pipeline'!$O$5:$O$1004,"&lt;&gt;Won",'Leads Pipeline'!$O$5:$O$1004,"&lt;&gt;Lost"),"")</f>
        <v/>
      </c>
      <c r="E276" s="43" t="str">
        <f aca="false">IF(AND($A276&lt;&gt;"",$B276&lt;&gt;""),COUNTIFS('Leads Pipeline'!$D$5:$D$1004,$A276,'Leads Pipeline'!$E$5:$E$1004,$B276,'Leads Pipeline'!$P$5:$P$1004,"Hot",'Leads Pipeline'!$O$5:$O$1004,"&lt;&gt;Won",'Leads Pipeline'!$O$5:$O$1004,"&lt;&gt;Lost"),"")</f>
        <v/>
      </c>
      <c r="F276" s="43" t="str">
        <f aca="false">IF(AND($A276&lt;&gt;"",$B276&lt;&gt;""),COUNTIFS('Leads Pipeline'!$D$5:$D$1004,$A276,'Leads Pipeline'!$E$5:$E$1004,$B276,'Leads Pipeline'!$O$5:$O$1004,"Won"),"")</f>
        <v/>
      </c>
      <c r="G276" s="44" t="str">
        <f aca="false">IF(AND($A276&lt;&gt;"",$B276&lt;&gt;""),SUMIFS('Leads Pipeline'!$U$5:$U$1004,'Leads Pipeline'!$D$5:$D$1004,$A276,'Leads Pipeline'!$E$5:$E$1004,$B276,'Leads Pipeline'!$O$5:$O$1004,"&lt;&gt;Won",'Leads Pipeline'!$O$5:$O$1004,"&lt;&gt;Lost"),"")</f>
        <v/>
      </c>
      <c r="H276" s="43" t="str">
        <f aca="false">IF(AND($A276&lt;&gt;"",$B276&lt;&gt;""),COUNTIFS('Active Clients'!$B$5:$B$504,$A276,'Active Clients'!$C$5:$C$504,$B276,'Active Clients'!$T$5:$T$504,"Active"),"")</f>
        <v/>
      </c>
      <c r="I276" s="44" t="str">
        <f aca="false">IF(AND($A276&lt;&gt;"",$B276&lt;&gt;""),SUMIFS('Active Clients'!$R$5:$R$504,'Active Clients'!$B$5:$B$504,$A276,'Active Clients'!$C$5:$C$504,$B276),"")</f>
        <v/>
      </c>
      <c r="J276" s="43" t="str">
        <f aca="true">IF(AND($A276&lt;&gt;"",$B276&lt;&gt;""),COUNTIFS('Activity Log'!$E$5:$E$3004,$A276,'Activity Log'!$F$5:$F$3004,$B276,'Activity Log'!$A$5:$A$3004,"&gt;="&amp;(TODAY()-29),'Activity Log'!$A$5:$A$3004,"&lt;="&amp;TODAY()),"")</f>
        <v/>
      </c>
    </row>
    <row r="277" customFormat="false" ht="15" hidden="false" customHeight="false" outlineLevel="0" collapsed="false">
      <c r="A277" s="42"/>
      <c r="B277" s="42"/>
      <c r="C277" s="43" t="str">
        <f aca="false">IF(AND($A277&lt;&gt;"",$B277&lt;&gt;""),COUNTIFS('Leads Pipeline'!$D$5:$D$1004,$A277,'Leads Pipeline'!$E$5:$E$1004,$B277,'Leads Pipeline'!$F$5:$F$1004,"&lt;&gt;"),"")</f>
        <v/>
      </c>
      <c r="D277" s="43" t="str">
        <f aca="false">IF(AND($A277&lt;&gt;"",$B277&lt;&gt;""),COUNTIFS('Leads Pipeline'!$D$5:$D$1004,$A277,'Leads Pipeline'!$E$5:$E$1004,$B277,'Leads Pipeline'!$F$5:$F$1004,"&lt;&gt;",'Leads Pipeline'!$O$5:$O$1004,"&lt;&gt;Won",'Leads Pipeline'!$O$5:$O$1004,"&lt;&gt;Lost"),"")</f>
        <v/>
      </c>
      <c r="E277" s="43" t="str">
        <f aca="false">IF(AND($A277&lt;&gt;"",$B277&lt;&gt;""),COUNTIFS('Leads Pipeline'!$D$5:$D$1004,$A277,'Leads Pipeline'!$E$5:$E$1004,$B277,'Leads Pipeline'!$P$5:$P$1004,"Hot",'Leads Pipeline'!$O$5:$O$1004,"&lt;&gt;Won",'Leads Pipeline'!$O$5:$O$1004,"&lt;&gt;Lost"),"")</f>
        <v/>
      </c>
      <c r="F277" s="43" t="str">
        <f aca="false">IF(AND($A277&lt;&gt;"",$B277&lt;&gt;""),COUNTIFS('Leads Pipeline'!$D$5:$D$1004,$A277,'Leads Pipeline'!$E$5:$E$1004,$B277,'Leads Pipeline'!$O$5:$O$1004,"Won"),"")</f>
        <v/>
      </c>
      <c r="G277" s="44" t="str">
        <f aca="false">IF(AND($A277&lt;&gt;"",$B277&lt;&gt;""),SUMIFS('Leads Pipeline'!$U$5:$U$1004,'Leads Pipeline'!$D$5:$D$1004,$A277,'Leads Pipeline'!$E$5:$E$1004,$B277,'Leads Pipeline'!$O$5:$O$1004,"&lt;&gt;Won",'Leads Pipeline'!$O$5:$O$1004,"&lt;&gt;Lost"),"")</f>
        <v/>
      </c>
      <c r="H277" s="43" t="str">
        <f aca="false">IF(AND($A277&lt;&gt;"",$B277&lt;&gt;""),COUNTIFS('Active Clients'!$B$5:$B$504,$A277,'Active Clients'!$C$5:$C$504,$B277,'Active Clients'!$T$5:$T$504,"Active"),"")</f>
        <v/>
      </c>
      <c r="I277" s="44" t="str">
        <f aca="false">IF(AND($A277&lt;&gt;"",$B277&lt;&gt;""),SUMIFS('Active Clients'!$R$5:$R$504,'Active Clients'!$B$5:$B$504,$A277,'Active Clients'!$C$5:$C$504,$B277),"")</f>
        <v/>
      </c>
      <c r="J277" s="43" t="str">
        <f aca="true">IF(AND($A277&lt;&gt;"",$B277&lt;&gt;""),COUNTIFS('Activity Log'!$E$5:$E$3004,$A277,'Activity Log'!$F$5:$F$3004,$B277,'Activity Log'!$A$5:$A$3004,"&gt;="&amp;(TODAY()-29),'Activity Log'!$A$5:$A$3004,"&lt;="&amp;TODAY()),"")</f>
        <v/>
      </c>
    </row>
    <row r="278" customFormat="false" ht="15" hidden="false" customHeight="false" outlineLevel="0" collapsed="false">
      <c r="A278" s="42"/>
      <c r="B278" s="42"/>
      <c r="C278" s="43" t="str">
        <f aca="false">IF(AND($A278&lt;&gt;"",$B278&lt;&gt;""),COUNTIFS('Leads Pipeline'!$D$5:$D$1004,$A278,'Leads Pipeline'!$E$5:$E$1004,$B278,'Leads Pipeline'!$F$5:$F$1004,"&lt;&gt;"),"")</f>
        <v/>
      </c>
      <c r="D278" s="43" t="str">
        <f aca="false">IF(AND($A278&lt;&gt;"",$B278&lt;&gt;""),COUNTIFS('Leads Pipeline'!$D$5:$D$1004,$A278,'Leads Pipeline'!$E$5:$E$1004,$B278,'Leads Pipeline'!$F$5:$F$1004,"&lt;&gt;",'Leads Pipeline'!$O$5:$O$1004,"&lt;&gt;Won",'Leads Pipeline'!$O$5:$O$1004,"&lt;&gt;Lost"),"")</f>
        <v/>
      </c>
      <c r="E278" s="43" t="str">
        <f aca="false">IF(AND($A278&lt;&gt;"",$B278&lt;&gt;""),COUNTIFS('Leads Pipeline'!$D$5:$D$1004,$A278,'Leads Pipeline'!$E$5:$E$1004,$B278,'Leads Pipeline'!$P$5:$P$1004,"Hot",'Leads Pipeline'!$O$5:$O$1004,"&lt;&gt;Won",'Leads Pipeline'!$O$5:$O$1004,"&lt;&gt;Lost"),"")</f>
        <v/>
      </c>
      <c r="F278" s="43" t="str">
        <f aca="false">IF(AND($A278&lt;&gt;"",$B278&lt;&gt;""),COUNTIFS('Leads Pipeline'!$D$5:$D$1004,$A278,'Leads Pipeline'!$E$5:$E$1004,$B278,'Leads Pipeline'!$O$5:$O$1004,"Won"),"")</f>
        <v/>
      </c>
      <c r="G278" s="44" t="str">
        <f aca="false">IF(AND($A278&lt;&gt;"",$B278&lt;&gt;""),SUMIFS('Leads Pipeline'!$U$5:$U$1004,'Leads Pipeline'!$D$5:$D$1004,$A278,'Leads Pipeline'!$E$5:$E$1004,$B278,'Leads Pipeline'!$O$5:$O$1004,"&lt;&gt;Won",'Leads Pipeline'!$O$5:$O$1004,"&lt;&gt;Lost"),"")</f>
        <v/>
      </c>
      <c r="H278" s="43" t="str">
        <f aca="false">IF(AND($A278&lt;&gt;"",$B278&lt;&gt;""),COUNTIFS('Active Clients'!$B$5:$B$504,$A278,'Active Clients'!$C$5:$C$504,$B278,'Active Clients'!$T$5:$T$504,"Active"),"")</f>
        <v/>
      </c>
      <c r="I278" s="44" t="str">
        <f aca="false">IF(AND($A278&lt;&gt;"",$B278&lt;&gt;""),SUMIFS('Active Clients'!$R$5:$R$504,'Active Clients'!$B$5:$B$504,$A278,'Active Clients'!$C$5:$C$504,$B278),"")</f>
        <v/>
      </c>
      <c r="J278" s="43" t="str">
        <f aca="true">IF(AND($A278&lt;&gt;"",$B278&lt;&gt;""),COUNTIFS('Activity Log'!$E$5:$E$3004,$A278,'Activity Log'!$F$5:$F$3004,$B278,'Activity Log'!$A$5:$A$3004,"&gt;="&amp;(TODAY()-29),'Activity Log'!$A$5:$A$3004,"&lt;="&amp;TODAY()),"")</f>
        <v/>
      </c>
    </row>
    <row r="279" customFormat="false" ht="15" hidden="false" customHeight="false" outlineLevel="0" collapsed="false">
      <c r="A279" s="42"/>
      <c r="B279" s="42"/>
      <c r="C279" s="43" t="str">
        <f aca="false">IF(AND($A279&lt;&gt;"",$B279&lt;&gt;""),COUNTIFS('Leads Pipeline'!$D$5:$D$1004,$A279,'Leads Pipeline'!$E$5:$E$1004,$B279,'Leads Pipeline'!$F$5:$F$1004,"&lt;&gt;"),"")</f>
        <v/>
      </c>
      <c r="D279" s="43" t="str">
        <f aca="false">IF(AND($A279&lt;&gt;"",$B279&lt;&gt;""),COUNTIFS('Leads Pipeline'!$D$5:$D$1004,$A279,'Leads Pipeline'!$E$5:$E$1004,$B279,'Leads Pipeline'!$F$5:$F$1004,"&lt;&gt;",'Leads Pipeline'!$O$5:$O$1004,"&lt;&gt;Won",'Leads Pipeline'!$O$5:$O$1004,"&lt;&gt;Lost"),"")</f>
        <v/>
      </c>
      <c r="E279" s="43" t="str">
        <f aca="false">IF(AND($A279&lt;&gt;"",$B279&lt;&gt;""),COUNTIFS('Leads Pipeline'!$D$5:$D$1004,$A279,'Leads Pipeline'!$E$5:$E$1004,$B279,'Leads Pipeline'!$P$5:$P$1004,"Hot",'Leads Pipeline'!$O$5:$O$1004,"&lt;&gt;Won",'Leads Pipeline'!$O$5:$O$1004,"&lt;&gt;Lost"),"")</f>
        <v/>
      </c>
      <c r="F279" s="43" t="str">
        <f aca="false">IF(AND($A279&lt;&gt;"",$B279&lt;&gt;""),COUNTIFS('Leads Pipeline'!$D$5:$D$1004,$A279,'Leads Pipeline'!$E$5:$E$1004,$B279,'Leads Pipeline'!$O$5:$O$1004,"Won"),"")</f>
        <v/>
      </c>
      <c r="G279" s="44" t="str">
        <f aca="false">IF(AND($A279&lt;&gt;"",$B279&lt;&gt;""),SUMIFS('Leads Pipeline'!$U$5:$U$1004,'Leads Pipeline'!$D$5:$D$1004,$A279,'Leads Pipeline'!$E$5:$E$1004,$B279,'Leads Pipeline'!$O$5:$O$1004,"&lt;&gt;Won",'Leads Pipeline'!$O$5:$O$1004,"&lt;&gt;Lost"),"")</f>
        <v/>
      </c>
      <c r="H279" s="43" t="str">
        <f aca="false">IF(AND($A279&lt;&gt;"",$B279&lt;&gt;""),COUNTIFS('Active Clients'!$B$5:$B$504,$A279,'Active Clients'!$C$5:$C$504,$B279,'Active Clients'!$T$5:$T$504,"Active"),"")</f>
        <v/>
      </c>
      <c r="I279" s="44" t="str">
        <f aca="false">IF(AND($A279&lt;&gt;"",$B279&lt;&gt;""),SUMIFS('Active Clients'!$R$5:$R$504,'Active Clients'!$B$5:$B$504,$A279,'Active Clients'!$C$5:$C$504,$B279),"")</f>
        <v/>
      </c>
      <c r="J279" s="43" t="str">
        <f aca="true">IF(AND($A279&lt;&gt;"",$B279&lt;&gt;""),COUNTIFS('Activity Log'!$E$5:$E$3004,$A279,'Activity Log'!$F$5:$F$3004,$B279,'Activity Log'!$A$5:$A$3004,"&gt;="&amp;(TODAY()-29),'Activity Log'!$A$5:$A$3004,"&lt;="&amp;TODAY()),"")</f>
        <v/>
      </c>
    </row>
    <row r="280" customFormat="false" ht="15" hidden="false" customHeight="false" outlineLevel="0" collapsed="false">
      <c r="A280" s="42"/>
      <c r="B280" s="42"/>
      <c r="C280" s="43" t="str">
        <f aca="false">IF(AND($A280&lt;&gt;"",$B280&lt;&gt;""),COUNTIFS('Leads Pipeline'!$D$5:$D$1004,$A280,'Leads Pipeline'!$E$5:$E$1004,$B280,'Leads Pipeline'!$F$5:$F$1004,"&lt;&gt;"),"")</f>
        <v/>
      </c>
      <c r="D280" s="43" t="str">
        <f aca="false">IF(AND($A280&lt;&gt;"",$B280&lt;&gt;""),COUNTIFS('Leads Pipeline'!$D$5:$D$1004,$A280,'Leads Pipeline'!$E$5:$E$1004,$B280,'Leads Pipeline'!$F$5:$F$1004,"&lt;&gt;",'Leads Pipeline'!$O$5:$O$1004,"&lt;&gt;Won",'Leads Pipeline'!$O$5:$O$1004,"&lt;&gt;Lost"),"")</f>
        <v/>
      </c>
      <c r="E280" s="43" t="str">
        <f aca="false">IF(AND($A280&lt;&gt;"",$B280&lt;&gt;""),COUNTIFS('Leads Pipeline'!$D$5:$D$1004,$A280,'Leads Pipeline'!$E$5:$E$1004,$B280,'Leads Pipeline'!$P$5:$P$1004,"Hot",'Leads Pipeline'!$O$5:$O$1004,"&lt;&gt;Won",'Leads Pipeline'!$O$5:$O$1004,"&lt;&gt;Lost"),"")</f>
        <v/>
      </c>
      <c r="F280" s="43" t="str">
        <f aca="false">IF(AND($A280&lt;&gt;"",$B280&lt;&gt;""),COUNTIFS('Leads Pipeline'!$D$5:$D$1004,$A280,'Leads Pipeline'!$E$5:$E$1004,$B280,'Leads Pipeline'!$O$5:$O$1004,"Won"),"")</f>
        <v/>
      </c>
      <c r="G280" s="44" t="str">
        <f aca="false">IF(AND($A280&lt;&gt;"",$B280&lt;&gt;""),SUMIFS('Leads Pipeline'!$U$5:$U$1004,'Leads Pipeline'!$D$5:$D$1004,$A280,'Leads Pipeline'!$E$5:$E$1004,$B280,'Leads Pipeline'!$O$5:$O$1004,"&lt;&gt;Won",'Leads Pipeline'!$O$5:$O$1004,"&lt;&gt;Lost"),"")</f>
        <v/>
      </c>
      <c r="H280" s="43" t="str">
        <f aca="false">IF(AND($A280&lt;&gt;"",$B280&lt;&gt;""),COUNTIFS('Active Clients'!$B$5:$B$504,$A280,'Active Clients'!$C$5:$C$504,$B280,'Active Clients'!$T$5:$T$504,"Active"),"")</f>
        <v/>
      </c>
      <c r="I280" s="44" t="str">
        <f aca="false">IF(AND($A280&lt;&gt;"",$B280&lt;&gt;""),SUMIFS('Active Clients'!$R$5:$R$504,'Active Clients'!$B$5:$B$504,$A280,'Active Clients'!$C$5:$C$504,$B280),"")</f>
        <v/>
      </c>
      <c r="J280" s="43" t="str">
        <f aca="true">IF(AND($A280&lt;&gt;"",$B280&lt;&gt;""),COUNTIFS('Activity Log'!$E$5:$E$3004,$A280,'Activity Log'!$F$5:$F$3004,$B280,'Activity Log'!$A$5:$A$3004,"&gt;="&amp;(TODAY()-29),'Activity Log'!$A$5:$A$3004,"&lt;="&amp;TODAY()),"")</f>
        <v/>
      </c>
    </row>
    <row r="281" customFormat="false" ht="15" hidden="false" customHeight="false" outlineLevel="0" collapsed="false">
      <c r="A281" s="42"/>
      <c r="B281" s="42"/>
      <c r="C281" s="43" t="str">
        <f aca="false">IF(AND($A281&lt;&gt;"",$B281&lt;&gt;""),COUNTIFS('Leads Pipeline'!$D$5:$D$1004,$A281,'Leads Pipeline'!$E$5:$E$1004,$B281,'Leads Pipeline'!$F$5:$F$1004,"&lt;&gt;"),"")</f>
        <v/>
      </c>
      <c r="D281" s="43" t="str">
        <f aca="false">IF(AND($A281&lt;&gt;"",$B281&lt;&gt;""),COUNTIFS('Leads Pipeline'!$D$5:$D$1004,$A281,'Leads Pipeline'!$E$5:$E$1004,$B281,'Leads Pipeline'!$F$5:$F$1004,"&lt;&gt;",'Leads Pipeline'!$O$5:$O$1004,"&lt;&gt;Won",'Leads Pipeline'!$O$5:$O$1004,"&lt;&gt;Lost"),"")</f>
        <v/>
      </c>
      <c r="E281" s="43" t="str">
        <f aca="false">IF(AND($A281&lt;&gt;"",$B281&lt;&gt;""),COUNTIFS('Leads Pipeline'!$D$5:$D$1004,$A281,'Leads Pipeline'!$E$5:$E$1004,$B281,'Leads Pipeline'!$P$5:$P$1004,"Hot",'Leads Pipeline'!$O$5:$O$1004,"&lt;&gt;Won",'Leads Pipeline'!$O$5:$O$1004,"&lt;&gt;Lost"),"")</f>
        <v/>
      </c>
      <c r="F281" s="43" t="str">
        <f aca="false">IF(AND($A281&lt;&gt;"",$B281&lt;&gt;""),COUNTIFS('Leads Pipeline'!$D$5:$D$1004,$A281,'Leads Pipeline'!$E$5:$E$1004,$B281,'Leads Pipeline'!$O$5:$O$1004,"Won"),"")</f>
        <v/>
      </c>
      <c r="G281" s="44" t="str">
        <f aca="false">IF(AND($A281&lt;&gt;"",$B281&lt;&gt;""),SUMIFS('Leads Pipeline'!$U$5:$U$1004,'Leads Pipeline'!$D$5:$D$1004,$A281,'Leads Pipeline'!$E$5:$E$1004,$B281,'Leads Pipeline'!$O$5:$O$1004,"&lt;&gt;Won",'Leads Pipeline'!$O$5:$O$1004,"&lt;&gt;Lost"),"")</f>
        <v/>
      </c>
      <c r="H281" s="43" t="str">
        <f aca="false">IF(AND($A281&lt;&gt;"",$B281&lt;&gt;""),COUNTIFS('Active Clients'!$B$5:$B$504,$A281,'Active Clients'!$C$5:$C$504,$B281,'Active Clients'!$T$5:$T$504,"Active"),"")</f>
        <v/>
      </c>
      <c r="I281" s="44" t="str">
        <f aca="false">IF(AND($A281&lt;&gt;"",$B281&lt;&gt;""),SUMIFS('Active Clients'!$R$5:$R$504,'Active Clients'!$B$5:$B$504,$A281,'Active Clients'!$C$5:$C$504,$B281),"")</f>
        <v/>
      </c>
      <c r="J281" s="43" t="str">
        <f aca="true">IF(AND($A281&lt;&gt;"",$B281&lt;&gt;""),COUNTIFS('Activity Log'!$E$5:$E$3004,$A281,'Activity Log'!$F$5:$F$3004,$B281,'Activity Log'!$A$5:$A$3004,"&gt;="&amp;(TODAY()-29),'Activity Log'!$A$5:$A$3004,"&lt;="&amp;TODAY()),"")</f>
        <v/>
      </c>
    </row>
    <row r="282" customFormat="false" ht="15" hidden="false" customHeight="false" outlineLevel="0" collapsed="false">
      <c r="A282" s="42"/>
      <c r="B282" s="42"/>
      <c r="C282" s="43" t="str">
        <f aca="false">IF(AND($A282&lt;&gt;"",$B282&lt;&gt;""),COUNTIFS('Leads Pipeline'!$D$5:$D$1004,$A282,'Leads Pipeline'!$E$5:$E$1004,$B282,'Leads Pipeline'!$F$5:$F$1004,"&lt;&gt;"),"")</f>
        <v/>
      </c>
      <c r="D282" s="43" t="str">
        <f aca="false">IF(AND($A282&lt;&gt;"",$B282&lt;&gt;""),COUNTIFS('Leads Pipeline'!$D$5:$D$1004,$A282,'Leads Pipeline'!$E$5:$E$1004,$B282,'Leads Pipeline'!$F$5:$F$1004,"&lt;&gt;",'Leads Pipeline'!$O$5:$O$1004,"&lt;&gt;Won",'Leads Pipeline'!$O$5:$O$1004,"&lt;&gt;Lost"),"")</f>
        <v/>
      </c>
      <c r="E282" s="43" t="str">
        <f aca="false">IF(AND($A282&lt;&gt;"",$B282&lt;&gt;""),COUNTIFS('Leads Pipeline'!$D$5:$D$1004,$A282,'Leads Pipeline'!$E$5:$E$1004,$B282,'Leads Pipeline'!$P$5:$P$1004,"Hot",'Leads Pipeline'!$O$5:$O$1004,"&lt;&gt;Won",'Leads Pipeline'!$O$5:$O$1004,"&lt;&gt;Lost"),"")</f>
        <v/>
      </c>
      <c r="F282" s="43" t="str">
        <f aca="false">IF(AND($A282&lt;&gt;"",$B282&lt;&gt;""),COUNTIFS('Leads Pipeline'!$D$5:$D$1004,$A282,'Leads Pipeline'!$E$5:$E$1004,$B282,'Leads Pipeline'!$O$5:$O$1004,"Won"),"")</f>
        <v/>
      </c>
      <c r="G282" s="44" t="str">
        <f aca="false">IF(AND($A282&lt;&gt;"",$B282&lt;&gt;""),SUMIFS('Leads Pipeline'!$U$5:$U$1004,'Leads Pipeline'!$D$5:$D$1004,$A282,'Leads Pipeline'!$E$5:$E$1004,$B282,'Leads Pipeline'!$O$5:$O$1004,"&lt;&gt;Won",'Leads Pipeline'!$O$5:$O$1004,"&lt;&gt;Lost"),"")</f>
        <v/>
      </c>
      <c r="H282" s="43" t="str">
        <f aca="false">IF(AND($A282&lt;&gt;"",$B282&lt;&gt;""),COUNTIFS('Active Clients'!$B$5:$B$504,$A282,'Active Clients'!$C$5:$C$504,$B282,'Active Clients'!$T$5:$T$504,"Active"),"")</f>
        <v/>
      </c>
      <c r="I282" s="44" t="str">
        <f aca="false">IF(AND($A282&lt;&gt;"",$B282&lt;&gt;""),SUMIFS('Active Clients'!$R$5:$R$504,'Active Clients'!$B$5:$B$504,$A282,'Active Clients'!$C$5:$C$504,$B282),"")</f>
        <v/>
      </c>
      <c r="J282" s="43" t="str">
        <f aca="true">IF(AND($A282&lt;&gt;"",$B282&lt;&gt;""),COUNTIFS('Activity Log'!$E$5:$E$3004,$A282,'Activity Log'!$F$5:$F$3004,$B282,'Activity Log'!$A$5:$A$3004,"&gt;="&amp;(TODAY()-29),'Activity Log'!$A$5:$A$3004,"&lt;="&amp;TODAY()),"")</f>
        <v/>
      </c>
    </row>
    <row r="283" customFormat="false" ht="15" hidden="false" customHeight="false" outlineLevel="0" collapsed="false">
      <c r="A283" s="42"/>
      <c r="B283" s="42"/>
      <c r="C283" s="43" t="str">
        <f aca="false">IF(AND($A283&lt;&gt;"",$B283&lt;&gt;""),COUNTIFS('Leads Pipeline'!$D$5:$D$1004,$A283,'Leads Pipeline'!$E$5:$E$1004,$B283,'Leads Pipeline'!$F$5:$F$1004,"&lt;&gt;"),"")</f>
        <v/>
      </c>
      <c r="D283" s="43" t="str">
        <f aca="false">IF(AND($A283&lt;&gt;"",$B283&lt;&gt;""),COUNTIFS('Leads Pipeline'!$D$5:$D$1004,$A283,'Leads Pipeline'!$E$5:$E$1004,$B283,'Leads Pipeline'!$F$5:$F$1004,"&lt;&gt;",'Leads Pipeline'!$O$5:$O$1004,"&lt;&gt;Won",'Leads Pipeline'!$O$5:$O$1004,"&lt;&gt;Lost"),"")</f>
        <v/>
      </c>
      <c r="E283" s="43" t="str">
        <f aca="false">IF(AND($A283&lt;&gt;"",$B283&lt;&gt;""),COUNTIFS('Leads Pipeline'!$D$5:$D$1004,$A283,'Leads Pipeline'!$E$5:$E$1004,$B283,'Leads Pipeline'!$P$5:$P$1004,"Hot",'Leads Pipeline'!$O$5:$O$1004,"&lt;&gt;Won",'Leads Pipeline'!$O$5:$O$1004,"&lt;&gt;Lost"),"")</f>
        <v/>
      </c>
      <c r="F283" s="43" t="str">
        <f aca="false">IF(AND($A283&lt;&gt;"",$B283&lt;&gt;""),COUNTIFS('Leads Pipeline'!$D$5:$D$1004,$A283,'Leads Pipeline'!$E$5:$E$1004,$B283,'Leads Pipeline'!$O$5:$O$1004,"Won"),"")</f>
        <v/>
      </c>
      <c r="G283" s="44" t="str">
        <f aca="false">IF(AND($A283&lt;&gt;"",$B283&lt;&gt;""),SUMIFS('Leads Pipeline'!$U$5:$U$1004,'Leads Pipeline'!$D$5:$D$1004,$A283,'Leads Pipeline'!$E$5:$E$1004,$B283,'Leads Pipeline'!$O$5:$O$1004,"&lt;&gt;Won",'Leads Pipeline'!$O$5:$O$1004,"&lt;&gt;Lost"),"")</f>
        <v/>
      </c>
      <c r="H283" s="43" t="str">
        <f aca="false">IF(AND($A283&lt;&gt;"",$B283&lt;&gt;""),COUNTIFS('Active Clients'!$B$5:$B$504,$A283,'Active Clients'!$C$5:$C$504,$B283,'Active Clients'!$T$5:$T$504,"Active"),"")</f>
        <v/>
      </c>
      <c r="I283" s="44" t="str">
        <f aca="false">IF(AND($A283&lt;&gt;"",$B283&lt;&gt;""),SUMIFS('Active Clients'!$R$5:$R$504,'Active Clients'!$B$5:$B$504,$A283,'Active Clients'!$C$5:$C$504,$B283),"")</f>
        <v/>
      </c>
      <c r="J283" s="43" t="str">
        <f aca="true">IF(AND($A283&lt;&gt;"",$B283&lt;&gt;""),COUNTIFS('Activity Log'!$E$5:$E$3004,$A283,'Activity Log'!$F$5:$F$3004,$B283,'Activity Log'!$A$5:$A$3004,"&gt;="&amp;(TODAY()-29),'Activity Log'!$A$5:$A$3004,"&lt;="&amp;TODAY()),"")</f>
        <v/>
      </c>
    </row>
    <row r="284" customFormat="false" ht="15" hidden="false" customHeight="false" outlineLevel="0" collapsed="false">
      <c r="A284" s="42"/>
      <c r="B284" s="42"/>
      <c r="C284" s="43" t="str">
        <f aca="false">IF(AND($A284&lt;&gt;"",$B284&lt;&gt;""),COUNTIFS('Leads Pipeline'!$D$5:$D$1004,$A284,'Leads Pipeline'!$E$5:$E$1004,$B284,'Leads Pipeline'!$F$5:$F$1004,"&lt;&gt;"),"")</f>
        <v/>
      </c>
      <c r="D284" s="43" t="str">
        <f aca="false">IF(AND($A284&lt;&gt;"",$B284&lt;&gt;""),COUNTIFS('Leads Pipeline'!$D$5:$D$1004,$A284,'Leads Pipeline'!$E$5:$E$1004,$B284,'Leads Pipeline'!$F$5:$F$1004,"&lt;&gt;",'Leads Pipeline'!$O$5:$O$1004,"&lt;&gt;Won",'Leads Pipeline'!$O$5:$O$1004,"&lt;&gt;Lost"),"")</f>
        <v/>
      </c>
      <c r="E284" s="43" t="str">
        <f aca="false">IF(AND($A284&lt;&gt;"",$B284&lt;&gt;""),COUNTIFS('Leads Pipeline'!$D$5:$D$1004,$A284,'Leads Pipeline'!$E$5:$E$1004,$B284,'Leads Pipeline'!$P$5:$P$1004,"Hot",'Leads Pipeline'!$O$5:$O$1004,"&lt;&gt;Won",'Leads Pipeline'!$O$5:$O$1004,"&lt;&gt;Lost"),"")</f>
        <v/>
      </c>
      <c r="F284" s="43" t="str">
        <f aca="false">IF(AND($A284&lt;&gt;"",$B284&lt;&gt;""),COUNTIFS('Leads Pipeline'!$D$5:$D$1004,$A284,'Leads Pipeline'!$E$5:$E$1004,$B284,'Leads Pipeline'!$O$5:$O$1004,"Won"),"")</f>
        <v/>
      </c>
      <c r="G284" s="44" t="str">
        <f aca="false">IF(AND($A284&lt;&gt;"",$B284&lt;&gt;""),SUMIFS('Leads Pipeline'!$U$5:$U$1004,'Leads Pipeline'!$D$5:$D$1004,$A284,'Leads Pipeline'!$E$5:$E$1004,$B284,'Leads Pipeline'!$O$5:$O$1004,"&lt;&gt;Won",'Leads Pipeline'!$O$5:$O$1004,"&lt;&gt;Lost"),"")</f>
        <v/>
      </c>
      <c r="H284" s="43" t="str">
        <f aca="false">IF(AND($A284&lt;&gt;"",$B284&lt;&gt;""),COUNTIFS('Active Clients'!$B$5:$B$504,$A284,'Active Clients'!$C$5:$C$504,$B284,'Active Clients'!$T$5:$T$504,"Active"),"")</f>
        <v/>
      </c>
      <c r="I284" s="44" t="str">
        <f aca="false">IF(AND($A284&lt;&gt;"",$B284&lt;&gt;""),SUMIFS('Active Clients'!$R$5:$R$504,'Active Clients'!$B$5:$B$504,$A284,'Active Clients'!$C$5:$C$504,$B284),"")</f>
        <v/>
      </c>
      <c r="J284" s="43" t="str">
        <f aca="true">IF(AND($A284&lt;&gt;"",$B284&lt;&gt;""),COUNTIFS('Activity Log'!$E$5:$E$3004,$A284,'Activity Log'!$F$5:$F$3004,$B284,'Activity Log'!$A$5:$A$3004,"&gt;="&amp;(TODAY()-29),'Activity Log'!$A$5:$A$3004,"&lt;="&amp;TODAY()),"")</f>
        <v/>
      </c>
    </row>
    <row r="285" customFormat="false" ht="15" hidden="false" customHeight="false" outlineLevel="0" collapsed="false">
      <c r="A285" s="42"/>
      <c r="B285" s="42"/>
      <c r="C285" s="43" t="str">
        <f aca="false">IF(AND($A285&lt;&gt;"",$B285&lt;&gt;""),COUNTIFS('Leads Pipeline'!$D$5:$D$1004,$A285,'Leads Pipeline'!$E$5:$E$1004,$B285,'Leads Pipeline'!$F$5:$F$1004,"&lt;&gt;"),"")</f>
        <v/>
      </c>
      <c r="D285" s="43" t="str">
        <f aca="false">IF(AND($A285&lt;&gt;"",$B285&lt;&gt;""),COUNTIFS('Leads Pipeline'!$D$5:$D$1004,$A285,'Leads Pipeline'!$E$5:$E$1004,$B285,'Leads Pipeline'!$F$5:$F$1004,"&lt;&gt;",'Leads Pipeline'!$O$5:$O$1004,"&lt;&gt;Won",'Leads Pipeline'!$O$5:$O$1004,"&lt;&gt;Lost"),"")</f>
        <v/>
      </c>
      <c r="E285" s="43" t="str">
        <f aca="false">IF(AND($A285&lt;&gt;"",$B285&lt;&gt;""),COUNTIFS('Leads Pipeline'!$D$5:$D$1004,$A285,'Leads Pipeline'!$E$5:$E$1004,$B285,'Leads Pipeline'!$P$5:$P$1004,"Hot",'Leads Pipeline'!$O$5:$O$1004,"&lt;&gt;Won",'Leads Pipeline'!$O$5:$O$1004,"&lt;&gt;Lost"),"")</f>
        <v/>
      </c>
      <c r="F285" s="43" t="str">
        <f aca="false">IF(AND($A285&lt;&gt;"",$B285&lt;&gt;""),COUNTIFS('Leads Pipeline'!$D$5:$D$1004,$A285,'Leads Pipeline'!$E$5:$E$1004,$B285,'Leads Pipeline'!$O$5:$O$1004,"Won"),"")</f>
        <v/>
      </c>
      <c r="G285" s="44" t="str">
        <f aca="false">IF(AND($A285&lt;&gt;"",$B285&lt;&gt;""),SUMIFS('Leads Pipeline'!$U$5:$U$1004,'Leads Pipeline'!$D$5:$D$1004,$A285,'Leads Pipeline'!$E$5:$E$1004,$B285,'Leads Pipeline'!$O$5:$O$1004,"&lt;&gt;Won",'Leads Pipeline'!$O$5:$O$1004,"&lt;&gt;Lost"),"")</f>
        <v/>
      </c>
      <c r="H285" s="43" t="str">
        <f aca="false">IF(AND($A285&lt;&gt;"",$B285&lt;&gt;""),COUNTIFS('Active Clients'!$B$5:$B$504,$A285,'Active Clients'!$C$5:$C$504,$B285,'Active Clients'!$T$5:$T$504,"Active"),"")</f>
        <v/>
      </c>
      <c r="I285" s="44" t="str">
        <f aca="false">IF(AND($A285&lt;&gt;"",$B285&lt;&gt;""),SUMIFS('Active Clients'!$R$5:$R$504,'Active Clients'!$B$5:$B$504,$A285,'Active Clients'!$C$5:$C$504,$B285),"")</f>
        <v/>
      </c>
      <c r="J285" s="43" t="str">
        <f aca="true">IF(AND($A285&lt;&gt;"",$B285&lt;&gt;""),COUNTIFS('Activity Log'!$E$5:$E$3004,$A285,'Activity Log'!$F$5:$F$3004,$B285,'Activity Log'!$A$5:$A$3004,"&gt;="&amp;(TODAY()-29),'Activity Log'!$A$5:$A$3004,"&lt;="&amp;TODAY()),"")</f>
        <v/>
      </c>
    </row>
    <row r="286" customFormat="false" ht="15" hidden="false" customHeight="false" outlineLevel="0" collapsed="false">
      <c r="A286" s="42"/>
      <c r="B286" s="42"/>
      <c r="C286" s="43" t="str">
        <f aca="false">IF(AND($A286&lt;&gt;"",$B286&lt;&gt;""),COUNTIFS('Leads Pipeline'!$D$5:$D$1004,$A286,'Leads Pipeline'!$E$5:$E$1004,$B286,'Leads Pipeline'!$F$5:$F$1004,"&lt;&gt;"),"")</f>
        <v/>
      </c>
      <c r="D286" s="43" t="str">
        <f aca="false">IF(AND($A286&lt;&gt;"",$B286&lt;&gt;""),COUNTIFS('Leads Pipeline'!$D$5:$D$1004,$A286,'Leads Pipeline'!$E$5:$E$1004,$B286,'Leads Pipeline'!$F$5:$F$1004,"&lt;&gt;",'Leads Pipeline'!$O$5:$O$1004,"&lt;&gt;Won",'Leads Pipeline'!$O$5:$O$1004,"&lt;&gt;Lost"),"")</f>
        <v/>
      </c>
      <c r="E286" s="43" t="str">
        <f aca="false">IF(AND($A286&lt;&gt;"",$B286&lt;&gt;""),COUNTIFS('Leads Pipeline'!$D$5:$D$1004,$A286,'Leads Pipeline'!$E$5:$E$1004,$B286,'Leads Pipeline'!$P$5:$P$1004,"Hot",'Leads Pipeline'!$O$5:$O$1004,"&lt;&gt;Won",'Leads Pipeline'!$O$5:$O$1004,"&lt;&gt;Lost"),"")</f>
        <v/>
      </c>
      <c r="F286" s="43" t="str">
        <f aca="false">IF(AND($A286&lt;&gt;"",$B286&lt;&gt;""),COUNTIFS('Leads Pipeline'!$D$5:$D$1004,$A286,'Leads Pipeline'!$E$5:$E$1004,$B286,'Leads Pipeline'!$O$5:$O$1004,"Won"),"")</f>
        <v/>
      </c>
      <c r="G286" s="44" t="str">
        <f aca="false">IF(AND($A286&lt;&gt;"",$B286&lt;&gt;""),SUMIFS('Leads Pipeline'!$U$5:$U$1004,'Leads Pipeline'!$D$5:$D$1004,$A286,'Leads Pipeline'!$E$5:$E$1004,$B286,'Leads Pipeline'!$O$5:$O$1004,"&lt;&gt;Won",'Leads Pipeline'!$O$5:$O$1004,"&lt;&gt;Lost"),"")</f>
        <v/>
      </c>
      <c r="H286" s="43" t="str">
        <f aca="false">IF(AND($A286&lt;&gt;"",$B286&lt;&gt;""),COUNTIFS('Active Clients'!$B$5:$B$504,$A286,'Active Clients'!$C$5:$C$504,$B286,'Active Clients'!$T$5:$T$504,"Active"),"")</f>
        <v/>
      </c>
      <c r="I286" s="44" t="str">
        <f aca="false">IF(AND($A286&lt;&gt;"",$B286&lt;&gt;""),SUMIFS('Active Clients'!$R$5:$R$504,'Active Clients'!$B$5:$B$504,$A286,'Active Clients'!$C$5:$C$504,$B286),"")</f>
        <v/>
      </c>
      <c r="J286" s="43" t="str">
        <f aca="true">IF(AND($A286&lt;&gt;"",$B286&lt;&gt;""),COUNTIFS('Activity Log'!$E$5:$E$3004,$A286,'Activity Log'!$F$5:$F$3004,$B286,'Activity Log'!$A$5:$A$3004,"&gt;="&amp;(TODAY()-29),'Activity Log'!$A$5:$A$3004,"&lt;="&amp;TODAY()),"")</f>
        <v/>
      </c>
    </row>
    <row r="287" customFormat="false" ht="15" hidden="false" customHeight="false" outlineLevel="0" collapsed="false">
      <c r="A287" s="42"/>
      <c r="B287" s="42"/>
      <c r="C287" s="43" t="str">
        <f aca="false">IF(AND($A287&lt;&gt;"",$B287&lt;&gt;""),COUNTIFS('Leads Pipeline'!$D$5:$D$1004,$A287,'Leads Pipeline'!$E$5:$E$1004,$B287,'Leads Pipeline'!$F$5:$F$1004,"&lt;&gt;"),"")</f>
        <v/>
      </c>
      <c r="D287" s="43" t="str">
        <f aca="false">IF(AND($A287&lt;&gt;"",$B287&lt;&gt;""),COUNTIFS('Leads Pipeline'!$D$5:$D$1004,$A287,'Leads Pipeline'!$E$5:$E$1004,$B287,'Leads Pipeline'!$F$5:$F$1004,"&lt;&gt;",'Leads Pipeline'!$O$5:$O$1004,"&lt;&gt;Won",'Leads Pipeline'!$O$5:$O$1004,"&lt;&gt;Lost"),"")</f>
        <v/>
      </c>
      <c r="E287" s="43" t="str">
        <f aca="false">IF(AND($A287&lt;&gt;"",$B287&lt;&gt;""),COUNTIFS('Leads Pipeline'!$D$5:$D$1004,$A287,'Leads Pipeline'!$E$5:$E$1004,$B287,'Leads Pipeline'!$P$5:$P$1004,"Hot",'Leads Pipeline'!$O$5:$O$1004,"&lt;&gt;Won",'Leads Pipeline'!$O$5:$O$1004,"&lt;&gt;Lost"),"")</f>
        <v/>
      </c>
      <c r="F287" s="43" t="str">
        <f aca="false">IF(AND($A287&lt;&gt;"",$B287&lt;&gt;""),COUNTIFS('Leads Pipeline'!$D$5:$D$1004,$A287,'Leads Pipeline'!$E$5:$E$1004,$B287,'Leads Pipeline'!$O$5:$O$1004,"Won"),"")</f>
        <v/>
      </c>
      <c r="G287" s="44" t="str">
        <f aca="false">IF(AND($A287&lt;&gt;"",$B287&lt;&gt;""),SUMIFS('Leads Pipeline'!$U$5:$U$1004,'Leads Pipeline'!$D$5:$D$1004,$A287,'Leads Pipeline'!$E$5:$E$1004,$B287,'Leads Pipeline'!$O$5:$O$1004,"&lt;&gt;Won",'Leads Pipeline'!$O$5:$O$1004,"&lt;&gt;Lost"),"")</f>
        <v/>
      </c>
      <c r="H287" s="43" t="str">
        <f aca="false">IF(AND($A287&lt;&gt;"",$B287&lt;&gt;""),COUNTIFS('Active Clients'!$B$5:$B$504,$A287,'Active Clients'!$C$5:$C$504,$B287,'Active Clients'!$T$5:$T$504,"Active"),"")</f>
        <v/>
      </c>
      <c r="I287" s="44" t="str">
        <f aca="false">IF(AND($A287&lt;&gt;"",$B287&lt;&gt;""),SUMIFS('Active Clients'!$R$5:$R$504,'Active Clients'!$B$5:$B$504,$A287,'Active Clients'!$C$5:$C$504,$B287),"")</f>
        <v/>
      </c>
      <c r="J287" s="43" t="str">
        <f aca="true">IF(AND($A287&lt;&gt;"",$B287&lt;&gt;""),COUNTIFS('Activity Log'!$E$5:$E$3004,$A287,'Activity Log'!$F$5:$F$3004,$B287,'Activity Log'!$A$5:$A$3004,"&gt;="&amp;(TODAY()-29),'Activity Log'!$A$5:$A$3004,"&lt;="&amp;TODAY()),"")</f>
        <v/>
      </c>
    </row>
    <row r="288" customFormat="false" ht="15" hidden="false" customHeight="false" outlineLevel="0" collapsed="false">
      <c r="A288" s="42"/>
      <c r="B288" s="42"/>
      <c r="C288" s="43" t="str">
        <f aca="false">IF(AND($A288&lt;&gt;"",$B288&lt;&gt;""),COUNTIFS('Leads Pipeline'!$D$5:$D$1004,$A288,'Leads Pipeline'!$E$5:$E$1004,$B288,'Leads Pipeline'!$F$5:$F$1004,"&lt;&gt;"),"")</f>
        <v/>
      </c>
      <c r="D288" s="43" t="str">
        <f aca="false">IF(AND($A288&lt;&gt;"",$B288&lt;&gt;""),COUNTIFS('Leads Pipeline'!$D$5:$D$1004,$A288,'Leads Pipeline'!$E$5:$E$1004,$B288,'Leads Pipeline'!$F$5:$F$1004,"&lt;&gt;",'Leads Pipeline'!$O$5:$O$1004,"&lt;&gt;Won",'Leads Pipeline'!$O$5:$O$1004,"&lt;&gt;Lost"),"")</f>
        <v/>
      </c>
      <c r="E288" s="43" t="str">
        <f aca="false">IF(AND($A288&lt;&gt;"",$B288&lt;&gt;""),COUNTIFS('Leads Pipeline'!$D$5:$D$1004,$A288,'Leads Pipeline'!$E$5:$E$1004,$B288,'Leads Pipeline'!$P$5:$P$1004,"Hot",'Leads Pipeline'!$O$5:$O$1004,"&lt;&gt;Won",'Leads Pipeline'!$O$5:$O$1004,"&lt;&gt;Lost"),"")</f>
        <v/>
      </c>
      <c r="F288" s="43" t="str">
        <f aca="false">IF(AND($A288&lt;&gt;"",$B288&lt;&gt;""),COUNTIFS('Leads Pipeline'!$D$5:$D$1004,$A288,'Leads Pipeline'!$E$5:$E$1004,$B288,'Leads Pipeline'!$O$5:$O$1004,"Won"),"")</f>
        <v/>
      </c>
      <c r="G288" s="44" t="str">
        <f aca="false">IF(AND($A288&lt;&gt;"",$B288&lt;&gt;""),SUMIFS('Leads Pipeline'!$U$5:$U$1004,'Leads Pipeline'!$D$5:$D$1004,$A288,'Leads Pipeline'!$E$5:$E$1004,$B288,'Leads Pipeline'!$O$5:$O$1004,"&lt;&gt;Won",'Leads Pipeline'!$O$5:$O$1004,"&lt;&gt;Lost"),"")</f>
        <v/>
      </c>
      <c r="H288" s="43" t="str">
        <f aca="false">IF(AND($A288&lt;&gt;"",$B288&lt;&gt;""),COUNTIFS('Active Clients'!$B$5:$B$504,$A288,'Active Clients'!$C$5:$C$504,$B288,'Active Clients'!$T$5:$T$504,"Active"),"")</f>
        <v/>
      </c>
      <c r="I288" s="44" t="str">
        <f aca="false">IF(AND($A288&lt;&gt;"",$B288&lt;&gt;""),SUMIFS('Active Clients'!$R$5:$R$504,'Active Clients'!$B$5:$B$504,$A288,'Active Clients'!$C$5:$C$504,$B288),"")</f>
        <v/>
      </c>
      <c r="J288" s="43" t="str">
        <f aca="true">IF(AND($A288&lt;&gt;"",$B288&lt;&gt;""),COUNTIFS('Activity Log'!$E$5:$E$3004,$A288,'Activity Log'!$F$5:$F$3004,$B288,'Activity Log'!$A$5:$A$3004,"&gt;="&amp;(TODAY()-29),'Activity Log'!$A$5:$A$3004,"&lt;="&amp;TODAY()),"")</f>
        <v/>
      </c>
    </row>
    <row r="289" customFormat="false" ht="15" hidden="false" customHeight="false" outlineLevel="0" collapsed="false">
      <c r="A289" s="42"/>
      <c r="B289" s="42"/>
      <c r="C289" s="43" t="str">
        <f aca="false">IF(AND($A289&lt;&gt;"",$B289&lt;&gt;""),COUNTIFS('Leads Pipeline'!$D$5:$D$1004,$A289,'Leads Pipeline'!$E$5:$E$1004,$B289,'Leads Pipeline'!$F$5:$F$1004,"&lt;&gt;"),"")</f>
        <v/>
      </c>
      <c r="D289" s="43" t="str">
        <f aca="false">IF(AND($A289&lt;&gt;"",$B289&lt;&gt;""),COUNTIFS('Leads Pipeline'!$D$5:$D$1004,$A289,'Leads Pipeline'!$E$5:$E$1004,$B289,'Leads Pipeline'!$F$5:$F$1004,"&lt;&gt;",'Leads Pipeline'!$O$5:$O$1004,"&lt;&gt;Won",'Leads Pipeline'!$O$5:$O$1004,"&lt;&gt;Lost"),"")</f>
        <v/>
      </c>
      <c r="E289" s="43" t="str">
        <f aca="false">IF(AND($A289&lt;&gt;"",$B289&lt;&gt;""),COUNTIFS('Leads Pipeline'!$D$5:$D$1004,$A289,'Leads Pipeline'!$E$5:$E$1004,$B289,'Leads Pipeline'!$P$5:$P$1004,"Hot",'Leads Pipeline'!$O$5:$O$1004,"&lt;&gt;Won",'Leads Pipeline'!$O$5:$O$1004,"&lt;&gt;Lost"),"")</f>
        <v/>
      </c>
      <c r="F289" s="43" t="str">
        <f aca="false">IF(AND($A289&lt;&gt;"",$B289&lt;&gt;""),COUNTIFS('Leads Pipeline'!$D$5:$D$1004,$A289,'Leads Pipeline'!$E$5:$E$1004,$B289,'Leads Pipeline'!$O$5:$O$1004,"Won"),"")</f>
        <v/>
      </c>
      <c r="G289" s="44" t="str">
        <f aca="false">IF(AND($A289&lt;&gt;"",$B289&lt;&gt;""),SUMIFS('Leads Pipeline'!$U$5:$U$1004,'Leads Pipeline'!$D$5:$D$1004,$A289,'Leads Pipeline'!$E$5:$E$1004,$B289,'Leads Pipeline'!$O$5:$O$1004,"&lt;&gt;Won",'Leads Pipeline'!$O$5:$O$1004,"&lt;&gt;Lost"),"")</f>
        <v/>
      </c>
      <c r="H289" s="43" t="str">
        <f aca="false">IF(AND($A289&lt;&gt;"",$B289&lt;&gt;""),COUNTIFS('Active Clients'!$B$5:$B$504,$A289,'Active Clients'!$C$5:$C$504,$B289,'Active Clients'!$T$5:$T$504,"Active"),"")</f>
        <v/>
      </c>
      <c r="I289" s="44" t="str">
        <f aca="false">IF(AND($A289&lt;&gt;"",$B289&lt;&gt;""),SUMIFS('Active Clients'!$R$5:$R$504,'Active Clients'!$B$5:$B$504,$A289,'Active Clients'!$C$5:$C$504,$B289),"")</f>
        <v/>
      </c>
      <c r="J289" s="43" t="str">
        <f aca="true">IF(AND($A289&lt;&gt;"",$B289&lt;&gt;""),COUNTIFS('Activity Log'!$E$5:$E$3004,$A289,'Activity Log'!$F$5:$F$3004,$B289,'Activity Log'!$A$5:$A$3004,"&gt;="&amp;(TODAY()-29),'Activity Log'!$A$5:$A$3004,"&lt;="&amp;TODAY()),"")</f>
        <v/>
      </c>
    </row>
    <row r="290" customFormat="false" ht="15" hidden="false" customHeight="false" outlineLevel="0" collapsed="false">
      <c r="A290" s="42"/>
      <c r="B290" s="42"/>
      <c r="C290" s="43" t="str">
        <f aca="false">IF(AND($A290&lt;&gt;"",$B290&lt;&gt;""),COUNTIFS('Leads Pipeline'!$D$5:$D$1004,$A290,'Leads Pipeline'!$E$5:$E$1004,$B290,'Leads Pipeline'!$F$5:$F$1004,"&lt;&gt;"),"")</f>
        <v/>
      </c>
      <c r="D290" s="43" t="str">
        <f aca="false">IF(AND($A290&lt;&gt;"",$B290&lt;&gt;""),COUNTIFS('Leads Pipeline'!$D$5:$D$1004,$A290,'Leads Pipeline'!$E$5:$E$1004,$B290,'Leads Pipeline'!$F$5:$F$1004,"&lt;&gt;",'Leads Pipeline'!$O$5:$O$1004,"&lt;&gt;Won",'Leads Pipeline'!$O$5:$O$1004,"&lt;&gt;Lost"),"")</f>
        <v/>
      </c>
      <c r="E290" s="43" t="str">
        <f aca="false">IF(AND($A290&lt;&gt;"",$B290&lt;&gt;""),COUNTIFS('Leads Pipeline'!$D$5:$D$1004,$A290,'Leads Pipeline'!$E$5:$E$1004,$B290,'Leads Pipeline'!$P$5:$P$1004,"Hot",'Leads Pipeline'!$O$5:$O$1004,"&lt;&gt;Won",'Leads Pipeline'!$O$5:$O$1004,"&lt;&gt;Lost"),"")</f>
        <v/>
      </c>
      <c r="F290" s="43" t="str">
        <f aca="false">IF(AND($A290&lt;&gt;"",$B290&lt;&gt;""),COUNTIFS('Leads Pipeline'!$D$5:$D$1004,$A290,'Leads Pipeline'!$E$5:$E$1004,$B290,'Leads Pipeline'!$O$5:$O$1004,"Won"),"")</f>
        <v/>
      </c>
      <c r="G290" s="44" t="str">
        <f aca="false">IF(AND($A290&lt;&gt;"",$B290&lt;&gt;""),SUMIFS('Leads Pipeline'!$U$5:$U$1004,'Leads Pipeline'!$D$5:$D$1004,$A290,'Leads Pipeline'!$E$5:$E$1004,$B290,'Leads Pipeline'!$O$5:$O$1004,"&lt;&gt;Won",'Leads Pipeline'!$O$5:$O$1004,"&lt;&gt;Lost"),"")</f>
        <v/>
      </c>
      <c r="H290" s="43" t="str">
        <f aca="false">IF(AND($A290&lt;&gt;"",$B290&lt;&gt;""),COUNTIFS('Active Clients'!$B$5:$B$504,$A290,'Active Clients'!$C$5:$C$504,$B290,'Active Clients'!$T$5:$T$504,"Active"),"")</f>
        <v/>
      </c>
      <c r="I290" s="44" t="str">
        <f aca="false">IF(AND($A290&lt;&gt;"",$B290&lt;&gt;""),SUMIFS('Active Clients'!$R$5:$R$504,'Active Clients'!$B$5:$B$504,$A290,'Active Clients'!$C$5:$C$504,$B290),"")</f>
        <v/>
      </c>
      <c r="J290" s="43" t="str">
        <f aca="true">IF(AND($A290&lt;&gt;"",$B290&lt;&gt;""),COUNTIFS('Activity Log'!$E$5:$E$3004,$A290,'Activity Log'!$F$5:$F$3004,$B290,'Activity Log'!$A$5:$A$3004,"&gt;="&amp;(TODAY()-29),'Activity Log'!$A$5:$A$3004,"&lt;="&amp;TODAY()),"")</f>
        <v/>
      </c>
    </row>
    <row r="291" customFormat="false" ht="15" hidden="false" customHeight="false" outlineLevel="0" collapsed="false">
      <c r="A291" s="42"/>
      <c r="B291" s="42"/>
      <c r="C291" s="43" t="str">
        <f aca="false">IF(AND($A291&lt;&gt;"",$B291&lt;&gt;""),COUNTIFS('Leads Pipeline'!$D$5:$D$1004,$A291,'Leads Pipeline'!$E$5:$E$1004,$B291,'Leads Pipeline'!$F$5:$F$1004,"&lt;&gt;"),"")</f>
        <v/>
      </c>
      <c r="D291" s="43" t="str">
        <f aca="false">IF(AND($A291&lt;&gt;"",$B291&lt;&gt;""),COUNTIFS('Leads Pipeline'!$D$5:$D$1004,$A291,'Leads Pipeline'!$E$5:$E$1004,$B291,'Leads Pipeline'!$F$5:$F$1004,"&lt;&gt;",'Leads Pipeline'!$O$5:$O$1004,"&lt;&gt;Won",'Leads Pipeline'!$O$5:$O$1004,"&lt;&gt;Lost"),"")</f>
        <v/>
      </c>
      <c r="E291" s="43" t="str">
        <f aca="false">IF(AND($A291&lt;&gt;"",$B291&lt;&gt;""),COUNTIFS('Leads Pipeline'!$D$5:$D$1004,$A291,'Leads Pipeline'!$E$5:$E$1004,$B291,'Leads Pipeline'!$P$5:$P$1004,"Hot",'Leads Pipeline'!$O$5:$O$1004,"&lt;&gt;Won",'Leads Pipeline'!$O$5:$O$1004,"&lt;&gt;Lost"),"")</f>
        <v/>
      </c>
      <c r="F291" s="43" t="str">
        <f aca="false">IF(AND($A291&lt;&gt;"",$B291&lt;&gt;""),COUNTIFS('Leads Pipeline'!$D$5:$D$1004,$A291,'Leads Pipeline'!$E$5:$E$1004,$B291,'Leads Pipeline'!$O$5:$O$1004,"Won"),"")</f>
        <v/>
      </c>
      <c r="G291" s="44" t="str">
        <f aca="false">IF(AND($A291&lt;&gt;"",$B291&lt;&gt;""),SUMIFS('Leads Pipeline'!$U$5:$U$1004,'Leads Pipeline'!$D$5:$D$1004,$A291,'Leads Pipeline'!$E$5:$E$1004,$B291,'Leads Pipeline'!$O$5:$O$1004,"&lt;&gt;Won",'Leads Pipeline'!$O$5:$O$1004,"&lt;&gt;Lost"),"")</f>
        <v/>
      </c>
      <c r="H291" s="43" t="str">
        <f aca="false">IF(AND($A291&lt;&gt;"",$B291&lt;&gt;""),COUNTIFS('Active Clients'!$B$5:$B$504,$A291,'Active Clients'!$C$5:$C$504,$B291,'Active Clients'!$T$5:$T$504,"Active"),"")</f>
        <v/>
      </c>
      <c r="I291" s="44" t="str">
        <f aca="false">IF(AND($A291&lt;&gt;"",$B291&lt;&gt;""),SUMIFS('Active Clients'!$R$5:$R$504,'Active Clients'!$B$5:$B$504,$A291,'Active Clients'!$C$5:$C$504,$B291),"")</f>
        <v/>
      </c>
      <c r="J291" s="43" t="str">
        <f aca="true">IF(AND($A291&lt;&gt;"",$B291&lt;&gt;""),COUNTIFS('Activity Log'!$E$5:$E$3004,$A291,'Activity Log'!$F$5:$F$3004,$B291,'Activity Log'!$A$5:$A$3004,"&gt;="&amp;(TODAY()-29),'Activity Log'!$A$5:$A$3004,"&lt;="&amp;TODAY()),"")</f>
        <v/>
      </c>
    </row>
    <row r="292" customFormat="false" ht="15" hidden="false" customHeight="false" outlineLevel="0" collapsed="false">
      <c r="A292" s="42"/>
      <c r="B292" s="42"/>
      <c r="C292" s="43" t="str">
        <f aca="false">IF(AND($A292&lt;&gt;"",$B292&lt;&gt;""),COUNTIFS('Leads Pipeline'!$D$5:$D$1004,$A292,'Leads Pipeline'!$E$5:$E$1004,$B292,'Leads Pipeline'!$F$5:$F$1004,"&lt;&gt;"),"")</f>
        <v/>
      </c>
      <c r="D292" s="43" t="str">
        <f aca="false">IF(AND($A292&lt;&gt;"",$B292&lt;&gt;""),COUNTIFS('Leads Pipeline'!$D$5:$D$1004,$A292,'Leads Pipeline'!$E$5:$E$1004,$B292,'Leads Pipeline'!$F$5:$F$1004,"&lt;&gt;",'Leads Pipeline'!$O$5:$O$1004,"&lt;&gt;Won",'Leads Pipeline'!$O$5:$O$1004,"&lt;&gt;Lost"),"")</f>
        <v/>
      </c>
      <c r="E292" s="43" t="str">
        <f aca="false">IF(AND($A292&lt;&gt;"",$B292&lt;&gt;""),COUNTIFS('Leads Pipeline'!$D$5:$D$1004,$A292,'Leads Pipeline'!$E$5:$E$1004,$B292,'Leads Pipeline'!$P$5:$P$1004,"Hot",'Leads Pipeline'!$O$5:$O$1004,"&lt;&gt;Won",'Leads Pipeline'!$O$5:$O$1004,"&lt;&gt;Lost"),"")</f>
        <v/>
      </c>
      <c r="F292" s="43" t="str">
        <f aca="false">IF(AND($A292&lt;&gt;"",$B292&lt;&gt;""),COUNTIFS('Leads Pipeline'!$D$5:$D$1004,$A292,'Leads Pipeline'!$E$5:$E$1004,$B292,'Leads Pipeline'!$O$5:$O$1004,"Won"),"")</f>
        <v/>
      </c>
      <c r="G292" s="44" t="str">
        <f aca="false">IF(AND($A292&lt;&gt;"",$B292&lt;&gt;""),SUMIFS('Leads Pipeline'!$U$5:$U$1004,'Leads Pipeline'!$D$5:$D$1004,$A292,'Leads Pipeline'!$E$5:$E$1004,$B292,'Leads Pipeline'!$O$5:$O$1004,"&lt;&gt;Won",'Leads Pipeline'!$O$5:$O$1004,"&lt;&gt;Lost"),"")</f>
        <v/>
      </c>
      <c r="H292" s="43" t="str">
        <f aca="false">IF(AND($A292&lt;&gt;"",$B292&lt;&gt;""),COUNTIFS('Active Clients'!$B$5:$B$504,$A292,'Active Clients'!$C$5:$C$504,$B292,'Active Clients'!$T$5:$T$504,"Active"),"")</f>
        <v/>
      </c>
      <c r="I292" s="44" t="str">
        <f aca="false">IF(AND($A292&lt;&gt;"",$B292&lt;&gt;""),SUMIFS('Active Clients'!$R$5:$R$504,'Active Clients'!$B$5:$B$504,$A292,'Active Clients'!$C$5:$C$504,$B292),"")</f>
        <v/>
      </c>
      <c r="J292" s="43" t="str">
        <f aca="true">IF(AND($A292&lt;&gt;"",$B292&lt;&gt;""),COUNTIFS('Activity Log'!$E$5:$E$3004,$A292,'Activity Log'!$F$5:$F$3004,$B292,'Activity Log'!$A$5:$A$3004,"&gt;="&amp;(TODAY()-29),'Activity Log'!$A$5:$A$3004,"&lt;="&amp;TODAY()),"")</f>
        <v/>
      </c>
    </row>
    <row r="293" customFormat="false" ht="15" hidden="false" customHeight="false" outlineLevel="0" collapsed="false">
      <c r="A293" s="42"/>
      <c r="B293" s="42"/>
      <c r="C293" s="43" t="str">
        <f aca="false">IF(AND($A293&lt;&gt;"",$B293&lt;&gt;""),COUNTIFS('Leads Pipeline'!$D$5:$D$1004,$A293,'Leads Pipeline'!$E$5:$E$1004,$B293,'Leads Pipeline'!$F$5:$F$1004,"&lt;&gt;"),"")</f>
        <v/>
      </c>
      <c r="D293" s="43" t="str">
        <f aca="false">IF(AND($A293&lt;&gt;"",$B293&lt;&gt;""),COUNTIFS('Leads Pipeline'!$D$5:$D$1004,$A293,'Leads Pipeline'!$E$5:$E$1004,$B293,'Leads Pipeline'!$F$5:$F$1004,"&lt;&gt;",'Leads Pipeline'!$O$5:$O$1004,"&lt;&gt;Won",'Leads Pipeline'!$O$5:$O$1004,"&lt;&gt;Lost"),"")</f>
        <v/>
      </c>
      <c r="E293" s="43" t="str">
        <f aca="false">IF(AND($A293&lt;&gt;"",$B293&lt;&gt;""),COUNTIFS('Leads Pipeline'!$D$5:$D$1004,$A293,'Leads Pipeline'!$E$5:$E$1004,$B293,'Leads Pipeline'!$P$5:$P$1004,"Hot",'Leads Pipeline'!$O$5:$O$1004,"&lt;&gt;Won",'Leads Pipeline'!$O$5:$O$1004,"&lt;&gt;Lost"),"")</f>
        <v/>
      </c>
      <c r="F293" s="43" t="str">
        <f aca="false">IF(AND($A293&lt;&gt;"",$B293&lt;&gt;""),COUNTIFS('Leads Pipeline'!$D$5:$D$1004,$A293,'Leads Pipeline'!$E$5:$E$1004,$B293,'Leads Pipeline'!$O$5:$O$1004,"Won"),"")</f>
        <v/>
      </c>
      <c r="G293" s="44" t="str">
        <f aca="false">IF(AND($A293&lt;&gt;"",$B293&lt;&gt;""),SUMIFS('Leads Pipeline'!$U$5:$U$1004,'Leads Pipeline'!$D$5:$D$1004,$A293,'Leads Pipeline'!$E$5:$E$1004,$B293,'Leads Pipeline'!$O$5:$O$1004,"&lt;&gt;Won",'Leads Pipeline'!$O$5:$O$1004,"&lt;&gt;Lost"),"")</f>
        <v/>
      </c>
      <c r="H293" s="43" t="str">
        <f aca="false">IF(AND($A293&lt;&gt;"",$B293&lt;&gt;""),COUNTIFS('Active Clients'!$B$5:$B$504,$A293,'Active Clients'!$C$5:$C$504,$B293,'Active Clients'!$T$5:$T$504,"Active"),"")</f>
        <v/>
      </c>
      <c r="I293" s="44" t="str">
        <f aca="false">IF(AND($A293&lt;&gt;"",$B293&lt;&gt;""),SUMIFS('Active Clients'!$R$5:$R$504,'Active Clients'!$B$5:$B$504,$A293,'Active Clients'!$C$5:$C$504,$B293),"")</f>
        <v/>
      </c>
      <c r="J293" s="43" t="str">
        <f aca="true">IF(AND($A293&lt;&gt;"",$B293&lt;&gt;""),COUNTIFS('Activity Log'!$E$5:$E$3004,$A293,'Activity Log'!$F$5:$F$3004,$B293,'Activity Log'!$A$5:$A$3004,"&gt;="&amp;(TODAY()-29),'Activity Log'!$A$5:$A$3004,"&lt;="&amp;TODAY()),"")</f>
        <v/>
      </c>
    </row>
    <row r="294" customFormat="false" ht="15" hidden="false" customHeight="false" outlineLevel="0" collapsed="false">
      <c r="A294" s="42"/>
      <c r="B294" s="42"/>
      <c r="C294" s="43" t="str">
        <f aca="false">IF(AND($A294&lt;&gt;"",$B294&lt;&gt;""),COUNTIFS('Leads Pipeline'!$D$5:$D$1004,$A294,'Leads Pipeline'!$E$5:$E$1004,$B294,'Leads Pipeline'!$F$5:$F$1004,"&lt;&gt;"),"")</f>
        <v/>
      </c>
      <c r="D294" s="43" t="str">
        <f aca="false">IF(AND($A294&lt;&gt;"",$B294&lt;&gt;""),COUNTIFS('Leads Pipeline'!$D$5:$D$1004,$A294,'Leads Pipeline'!$E$5:$E$1004,$B294,'Leads Pipeline'!$F$5:$F$1004,"&lt;&gt;",'Leads Pipeline'!$O$5:$O$1004,"&lt;&gt;Won",'Leads Pipeline'!$O$5:$O$1004,"&lt;&gt;Lost"),"")</f>
        <v/>
      </c>
      <c r="E294" s="43" t="str">
        <f aca="false">IF(AND($A294&lt;&gt;"",$B294&lt;&gt;""),COUNTIFS('Leads Pipeline'!$D$5:$D$1004,$A294,'Leads Pipeline'!$E$5:$E$1004,$B294,'Leads Pipeline'!$P$5:$P$1004,"Hot",'Leads Pipeline'!$O$5:$O$1004,"&lt;&gt;Won",'Leads Pipeline'!$O$5:$O$1004,"&lt;&gt;Lost"),"")</f>
        <v/>
      </c>
      <c r="F294" s="43" t="str">
        <f aca="false">IF(AND($A294&lt;&gt;"",$B294&lt;&gt;""),COUNTIFS('Leads Pipeline'!$D$5:$D$1004,$A294,'Leads Pipeline'!$E$5:$E$1004,$B294,'Leads Pipeline'!$O$5:$O$1004,"Won"),"")</f>
        <v/>
      </c>
      <c r="G294" s="44" t="str">
        <f aca="false">IF(AND($A294&lt;&gt;"",$B294&lt;&gt;""),SUMIFS('Leads Pipeline'!$U$5:$U$1004,'Leads Pipeline'!$D$5:$D$1004,$A294,'Leads Pipeline'!$E$5:$E$1004,$B294,'Leads Pipeline'!$O$5:$O$1004,"&lt;&gt;Won",'Leads Pipeline'!$O$5:$O$1004,"&lt;&gt;Lost"),"")</f>
        <v/>
      </c>
      <c r="H294" s="43" t="str">
        <f aca="false">IF(AND($A294&lt;&gt;"",$B294&lt;&gt;""),COUNTIFS('Active Clients'!$B$5:$B$504,$A294,'Active Clients'!$C$5:$C$504,$B294,'Active Clients'!$T$5:$T$504,"Active"),"")</f>
        <v/>
      </c>
      <c r="I294" s="44" t="str">
        <f aca="false">IF(AND($A294&lt;&gt;"",$B294&lt;&gt;""),SUMIFS('Active Clients'!$R$5:$R$504,'Active Clients'!$B$5:$B$504,$A294,'Active Clients'!$C$5:$C$504,$B294),"")</f>
        <v/>
      </c>
      <c r="J294" s="43" t="str">
        <f aca="true">IF(AND($A294&lt;&gt;"",$B294&lt;&gt;""),COUNTIFS('Activity Log'!$E$5:$E$3004,$A294,'Activity Log'!$F$5:$F$3004,$B294,'Activity Log'!$A$5:$A$3004,"&gt;="&amp;(TODAY()-29),'Activity Log'!$A$5:$A$3004,"&lt;="&amp;TODAY()),"")</f>
        <v/>
      </c>
    </row>
    <row r="295" customFormat="false" ht="15" hidden="false" customHeight="false" outlineLevel="0" collapsed="false">
      <c r="A295" s="42"/>
      <c r="B295" s="42"/>
      <c r="C295" s="43" t="str">
        <f aca="false">IF(AND($A295&lt;&gt;"",$B295&lt;&gt;""),COUNTIFS('Leads Pipeline'!$D$5:$D$1004,$A295,'Leads Pipeline'!$E$5:$E$1004,$B295,'Leads Pipeline'!$F$5:$F$1004,"&lt;&gt;"),"")</f>
        <v/>
      </c>
      <c r="D295" s="43" t="str">
        <f aca="false">IF(AND($A295&lt;&gt;"",$B295&lt;&gt;""),COUNTIFS('Leads Pipeline'!$D$5:$D$1004,$A295,'Leads Pipeline'!$E$5:$E$1004,$B295,'Leads Pipeline'!$F$5:$F$1004,"&lt;&gt;",'Leads Pipeline'!$O$5:$O$1004,"&lt;&gt;Won",'Leads Pipeline'!$O$5:$O$1004,"&lt;&gt;Lost"),"")</f>
        <v/>
      </c>
      <c r="E295" s="43" t="str">
        <f aca="false">IF(AND($A295&lt;&gt;"",$B295&lt;&gt;""),COUNTIFS('Leads Pipeline'!$D$5:$D$1004,$A295,'Leads Pipeline'!$E$5:$E$1004,$B295,'Leads Pipeline'!$P$5:$P$1004,"Hot",'Leads Pipeline'!$O$5:$O$1004,"&lt;&gt;Won",'Leads Pipeline'!$O$5:$O$1004,"&lt;&gt;Lost"),"")</f>
        <v/>
      </c>
      <c r="F295" s="43" t="str">
        <f aca="false">IF(AND($A295&lt;&gt;"",$B295&lt;&gt;""),COUNTIFS('Leads Pipeline'!$D$5:$D$1004,$A295,'Leads Pipeline'!$E$5:$E$1004,$B295,'Leads Pipeline'!$O$5:$O$1004,"Won"),"")</f>
        <v/>
      </c>
      <c r="G295" s="44" t="str">
        <f aca="false">IF(AND($A295&lt;&gt;"",$B295&lt;&gt;""),SUMIFS('Leads Pipeline'!$U$5:$U$1004,'Leads Pipeline'!$D$5:$D$1004,$A295,'Leads Pipeline'!$E$5:$E$1004,$B295,'Leads Pipeline'!$O$5:$O$1004,"&lt;&gt;Won",'Leads Pipeline'!$O$5:$O$1004,"&lt;&gt;Lost"),"")</f>
        <v/>
      </c>
      <c r="H295" s="43" t="str">
        <f aca="false">IF(AND($A295&lt;&gt;"",$B295&lt;&gt;""),COUNTIFS('Active Clients'!$B$5:$B$504,$A295,'Active Clients'!$C$5:$C$504,$B295,'Active Clients'!$T$5:$T$504,"Active"),"")</f>
        <v/>
      </c>
      <c r="I295" s="44" t="str">
        <f aca="false">IF(AND($A295&lt;&gt;"",$B295&lt;&gt;""),SUMIFS('Active Clients'!$R$5:$R$504,'Active Clients'!$B$5:$B$504,$A295,'Active Clients'!$C$5:$C$504,$B295),"")</f>
        <v/>
      </c>
      <c r="J295" s="43" t="str">
        <f aca="true">IF(AND($A295&lt;&gt;"",$B295&lt;&gt;""),COUNTIFS('Activity Log'!$E$5:$E$3004,$A295,'Activity Log'!$F$5:$F$3004,$B295,'Activity Log'!$A$5:$A$3004,"&gt;="&amp;(TODAY()-29),'Activity Log'!$A$5:$A$3004,"&lt;="&amp;TODAY()),"")</f>
        <v/>
      </c>
    </row>
    <row r="296" customFormat="false" ht="15" hidden="false" customHeight="false" outlineLevel="0" collapsed="false">
      <c r="A296" s="42"/>
      <c r="B296" s="42"/>
      <c r="C296" s="43" t="str">
        <f aca="false">IF(AND($A296&lt;&gt;"",$B296&lt;&gt;""),COUNTIFS('Leads Pipeline'!$D$5:$D$1004,$A296,'Leads Pipeline'!$E$5:$E$1004,$B296,'Leads Pipeline'!$F$5:$F$1004,"&lt;&gt;"),"")</f>
        <v/>
      </c>
      <c r="D296" s="43" t="str">
        <f aca="false">IF(AND($A296&lt;&gt;"",$B296&lt;&gt;""),COUNTIFS('Leads Pipeline'!$D$5:$D$1004,$A296,'Leads Pipeline'!$E$5:$E$1004,$B296,'Leads Pipeline'!$F$5:$F$1004,"&lt;&gt;",'Leads Pipeline'!$O$5:$O$1004,"&lt;&gt;Won",'Leads Pipeline'!$O$5:$O$1004,"&lt;&gt;Lost"),"")</f>
        <v/>
      </c>
      <c r="E296" s="43" t="str">
        <f aca="false">IF(AND($A296&lt;&gt;"",$B296&lt;&gt;""),COUNTIFS('Leads Pipeline'!$D$5:$D$1004,$A296,'Leads Pipeline'!$E$5:$E$1004,$B296,'Leads Pipeline'!$P$5:$P$1004,"Hot",'Leads Pipeline'!$O$5:$O$1004,"&lt;&gt;Won",'Leads Pipeline'!$O$5:$O$1004,"&lt;&gt;Lost"),"")</f>
        <v/>
      </c>
      <c r="F296" s="43" t="str">
        <f aca="false">IF(AND($A296&lt;&gt;"",$B296&lt;&gt;""),COUNTIFS('Leads Pipeline'!$D$5:$D$1004,$A296,'Leads Pipeline'!$E$5:$E$1004,$B296,'Leads Pipeline'!$O$5:$O$1004,"Won"),"")</f>
        <v/>
      </c>
      <c r="G296" s="44" t="str">
        <f aca="false">IF(AND($A296&lt;&gt;"",$B296&lt;&gt;""),SUMIFS('Leads Pipeline'!$U$5:$U$1004,'Leads Pipeline'!$D$5:$D$1004,$A296,'Leads Pipeline'!$E$5:$E$1004,$B296,'Leads Pipeline'!$O$5:$O$1004,"&lt;&gt;Won",'Leads Pipeline'!$O$5:$O$1004,"&lt;&gt;Lost"),"")</f>
        <v/>
      </c>
      <c r="H296" s="43" t="str">
        <f aca="false">IF(AND($A296&lt;&gt;"",$B296&lt;&gt;""),COUNTIFS('Active Clients'!$B$5:$B$504,$A296,'Active Clients'!$C$5:$C$504,$B296,'Active Clients'!$T$5:$T$504,"Active"),"")</f>
        <v/>
      </c>
      <c r="I296" s="44" t="str">
        <f aca="false">IF(AND($A296&lt;&gt;"",$B296&lt;&gt;""),SUMIFS('Active Clients'!$R$5:$R$504,'Active Clients'!$B$5:$B$504,$A296,'Active Clients'!$C$5:$C$504,$B296),"")</f>
        <v/>
      </c>
      <c r="J296" s="43" t="str">
        <f aca="true">IF(AND($A296&lt;&gt;"",$B296&lt;&gt;""),COUNTIFS('Activity Log'!$E$5:$E$3004,$A296,'Activity Log'!$F$5:$F$3004,$B296,'Activity Log'!$A$5:$A$3004,"&gt;="&amp;(TODAY()-29),'Activity Log'!$A$5:$A$3004,"&lt;="&amp;TODAY()),"")</f>
        <v/>
      </c>
    </row>
    <row r="297" customFormat="false" ht="15" hidden="false" customHeight="false" outlineLevel="0" collapsed="false">
      <c r="A297" s="42"/>
      <c r="B297" s="42"/>
      <c r="C297" s="43" t="str">
        <f aca="false">IF(AND($A297&lt;&gt;"",$B297&lt;&gt;""),COUNTIFS('Leads Pipeline'!$D$5:$D$1004,$A297,'Leads Pipeline'!$E$5:$E$1004,$B297,'Leads Pipeline'!$F$5:$F$1004,"&lt;&gt;"),"")</f>
        <v/>
      </c>
      <c r="D297" s="43" t="str">
        <f aca="false">IF(AND($A297&lt;&gt;"",$B297&lt;&gt;""),COUNTIFS('Leads Pipeline'!$D$5:$D$1004,$A297,'Leads Pipeline'!$E$5:$E$1004,$B297,'Leads Pipeline'!$F$5:$F$1004,"&lt;&gt;",'Leads Pipeline'!$O$5:$O$1004,"&lt;&gt;Won",'Leads Pipeline'!$O$5:$O$1004,"&lt;&gt;Lost"),"")</f>
        <v/>
      </c>
      <c r="E297" s="43" t="str">
        <f aca="false">IF(AND($A297&lt;&gt;"",$B297&lt;&gt;""),COUNTIFS('Leads Pipeline'!$D$5:$D$1004,$A297,'Leads Pipeline'!$E$5:$E$1004,$B297,'Leads Pipeline'!$P$5:$P$1004,"Hot",'Leads Pipeline'!$O$5:$O$1004,"&lt;&gt;Won",'Leads Pipeline'!$O$5:$O$1004,"&lt;&gt;Lost"),"")</f>
        <v/>
      </c>
      <c r="F297" s="43" t="str">
        <f aca="false">IF(AND($A297&lt;&gt;"",$B297&lt;&gt;""),COUNTIFS('Leads Pipeline'!$D$5:$D$1004,$A297,'Leads Pipeline'!$E$5:$E$1004,$B297,'Leads Pipeline'!$O$5:$O$1004,"Won"),"")</f>
        <v/>
      </c>
      <c r="G297" s="44" t="str">
        <f aca="false">IF(AND($A297&lt;&gt;"",$B297&lt;&gt;""),SUMIFS('Leads Pipeline'!$U$5:$U$1004,'Leads Pipeline'!$D$5:$D$1004,$A297,'Leads Pipeline'!$E$5:$E$1004,$B297,'Leads Pipeline'!$O$5:$O$1004,"&lt;&gt;Won",'Leads Pipeline'!$O$5:$O$1004,"&lt;&gt;Lost"),"")</f>
        <v/>
      </c>
      <c r="H297" s="43" t="str">
        <f aca="false">IF(AND($A297&lt;&gt;"",$B297&lt;&gt;""),COUNTIFS('Active Clients'!$B$5:$B$504,$A297,'Active Clients'!$C$5:$C$504,$B297,'Active Clients'!$T$5:$T$504,"Active"),"")</f>
        <v/>
      </c>
      <c r="I297" s="44" t="str">
        <f aca="false">IF(AND($A297&lt;&gt;"",$B297&lt;&gt;""),SUMIFS('Active Clients'!$R$5:$R$504,'Active Clients'!$B$5:$B$504,$A297,'Active Clients'!$C$5:$C$504,$B297),"")</f>
        <v/>
      </c>
      <c r="J297" s="43" t="str">
        <f aca="true">IF(AND($A297&lt;&gt;"",$B297&lt;&gt;""),COUNTIFS('Activity Log'!$E$5:$E$3004,$A297,'Activity Log'!$F$5:$F$3004,$B297,'Activity Log'!$A$5:$A$3004,"&gt;="&amp;(TODAY()-29),'Activity Log'!$A$5:$A$3004,"&lt;="&amp;TODAY()),"")</f>
        <v/>
      </c>
    </row>
    <row r="298" customFormat="false" ht="15" hidden="false" customHeight="false" outlineLevel="0" collapsed="false">
      <c r="A298" s="42"/>
      <c r="B298" s="42"/>
      <c r="C298" s="43" t="str">
        <f aca="false">IF(AND($A298&lt;&gt;"",$B298&lt;&gt;""),COUNTIFS('Leads Pipeline'!$D$5:$D$1004,$A298,'Leads Pipeline'!$E$5:$E$1004,$B298,'Leads Pipeline'!$F$5:$F$1004,"&lt;&gt;"),"")</f>
        <v/>
      </c>
      <c r="D298" s="43" t="str">
        <f aca="false">IF(AND($A298&lt;&gt;"",$B298&lt;&gt;""),COUNTIFS('Leads Pipeline'!$D$5:$D$1004,$A298,'Leads Pipeline'!$E$5:$E$1004,$B298,'Leads Pipeline'!$F$5:$F$1004,"&lt;&gt;",'Leads Pipeline'!$O$5:$O$1004,"&lt;&gt;Won",'Leads Pipeline'!$O$5:$O$1004,"&lt;&gt;Lost"),"")</f>
        <v/>
      </c>
      <c r="E298" s="43" t="str">
        <f aca="false">IF(AND($A298&lt;&gt;"",$B298&lt;&gt;""),COUNTIFS('Leads Pipeline'!$D$5:$D$1004,$A298,'Leads Pipeline'!$E$5:$E$1004,$B298,'Leads Pipeline'!$P$5:$P$1004,"Hot",'Leads Pipeline'!$O$5:$O$1004,"&lt;&gt;Won",'Leads Pipeline'!$O$5:$O$1004,"&lt;&gt;Lost"),"")</f>
        <v/>
      </c>
      <c r="F298" s="43" t="str">
        <f aca="false">IF(AND($A298&lt;&gt;"",$B298&lt;&gt;""),COUNTIFS('Leads Pipeline'!$D$5:$D$1004,$A298,'Leads Pipeline'!$E$5:$E$1004,$B298,'Leads Pipeline'!$O$5:$O$1004,"Won"),"")</f>
        <v/>
      </c>
      <c r="G298" s="44" t="str">
        <f aca="false">IF(AND($A298&lt;&gt;"",$B298&lt;&gt;""),SUMIFS('Leads Pipeline'!$U$5:$U$1004,'Leads Pipeline'!$D$5:$D$1004,$A298,'Leads Pipeline'!$E$5:$E$1004,$B298,'Leads Pipeline'!$O$5:$O$1004,"&lt;&gt;Won",'Leads Pipeline'!$O$5:$O$1004,"&lt;&gt;Lost"),"")</f>
        <v/>
      </c>
      <c r="H298" s="43" t="str">
        <f aca="false">IF(AND($A298&lt;&gt;"",$B298&lt;&gt;""),COUNTIFS('Active Clients'!$B$5:$B$504,$A298,'Active Clients'!$C$5:$C$504,$B298,'Active Clients'!$T$5:$T$504,"Active"),"")</f>
        <v/>
      </c>
      <c r="I298" s="44" t="str">
        <f aca="false">IF(AND($A298&lt;&gt;"",$B298&lt;&gt;""),SUMIFS('Active Clients'!$R$5:$R$504,'Active Clients'!$B$5:$B$504,$A298,'Active Clients'!$C$5:$C$504,$B298),"")</f>
        <v/>
      </c>
      <c r="J298" s="43" t="str">
        <f aca="true">IF(AND($A298&lt;&gt;"",$B298&lt;&gt;""),COUNTIFS('Activity Log'!$E$5:$E$3004,$A298,'Activity Log'!$F$5:$F$3004,$B298,'Activity Log'!$A$5:$A$3004,"&gt;="&amp;(TODAY()-29),'Activity Log'!$A$5:$A$3004,"&lt;="&amp;TODAY()),"")</f>
        <v/>
      </c>
    </row>
    <row r="299" customFormat="false" ht="15" hidden="false" customHeight="false" outlineLevel="0" collapsed="false">
      <c r="A299" s="42"/>
      <c r="B299" s="42"/>
      <c r="C299" s="43" t="str">
        <f aca="false">IF(AND($A299&lt;&gt;"",$B299&lt;&gt;""),COUNTIFS('Leads Pipeline'!$D$5:$D$1004,$A299,'Leads Pipeline'!$E$5:$E$1004,$B299,'Leads Pipeline'!$F$5:$F$1004,"&lt;&gt;"),"")</f>
        <v/>
      </c>
      <c r="D299" s="43" t="str">
        <f aca="false">IF(AND($A299&lt;&gt;"",$B299&lt;&gt;""),COUNTIFS('Leads Pipeline'!$D$5:$D$1004,$A299,'Leads Pipeline'!$E$5:$E$1004,$B299,'Leads Pipeline'!$F$5:$F$1004,"&lt;&gt;",'Leads Pipeline'!$O$5:$O$1004,"&lt;&gt;Won",'Leads Pipeline'!$O$5:$O$1004,"&lt;&gt;Lost"),"")</f>
        <v/>
      </c>
      <c r="E299" s="43" t="str">
        <f aca="false">IF(AND($A299&lt;&gt;"",$B299&lt;&gt;""),COUNTIFS('Leads Pipeline'!$D$5:$D$1004,$A299,'Leads Pipeline'!$E$5:$E$1004,$B299,'Leads Pipeline'!$P$5:$P$1004,"Hot",'Leads Pipeline'!$O$5:$O$1004,"&lt;&gt;Won",'Leads Pipeline'!$O$5:$O$1004,"&lt;&gt;Lost"),"")</f>
        <v/>
      </c>
      <c r="F299" s="43" t="str">
        <f aca="false">IF(AND($A299&lt;&gt;"",$B299&lt;&gt;""),COUNTIFS('Leads Pipeline'!$D$5:$D$1004,$A299,'Leads Pipeline'!$E$5:$E$1004,$B299,'Leads Pipeline'!$O$5:$O$1004,"Won"),"")</f>
        <v/>
      </c>
      <c r="G299" s="44" t="str">
        <f aca="false">IF(AND($A299&lt;&gt;"",$B299&lt;&gt;""),SUMIFS('Leads Pipeline'!$U$5:$U$1004,'Leads Pipeline'!$D$5:$D$1004,$A299,'Leads Pipeline'!$E$5:$E$1004,$B299,'Leads Pipeline'!$O$5:$O$1004,"&lt;&gt;Won",'Leads Pipeline'!$O$5:$O$1004,"&lt;&gt;Lost"),"")</f>
        <v/>
      </c>
      <c r="H299" s="43" t="str">
        <f aca="false">IF(AND($A299&lt;&gt;"",$B299&lt;&gt;""),COUNTIFS('Active Clients'!$B$5:$B$504,$A299,'Active Clients'!$C$5:$C$504,$B299,'Active Clients'!$T$5:$T$504,"Active"),"")</f>
        <v/>
      </c>
      <c r="I299" s="44" t="str">
        <f aca="false">IF(AND($A299&lt;&gt;"",$B299&lt;&gt;""),SUMIFS('Active Clients'!$R$5:$R$504,'Active Clients'!$B$5:$B$504,$A299,'Active Clients'!$C$5:$C$504,$B299),"")</f>
        <v/>
      </c>
      <c r="J299" s="43" t="str">
        <f aca="true">IF(AND($A299&lt;&gt;"",$B299&lt;&gt;""),COUNTIFS('Activity Log'!$E$5:$E$3004,$A299,'Activity Log'!$F$5:$F$3004,$B299,'Activity Log'!$A$5:$A$3004,"&gt;="&amp;(TODAY()-29),'Activity Log'!$A$5:$A$3004,"&lt;="&amp;TODAY()),"")</f>
        <v/>
      </c>
    </row>
    <row r="300" customFormat="false" ht="15" hidden="false" customHeight="false" outlineLevel="0" collapsed="false">
      <c r="A300" s="42"/>
      <c r="B300" s="42"/>
      <c r="C300" s="43" t="str">
        <f aca="false">IF(AND($A300&lt;&gt;"",$B300&lt;&gt;""),COUNTIFS('Leads Pipeline'!$D$5:$D$1004,$A300,'Leads Pipeline'!$E$5:$E$1004,$B300,'Leads Pipeline'!$F$5:$F$1004,"&lt;&gt;"),"")</f>
        <v/>
      </c>
      <c r="D300" s="43" t="str">
        <f aca="false">IF(AND($A300&lt;&gt;"",$B300&lt;&gt;""),COUNTIFS('Leads Pipeline'!$D$5:$D$1004,$A300,'Leads Pipeline'!$E$5:$E$1004,$B300,'Leads Pipeline'!$F$5:$F$1004,"&lt;&gt;",'Leads Pipeline'!$O$5:$O$1004,"&lt;&gt;Won",'Leads Pipeline'!$O$5:$O$1004,"&lt;&gt;Lost"),"")</f>
        <v/>
      </c>
      <c r="E300" s="43" t="str">
        <f aca="false">IF(AND($A300&lt;&gt;"",$B300&lt;&gt;""),COUNTIFS('Leads Pipeline'!$D$5:$D$1004,$A300,'Leads Pipeline'!$E$5:$E$1004,$B300,'Leads Pipeline'!$P$5:$P$1004,"Hot",'Leads Pipeline'!$O$5:$O$1004,"&lt;&gt;Won",'Leads Pipeline'!$O$5:$O$1004,"&lt;&gt;Lost"),"")</f>
        <v/>
      </c>
      <c r="F300" s="43" t="str">
        <f aca="false">IF(AND($A300&lt;&gt;"",$B300&lt;&gt;""),COUNTIFS('Leads Pipeline'!$D$5:$D$1004,$A300,'Leads Pipeline'!$E$5:$E$1004,$B300,'Leads Pipeline'!$O$5:$O$1004,"Won"),"")</f>
        <v/>
      </c>
      <c r="G300" s="44" t="str">
        <f aca="false">IF(AND($A300&lt;&gt;"",$B300&lt;&gt;""),SUMIFS('Leads Pipeline'!$U$5:$U$1004,'Leads Pipeline'!$D$5:$D$1004,$A300,'Leads Pipeline'!$E$5:$E$1004,$B300,'Leads Pipeline'!$O$5:$O$1004,"&lt;&gt;Won",'Leads Pipeline'!$O$5:$O$1004,"&lt;&gt;Lost"),"")</f>
        <v/>
      </c>
      <c r="H300" s="43" t="str">
        <f aca="false">IF(AND($A300&lt;&gt;"",$B300&lt;&gt;""),COUNTIFS('Active Clients'!$B$5:$B$504,$A300,'Active Clients'!$C$5:$C$504,$B300,'Active Clients'!$T$5:$T$504,"Active"),"")</f>
        <v/>
      </c>
      <c r="I300" s="44" t="str">
        <f aca="false">IF(AND($A300&lt;&gt;"",$B300&lt;&gt;""),SUMIFS('Active Clients'!$R$5:$R$504,'Active Clients'!$B$5:$B$504,$A300,'Active Clients'!$C$5:$C$504,$B300),"")</f>
        <v/>
      </c>
      <c r="J300" s="43" t="str">
        <f aca="true">IF(AND($A300&lt;&gt;"",$B300&lt;&gt;""),COUNTIFS('Activity Log'!$E$5:$E$3004,$A300,'Activity Log'!$F$5:$F$3004,$B300,'Activity Log'!$A$5:$A$3004,"&gt;="&amp;(TODAY()-29),'Activity Log'!$A$5:$A$3004,"&lt;="&amp;TODAY()),"")</f>
        <v/>
      </c>
    </row>
    <row r="301" customFormat="false" ht="15" hidden="false" customHeight="false" outlineLevel="0" collapsed="false">
      <c r="A301" s="42"/>
      <c r="B301" s="42"/>
      <c r="C301" s="43" t="str">
        <f aca="false">IF(AND($A301&lt;&gt;"",$B301&lt;&gt;""),COUNTIFS('Leads Pipeline'!$D$5:$D$1004,$A301,'Leads Pipeline'!$E$5:$E$1004,$B301,'Leads Pipeline'!$F$5:$F$1004,"&lt;&gt;"),"")</f>
        <v/>
      </c>
      <c r="D301" s="43" t="str">
        <f aca="false">IF(AND($A301&lt;&gt;"",$B301&lt;&gt;""),COUNTIFS('Leads Pipeline'!$D$5:$D$1004,$A301,'Leads Pipeline'!$E$5:$E$1004,$B301,'Leads Pipeline'!$F$5:$F$1004,"&lt;&gt;",'Leads Pipeline'!$O$5:$O$1004,"&lt;&gt;Won",'Leads Pipeline'!$O$5:$O$1004,"&lt;&gt;Lost"),"")</f>
        <v/>
      </c>
      <c r="E301" s="43" t="str">
        <f aca="false">IF(AND($A301&lt;&gt;"",$B301&lt;&gt;""),COUNTIFS('Leads Pipeline'!$D$5:$D$1004,$A301,'Leads Pipeline'!$E$5:$E$1004,$B301,'Leads Pipeline'!$P$5:$P$1004,"Hot",'Leads Pipeline'!$O$5:$O$1004,"&lt;&gt;Won",'Leads Pipeline'!$O$5:$O$1004,"&lt;&gt;Lost"),"")</f>
        <v/>
      </c>
      <c r="F301" s="43" t="str">
        <f aca="false">IF(AND($A301&lt;&gt;"",$B301&lt;&gt;""),COUNTIFS('Leads Pipeline'!$D$5:$D$1004,$A301,'Leads Pipeline'!$E$5:$E$1004,$B301,'Leads Pipeline'!$O$5:$O$1004,"Won"),"")</f>
        <v/>
      </c>
      <c r="G301" s="44" t="str">
        <f aca="false">IF(AND($A301&lt;&gt;"",$B301&lt;&gt;""),SUMIFS('Leads Pipeline'!$U$5:$U$1004,'Leads Pipeline'!$D$5:$D$1004,$A301,'Leads Pipeline'!$E$5:$E$1004,$B301,'Leads Pipeline'!$O$5:$O$1004,"&lt;&gt;Won",'Leads Pipeline'!$O$5:$O$1004,"&lt;&gt;Lost"),"")</f>
        <v/>
      </c>
      <c r="H301" s="43" t="str">
        <f aca="false">IF(AND($A301&lt;&gt;"",$B301&lt;&gt;""),COUNTIFS('Active Clients'!$B$5:$B$504,$A301,'Active Clients'!$C$5:$C$504,$B301,'Active Clients'!$T$5:$T$504,"Active"),"")</f>
        <v/>
      </c>
      <c r="I301" s="44" t="str">
        <f aca="false">IF(AND($A301&lt;&gt;"",$B301&lt;&gt;""),SUMIFS('Active Clients'!$R$5:$R$504,'Active Clients'!$B$5:$B$504,$A301,'Active Clients'!$C$5:$C$504,$B301),"")</f>
        <v/>
      </c>
      <c r="J301" s="43" t="str">
        <f aca="true">IF(AND($A301&lt;&gt;"",$B301&lt;&gt;""),COUNTIFS('Activity Log'!$E$5:$E$3004,$A301,'Activity Log'!$F$5:$F$3004,$B301,'Activity Log'!$A$5:$A$3004,"&gt;="&amp;(TODAY()-29),'Activity Log'!$A$5:$A$3004,"&lt;="&amp;TODAY()),"")</f>
        <v/>
      </c>
    </row>
    <row r="302" customFormat="false" ht="15" hidden="false" customHeight="false" outlineLevel="0" collapsed="false">
      <c r="A302" s="42"/>
      <c r="B302" s="42"/>
      <c r="C302" s="43" t="str">
        <f aca="false">IF(AND($A302&lt;&gt;"",$B302&lt;&gt;""),COUNTIFS('Leads Pipeline'!$D$5:$D$1004,$A302,'Leads Pipeline'!$E$5:$E$1004,$B302,'Leads Pipeline'!$F$5:$F$1004,"&lt;&gt;"),"")</f>
        <v/>
      </c>
      <c r="D302" s="43" t="str">
        <f aca="false">IF(AND($A302&lt;&gt;"",$B302&lt;&gt;""),COUNTIFS('Leads Pipeline'!$D$5:$D$1004,$A302,'Leads Pipeline'!$E$5:$E$1004,$B302,'Leads Pipeline'!$F$5:$F$1004,"&lt;&gt;",'Leads Pipeline'!$O$5:$O$1004,"&lt;&gt;Won",'Leads Pipeline'!$O$5:$O$1004,"&lt;&gt;Lost"),"")</f>
        <v/>
      </c>
      <c r="E302" s="43" t="str">
        <f aca="false">IF(AND($A302&lt;&gt;"",$B302&lt;&gt;""),COUNTIFS('Leads Pipeline'!$D$5:$D$1004,$A302,'Leads Pipeline'!$E$5:$E$1004,$B302,'Leads Pipeline'!$P$5:$P$1004,"Hot",'Leads Pipeline'!$O$5:$O$1004,"&lt;&gt;Won",'Leads Pipeline'!$O$5:$O$1004,"&lt;&gt;Lost"),"")</f>
        <v/>
      </c>
      <c r="F302" s="43" t="str">
        <f aca="false">IF(AND($A302&lt;&gt;"",$B302&lt;&gt;""),COUNTIFS('Leads Pipeline'!$D$5:$D$1004,$A302,'Leads Pipeline'!$E$5:$E$1004,$B302,'Leads Pipeline'!$O$5:$O$1004,"Won"),"")</f>
        <v/>
      </c>
      <c r="G302" s="44" t="str">
        <f aca="false">IF(AND($A302&lt;&gt;"",$B302&lt;&gt;""),SUMIFS('Leads Pipeline'!$U$5:$U$1004,'Leads Pipeline'!$D$5:$D$1004,$A302,'Leads Pipeline'!$E$5:$E$1004,$B302,'Leads Pipeline'!$O$5:$O$1004,"&lt;&gt;Won",'Leads Pipeline'!$O$5:$O$1004,"&lt;&gt;Lost"),"")</f>
        <v/>
      </c>
      <c r="H302" s="43" t="str">
        <f aca="false">IF(AND($A302&lt;&gt;"",$B302&lt;&gt;""),COUNTIFS('Active Clients'!$B$5:$B$504,$A302,'Active Clients'!$C$5:$C$504,$B302,'Active Clients'!$T$5:$T$504,"Active"),"")</f>
        <v/>
      </c>
      <c r="I302" s="44" t="str">
        <f aca="false">IF(AND($A302&lt;&gt;"",$B302&lt;&gt;""),SUMIFS('Active Clients'!$R$5:$R$504,'Active Clients'!$B$5:$B$504,$A302,'Active Clients'!$C$5:$C$504,$B302),"")</f>
        <v/>
      </c>
      <c r="J302" s="43" t="str">
        <f aca="true">IF(AND($A302&lt;&gt;"",$B302&lt;&gt;""),COUNTIFS('Activity Log'!$E$5:$E$3004,$A302,'Activity Log'!$F$5:$F$3004,$B302,'Activity Log'!$A$5:$A$3004,"&gt;="&amp;(TODAY()-29),'Activity Log'!$A$5:$A$3004,"&lt;="&amp;TODAY()),"")</f>
        <v/>
      </c>
    </row>
    <row r="303" customFormat="false" ht="15" hidden="false" customHeight="false" outlineLevel="0" collapsed="false">
      <c r="A303" s="42"/>
      <c r="B303" s="42"/>
      <c r="C303" s="43" t="str">
        <f aca="false">IF(AND($A303&lt;&gt;"",$B303&lt;&gt;""),COUNTIFS('Leads Pipeline'!$D$5:$D$1004,$A303,'Leads Pipeline'!$E$5:$E$1004,$B303,'Leads Pipeline'!$F$5:$F$1004,"&lt;&gt;"),"")</f>
        <v/>
      </c>
      <c r="D303" s="43" t="str">
        <f aca="false">IF(AND($A303&lt;&gt;"",$B303&lt;&gt;""),COUNTIFS('Leads Pipeline'!$D$5:$D$1004,$A303,'Leads Pipeline'!$E$5:$E$1004,$B303,'Leads Pipeline'!$F$5:$F$1004,"&lt;&gt;",'Leads Pipeline'!$O$5:$O$1004,"&lt;&gt;Won",'Leads Pipeline'!$O$5:$O$1004,"&lt;&gt;Lost"),"")</f>
        <v/>
      </c>
      <c r="E303" s="43" t="str">
        <f aca="false">IF(AND($A303&lt;&gt;"",$B303&lt;&gt;""),COUNTIFS('Leads Pipeline'!$D$5:$D$1004,$A303,'Leads Pipeline'!$E$5:$E$1004,$B303,'Leads Pipeline'!$P$5:$P$1004,"Hot",'Leads Pipeline'!$O$5:$O$1004,"&lt;&gt;Won",'Leads Pipeline'!$O$5:$O$1004,"&lt;&gt;Lost"),"")</f>
        <v/>
      </c>
      <c r="F303" s="43" t="str">
        <f aca="false">IF(AND($A303&lt;&gt;"",$B303&lt;&gt;""),COUNTIFS('Leads Pipeline'!$D$5:$D$1004,$A303,'Leads Pipeline'!$E$5:$E$1004,$B303,'Leads Pipeline'!$O$5:$O$1004,"Won"),"")</f>
        <v/>
      </c>
      <c r="G303" s="44" t="str">
        <f aca="false">IF(AND($A303&lt;&gt;"",$B303&lt;&gt;""),SUMIFS('Leads Pipeline'!$U$5:$U$1004,'Leads Pipeline'!$D$5:$D$1004,$A303,'Leads Pipeline'!$E$5:$E$1004,$B303,'Leads Pipeline'!$O$5:$O$1004,"&lt;&gt;Won",'Leads Pipeline'!$O$5:$O$1004,"&lt;&gt;Lost"),"")</f>
        <v/>
      </c>
      <c r="H303" s="43" t="str">
        <f aca="false">IF(AND($A303&lt;&gt;"",$B303&lt;&gt;""),COUNTIFS('Active Clients'!$B$5:$B$504,$A303,'Active Clients'!$C$5:$C$504,$B303,'Active Clients'!$T$5:$T$504,"Active"),"")</f>
        <v/>
      </c>
      <c r="I303" s="44" t="str">
        <f aca="false">IF(AND($A303&lt;&gt;"",$B303&lt;&gt;""),SUMIFS('Active Clients'!$R$5:$R$504,'Active Clients'!$B$5:$B$504,$A303,'Active Clients'!$C$5:$C$504,$B303),"")</f>
        <v/>
      </c>
      <c r="J303" s="43" t="str">
        <f aca="true">IF(AND($A303&lt;&gt;"",$B303&lt;&gt;""),COUNTIFS('Activity Log'!$E$5:$E$3004,$A303,'Activity Log'!$F$5:$F$3004,$B303,'Activity Log'!$A$5:$A$3004,"&gt;="&amp;(TODAY()-29),'Activity Log'!$A$5:$A$3004,"&lt;="&amp;TODAY()),"")</f>
        <v/>
      </c>
    </row>
    <row r="304" customFormat="false" ht="15" hidden="false" customHeight="false" outlineLevel="0" collapsed="false">
      <c r="A304" s="42"/>
      <c r="B304" s="42"/>
      <c r="C304" s="43" t="str">
        <f aca="false">IF(AND($A304&lt;&gt;"",$B304&lt;&gt;""),COUNTIFS('Leads Pipeline'!$D$5:$D$1004,$A304,'Leads Pipeline'!$E$5:$E$1004,$B304,'Leads Pipeline'!$F$5:$F$1004,"&lt;&gt;"),"")</f>
        <v/>
      </c>
      <c r="D304" s="43" t="str">
        <f aca="false">IF(AND($A304&lt;&gt;"",$B304&lt;&gt;""),COUNTIFS('Leads Pipeline'!$D$5:$D$1004,$A304,'Leads Pipeline'!$E$5:$E$1004,$B304,'Leads Pipeline'!$F$5:$F$1004,"&lt;&gt;",'Leads Pipeline'!$O$5:$O$1004,"&lt;&gt;Won",'Leads Pipeline'!$O$5:$O$1004,"&lt;&gt;Lost"),"")</f>
        <v/>
      </c>
      <c r="E304" s="43" t="str">
        <f aca="false">IF(AND($A304&lt;&gt;"",$B304&lt;&gt;""),COUNTIFS('Leads Pipeline'!$D$5:$D$1004,$A304,'Leads Pipeline'!$E$5:$E$1004,$B304,'Leads Pipeline'!$P$5:$P$1004,"Hot",'Leads Pipeline'!$O$5:$O$1004,"&lt;&gt;Won",'Leads Pipeline'!$O$5:$O$1004,"&lt;&gt;Lost"),"")</f>
        <v/>
      </c>
      <c r="F304" s="43" t="str">
        <f aca="false">IF(AND($A304&lt;&gt;"",$B304&lt;&gt;""),COUNTIFS('Leads Pipeline'!$D$5:$D$1004,$A304,'Leads Pipeline'!$E$5:$E$1004,$B304,'Leads Pipeline'!$O$5:$O$1004,"Won"),"")</f>
        <v/>
      </c>
      <c r="G304" s="44" t="str">
        <f aca="false">IF(AND($A304&lt;&gt;"",$B304&lt;&gt;""),SUMIFS('Leads Pipeline'!$U$5:$U$1004,'Leads Pipeline'!$D$5:$D$1004,$A304,'Leads Pipeline'!$E$5:$E$1004,$B304,'Leads Pipeline'!$O$5:$O$1004,"&lt;&gt;Won",'Leads Pipeline'!$O$5:$O$1004,"&lt;&gt;Lost"),"")</f>
        <v/>
      </c>
      <c r="H304" s="43" t="str">
        <f aca="false">IF(AND($A304&lt;&gt;"",$B304&lt;&gt;""),COUNTIFS('Active Clients'!$B$5:$B$504,$A304,'Active Clients'!$C$5:$C$504,$B304,'Active Clients'!$T$5:$T$504,"Active"),"")</f>
        <v/>
      </c>
      <c r="I304" s="44" t="str">
        <f aca="false">IF(AND($A304&lt;&gt;"",$B304&lt;&gt;""),SUMIFS('Active Clients'!$R$5:$R$504,'Active Clients'!$B$5:$B$504,$A304,'Active Clients'!$C$5:$C$504,$B304),"")</f>
        <v/>
      </c>
      <c r="J304" s="43" t="str">
        <f aca="true">IF(AND($A304&lt;&gt;"",$B304&lt;&gt;""),COUNTIFS('Activity Log'!$E$5:$E$3004,$A304,'Activity Log'!$F$5:$F$3004,$B304,'Activity Log'!$A$5:$A$3004,"&gt;="&amp;(TODAY()-29),'Activity Log'!$A$5:$A$3004,"&lt;="&amp;TODAY()),"")</f>
        <v/>
      </c>
    </row>
  </sheetData>
  <autoFilter ref="A4:J304"/>
  <conditionalFormatting sqref="C5:C304">
    <cfRule type="expression" priority="2" aboveAverage="0" equalAverage="0" bottom="0" percent="0" rank="0" text="" dxfId="8">
      <formula>AND(ISNUMBER(C5),C5&gt;0)</formula>
    </cfRule>
  </conditionalFormatting>
  <dataValidations count="1">
    <dataValidation allowBlank="true" errorStyle="stop" operator="between" showDropDown="false" showErrorMessage="false" showInputMessage="false" sqref="A5:A304" type="list">
      <formula1>Lists!$B$5:$B$34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X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15"/>
    <col collapsed="false" customWidth="true" hidden="false" outlineLevel="0" max="6" min="6" style="0" width="28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17"/>
    <col collapsed="false" customWidth="true" hidden="false" outlineLevel="0" max="11" min="11" style="0" width="24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24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26"/>
    <col collapsed="false" customWidth="true" hidden="false" outlineLevel="0" max="20" min="19" style="0" width="13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false" outlineLevel="0" max="23" min="23" style="0" width="11"/>
    <col collapsed="false" customWidth="true" hidden="false" outlineLevel="0" max="24" min="24" style="0" width="14"/>
  </cols>
  <sheetData>
    <row r="1" customFormat="false" ht="17.35" hidden="false" customHeight="false" outlineLevel="0" collapsed="false">
      <c r="A1" s="30" t="s">
        <v>204</v>
      </c>
    </row>
    <row r="2" customFormat="false" ht="15" hidden="false" customHeight="false" outlineLevel="0" collapsed="false">
      <c r="A2" s="2" t="s">
        <v>205</v>
      </c>
    </row>
    <row r="4" customFormat="false" ht="31.5" hidden="false" customHeight="true" outlineLevel="0" collapsed="false">
      <c r="A4" s="41" t="s">
        <v>206</v>
      </c>
      <c r="B4" s="41" t="s">
        <v>207</v>
      </c>
      <c r="C4" s="41" t="s">
        <v>208</v>
      </c>
      <c r="D4" s="41" t="s">
        <v>35</v>
      </c>
      <c r="E4" s="41" t="s">
        <v>159</v>
      </c>
      <c r="F4" s="41" t="s">
        <v>209</v>
      </c>
      <c r="G4" s="41" t="s">
        <v>210</v>
      </c>
      <c r="H4" s="41" t="s">
        <v>211</v>
      </c>
      <c r="I4" s="41" t="s">
        <v>212</v>
      </c>
      <c r="J4" s="41" t="s">
        <v>213</v>
      </c>
      <c r="K4" s="41" t="s">
        <v>111</v>
      </c>
      <c r="L4" s="41" t="s">
        <v>101</v>
      </c>
      <c r="M4" s="41" t="s">
        <v>214</v>
      </c>
      <c r="N4" s="41" t="s">
        <v>215</v>
      </c>
      <c r="O4" s="41" t="s">
        <v>30</v>
      </c>
      <c r="P4" s="41" t="s">
        <v>78</v>
      </c>
      <c r="Q4" s="41" t="s">
        <v>216</v>
      </c>
      <c r="R4" s="41" t="s">
        <v>217</v>
      </c>
      <c r="S4" s="41" t="s">
        <v>218</v>
      </c>
      <c r="T4" s="41" t="s">
        <v>219</v>
      </c>
      <c r="U4" s="41" t="s">
        <v>220</v>
      </c>
      <c r="V4" s="41" t="s">
        <v>221</v>
      </c>
      <c r="W4" s="41" t="s">
        <v>222</v>
      </c>
      <c r="X4" s="41" t="s">
        <v>223</v>
      </c>
    </row>
    <row r="5" customFormat="false" ht="15" hidden="false" customHeight="false" outlineLevel="0" collapsed="false">
      <c r="A5" s="45" t="s">
        <v>224</v>
      </c>
      <c r="B5" s="46" t="n">
        <v>46293</v>
      </c>
      <c r="C5" s="45" t="s">
        <v>85</v>
      </c>
      <c r="D5" s="45" t="s">
        <v>96</v>
      </c>
      <c r="E5" s="45" t="s">
        <v>172</v>
      </c>
      <c r="F5" s="45" t="s">
        <v>225</v>
      </c>
      <c r="G5" s="45" t="s">
        <v>87</v>
      </c>
      <c r="H5" s="45" t="s">
        <v>226</v>
      </c>
      <c r="I5" s="45" t="s">
        <v>227</v>
      </c>
      <c r="J5" s="45" t="s">
        <v>228</v>
      </c>
      <c r="K5" s="45" t="s">
        <v>229</v>
      </c>
      <c r="L5" s="45" t="s">
        <v>228</v>
      </c>
      <c r="M5" s="45" t="s">
        <v>100</v>
      </c>
      <c r="N5" s="45" t="s">
        <v>230</v>
      </c>
      <c r="O5" s="45" t="s">
        <v>117</v>
      </c>
      <c r="P5" s="45" t="s">
        <v>89</v>
      </c>
      <c r="Q5" s="46" t="n">
        <v>46296</v>
      </c>
      <c r="R5" s="45" t="s">
        <v>231</v>
      </c>
      <c r="S5" s="46" t="n">
        <v>46301</v>
      </c>
      <c r="T5" s="47" t="n">
        <v>5000</v>
      </c>
      <c r="U5" s="48" t="n">
        <v>25000</v>
      </c>
      <c r="V5" s="49" t="s">
        <v>232</v>
      </c>
      <c r="W5" s="50" t="n">
        <f aca="true">IF(Q5="","",TODAY()-Q5)</f>
        <v>1</v>
      </c>
      <c r="X5" s="51" t="str">
        <f aca="true">IF(F5="","",IF(OR(O5="Won",O5="Lost"),"Closed",IF(S5="","No date set",IF(S5&lt;TODAY(),"Overdue",IF(S5=TODAY(),"Due today","Upcoming")))))</f>
        <v>Upcoming</v>
      </c>
    </row>
    <row r="6" customFormat="false" ht="15" hidden="false" customHeight="false" outlineLevel="0" collapsed="false">
      <c r="A6" s="16" t="s">
        <v>233</v>
      </c>
      <c r="B6" s="18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8"/>
      <c r="R6" s="16"/>
      <c r="S6" s="18"/>
      <c r="T6" s="24"/>
      <c r="U6" s="23"/>
      <c r="V6" s="52"/>
      <c r="W6" s="50" t="str">
        <f aca="true">IF(Q6="","",TODAY()-Q6)</f>
        <v/>
      </c>
      <c r="X6" s="51" t="str">
        <f aca="true">IF(F6="","",IF(OR(O6="Won",O6="Lost"),"Closed",IF(S6="","No date set",IF(S6&lt;TODAY(),"Overdue",IF(S6=TODAY(),"Due today","Upcoming")))))</f>
        <v/>
      </c>
    </row>
    <row r="7" customFormat="false" ht="15" hidden="false" customHeight="false" outlineLevel="0" collapsed="false">
      <c r="A7" s="16" t="s">
        <v>234</v>
      </c>
      <c r="B7" s="18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8"/>
      <c r="R7" s="16"/>
      <c r="S7" s="18"/>
      <c r="T7" s="24"/>
      <c r="U7" s="23"/>
      <c r="V7" s="52"/>
      <c r="W7" s="50" t="str">
        <f aca="true">IF(Q7="","",TODAY()-Q7)</f>
        <v/>
      </c>
      <c r="X7" s="51" t="str">
        <f aca="true">IF(F7="","",IF(OR(O7="Won",O7="Lost"),"Closed",IF(S7="","No date set",IF(S7&lt;TODAY(),"Overdue",IF(S7=TODAY(),"Due today","Upcoming")))))</f>
        <v/>
      </c>
    </row>
    <row r="8" customFormat="false" ht="15" hidden="false" customHeight="false" outlineLevel="0" collapsed="false">
      <c r="A8" s="16" t="s">
        <v>235</v>
      </c>
      <c r="B8" s="18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8"/>
      <c r="R8" s="16"/>
      <c r="S8" s="18"/>
      <c r="T8" s="24"/>
      <c r="U8" s="23"/>
      <c r="V8" s="52"/>
      <c r="W8" s="50" t="str">
        <f aca="true">IF(Q8="","",TODAY()-Q8)</f>
        <v/>
      </c>
      <c r="X8" s="51" t="str">
        <f aca="true">IF(F8="","",IF(OR(O8="Won",O8="Lost"),"Closed",IF(S8="","No date set",IF(S8&lt;TODAY(),"Overdue",IF(S8=TODAY(),"Due today","Upcoming")))))</f>
        <v/>
      </c>
    </row>
    <row r="9" customFormat="false" ht="15" hidden="false" customHeight="false" outlineLevel="0" collapsed="false">
      <c r="A9" s="16" t="s">
        <v>236</v>
      </c>
      <c r="B9" s="18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8"/>
      <c r="R9" s="16"/>
      <c r="S9" s="18"/>
      <c r="T9" s="24"/>
      <c r="U9" s="23"/>
      <c r="V9" s="52"/>
      <c r="W9" s="50" t="str">
        <f aca="true">IF(Q9="","",TODAY()-Q9)</f>
        <v/>
      </c>
      <c r="X9" s="51" t="str">
        <f aca="true">IF(F9="","",IF(OR(O9="Won",O9="Lost"),"Closed",IF(S9="","No date set",IF(S9&lt;TODAY(),"Overdue",IF(S9=TODAY(),"Due today","Upcoming")))))</f>
        <v/>
      </c>
    </row>
    <row r="10" customFormat="false" ht="15" hidden="false" customHeight="false" outlineLevel="0" collapsed="false">
      <c r="A10" s="16" t="s">
        <v>237</v>
      </c>
      <c r="B10" s="18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8"/>
      <c r="R10" s="16"/>
      <c r="S10" s="18"/>
      <c r="T10" s="24"/>
      <c r="U10" s="23"/>
      <c r="V10" s="52"/>
      <c r="W10" s="50" t="str">
        <f aca="true">IF(Q10="","",TODAY()-Q10)</f>
        <v/>
      </c>
      <c r="X10" s="51" t="str">
        <f aca="true">IF(F10="","",IF(OR(O10="Won",O10="Lost"),"Closed",IF(S10="","No date set",IF(S10&lt;TODAY(),"Overdue",IF(S10=TODAY(),"Due today","Upcoming")))))</f>
        <v/>
      </c>
    </row>
    <row r="11" customFormat="false" ht="15" hidden="false" customHeight="false" outlineLevel="0" collapsed="false">
      <c r="A11" s="16" t="s">
        <v>238</v>
      </c>
      <c r="B11" s="18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8"/>
      <c r="R11" s="16"/>
      <c r="S11" s="18"/>
      <c r="T11" s="24"/>
      <c r="U11" s="23"/>
      <c r="V11" s="52"/>
      <c r="W11" s="50" t="str">
        <f aca="true">IF(Q11="","",TODAY()-Q11)</f>
        <v/>
      </c>
      <c r="X11" s="51" t="str">
        <f aca="true">IF(F11="","",IF(OR(O11="Won",O11="Lost"),"Closed",IF(S11="","No date set",IF(S11&lt;TODAY(),"Overdue",IF(S11=TODAY(),"Due today","Upcoming")))))</f>
        <v/>
      </c>
    </row>
    <row r="12" customFormat="false" ht="15" hidden="false" customHeight="false" outlineLevel="0" collapsed="false">
      <c r="A12" s="16" t="s">
        <v>239</v>
      </c>
      <c r="B12" s="18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8"/>
      <c r="R12" s="16"/>
      <c r="S12" s="18"/>
      <c r="T12" s="24"/>
      <c r="U12" s="23"/>
      <c r="V12" s="52"/>
      <c r="W12" s="50" t="str">
        <f aca="true">IF(Q12="","",TODAY()-Q12)</f>
        <v/>
      </c>
      <c r="X12" s="51" t="str">
        <f aca="true">IF(F12="","",IF(OR(O12="Won",O12="Lost"),"Closed",IF(S12="","No date set",IF(S12&lt;TODAY(),"Overdue",IF(S12=TODAY(),"Due today","Upcoming")))))</f>
        <v/>
      </c>
    </row>
    <row r="13" customFormat="false" ht="15" hidden="false" customHeight="false" outlineLevel="0" collapsed="false">
      <c r="A13" s="16" t="s">
        <v>240</v>
      </c>
      <c r="B13" s="18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8"/>
      <c r="R13" s="16"/>
      <c r="S13" s="18"/>
      <c r="T13" s="24"/>
      <c r="U13" s="23"/>
      <c r="V13" s="52"/>
      <c r="W13" s="50" t="str">
        <f aca="true">IF(Q13="","",TODAY()-Q13)</f>
        <v/>
      </c>
      <c r="X13" s="51" t="str">
        <f aca="true">IF(F13="","",IF(OR(O13="Won",O13="Lost"),"Closed",IF(S13="","No date set",IF(S13&lt;TODAY(),"Overdue",IF(S13=TODAY(),"Due today","Upcoming")))))</f>
        <v/>
      </c>
    </row>
    <row r="14" customFormat="false" ht="15" hidden="false" customHeight="false" outlineLevel="0" collapsed="false">
      <c r="A14" s="16" t="s">
        <v>241</v>
      </c>
      <c r="B14" s="18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8"/>
      <c r="R14" s="16"/>
      <c r="S14" s="18"/>
      <c r="T14" s="24"/>
      <c r="U14" s="23"/>
      <c r="V14" s="52"/>
      <c r="W14" s="50" t="str">
        <f aca="true">IF(Q14="","",TODAY()-Q14)</f>
        <v/>
      </c>
      <c r="X14" s="51" t="str">
        <f aca="true">IF(F14="","",IF(OR(O14="Won",O14="Lost"),"Closed",IF(S14="","No date set",IF(S14&lt;TODAY(),"Overdue",IF(S14=TODAY(),"Due today","Upcoming")))))</f>
        <v/>
      </c>
    </row>
    <row r="15" customFormat="false" ht="15" hidden="false" customHeight="false" outlineLevel="0" collapsed="false">
      <c r="A15" s="16" t="s">
        <v>242</v>
      </c>
      <c r="B15" s="1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8"/>
      <c r="R15" s="16"/>
      <c r="S15" s="18"/>
      <c r="T15" s="24"/>
      <c r="U15" s="23"/>
      <c r="V15" s="52"/>
      <c r="W15" s="50" t="str">
        <f aca="true">IF(Q15="","",TODAY()-Q15)</f>
        <v/>
      </c>
      <c r="X15" s="51" t="str">
        <f aca="true">IF(F15="","",IF(OR(O15="Won",O15="Lost"),"Closed",IF(S15="","No date set",IF(S15&lt;TODAY(),"Overdue",IF(S15=TODAY(),"Due today","Upcoming")))))</f>
        <v/>
      </c>
    </row>
    <row r="16" customFormat="false" ht="15" hidden="false" customHeight="false" outlineLevel="0" collapsed="false">
      <c r="A16" s="16" t="s">
        <v>243</v>
      </c>
      <c r="B16" s="18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8"/>
      <c r="R16" s="16"/>
      <c r="S16" s="18"/>
      <c r="T16" s="24"/>
      <c r="U16" s="23"/>
      <c r="V16" s="52"/>
      <c r="W16" s="50" t="str">
        <f aca="true">IF(Q16="","",TODAY()-Q16)</f>
        <v/>
      </c>
      <c r="X16" s="51" t="str">
        <f aca="true">IF(F16="","",IF(OR(O16="Won",O16="Lost"),"Closed",IF(S16="","No date set",IF(S16&lt;TODAY(),"Overdue",IF(S16=TODAY(),"Due today","Upcoming")))))</f>
        <v/>
      </c>
    </row>
    <row r="17" customFormat="false" ht="15" hidden="false" customHeight="false" outlineLevel="0" collapsed="false">
      <c r="A17" s="16" t="s">
        <v>244</v>
      </c>
      <c r="B17" s="18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8"/>
      <c r="R17" s="16"/>
      <c r="S17" s="18"/>
      <c r="T17" s="24"/>
      <c r="U17" s="23"/>
      <c r="V17" s="52"/>
      <c r="W17" s="50" t="str">
        <f aca="true">IF(Q17="","",TODAY()-Q17)</f>
        <v/>
      </c>
      <c r="X17" s="51" t="str">
        <f aca="true">IF(F17="","",IF(OR(O17="Won",O17="Lost"),"Closed",IF(S17="","No date set",IF(S17&lt;TODAY(),"Overdue",IF(S17=TODAY(),"Due today","Upcoming")))))</f>
        <v/>
      </c>
    </row>
    <row r="18" customFormat="false" ht="15" hidden="false" customHeight="false" outlineLevel="0" collapsed="false">
      <c r="A18" s="16" t="s">
        <v>245</v>
      </c>
      <c r="B18" s="18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8"/>
      <c r="R18" s="16"/>
      <c r="S18" s="18"/>
      <c r="T18" s="24"/>
      <c r="U18" s="23"/>
      <c r="V18" s="52"/>
      <c r="W18" s="50" t="str">
        <f aca="true">IF(Q18="","",TODAY()-Q18)</f>
        <v/>
      </c>
      <c r="X18" s="51" t="str">
        <f aca="true">IF(F18="","",IF(OR(O18="Won",O18="Lost"),"Closed",IF(S18="","No date set",IF(S18&lt;TODAY(),"Overdue",IF(S18=TODAY(),"Due today","Upcoming")))))</f>
        <v/>
      </c>
    </row>
    <row r="19" customFormat="false" ht="15" hidden="false" customHeight="false" outlineLevel="0" collapsed="false">
      <c r="A19" s="16" t="s">
        <v>246</v>
      </c>
      <c r="B19" s="18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8"/>
      <c r="R19" s="16"/>
      <c r="S19" s="18"/>
      <c r="T19" s="24"/>
      <c r="U19" s="23"/>
      <c r="V19" s="52"/>
      <c r="W19" s="50" t="str">
        <f aca="true">IF(Q19="","",TODAY()-Q19)</f>
        <v/>
      </c>
      <c r="X19" s="51" t="str">
        <f aca="true">IF(F19="","",IF(OR(O19="Won",O19="Lost"),"Closed",IF(S19="","No date set",IF(S19&lt;TODAY(),"Overdue",IF(S19=TODAY(),"Due today","Upcoming")))))</f>
        <v/>
      </c>
    </row>
    <row r="20" customFormat="false" ht="15" hidden="false" customHeight="false" outlineLevel="0" collapsed="false">
      <c r="A20" s="16" t="s">
        <v>247</v>
      </c>
      <c r="B20" s="18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8"/>
      <c r="R20" s="16"/>
      <c r="S20" s="18"/>
      <c r="T20" s="24"/>
      <c r="U20" s="23"/>
      <c r="V20" s="52"/>
      <c r="W20" s="50" t="str">
        <f aca="true">IF(Q20="","",TODAY()-Q20)</f>
        <v/>
      </c>
      <c r="X20" s="51" t="str">
        <f aca="true">IF(F20="","",IF(OR(O20="Won",O20="Lost"),"Closed",IF(S20="","No date set",IF(S20&lt;TODAY(),"Overdue",IF(S20=TODAY(),"Due today","Upcoming")))))</f>
        <v/>
      </c>
    </row>
    <row r="21" customFormat="false" ht="15" hidden="false" customHeight="false" outlineLevel="0" collapsed="false">
      <c r="A21" s="16" t="s">
        <v>248</v>
      </c>
      <c r="B21" s="18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8"/>
      <c r="R21" s="16"/>
      <c r="S21" s="18"/>
      <c r="T21" s="24"/>
      <c r="U21" s="23"/>
      <c r="V21" s="52"/>
      <c r="W21" s="50" t="str">
        <f aca="true">IF(Q21="","",TODAY()-Q21)</f>
        <v/>
      </c>
      <c r="X21" s="51" t="str">
        <f aca="true">IF(F21="","",IF(OR(O21="Won",O21="Lost"),"Closed",IF(S21="","No date set",IF(S21&lt;TODAY(),"Overdue",IF(S21=TODAY(),"Due today","Upcoming")))))</f>
        <v/>
      </c>
    </row>
    <row r="22" customFormat="false" ht="15" hidden="false" customHeight="false" outlineLevel="0" collapsed="false">
      <c r="A22" s="16" t="s">
        <v>249</v>
      </c>
      <c r="B22" s="18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8"/>
      <c r="R22" s="16"/>
      <c r="S22" s="18"/>
      <c r="T22" s="24"/>
      <c r="U22" s="23"/>
      <c r="V22" s="52"/>
      <c r="W22" s="50" t="str">
        <f aca="true">IF(Q22="","",TODAY()-Q22)</f>
        <v/>
      </c>
      <c r="X22" s="51" t="str">
        <f aca="true">IF(F22="","",IF(OR(O22="Won",O22="Lost"),"Closed",IF(S22="","No date set",IF(S22&lt;TODAY(),"Overdue",IF(S22=TODAY(),"Due today","Upcoming")))))</f>
        <v/>
      </c>
    </row>
    <row r="23" customFormat="false" ht="15" hidden="false" customHeight="false" outlineLevel="0" collapsed="false">
      <c r="A23" s="16" t="s">
        <v>250</v>
      </c>
      <c r="B23" s="18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8"/>
      <c r="R23" s="16"/>
      <c r="S23" s="18"/>
      <c r="T23" s="24"/>
      <c r="U23" s="23"/>
      <c r="V23" s="52"/>
      <c r="W23" s="50" t="str">
        <f aca="true">IF(Q23="","",TODAY()-Q23)</f>
        <v/>
      </c>
      <c r="X23" s="51" t="str">
        <f aca="true">IF(F23="","",IF(OR(O23="Won",O23="Lost"),"Closed",IF(S23="","No date set",IF(S23&lt;TODAY(),"Overdue",IF(S23=TODAY(),"Due today","Upcoming")))))</f>
        <v/>
      </c>
    </row>
    <row r="24" customFormat="false" ht="15" hidden="false" customHeight="false" outlineLevel="0" collapsed="false">
      <c r="A24" s="16" t="s">
        <v>251</v>
      </c>
      <c r="B24" s="18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8"/>
      <c r="R24" s="16"/>
      <c r="S24" s="18"/>
      <c r="T24" s="24"/>
      <c r="U24" s="23"/>
      <c r="V24" s="52"/>
      <c r="W24" s="50" t="str">
        <f aca="true">IF(Q24="","",TODAY()-Q24)</f>
        <v/>
      </c>
      <c r="X24" s="51" t="str">
        <f aca="true">IF(F24="","",IF(OR(O24="Won",O24="Lost"),"Closed",IF(S24="","No date set",IF(S24&lt;TODAY(),"Overdue",IF(S24=TODAY(),"Due today","Upcoming")))))</f>
        <v/>
      </c>
    </row>
    <row r="25" customFormat="false" ht="15" hidden="false" customHeight="false" outlineLevel="0" collapsed="false">
      <c r="A25" s="16" t="s">
        <v>252</v>
      </c>
      <c r="B25" s="18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8"/>
      <c r="R25" s="16"/>
      <c r="S25" s="18"/>
      <c r="T25" s="24"/>
      <c r="U25" s="23"/>
      <c r="V25" s="52"/>
      <c r="W25" s="50" t="str">
        <f aca="true">IF(Q25="","",TODAY()-Q25)</f>
        <v/>
      </c>
      <c r="X25" s="51" t="str">
        <f aca="true">IF(F25="","",IF(OR(O25="Won",O25="Lost"),"Closed",IF(S25="","No date set",IF(S25&lt;TODAY(),"Overdue",IF(S25=TODAY(),"Due today","Upcoming")))))</f>
        <v/>
      </c>
    </row>
    <row r="26" customFormat="false" ht="15" hidden="false" customHeight="false" outlineLevel="0" collapsed="false">
      <c r="A26" s="16" t="s">
        <v>253</v>
      </c>
      <c r="B26" s="18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8"/>
      <c r="R26" s="16"/>
      <c r="S26" s="18"/>
      <c r="T26" s="24"/>
      <c r="U26" s="23"/>
      <c r="V26" s="52"/>
      <c r="W26" s="50" t="str">
        <f aca="true">IF(Q26="","",TODAY()-Q26)</f>
        <v/>
      </c>
      <c r="X26" s="51" t="str">
        <f aca="true">IF(F26="","",IF(OR(O26="Won",O26="Lost"),"Closed",IF(S26="","No date set",IF(S26&lt;TODAY(),"Overdue",IF(S26=TODAY(),"Due today","Upcoming")))))</f>
        <v/>
      </c>
    </row>
    <row r="27" customFormat="false" ht="15" hidden="false" customHeight="false" outlineLevel="0" collapsed="false">
      <c r="A27" s="16" t="s">
        <v>254</v>
      </c>
      <c r="B27" s="18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8"/>
      <c r="R27" s="16"/>
      <c r="S27" s="18"/>
      <c r="T27" s="24"/>
      <c r="U27" s="23"/>
      <c r="V27" s="52"/>
      <c r="W27" s="50" t="str">
        <f aca="true">IF(Q27="","",TODAY()-Q27)</f>
        <v/>
      </c>
      <c r="X27" s="51" t="str">
        <f aca="true">IF(F27="","",IF(OR(O27="Won",O27="Lost"),"Closed",IF(S27="","No date set",IF(S27&lt;TODAY(),"Overdue",IF(S27=TODAY(),"Due today","Upcoming")))))</f>
        <v/>
      </c>
    </row>
    <row r="28" customFormat="false" ht="15" hidden="false" customHeight="false" outlineLevel="0" collapsed="false">
      <c r="A28" s="16" t="s">
        <v>255</v>
      </c>
      <c r="B28" s="18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8"/>
      <c r="R28" s="16"/>
      <c r="S28" s="18"/>
      <c r="T28" s="24"/>
      <c r="U28" s="23"/>
      <c r="V28" s="52"/>
      <c r="W28" s="50" t="str">
        <f aca="true">IF(Q28="","",TODAY()-Q28)</f>
        <v/>
      </c>
      <c r="X28" s="51" t="str">
        <f aca="true">IF(F28="","",IF(OR(O28="Won",O28="Lost"),"Closed",IF(S28="","No date set",IF(S28&lt;TODAY(),"Overdue",IF(S28=TODAY(),"Due today","Upcoming")))))</f>
        <v/>
      </c>
    </row>
    <row r="29" customFormat="false" ht="15" hidden="false" customHeight="false" outlineLevel="0" collapsed="false">
      <c r="A29" s="16" t="s">
        <v>256</v>
      </c>
      <c r="B29" s="18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8"/>
      <c r="R29" s="16"/>
      <c r="S29" s="18"/>
      <c r="T29" s="24"/>
      <c r="U29" s="23"/>
      <c r="V29" s="52"/>
      <c r="W29" s="50" t="str">
        <f aca="true">IF(Q29="","",TODAY()-Q29)</f>
        <v/>
      </c>
      <c r="X29" s="51" t="str">
        <f aca="true">IF(F29="","",IF(OR(O29="Won",O29="Lost"),"Closed",IF(S29="","No date set",IF(S29&lt;TODAY(),"Overdue",IF(S29=TODAY(),"Due today","Upcoming")))))</f>
        <v/>
      </c>
    </row>
    <row r="30" customFormat="false" ht="15" hidden="false" customHeight="false" outlineLevel="0" collapsed="false">
      <c r="A30" s="16" t="s">
        <v>257</v>
      </c>
      <c r="B30" s="18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8"/>
      <c r="R30" s="16"/>
      <c r="S30" s="18"/>
      <c r="T30" s="24"/>
      <c r="U30" s="23"/>
      <c r="V30" s="52"/>
      <c r="W30" s="50" t="str">
        <f aca="true">IF(Q30="","",TODAY()-Q30)</f>
        <v/>
      </c>
      <c r="X30" s="51" t="str">
        <f aca="true">IF(F30="","",IF(OR(O30="Won",O30="Lost"),"Closed",IF(S30="","No date set",IF(S30&lt;TODAY(),"Overdue",IF(S30=TODAY(),"Due today","Upcoming")))))</f>
        <v/>
      </c>
    </row>
    <row r="31" customFormat="false" ht="15" hidden="false" customHeight="false" outlineLevel="0" collapsed="false">
      <c r="A31" s="16" t="s">
        <v>258</v>
      </c>
      <c r="B31" s="18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8"/>
      <c r="R31" s="16"/>
      <c r="S31" s="18"/>
      <c r="T31" s="24"/>
      <c r="U31" s="23"/>
      <c r="V31" s="52"/>
      <c r="W31" s="50" t="str">
        <f aca="true">IF(Q31="","",TODAY()-Q31)</f>
        <v/>
      </c>
      <c r="X31" s="51" t="str">
        <f aca="true">IF(F31="","",IF(OR(O31="Won",O31="Lost"),"Closed",IF(S31="","No date set",IF(S31&lt;TODAY(),"Overdue",IF(S31=TODAY(),"Due today","Upcoming")))))</f>
        <v/>
      </c>
    </row>
    <row r="32" customFormat="false" ht="15" hidden="false" customHeight="false" outlineLevel="0" collapsed="false">
      <c r="A32" s="16" t="s">
        <v>259</v>
      </c>
      <c r="B32" s="18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8"/>
      <c r="R32" s="16"/>
      <c r="S32" s="18"/>
      <c r="T32" s="24"/>
      <c r="U32" s="23"/>
      <c r="V32" s="52"/>
      <c r="W32" s="50" t="str">
        <f aca="true">IF(Q32="","",TODAY()-Q32)</f>
        <v/>
      </c>
      <c r="X32" s="51" t="str">
        <f aca="true">IF(F32="","",IF(OR(O32="Won",O32="Lost"),"Closed",IF(S32="","No date set",IF(S32&lt;TODAY(),"Overdue",IF(S32=TODAY(),"Due today","Upcoming")))))</f>
        <v/>
      </c>
    </row>
    <row r="33" customFormat="false" ht="15" hidden="false" customHeight="false" outlineLevel="0" collapsed="false">
      <c r="A33" s="16" t="s">
        <v>260</v>
      </c>
      <c r="B33" s="18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8"/>
      <c r="R33" s="16"/>
      <c r="S33" s="18"/>
      <c r="T33" s="24"/>
      <c r="U33" s="23"/>
      <c r="V33" s="52"/>
      <c r="W33" s="50" t="str">
        <f aca="true">IF(Q33="","",TODAY()-Q33)</f>
        <v/>
      </c>
      <c r="X33" s="51" t="str">
        <f aca="true">IF(F33="","",IF(OR(O33="Won",O33="Lost"),"Closed",IF(S33="","No date set",IF(S33&lt;TODAY(),"Overdue",IF(S33=TODAY(),"Due today","Upcoming")))))</f>
        <v/>
      </c>
    </row>
    <row r="34" customFormat="false" ht="15" hidden="false" customHeight="false" outlineLevel="0" collapsed="false">
      <c r="A34" s="16" t="s">
        <v>261</v>
      </c>
      <c r="B34" s="18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8"/>
      <c r="R34" s="16"/>
      <c r="S34" s="18"/>
      <c r="T34" s="24"/>
      <c r="U34" s="23"/>
      <c r="V34" s="52"/>
      <c r="W34" s="50" t="str">
        <f aca="true">IF(Q34="","",TODAY()-Q34)</f>
        <v/>
      </c>
      <c r="X34" s="51" t="str">
        <f aca="true">IF(F34="","",IF(OR(O34="Won",O34="Lost"),"Closed",IF(S34="","No date set",IF(S34&lt;TODAY(),"Overdue",IF(S34=TODAY(),"Due today","Upcoming")))))</f>
        <v/>
      </c>
    </row>
    <row r="35" customFormat="false" ht="15" hidden="false" customHeight="false" outlineLevel="0" collapsed="false">
      <c r="A35" s="16" t="s">
        <v>262</v>
      </c>
      <c r="B35" s="18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8"/>
      <c r="R35" s="16"/>
      <c r="S35" s="18"/>
      <c r="T35" s="24"/>
      <c r="U35" s="23"/>
      <c r="V35" s="52"/>
      <c r="W35" s="50" t="str">
        <f aca="true">IF(Q35="","",TODAY()-Q35)</f>
        <v/>
      </c>
      <c r="X35" s="51" t="str">
        <f aca="true">IF(F35="","",IF(OR(O35="Won",O35="Lost"),"Closed",IF(S35="","No date set",IF(S35&lt;TODAY(),"Overdue",IF(S35=TODAY(),"Due today","Upcoming")))))</f>
        <v/>
      </c>
    </row>
    <row r="36" customFormat="false" ht="15" hidden="false" customHeight="false" outlineLevel="0" collapsed="false">
      <c r="A36" s="16" t="s">
        <v>263</v>
      </c>
      <c r="B36" s="18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8"/>
      <c r="R36" s="16"/>
      <c r="S36" s="18"/>
      <c r="T36" s="24"/>
      <c r="U36" s="23"/>
      <c r="V36" s="52"/>
      <c r="W36" s="50" t="str">
        <f aca="true">IF(Q36="","",TODAY()-Q36)</f>
        <v/>
      </c>
      <c r="X36" s="51" t="str">
        <f aca="true">IF(F36="","",IF(OR(O36="Won",O36="Lost"),"Closed",IF(S36="","No date set",IF(S36&lt;TODAY(),"Overdue",IF(S36=TODAY(),"Due today","Upcoming")))))</f>
        <v/>
      </c>
    </row>
    <row r="37" customFormat="false" ht="15" hidden="false" customHeight="false" outlineLevel="0" collapsed="false">
      <c r="A37" s="16" t="s">
        <v>264</v>
      </c>
      <c r="B37" s="18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8"/>
      <c r="R37" s="16"/>
      <c r="S37" s="18"/>
      <c r="T37" s="24"/>
      <c r="U37" s="23"/>
      <c r="V37" s="52"/>
      <c r="W37" s="50" t="str">
        <f aca="true">IF(Q37="","",TODAY()-Q37)</f>
        <v/>
      </c>
      <c r="X37" s="51" t="str">
        <f aca="true">IF(F37="","",IF(OR(O37="Won",O37="Lost"),"Closed",IF(S37="","No date set",IF(S37&lt;TODAY(),"Overdue",IF(S37=TODAY(),"Due today","Upcoming")))))</f>
        <v/>
      </c>
    </row>
    <row r="38" customFormat="false" ht="15" hidden="false" customHeight="false" outlineLevel="0" collapsed="false">
      <c r="A38" s="16" t="s">
        <v>265</v>
      </c>
      <c r="B38" s="18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8"/>
      <c r="R38" s="16"/>
      <c r="S38" s="18"/>
      <c r="T38" s="24"/>
      <c r="U38" s="23"/>
      <c r="V38" s="52"/>
      <c r="W38" s="50" t="str">
        <f aca="true">IF(Q38="","",TODAY()-Q38)</f>
        <v/>
      </c>
      <c r="X38" s="51" t="str">
        <f aca="true">IF(F38="","",IF(OR(O38="Won",O38="Lost"),"Closed",IF(S38="","No date set",IF(S38&lt;TODAY(),"Overdue",IF(S38=TODAY(),"Due today","Upcoming")))))</f>
        <v/>
      </c>
    </row>
    <row r="39" customFormat="false" ht="15" hidden="false" customHeight="false" outlineLevel="0" collapsed="false">
      <c r="A39" s="16" t="s">
        <v>266</v>
      </c>
      <c r="B39" s="18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8"/>
      <c r="R39" s="16"/>
      <c r="S39" s="18"/>
      <c r="T39" s="24"/>
      <c r="U39" s="23"/>
      <c r="V39" s="52"/>
      <c r="W39" s="50" t="str">
        <f aca="true">IF(Q39="","",TODAY()-Q39)</f>
        <v/>
      </c>
      <c r="X39" s="51" t="str">
        <f aca="true">IF(F39="","",IF(OR(O39="Won",O39="Lost"),"Closed",IF(S39="","No date set",IF(S39&lt;TODAY(),"Overdue",IF(S39=TODAY(),"Due today","Upcoming")))))</f>
        <v/>
      </c>
    </row>
    <row r="40" customFormat="false" ht="15" hidden="false" customHeight="false" outlineLevel="0" collapsed="false">
      <c r="A40" s="16" t="s">
        <v>267</v>
      </c>
      <c r="B40" s="18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8"/>
      <c r="R40" s="16"/>
      <c r="S40" s="18"/>
      <c r="T40" s="24"/>
      <c r="U40" s="23"/>
      <c r="V40" s="52"/>
      <c r="W40" s="50" t="str">
        <f aca="true">IF(Q40="","",TODAY()-Q40)</f>
        <v/>
      </c>
      <c r="X40" s="51" t="str">
        <f aca="true">IF(F40="","",IF(OR(O40="Won",O40="Lost"),"Closed",IF(S40="","No date set",IF(S40&lt;TODAY(),"Overdue",IF(S40=TODAY(),"Due today","Upcoming")))))</f>
        <v/>
      </c>
    </row>
    <row r="41" customFormat="false" ht="15" hidden="false" customHeight="false" outlineLevel="0" collapsed="false">
      <c r="A41" s="16" t="s">
        <v>268</v>
      </c>
      <c r="B41" s="18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8"/>
      <c r="R41" s="16"/>
      <c r="S41" s="18"/>
      <c r="T41" s="24"/>
      <c r="U41" s="23"/>
      <c r="V41" s="52"/>
      <c r="W41" s="50" t="str">
        <f aca="true">IF(Q41="","",TODAY()-Q41)</f>
        <v/>
      </c>
      <c r="X41" s="51" t="str">
        <f aca="true">IF(F41="","",IF(OR(O41="Won",O41="Lost"),"Closed",IF(S41="","No date set",IF(S41&lt;TODAY(),"Overdue",IF(S41=TODAY(),"Due today","Upcoming")))))</f>
        <v/>
      </c>
    </row>
    <row r="42" customFormat="false" ht="15" hidden="false" customHeight="false" outlineLevel="0" collapsed="false">
      <c r="A42" s="16" t="s">
        <v>269</v>
      </c>
      <c r="B42" s="18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8"/>
      <c r="R42" s="16"/>
      <c r="S42" s="18"/>
      <c r="T42" s="24"/>
      <c r="U42" s="23"/>
      <c r="V42" s="52"/>
      <c r="W42" s="50" t="str">
        <f aca="true">IF(Q42="","",TODAY()-Q42)</f>
        <v/>
      </c>
      <c r="X42" s="51" t="str">
        <f aca="true">IF(F42="","",IF(OR(O42="Won",O42="Lost"),"Closed",IF(S42="","No date set",IF(S42&lt;TODAY(),"Overdue",IF(S42=TODAY(),"Due today","Upcoming")))))</f>
        <v/>
      </c>
    </row>
    <row r="43" customFormat="false" ht="15" hidden="false" customHeight="false" outlineLevel="0" collapsed="false">
      <c r="A43" s="16" t="s">
        <v>270</v>
      </c>
      <c r="B43" s="18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8"/>
      <c r="R43" s="16"/>
      <c r="S43" s="18"/>
      <c r="T43" s="24"/>
      <c r="U43" s="23"/>
      <c r="V43" s="52"/>
      <c r="W43" s="50" t="str">
        <f aca="true">IF(Q43="","",TODAY()-Q43)</f>
        <v/>
      </c>
      <c r="X43" s="51" t="str">
        <f aca="true">IF(F43="","",IF(OR(O43="Won",O43="Lost"),"Closed",IF(S43="","No date set",IF(S43&lt;TODAY(),"Overdue",IF(S43=TODAY(),"Due today","Upcoming")))))</f>
        <v/>
      </c>
    </row>
    <row r="44" customFormat="false" ht="15" hidden="false" customHeight="false" outlineLevel="0" collapsed="false">
      <c r="A44" s="16" t="s">
        <v>271</v>
      </c>
      <c r="B44" s="18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8"/>
      <c r="R44" s="16"/>
      <c r="S44" s="18"/>
      <c r="T44" s="24"/>
      <c r="U44" s="23"/>
      <c r="V44" s="52"/>
      <c r="W44" s="50" t="str">
        <f aca="true">IF(Q44="","",TODAY()-Q44)</f>
        <v/>
      </c>
      <c r="X44" s="51" t="str">
        <f aca="true">IF(F44="","",IF(OR(O44="Won",O44="Lost"),"Closed",IF(S44="","No date set",IF(S44&lt;TODAY(),"Overdue",IF(S44=TODAY(),"Due today","Upcoming")))))</f>
        <v/>
      </c>
    </row>
    <row r="45" customFormat="false" ht="15" hidden="false" customHeight="false" outlineLevel="0" collapsed="false">
      <c r="A45" s="16" t="s">
        <v>272</v>
      </c>
      <c r="B45" s="18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8"/>
      <c r="R45" s="16"/>
      <c r="S45" s="18"/>
      <c r="T45" s="24"/>
      <c r="U45" s="23"/>
      <c r="V45" s="52"/>
      <c r="W45" s="50" t="str">
        <f aca="true">IF(Q45="","",TODAY()-Q45)</f>
        <v/>
      </c>
      <c r="X45" s="51" t="str">
        <f aca="true">IF(F45="","",IF(OR(O45="Won",O45="Lost"),"Closed",IF(S45="","No date set",IF(S45&lt;TODAY(),"Overdue",IF(S45=TODAY(),"Due today","Upcoming")))))</f>
        <v/>
      </c>
    </row>
    <row r="46" customFormat="false" ht="15" hidden="false" customHeight="false" outlineLevel="0" collapsed="false">
      <c r="A46" s="16" t="s">
        <v>273</v>
      </c>
      <c r="B46" s="18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8"/>
      <c r="R46" s="16"/>
      <c r="S46" s="18"/>
      <c r="T46" s="24"/>
      <c r="U46" s="23"/>
      <c r="V46" s="52"/>
      <c r="W46" s="50" t="str">
        <f aca="true">IF(Q46="","",TODAY()-Q46)</f>
        <v/>
      </c>
      <c r="X46" s="51" t="str">
        <f aca="true">IF(F46="","",IF(OR(O46="Won",O46="Lost"),"Closed",IF(S46="","No date set",IF(S46&lt;TODAY(),"Overdue",IF(S46=TODAY(),"Due today","Upcoming")))))</f>
        <v/>
      </c>
    </row>
    <row r="47" customFormat="false" ht="15" hidden="false" customHeight="false" outlineLevel="0" collapsed="false">
      <c r="A47" s="16" t="s">
        <v>274</v>
      </c>
      <c r="B47" s="18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8"/>
      <c r="R47" s="16"/>
      <c r="S47" s="18"/>
      <c r="T47" s="24"/>
      <c r="U47" s="23"/>
      <c r="V47" s="52"/>
      <c r="W47" s="50" t="str">
        <f aca="true">IF(Q47="","",TODAY()-Q47)</f>
        <v/>
      </c>
      <c r="X47" s="51" t="str">
        <f aca="true">IF(F47="","",IF(OR(O47="Won",O47="Lost"),"Closed",IF(S47="","No date set",IF(S47&lt;TODAY(),"Overdue",IF(S47=TODAY(),"Due today","Upcoming")))))</f>
        <v/>
      </c>
    </row>
    <row r="48" customFormat="false" ht="15" hidden="false" customHeight="false" outlineLevel="0" collapsed="false">
      <c r="A48" s="16" t="s">
        <v>275</v>
      </c>
      <c r="B48" s="18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8"/>
      <c r="R48" s="16"/>
      <c r="S48" s="18"/>
      <c r="T48" s="24"/>
      <c r="U48" s="23"/>
      <c r="V48" s="52"/>
      <c r="W48" s="50" t="str">
        <f aca="true">IF(Q48="","",TODAY()-Q48)</f>
        <v/>
      </c>
      <c r="X48" s="51" t="str">
        <f aca="true">IF(F48="","",IF(OR(O48="Won",O48="Lost"),"Closed",IF(S48="","No date set",IF(S48&lt;TODAY(),"Overdue",IF(S48=TODAY(),"Due today","Upcoming")))))</f>
        <v/>
      </c>
    </row>
    <row r="49" customFormat="false" ht="15" hidden="false" customHeight="false" outlineLevel="0" collapsed="false">
      <c r="A49" s="16" t="s">
        <v>276</v>
      </c>
      <c r="B49" s="18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8"/>
      <c r="R49" s="16"/>
      <c r="S49" s="18"/>
      <c r="T49" s="24"/>
      <c r="U49" s="23"/>
      <c r="V49" s="52"/>
      <c r="W49" s="50" t="str">
        <f aca="true">IF(Q49="","",TODAY()-Q49)</f>
        <v/>
      </c>
      <c r="X49" s="51" t="str">
        <f aca="true">IF(F49="","",IF(OR(O49="Won",O49="Lost"),"Closed",IF(S49="","No date set",IF(S49&lt;TODAY(),"Overdue",IF(S49=TODAY(),"Due today","Upcoming")))))</f>
        <v/>
      </c>
    </row>
    <row r="50" customFormat="false" ht="15" hidden="false" customHeight="false" outlineLevel="0" collapsed="false">
      <c r="A50" s="16" t="s">
        <v>277</v>
      </c>
      <c r="B50" s="18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8"/>
      <c r="R50" s="16"/>
      <c r="S50" s="18"/>
      <c r="T50" s="24"/>
      <c r="U50" s="23"/>
      <c r="V50" s="52"/>
      <c r="W50" s="50" t="str">
        <f aca="true">IF(Q50="","",TODAY()-Q50)</f>
        <v/>
      </c>
      <c r="X50" s="51" t="str">
        <f aca="true">IF(F50="","",IF(OR(O50="Won",O50="Lost"),"Closed",IF(S50="","No date set",IF(S50&lt;TODAY(),"Overdue",IF(S50=TODAY(),"Due today","Upcoming")))))</f>
        <v/>
      </c>
    </row>
    <row r="51" customFormat="false" ht="15" hidden="false" customHeight="false" outlineLevel="0" collapsed="false">
      <c r="A51" s="16" t="s">
        <v>278</v>
      </c>
      <c r="B51" s="18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8"/>
      <c r="R51" s="16"/>
      <c r="S51" s="18"/>
      <c r="T51" s="24"/>
      <c r="U51" s="23"/>
      <c r="V51" s="52"/>
      <c r="W51" s="50" t="str">
        <f aca="true">IF(Q51="","",TODAY()-Q51)</f>
        <v/>
      </c>
      <c r="X51" s="51" t="str">
        <f aca="true">IF(F51="","",IF(OR(O51="Won",O51="Lost"),"Closed",IF(S51="","No date set",IF(S51&lt;TODAY(),"Overdue",IF(S51=TODAY(),"Due today","Upcoming")))))</f>
        <v/>
      </c>
    </row>
    <row r="52" customFormat="false" ht="15" hidden="false" customHeight="false" outlineLevel="0" collapsed="false">
      <c r="A52" s="16" t="s">
        <v>279</v>
      </c>
      <c r="B52" s="18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8"/>
      <c r="R52" s="16"/>
      <c r="S52" s="18"/>
      <c r="T52" s="24"/>
      <c r="U52" s="23"/>
      <c r="V52" s="52"/>
      <c r="W52" s="50" t="str">
        <f aca="true">IF(Q52="","",TODAY()-Q52)</f>
        <v/>
      </c>
      <c r="X52" s="51" t="str">
        <f aca="true">IF(F52="","",IF(OR(O52="Won",O52="Lost"),"Closed",IF(S52="","No date set",IF(S52&lt;TODAY(),"Overdue",IF(S52=TODAY(),"Due today","Upcoming")))))</f>
        <v/>
      </c>
    </row>
    <row r="53" customFormat="false" ht="15" hidden="false" customHeight="false" outlineLevel="0" collapsed="false">
      <c r="A53" s="16" t="s">
        <v>280</v>
      </c>
      <c r="B53" s="18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8"/>
      <c r="R53" s="16"/>
      <c r="S53" s="18"/>
      <c r="T53" s="24"/>
      <c r="U53" s="23"/>
      <c r="V53" s="52"/>
      <c r="W53" s="50" t="str">
        <f aca="true">IF(Q53="","",TODAY()-Q53)</f>
        <v/>
      </c>
      <c r="X53" s="51" t="str">
        <f aca="true">IF(F53="","",IF(OR(O53="Won",O53="Lost"),"Closed",IF(S53="","No date set",IF(S53&lt;TODAY(),"Overdue",IF(S53=TODAY(),"Due today","Upcoming")))))</f>
        <v/>
      </c>
    </row>
    <row r="54" customFormat="false" ht="15" hidden="false" customHeight="false" outlineLevel="0" collapsed="false">
      <c r="A54" s="16" t="s">
        <v>281</v>
      </c>
      <c r="B54" s="18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8"/>
      <c r="R54" s="16"/>
      <c r="S54" s="18"/>
      <c r="T54" s="24"/>
      <c r="U54" s="23"/>
      <c r="V54" s="52"/>
      <c r="W54" s="50" t="str">
        <f aca="true">IF(Q54="","",TODAY()-Q54)</f>
        <v/>
      </c>
      <c r="X54" s="51" t="str">
        <f aca="true">IF(F54="","",IF(OR(O54="Won",O54="Lost"),"Closed",IF(S54="","No date set",IF(S54&lt;TODAY(),"Overdue",IF(S54=TODAY(),"Due today","Upcoming")))))</f>
        <v/>
      </c>
    </row>
    <row r="55" customFormat="false" ht="15" hidden="false" customHeight="false" outlineLevel="0" collapsed="false">
      <c r="A55" s="16" t="s">
        <v>282</v>
      </c>
      <c r="B55" s="18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8"/>
      <c r="R55" s="16"/>
      <c r="S55" s="18"/>
      <c r="T55" s="24"/>
      <c r="U55" s="23"/>
      <c r="V55" s="52"/>
      <c r="W55" s="50" t="str">
        <f aca="true">IF(Q55="","",TODAY()-Q55)</f>
        <v/>
      </c>
      <c r="X55" s="51" t="str">
        <f aca="true">IF(F55="","",IF(OR(O55="Won",O55="Lost"),"Closed",IF(S55="","No date set",IF(S55&lt;TODAY(),"Overdue",IF(S55=TODAY(),"Due today","Upcoming")))))</f>
        <v/>
      </c>
    </row>
    <row r="56" customFormat="false" ht="15" hidden="false" customHeight="false" outlineLevel="0" collapsed="false">
      <c r="A56" s="16" t="s">
        <v>283</v>
      </c>
      <c r="B56" s="18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8"/>
      <c r="R56" s="16"/>
      <c r="S56" s="18"/>
      <c r="T56" s="24"/>
      <c r="U56" s="23"/>
      <c r="V56" s="52"/>
      <c r="W56" s="50" t="str">
        <f aca="true">IF(Q56="","",TODAY()-Q56)</f>
        <v/>
      </c>
      <c r="X56" s="51" t="str">
        <f aca="true">IF(F56="","",IF(OR(O56="Won",O56="Lost"),"Closed",IF(S56="","No date set",IF(S56&lt;TODAY(),"Overdue",IF(S56=TODAY(),"Due today","Upcoming")))))</f>
        <v/>
      </c>
    </row>
    <row r="57" customFormat="false" ht="15" hidden="false" customHeight="false" outlineLevel="0" collapsed="false">
      <c r="A57" s="16" t="s">
        <v>284</v>
      </c>
      <c r="B57" s="18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8"/>
      <c r="R57" s="16"/>
      <c r="S57" s="18"/>
      <c r="T57" s="24"/>
      <c r="U57" s="23"/>
      <c r="V57" s="52"/>
      <c r="W57" s="50" t="str">
        <f aca="true">IF(Q57="","",TODAY()-Q57)</f>
        <v/>
      </c>
      <c r="X57" s="51" t="str">
        <f aca="true">IF(F57="","",IF(OR(O57="Won",O57="Lost"),"Closed",IF(S57="","No date set",IF(S57&lt;TODAY(),"Overdue",IF(S57=TODAY(),"Due today","Upcoming")))))</f>
        <v/>
      </c>
    </row>
    <row r="58" customFormat="false" ht="15" hidden="false" customHeight="false" outlineLevel="0" collapsed="false">
      <c r="A58" s="16" t="s">
        <v>285</v>
      </c>
      <c r="B58" s="18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8"/>
      <c r="R58" s="16"/>
      <c r="S58" s="18"/>
      <c r="T58" s="24"/>
      <c r="U58" s="23"/>
      <c r="V58" s="52"/>
      <c r="W58" s="50" t="str">
        <f aca="true">IF(Q58="","",TODAY()-Q58)</f>
        <v/>
      </c>
      <c r="X58" s="51" t="str">
        <f aca="true">IF(F58="","",IF(OR(O58="Won",O58="Lost"),"Closed",IF(S58="","No date set",IF(S58&lt;TODAY(),"Overdue",IF(S58=TODAY(),"Due today","Upcoming")))))</f>
        <v/>
      </c>
    </row>
    <row r="59" customFormat="false" ht="15" hidden="false" customHeight="false" outlineLevel="0" collapsed="false">
      <c r="A59" s="16" t="s">
        <v>286</v>
      </c>
      <c r="B59" s="18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8"/>
      <c r="R59" s="16"/>
      <c r="S59" s="18"/>
      <c r="T59" s="24"/>
      <c r="U59" s="23"/>
      <c r="V59" s="52"/>
      <c r="W59" s="50" t="str">
        <f aca="true">IF(Q59="","",TODAY()-Q59)</f>
        <v/>
      </c>
      <c r="X59" s="51" t="str">
        <f aca="true">IF(F59="","",IF(OR(O59="Won",O59="Lost"),"Closed",IF(S59="","No date set",IF(S59&lt;TODAY(),"Overdue",IF(S59=TODAY(),"Due today","Upcoming")))))</f>
        <v/>
      </c>
    </row>
    <row r="60" customFormat="false" ht="15" hidden="false" customHeight="false" outlineLevel="0" collapsed="false">
      <c r="A60" s="16" t="s">
        <v>287</v>
      </c>
      <c r="B60" s="18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8"/>
      <c r="R60" s="16"/>
      <c r="S60" s="18"/>
      <c r="T60" s="24"/>
      <c r="U60" s="23"/>
      <c r="V60" s="52"/>
      <c r="W60" s="50" t="str">
        <f aca="true">IF(Q60="","",TODAY()-Q60)</f>
        <v/>
      </c>
      <c r="X60" s="51" t="str">
        <f aca="true">IF(F60="","",IF(OR(O60="Won",O60="Lost"),"Closed",IF(S60="","No date set",IF(S60&lt;TODAY(),"Overdue",IF(S60=TODAY(),"Due today","Upcoming")))))</f>
        <v/>
      </c>
    </row>
    <row r="61" customFormat="false" ht="15" hidden="false" customHeight="false" outlineLevel="0" collapsed="false">
      <c r="A61" s="16" t="s">
        <v>288</v>
      </c>
      <c r="B61" s="18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8"/>
      <c r="R61" s="16"/>
      <c r="S61" s="18"/>
      <c r="T61" s="24"/>
      <c r="U61" s="23"/>
      <c r="V61" s="52"/>
      <c r="W61" s="50" t="str">
        <f aca="true">IF(Q61="","",TODAY()-Q61)</f>
        <v/>
      </c>
      <c r="X61" s="51" t="str">
        <f aca="true">IF(F61="","",IF(OR(O61="Won",O61="Lost"),"Closed",IF(S61="","No date set",IF(S61&lt;TODAY(),"Overdue",IF(S61=TODAY(),"Due today","Upcoming")))))</f>
        <v/>
      </c>
    </row>
    <row r="62" customFormat="false" ht="15" hidden="false" customHeight="false" outlineLevel="0" collapsed="false">
      <c r="A62" s="16" t="s">
        <v>289</v>
      </c>
      <c r="B62" s="18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8"/>
      <c r="R62" s="16"/>
      <c r="S62" s="18"/>
      <c r="T62" s="24"/>
      <c r="U62" s="23"/>
      <c r="V62" s="52"/>
      <c r="W62" s="50" t="str">
        <f aca="true">IF(Q62="","",TODAY()-Q62)</f>
        <v/>
      </c>
      <c r="X62" s="51" t="str">
        <f aca="true">IF(F62="","",IF(OR(O62="Won",O62="Lost"),"Closed",IF(S62="","No date set",IF(S62&lt;TODAY(),"Overdue",IF(S62=TODAY(),"Due today","Upcoming")))))</f>
        <v/>
      </c>
    </row>
    <row r="63" customFormat="false" ht="15" hidden="false" customHeight="false" outlineLevel="0" collapsed="false">
      <c r="A63" s="16" t="s">
        <v>290</v>
      </c>
      <c r="B63" s="18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8"/>
      <c r="R63" s="16"/>
      <c r="S63" s="18"/>
      <c r="T63" s="24"/>
      <c r="U63" s="23"/>
      <c r="V63" s="52"/>
      <c r="W63" s="50" t="str">
        <f aca="true">IF(Q63="","",TODAY()-Q63)</f>
        <v/>
      </c>
      <c r="X63" s="51" t="str">
        <f aca="true">IF(F63="","",IF(OR(O63="Won",O63="Lost"),"Closed",IF(S63="","No date set",IF(S63&lt;TODAY(),"Overdue",IF(S63=TODAY(),"Due today","Upcoming")))))</f>
        <v/>
      </c>
    </row>
    <row r="64" customFormat="false" ht="15" hidden="false" customHeight="false" outlineLevel="0" collapsed="false">
      <c r="A64" s="16" t="s">
        <v>291</v>
      </c>
      <c r="B64" s="18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8"/>
      <c r="R64" s="16"/>
      <c r="S64" s="18"/>
      <c r="T64" s="24"/>
      <c r="U64" s="23"/>
      <c r="V64" s="52"/>
      <c r="W64" s="50" t="str">
        <f aca="true">IF(Q64="","",TODAY()-Q64)</f>
        <v/>
      </c>
      <c r="X64" s="51" t="str">
        <f aca="true">IF(F64="","",IF(OR(O64="Won",O64="Lost"),"Closed",IF(S64="","No date set",IF(S64&lt;TODAY(),"Overdue",IF(S64=TODAY(),"Due today","Upcoming")))))</f>
        <v/>
      </c>
    </row>
    <row r="65" customFormat="false" ht="15" hidden="false" customHeight="false" outlineLevel="0" collapsed="false">
      <c r="A65" s="16" t="s">
        <v>292</v>
      </c>
      <c r="B65" s="18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8"/>
      <c r="R65" s="16"/>
      <c r="S65" s="18"/>
      <c r="T65" s="24"/>
      <c r="U65" s="23"/>
      <c r="V65" s="52"/>
      <c r="W65" s="50" t="str">
        <f aca="true">IF(Q65="","",TODAY()-Q65)</f>
        <v/>
      </c>
      <c r="X65" s="51" t="str">
        <f aca="true">IF(F65="","",IF(OR(O65="Won",O65="Lost"),"Closed",IF(S65="","No date set",IF(S65&lt;TODAY(),"Overdue",IF(S65=TODAY(),"Due today","Upcoming")))))</f>
        <v/>
      </c>
    </row>
    <row r="66" customFormat="false" ht="15" hidden="false" customHeight="false" outlineLevel="0" collapsed="false">
      <c r="A66" s="16" t="s">
        <v>293</v>
      </c>
      <c r="B66" s="18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8"/>
      <c r="R66" s="16"/>
      <c r="S66" s="18"/>
      <c r="T66" s="24"/>
      <c r="U66" s="23"/>
      <c r="V66" s="52"/>
      <c r="W66" s="50" t="str">
        <f aca="true">IF(Q66="","",TODAY()-Q66)</f>
        <v/>
      </c>
      <c r="X66" s="51" t="str">
        <f aca="true">IF(F66="","",IF(OR(O66="Won",O66="Lost"),"Closed",IF(S66="","No date set",IF(S66&lt;TODAY(),"Overdue",IF(S66=TODAY(),"Due today","Upcoming")))))</f>
        <v/>
      </c>
    </row>
    <row r="67" customFormat="false" ht="15" hidden="false" customHeight="false" outlineLevel="0" collapsed="false">
      <c r="A67" s="16" t="s">
        <v>294</v>
      </c>
      <c r="B67" s="18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8"/>
      <c r="R67" s="16"/>
      <c r="S67" s="18"/>
      <c r="T67" s="24"/>
      <c r="U67" s="23"/>
      <c r="V67" s="52"/>
      <c r="W67" s="50" t="str">
        <f aca="true">IF(Q67="","",TODAY()-Q67)</f>
        <v/>
      </c>
      <c r="X67" s="51" t="str">
        <f aca="true">IF(F67="","",IF(OR(O67="Won",O67="Lost"),"Closed",IF(S67="","No date set",IF(S67&lt;TODAY(),"Overdue",IF(S67=TODAY(),"Due today","Upcoming")))))</f>
        <v/>
      </c>
    </row>
    <row r="68" customFormat="false" ht="15" hidden="false" customHeight="false" outlineLevel="0" collapsed="false">
      <c r="A68" s="16" t="s">
        <v>295</v>
      </c>
      <c r="B68" s="18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8"/>
      <c r="R68" s="16"/>
      <c r="S68" s="18"/>
      <c r="T68" s="24"/>
      <c r="U68" s="23"/>
      <c r="V68" s="52"/>
      <c r="W68" s="50" t="str">
        <f aca="true">IF(Q68="","",TODAY()-Q68)</f>
        <v/>
      </c>
      <c r="X68" s="51" t="str">
        <f aca="true">IF(F68="","",IF(OR(O68="Won",O68="Lost"),"Closed",IF(S68="","No date set",IF(S68&lt;TODAY(),"Overdue",IF(S68=TODAY(),"Due today","Upcoming")))))</f>
        <v/>
      </c>
    </row>
    <row r="69" customFormat="false" ht="15" hidden="false" customHeight="false" outlineLevel="0" collapsed="false">
      <c r="A69" s="16" t="s">
        <v>296</v>
      </c>
      <c r="B69" s="18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8"/>
      <c r="R69" s="16"/>
      <c r="S69" s="18"/>
      <c r="T69" s="24"/>
      <c r="U69" s="23"/>
      <c r="V69" s="52"/>
      <c r="W69" s="50" t="str">
        <f aca="true">IF(Q69="","",TODAY()-Q69)</f>
        <v/>
      </c>
      <c r="X69" s="51" t="str">
        <f aca="true">IF(F69="","",IF(OR(O69="Won",O69="Lost"),"Closed",IF(S69="","No date set",IF(S69&lt;TODAY(),"Overdue",IF(S69=TODAY(),"Due today","Upcoming")))))</f>
        <v/>
      </c>
    </row>
    <row r="70" customFormat="false" ht="15" hidden="false" customHeight="false" outlineLevel="0" collapsed="false">
      <c r="A70" s="16" t="s">
        <v>297</v>
      </c>
      <c r="B70" s="18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8"/>
      <c r="R70" s="16"/>
      <c r="S70" s="18"/>
      <c r="T70" s="24"/>
      <c r="U70" s="23"/>
      <c r="V70" s="52"/>
      <c r="W70" s="50" t="str">
        <f aca="true">IF(Q70="","",TODAY()-Q70)</f>
        <v/>
      </c>
      <c r="X70" s="51" t="str">
        <f aca="true">IF(F70="","",IF(OR(O70="Won",O70="Lost"),"Closed",IF(S70="","No date set",IF(S70&lt;TODAY(),"Overdue",IF(S70=TODAY(),"Due today","Upcoming")))))</f>
        <v/>
      </c>
    </row>
    <row r="71" customFormat="false" ht="15" hidden="false" customHeight="false" outlineLevel="0" collapsed="false">
      <c r="A71" s="16" t="s">
        <v>298</v>
      </c>
      <c r="B71" s="18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8"/>
      <c r="R71" s="16"/>
      <c r="S71" s="18"/>
      <c r="T71" s="24"/>
      <c r="U71" s="23"/>
      <c r="V71" s="52"/>
      <c r="W71" s="50" t="str">
        <f aca="true">IF(Q71="","",TODAY()-Q71)</f>
        <v/>
      </c>
      <c r="X71" s="51" t="str">
        <f aca="true">IF(F71="","",IF(OR(O71="Won",O71="Lost"),"Closed",IF(S71="","No date set",IF(S71&lt;TODAY(),"Overdue",IF(S71=TODAY(),"Due today","Upcoming")))))</f>
        <v/>
      </c>
    </row>
    <row r="72" customFormat="false" ht="15" hidden="false" customHeight="false" outlineLevel="0" collapsed="false">
      <c r="A72" s="16" t="s">
        <v>299</v>
      </c>
      <c r="B72" s="18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8"/>
      <c r="R72" s="16"/>
      <c r="S72" s="18"/>
      <c r="T72" s="24"/>
      <c r="U72" s="23"/>
      <c r="V72" s="52"/>
      <c r="W72" s="50" t="str">
        <f aca="true">IF(Q72="","",TODAY()-Q72)</f>
        <v/>
      </c>
      <c r="X72" s="51" t="str">
        <f aca="true">IF(F72="","",IF(OR(O72="Won",O72="Lost"),"Closed",IF(S72="","No date set",IF(S72&lt;TODAY(),"Overdue",IF(S72=TODAY(),"Due today","Upcoming")))))</f>
        <v/>
      </c>
    </row>
    <row r="73" customFormat="false" ht="15" hidden="false" customHeight="false" outlineLevel="0" collapsed="false">
      <c r="A73" s="16" t="s">
        <v>300</v>
      </c>
      <c r="B73" s="18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8"/>
      <c r="R73" s="16"/>
      <c r="S73" s="18"/>
      <c r="T73" s="24"/>
      <c r="U73" s="23"/>
      <c r="V73" s="52"/>
      <c r="W73" s="50" t="str">
        <f aca="true">IF(Q73="","",TODAY()-Q73)</f>
        <v/>
      </c>
      <c r="X73" s="51" t="str">
        <f aca="true">IF(F73="","",IF(OR(O73="Won",O73="Lost"),"Closed",IF(S73="","No date set",IF(S73&lt;TODAY(),"Overdue",IF(S73=TODAY(),"Due today","Upcoming")))))</f>
        <v/>
      </c>
    </row>
    <row r="74" customFormat="false" ht="15" hidden="false" customHeight="false" outlineLevel="0" collapsed="false">
      <c r="A74" s="16" t="s">
        <v>301</v>
      </c>
      <c r="B74" s="18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8"/>
      <c r="R74" s="16"/>
      <c r="S74" s="18"/>
      <c r="T74" s="24"/>
      <c r="U74" s="23"/>
      <c r="V74" s="52"/>
      <c r="W74" s="50" t="str">
        <f aca="true">IF(Q74="","",TODAY()-Q74)</f>
        <v/>
      </c>
      <c r="X74" s="51" t="str">
        <f aca="true">IF(F74="","",IF(OR(O74="Won",O74="Lost"),"Closed",IF(S74="","No date set",IF(S74&lt;TODAY(),"Overdue",IF(S74=TODAY(),"Due today","Upcoming")))))</f>
        <v/>
      </c>
    </row>
    <row r="75" customFormat="false" ht="15" hidden="false" customHeight="false" outlineLevel="0" collapsed="false">
      <c r="A75" s="16" t="s">
        <v>302</v>
      </c>
      <c r="B75" s="18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8"/>
      <c r="R75" s="16"/>
      <c r="S75" s="18"/>
      <c r="T75" s="24"/>
      <c r="U75" s="23"/>
      <c r="V75" s="52"/>
      <c r="W75" s="50" t="str">
        <f aca="true">IF(Q75="","",TODAY()-Q75)</f>
        <v/>
      </c>
      <c r="X75" s="51" t="str">
        <f aca="true">IF(F75="","",IF(OR(O75="Won",O75="Lost"),"Closed",IF(S75="","No date set",IF(S75&lt;TODAY(),"Overdue",IF(S75=TODAY(),"Due today","Upcoming")))))</f>
        <v/>
      </c>
    </row>
    <row r="76" customFormat="false" ht="15" hidden="false" customHeight="false" outlineLevel="0" collapsed="false">
      <c r="A76" s="16" t="s">
        <v>303</v>
      </c>
      <c r="B76" s="18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8"/>
      <c r="R76" s="16"/>
      <c r="S76" s="18"/>
      <c r="T76" s="24"/>
      <c r="U76" s="23"/>
      <c r="V76" s="52"/>
      <c r="W76" s="50" t="str">
        <f aca="true">IF(Q76="","",TODAY()-Q76)</f>
        <v/>
      </c>
      <c r="X76" s="51" t="str">
        <f aca="true">IF(F76="","",IF(OR(O76="Won",O76="Lost"),"Closed",IF(S76="","No date set",IF(S76&lt;TODAY(),"Overdue",IF(S76=TODAY(),"Due today","Upcoming")))))</f>
        <v/>
      </c>
    </row>
    <row r="77" customFormat="false" ht="15" hidden="false" customHeight="false" outlineLevel="0" collapsed="false">
      <c r="A77" s="16" t="s">
        <v>304</v>
      </c>
      <c r="B77" s="18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8"/>
      <c r="R77" s="16"/>
      <c r="S77" s="18"/>
      <c r="T77" s="24"/>
      <c r="U77" s="23"/>
      <c r="V77" s="52"/>
      <c r="W77" s="50" t="str">
        <f aca="true">IF(Q77="","",TODAY()-Q77)</f>
        <v/>
      </c>
      <c r="X77" s="51" t="str">
        <f aca="true">IF(F77="","",IF(OR(O77="Won",O77="Lost"),"Closed",IF(S77="","No date set",IF(S77&lt;TODAY(),"Overdue",IF(S77=TODAY(),"Due today","Upcoming")))))</f>
        <v/>
      </c>
    </row>
    <row r="78" customFormat="false" ht="15" hidden="false" customHeight="false" outlineLevel="0" collapsed="false">
      <c r="A78" s="16" t="s">
        <v>305</v>
      </c>
      <c r="B78" s="18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8"/>
      <c r="R78" s="16"/>
      <c r="S78" s="18"/>
      <c r="T78" s="24"/>
      <c r="U78" s="23"/>
      <c r="V78" s="52"/>
      <c r="W78" s="50" t="str">
        <f aca="true">IF(Q78="","",TODAY()-Q78)</f>
        <v/>
      </c>
      <c r="X78" s="51" t="str">
        <f aca="true">IF(F78="","",IF(OR(O78="Won",O78="Lost"),"Closed",IF(S78="","No date set",IF(S78&lt;TODAY(),"Overdue",IF(S78=TODAY(),"Due today","Upcoming")))))</f>
        <v/>
      </c>
    </row>
    <row r="79" customFormat="false" ht="15" hidden="false" customHeight="false" outlineLevel="0" collapsed="false">
      <c r="A79" s="16" t="s">
        <v>306</v>
      </c>
      <c r="B79" s="18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8"/>
      <c r="R79" s="16"/>
      <c r="S79" s="18"/>
      <c r="T79" s="24"/>
      <c r="U79" s="23"/>
      <c r="V79" s="52"/>
      <c r="W79" s="50" t="str">
        <f aca="true">IF(Q79="","",TODAY()-Q79)</f>
        <v/>
      </c>
      <c r="X79" s="51" t="str">
        <f aca="true">IF(F79="","",IF(OR(O79="Won",O79="Lost"),"Closed",IF(S79="","No date set",IF(S79&lt;TODAY(),"Overdue",IF(S79=TODAY(),"Due today","Upcoming")))))</f>
        <v/>
      </c>
    </row>
    <row r="80" customFormat="false" ht="15" hidden="false" customHeight="false" outlineLevel="0" collapsed="false">
      <c r="A80" s="16" t="s">
        <v>307</v>
      </c>
      <c r="B80" s="18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8"/>
      <c r="R80" s="16"/>
      <c r="S80" s="18"/>
      <c r="T80" s="24"/>
      <c r="U80" s="23"/>
      <c r="V80" s="52"/>
      <c r="W80" s="50" t="str">
        <f aca="true">IF(Q80="","",TODAY()-Q80)</f>
        <v/>
      </c>
      <c r="X80" s="51" t="str">
        <f aca="true">IF(F80="","",IF(OR(O80="Won",O80="Lost"),"Closed",IF(S80="","No date set",IF(S80&lt;TODAY(),"Overdue",IF(S80=TODAY(),"Due today","Upcoming")))))</f>
        <v/>
      </c>
    </row>
    <row r="81" customFormat="false" ht="15" hidden="false" customHeight="false" outlineLevel="0" collapsed="false">
      <c r="A81" s="16" t="s">
        <v>308</v>
      </c>
      <c r="B81" s="18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8"/>
      <c r="R81" s="16"/>
      <c r="S81" s="18"/>
      <c r="T81" s="24"/>
      <c r="U81" s="23"/>
      <c r="V81" s="52"/>
      <c r="W81" s="50" t="str">
        <f aca="true">IF(Q81="","",TODAY()-Q81)</f>
        <v/>
      </c>
      <c r="X81" s="51" t="str">
        <f aca="true">IF(F81="","",IF(OR(O81="Won",O81="Lost"),"Closed",IF(S81="","No date set",IF(S81&lt;TODAY(),"Overdue",IF(S81=TODAY(),"Due today","Upcoming")))))</f>
        <v/>
      </c>
    </row>
    <row r="82" customFormat="false" ht="15" hidden="false" customHeight="false" outlineLevel="0" collapsed="false">
      <c r="A82" s="16" t="s">
        <v>309</v>
      </c>
      <c r="B82" s="18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8"/>
      <c r="R82" s="16"/>
      <c r="S82" s="18"/>
      <c r="T82" s="24"/>
      <c r="U82" s="23"/>
      <c r="V82" s="52"/>
      <c r="W82" s="50" t="str">
        <f aca="true">IF(Q82="","",TODAY()-Q82)</f>
        <v/>
      </c>
      <c r="X82" s="51" t="str">
        <f aca="true">IF(F82="","",IF(OR(O82="Won",O82="Lost"),"Closed",IF(S82="","No date set",IF(S82&lt;TODAY(),"Overdue",IF(S82=TODAY(),"Due today","Upcoming")))))</f>
        <v/>
      </c>
    </row>
    <row r="83" customFormat="false" ht="15" hidden="false" customHeight="false" outlineLevel="0" collapsed="false">
      <c r="A83" s="16" t="s">
        <v>310</v>
      </c>
      <c r="B83" s="18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8"/>
      <c r="R83" s="16"/>
      <c r="S83" s="18"/>
      <c r="T83" s="24"/>
      <c r="U83" s="23"/>
      <c r="V83" s="52"/>
      <c r="W83" s="50" t="str">
        <f aca="true">IF(Q83="","",TODAY()-Q83)</f>
        <v/>
      </c>
      <c r="X83" s="51" t="str">
        <f aca="true">IF(F83="","",IF(OR(O83="Won",O83="Lost"),"Closed",IF(S83="","No date set",IF(S83&lt;TODAY(),"Overdue",IF(S83=TODAY(),"Due today","Upcoming")))))</f>
        <v/>
      </c>
    </row>
    <row r="84" customFormat="false" ht="15" hidden="false" customHeight="false" outlineLevel="0" collapsed="false">
      <c r="A84" s="16" t="s">
        <v>311</v>
      </c>
      <c r="B84" s="18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8"/>
      <c r="R84" s="16"/>
      <c r="S84" s="18"/>
      <c r="T84" s="24"/>
      <c r="U84" s="23"/>
      <c r="V84" s="52"/>
      <c r="W84" s="50" t="str">
        <f aca="true">IF(Q84="","",TODAY()-Q84)</f>
        <v/>
      </c>
      <c r="X84" s="51" t="str">
        <f aca="true">IF(F84="","",IF(OR(O84="Won",O84="Lost"),"Closed",IF(S84="","No date set",IF(S84&lt;TODAY(),"Overdue",IF(S84=TODAY(),"Due today","Upcoming")))))</f>
        <v/>
      </c>
    </row>
    <row r="85" customFormat="false" ht="15" hidden="false" customHeight="false" outlineLevel="0" collapsed="false">
      <c r="A85" s="16" t="s">
        <v>312</v>
      </c>
      <c r="B85" s="18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8"/>
      <c r="R85" s="16"/>
      <c r="S85" s="18"/>
      <c r="T85" s="24"/>
      <c r="U85" s="23"/>
      <c r="V85" s="52"/>
      <c r="W85" s="50" t="str">
        <f aca="true">IF(Q85="","",TODAY()-Q85)</f>
        <v/>
      </c>
      <c r="X85" s="51" t="str">
        <f aca="true">IF(F85="","",IF(OR(O85="Won",O85="Lost"),"Closed",IF(S85="","No date set",IF(S85&lt;TODAY(),"Overdue",IF(S85=TODAY(),"Due today","Upcoming")))))</f>
        <v/>
      </c>
    </row>
    <row r="86" customFormat="false" ht="15" hidden="false" customHeight="false" outlineLevel="0" collapsed="false">
      <c r="A86" s="16" t="s">
        <v>313</v>
      </c>
      <c r="B86" s="18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8"/>
      <c r="R86" s="16"/>
      <c r="S86" s="18"/>
      <c r="T86" s="24"/>
      <c r="U86" s="23"/>
      <c r="V86" s="52"/>
      <c r="W86" s="50" t="str">
        <f aca="true">IF(Q86="","",TODAY()-Q86)</f>
        <v/>
      </c>
      <c r="X86" s="51" t="str">
        <f aca="true">IF(F86="","",IF(OR(O86="Won",O86="Lost"),"Closed",IF(S86="","No date set",IF(S86&lt;TODAY(),"Overdue",IF(S86=TODAY(),"Due today","Upcoming")))))</f>
        <v/>
      </c>
    </row>
    <row r="87" customFormat="false" ht="15" hidden="false" customHeight="false" outlineLevel="0" collapsed="false">
      <c r="A87" s="16" t="s">
        <v>314</v>
      </c>
      <c r="B87" s="18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8"/>
      <c r="R87" s="16"/>
      <c r="S87" s="18"/>
      <c r="T87" s="24"/>
      <c r="U87" s="23"/>
      <c r="V87" s="52"/>
      <c r="W87" s="50" t="str">
        <f aca="true">IF(Q87="","",TODAY()-Q87)</f>
        <v/>
      </c>
      <c r="X87" s="51" t="str">
        <f aca="true">IF(F87="","",IF(OR(O87="Won",O87="Lost"),"Closed",IF(S87="","No date set",IF(S87&lt;TODAY(),"Overdue",IF(S87=TODAY(),"Due today","Upcoming")))))</f>
        <v/>
      </c>
    </row>
    <row r="88" customFormat="false" ht="15" hidden="false" customHeight="false" outlineLevel="0" collapsed="false">
      <c r="A88" s="16" t="s">
        <v>315</v>
      </c>
      <c r="B88" s="18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8"/>
      <c r="R88" s="16"/>
      <c r="S88" s="18"/>
      <c r="T88" s="24"/>
      <c r="U88" s="23"/>
      <c r="V88" s="52"/>
      <c r="W88" s="50" t="str">
        <f aca="true">IF(Q88="","",TODAY()-Q88)</f>
        <v/>
      </c>
      <c r="X88" s="51" t="str">
        <f aca="true">IF(F88="","",IF(OR(O88="Won",O88="Lost"),"Closed",IF(S88="","No date set",IF(S88&lt;TODAY(),"Overdue",IF(S88=TODAY(),"Due today","Upcoming")))))</f>
        <v/>
      </c>
    </row>
    <row r="89" customFormat="false" ht="15" hidden="false" customHeight="false" outlineLevel="0" collapsed="false">
      <c r="A89" s="16" t="s">
        <v>316</v>
      </c>
      <c r="B89" s="18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8"/>
      <c r="R89" s="16"/>
      <c r="S89" s="18"/>
      <c r="T89" s="24"/>
      <c r="U89" s="23"/>
      <c r="V89" s="52"/>
      <c r="W89" s="50" t="str">
        <f aca="true">IF(Q89="","",TODAY()-Q89)</f>
        <v/>
      </c>
      <c r="X89" s="51" t="str">
        <f aca="true">IF(F89="","",IF(OR(O89="Won",O89="Lost"),"Closed",IF(S89="","No date set",IF(S89&lt;TODAY(),"Overdue",IF(S89=TODAY(),"Due today","Upcoming")))))</f>
        <v/>
      </c>
    </row>
    <row r="90" customFormat="false" ht="15" hidden="false" customHeight="false" outlineLevel="0" collapsed="false">
      <c r="A90" s="16" t="s">
        <v>317</v>
      </c>
      <c r="B90" s="18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8"/>
      <c r="R90" s="16"/>
      <c r="S90" s="18"/>
      <c r="T90" s="24"/>
      <c r="U90" s="23"/>
      <c r="V90" s="52"/>
      <c r="W90" s="50" t="str">
        <f aca="true">IF(Q90="","",TODAY()-Q90)</f>
        <v/>
      </c>
      <c r="X90" s="51" t="str">
        <f aca="true">IF(F90="","",IF(OR(O90="Won",O90="Lost"),"Closed",IF(S90="","No date set",IF(S90&lt;TODAY(),"Overdue",IF(S90=TODAY(),"Due today","Upcoming")))))</f>
        <v/>
      </c>
    </row>
    <row r="91" customFormat="false" ht="15" hidden="false" customHeight="false" outlineLevel="0" collapsed="false">
      <c r="A91" s="16" t="s">
        <v>318</v>
      </c>
      <c r="B91" s="18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8"/>
      <c r="R91" s="16"/>
      <c r="S91" s="18"/>
      <c r="T91" s="24"/>
      <c r="U91" s="23"/>
      <c r="V91" s="52"/>
      <c r="W91" s="50" t="str">
        <f aca="true">IF(Q91="","",TODAY()-Q91)</f>
        <v/>
      </c>
      <c r="X91" s="51" t="str">
        <f aca="true">IF(F91="","",IF(OR(O91="Won",O91="Lost"),"Closed",IF(S91="","No date set",IF(S91&lt;TODAY(),"Overdue",IF(S91=TODAY(),"Due today","Upcoming")))))</f>
        <v/>
      </c>
    </row>
    <row r="92" customFormat="false" ht="15" hidden="false" customHeight="false" outlineLevel="0" collapsed="false">
      <c r="A92" s="16" t="s">
        <v>319</v>
      </c>
      <c r="B92" s="18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8"/>
      <c r="R92" s="16"/>
      <c r="S92" s="18"/>
      <c r="T92" s="24"/>
      <c r="U92" s="23"/>
      <c r="V92" s="52"/>
      <c r="W92" s="50" t="str">
        <f aca="true">IF(Q92="","",TODAY()-Q92)</f>
        <v/>
      </c>
      <c r="X92" s="51" t="str">
        <f aca="true">IF(F92="","",IF(OR(O92="Won",O92="Lost"),"Closed",IF(S92="","No date set",IF(S92&lt;TODAY(),"Overdue",IF(S92=TODAY(),"Due today","Upcoming")))))</f>
        <v/>
      </c>
    </row>
    <row r="93" customFormat="false" ht="15" hidden="false" customHeight="false" outlineLevel="0" collapsed="false">
      <c r="A93" s="16" t="s">
        <v>320</v>
      </c>
      <c r="B93" s="18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8"/>
      <c r="R93" s="16"/>
      <c r="S93" s="18"/>
      <c r="T93" s="24"/>
      <c r="U93" s="23"/>
      <c r="V93" s="52"/>
      <c r="W93" s="50" t="str">
        <f aca="true">IF(Q93="","",TODAY()-Q93)</f>
        <v/>
      </c>
      <c r="X93" s="51" t="str">
        <f aca="true">IF(F93="","",IF(OR(O93="Won",O93="Lost"),"Closed",IF(S93="","No date set",IF(S93&lt;TODAY(),"Overdue",IF(S93=TODAY(),"Due today","Upcoming")))))</f>
        <v/>
      </c>
    </row>
    <row r="94" customFormat="false" ht="15" hidden="false" customHeight="false" outlineLevel="0" collapsed="false">
      <c r="A94" s="16" t="s">
        <v>321</v>
      </c>
      <c r="B94" s="18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8"/>
      <c r="R94" s="16"/>
      <c r="S94" s="18"/>
      <c r="T94" s="24"/>
      <c r="U94" s="23"/>
      <c r="V94" s="52"/>
      <c r="W94" s="50" t="str">
        <f aca="true">IF(Q94="","",TODAY()-Q94)</f>
        <v/>
      </c>
      <c r="X94" s="51" t="str">
        <f aca="true">IF(F94="","",IF(OR(O94="Won",O94="Lost"),"Closed",IF(S94="","No date set",IF(S94&lt;TODAY(),"Overdue",IF(S94=TODAY(),"Due today","Upcoming")))))</f>
        <v/>
      </c>
    </row>
    <row r="95" customFormat="false" ht="15" hidden="false" customHeight="false" outlineLevel="0" collapsed="false">
      <c r="A95" s="16" t="s">
        <v>322</v>
      </c>
      <c r="B95" s="18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8"/>
      <c r="R95" s="16"/>
      <c r="S95" s="18"/>
      <c r="T95" s="24"/>
      <c r="U95" s="23"/>
      <c r="V95" s="52"/>
      <c r="W95" s="50" t="str">
        <f aca="true">IF(Q95="","",TODAY()-Q95)</f>
        <v/>
      </c>
      <c r="X95" s="51" t="str">
        <f aca="true">IF(F95="","",IF(OR(O95="Won",O95="Lost"),"Closed",IF(S95="","No date set",IF(S95&lt;TODAY(),"Overdue",IF(S95=TODAY(),"Due today","Upcoming")))))</f>
        <v/>
      </c>
    </row>
    <row r="96" customFormat="false" ht="15" hidden="false" customHeight="false" outlineLevel="0" collapsed="false">
      <c r="A96" s="16" t="s">
        <v>323</v>
      </c>
      <c r="B96" s="18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8"/>
      <c r="R96" s="16"/>
      <c r="S96" s="18"/>
      <c r="T96" s="24"/>
      <c r="U96" s="23"/>
      <c r="V96" s="52"/>
      <c r="W96" s="50" t="str">
        <f aca="true">IF(Q96="","",TODAY()-Q96)</f>
        <v/>
      </c>
      <c r="X96" s="51" t="str">
        <f aca="true">IF(F96="","",IF(OR(O96="Won",O96="Lost"),"Closed",IF(S96="","No date set",IF(S96&lt;TODAY(),"Overdue",IF(S96=TODAY(),"Due today","Upcoming")))))</f>
        <v/>
      </c>
    </row>
    <row r="97" customFormat="false" ht="15" hidden="false" customHeight="false" outlineLevel="0" collapsed="false">
      <c r="A97" s="16" t="s">
        <v>324</v>
      </c>
      <c r="B97" s="18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8"/>
      <c r="R97" s="16"/>
      <c r="S97" s="18"/>
      <c r="T97" s="24"/>
      <c r="U97" s="23"/>
      <c r="V97" s="52"/>
      <c r="W97" s="50" t="str">
        <f aca="true">IF(Q97="","",TODAY()-Q97)</f>
        <v/>
      </c>
      <c r="X97" s="51" t="str">
        <f aca="true">IF(F97="","",IF(OR(O97="Won",O97="Lost"),"Closed",IF(S97="","No date set",IF(S97&lt;TODAY(),"Overdue",IF(S97=TODAY(),"Due today","Upcoming")))))</f>
        <v/>
      </c>
    </row>
    <row r="98" customFormat="false" ht="15" hidden="false" customHeight="false" outlineLevel="0" collapsed="false">
      <c r="A98" s="16" t="s">
        <v>325</v>
      </c>
      <c r="B98" s="18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8"/>
      <c r="R98" s="16"/>
      <c r="S98" s="18"/>
      <c r="T98" s="24"/>
      <c r="U98" s="23"/>
      <c r="V98" s="52"/>
      <c r="W98" s="50" t="str">
        <f aca="true">IF(Q98="","",TODAY()-Q98)</f>
        <v/>
      </c>
      <c r="X98" s="51" t="str">
        <f aca="true">IF(F98="","",IF(OR(O98="Won",O98="Lost"),"Closed",IF(S98="","No date set",IF(S98&lt;TODAY(),"Overdue",IF(S98=TODAY(),"Due today","Upcoming")))))</f>
        <v/>
      </c>
    </row>
    <row r="99" customFormat="false" ht="15" hidden="false" customHeight="false" outlineLevel="0" collapsed="false">
      <c r="A99" s="16" t="s">
        <v>326</v>
      </c>
      <c r="B99" s="18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8"/>
      <c r="R99" s="16"/>
      <c r="S99" s="18"/>
      <c r="T99" s="24"/>
      <c r="U99" s="23"/>
      <c r="V99" s="52"/>
      <c r="W99" s="50" t="str">
        <f aca="true">IF(Q99="","",TODAY()-Q99)</f>
        <v/>
      </c>
      <c r="X99" s="51" t="str">
        <f aca="true">IF(F99="","",IF(OR(O99="Won",O99="Lost"),"Closed",IF(S99="","No date set",IF(S99&lt;TODAY(),"Overdue",IF(S99=TODAY(),"Due today","Upcoming")))))</f>
        <v/>
      </c>
    </row>
    <row r="100" customFormat="false" ht="15" hidden="false" customHeight="false" outlineLevel="0" collapsed="false">
      <c r="A100" s="16" t="s">
        <v>327</v>
      </c>
      <c r="B100" s="18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8"/>
      <c r="R100" s="16"/>
      <c r="S100" s="18"/>
      <c r="T100" s="24"/>
      <c r="U100" s="23"/>
      <c r="V100" s="52"/>
      <c r="W100" s="50" t="str">
        <f aca="true">IF(Q100="","",TODAY()-Q100)</f>
        <v/>
      </c>
      <c r="X100" s="51" t="str">
        <f aca="true">IF(F100="","",IF(OR(O100="Won",O100="Lost"),"Closed",IF(S100="","No date set",IF(S100&lt;TODAY(),"Overdue",IF(S100=TODAY(),"Due today","Upcoming")))))</f>
        <v/>
      </c>
    </row>
    <row r="101" customFormat="false" ht="15" hidden="false" customHeight="false" outlineLevel="0" collapsed="false">
      <c r="A101" s="16" t="s">
        <v>328</v>
      </c>
      <c r="B101" s="18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8"/>
      <c r="R101" s="16"/>
      <c r="S101" s="18"/>
      <c r="T101" s="24"/>
      <c r="U101" s="23"/>
      <c r="V101" s="52"/>
      <c r="W101" s="50" t="str">
        <f aca="true">IF(Q101="","",TODAY()-Q101)</f>
        <v/>
      </c>
      <c r="X101" s="51" t="str">
        <f aca="true">IF(F101="","",IF(OR(O101="Won",O101="Lost"),"Closed",IF(S101="","No date set",IF(S101&lt;TODAY(),"Overdue",IF(S101=TODAY(),"Due today","Upcoming")))))</f>
        <v/>
      </c>
    </row>
    <row r="102" customFormat="false" ht="15" hidden="false" customHeight="false" outlineLevel="0" collapsed="false">
      <c r="A102" s="16" t="s">
        <v>329</v>
      </c>
      <c r="B102" s="18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8"/>
      <c r="R102" s="16"/>
      <c r="S102" s="18"/>
      <c r="T102" s="24"/>
      <c r="U102" s="23"/>
      <c r="V102" s="52"/>
      <c r="W102" s="50" t="str">
        <f aca="true">IF(Q102="","",TODAY()-Q102)</f>
        <v/>
      </c>
      <c r="X102" s="51" t="str">
        <f aca="true">IF(F102="","",IF(OR(O102="Won",O102="Lost"),"Closed",IF(S102="","No date set",IF(S102&lt;TODAY(),"Overdue",IF(S102=TODAY(),"Due today","Upcoming")))))</f>
        <v/>
      </c>
    </row>
    <row r="103" customFormat="false" ht="15" hidden="false" customHeight="false" outlineLevel="0" collapsed="false">
      <c r="A103" s="16" t="s">
        <v>330</v>
      </c>
      <c r="B103" s="18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8"/>
      <c r="R103" s="16"/>
      <c r="S103" s="18"/>
      <c r="T103" s="24"/>
      <c r="U103" s="23"/>
      <c r="V103" s="52"/>
      <c r="W103" s="50" t="str">
        <f aca="true">IF(Q103="","",TODAY()-Q103)</f>
        <v/>
      </c>
      <c r="X103" s="51" t="str">
        <f aca="true">IF(F103="","",IF(OR(O103="Won",O103="Lost"),"Closed",IF(S103="","No date set",IF(S103&lt;TODAY(),"Overdue",IF(S103=TODAY(),"Due today","Upcoming")))))</f>
        <v/>
      </c>
    </row>
    <row r="104" customFormat="false" ht="15" hidden="false" customHeight="false" outlineLevel="0" collapsed="false">
      <c r="A104" s="16" t="s">
        <v>331</v>
      </c>
      <c r="B104" s="18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8"/>
      <c r="R104" s="16"/>
      <c r="S104" s="18"/>
      <c r="T104" s="24"/>
      <c r="U104" s="23"/>
      <c r="V104" s="52"/>
      <c r="W104" s="50" t="str">
        <f aca="true">IF(Q104="","",TODAY()-Q104)</f>
        <v/>
      </c>
      <c r="X104" s="51" t="str">
        <f aca="true">IF(F104="","",IF(OR(O104="Won",O104="Lost"),"Closed",IF(S104="","No date set",IF(S104&lt;TODAY(),"Overdue",IF(S104=TODAY(),"Due today","Upcoming")))))</f>
        <v/>
      </c>
    </row>
    <row r="105" customFormat="false" ht="15" hidden="false" customHeight="false" outlineLevel="0" collapsed="false">
      <c r="A105" s="16" t="s">
        <v>332</v>
      </c>
      <c r="B105" s="18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8"/>
      <c r="R105" s="16"/>
      <c r="S105" s="18"/>
      <c r="T105" s="24"/>
      <c r="U105" s="23"/>
      <c r="V105" s="52"/>
      <c r="W105" s="50" t="str">
        <f aca="true">IF(Q105="","",TODAY()-Q105)</f>
        <v/>
      </c>
      <c r="X105" s="51" t="str">
        <f aca="true">IF(F105="","",IF(OR(O105="Won",O105="Lost"),"Closed",IF(S105="","No date set",IF(S105&lt;TODAY(),"Overdue",IF(S105=TODAY(),"Due today","Upcoming")))))</f>
        <v/>
      </c>
    </row>
    <row r="106" customFormat="false" ht="15" hidden="false" customHeight="false" outlineLevel="0" collapsed="false">
      <c r="A106" s="16" t="s">
        <v>333</v>
      </c>
      <c r="B106" s="18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8"/>
      <c r="R106" s="16"/>
      <c r="S106" s="18"/>
      <c r="T106" s="24"/>
      <c r="U106" s="23"/>
      <c r="V106" s="52"/>
      <c r="W106" s="50" t="str">
        <f aca="true">IF(Q106="","",TODAY()-Q106)</f>
        <v/>
      </c>
      <c r="X106" s="51" t="str">
        <f aca="true">IF(F106="","",IF(OR(O106="Won",O106="Lost"),"Closed",IF(S106="","No date set",IF(S106&lt;TODAY(),"Overdue",IF(S106=TODAY(),"Due today","Upcoming")))))</f>
        <v/>
      </c>
    </row>
    <row r="107" customFormat="false" ht="15" hidden="false" customHeight="false" outlineLevel="0" collapsed="false">
      <c r="A107" s="16" t="s">
        <v>334</v>
      </c>
      <c r="B107" s="18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8"/>
      <c r="R107" s="16"/>
      <c r="S107" s="18"/>
      <c r="T107" s="24"/>
      <c r="U107" s="23"/>
      <c r="V107" s="52"/>
      <c r="W107" s="50" t="str">
        <f aca="true">IF(Q107="","",TODAY()-Q107)</f>
        <v/>
      </c>
      <c r="X107" s="51" t="str">
        <f aca="true">IF(F107="","",IF(OR(O107="Won",O107="Lost"),"Closed",IF(S107="","No date set",IF(S107&lt;TODAY(),"Overdue",IF(S107=TODAY(),"Due today","Upcoming")))))</f>
        <v/>
      </c>
    </row>
    <row r="108" customFormat="false" ht="15" hidden="false" customHeight="false" outlineLevel="0" collapsed="false">
      <c r="A108" s="16" t="s">
        <v>335</v>
      </c>
      <c r="B108" s="18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8"/>
      <c r="R108" s="16"/>
      <c r="S108" s="18"/>
      <c r="T108" s="24"/>
      <c r="U108" s="23"/>
      <c r="V108" s="52"/>
      <c r="W108" s="50" t="str">
        <f aca="true">IF(Q108="","",TODAY()-Q108)</f>
        <v/>
      </c>
      <c r="X108" s="51" t="str">
        <f aca="true">IF(F108="","",IF(OR(O108="Won",O108="Lost"),"Closed",IF(S108="","No date set",IF(S108&lt;TODAY(),"Overdue",IF(S108=TODAY(),"Due today","Upcoming")))))</f>
        <v/>
      </c>
    </row>
    <row r="109" customFormat="false" ht="15" hidden="false" customHeight="false" outlineLevel="0" collapsed="false">
      <c r="A109" s="16" t="s">
        <v>336</v>
      </c>
      <c r="B109" s="18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8"/>
      <c r="R109" s="16"/>
      <c r="S109" s="18"/>
      <c r="T109" s="24"/>
      <c r="U109" s="23"/>
      <c r="V109" s="52"/>
      <c r="W109" s="50" t="str">
        <f aca="true">IF(Q109="","",TODAY()-Q109)</f>
        <v/>
      </c>
      <c r="X109" s="51" t="str">
        <f aca="true">IF(F109="","",IF(OR(O109="Won",O109="Lost"),"Closed",IF(S109="","No date set",IF(S109&lt;TODAY(),"Overdue",IF(S109=TODAY(),"Due today","Upcoming")))))</f>
        <v/>
      </c>
    </row>
    <row r="110" customFormat="false" ht="15" hidden="false" customHeight="false" outlineLevel="0" collapsed="false">
      <c r="A110" s="16" t="s">
        <v>337</v>
      </c>
      <c r="B110" s="18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8"/>
      <c r="R110" s="16"/>
      <c r="S110" s="18"/>
      <c r="T110" s="24"/>
      <c r="U110" s="23"/>
      <c r="V110" s="52"/>
      <c r="W110" s="50" t="str">
        <f aca="true">IF(Q110="","",TODAY()-Q110)</f>
        <v/>
      </c>
      <c r="X110" s="51" t="str">
        <f aca="true">IF(F110="","",IF(OR(O110="Won",O110="Lost"),"Closed",IF(S110="","No date set",IF(S110&lt;TODAY(),"Overdue",IF(S110=TODAY(),"Due today","Upcoming")))))</f>
        <v/>
      </c>
    </row>
    <row r="111" customFormat="false" ht="15" hidden="false" customHeight="false" outlineLevel="0" collapsed="false">
      <c r="A111" s="16" t="s">
        <v>338</v>
      </c>
      <c r="B111" s="18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8"/>
      <c r="R111" s="16"/>
      <c r="S111" s="18"/>
      <c r="T111" s="24"/>
      <c r="U111" s="23"/>
      <c r="V111" s="52"/>
      <c r="W111" s="50" t="str">
        <f aca="true">IF(Q111="","",TODAY()-Q111)</f>
        <v/>
      </c>
      <c r="X111" s="51" t="str">
        <f aca="true">IF(F111="","",IF(OR(O111="Won",O111="Lost"),"Closed",IF(S111="","No date set",IF(S111&lt;TODAY(),"Overdue",IF(S111=TODAY(),"Due today","Upcoming")))))</f>
        <v/>
      </c>
    </row>
    <row r="112" customFormat="false" ht="15" hidden="false" customHeight="false" outlineLevel="0" collapsed="false">
      <c r="A112" s="16" t="s">
        <v>339</v>
      </c>
      <c r="B112" s="18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8"/>
      <c r="R112" s="16"/>
      <c r="S112" s="18"/>
      <c r="T112" s="24"/>
      <c r="U112" s="23"/>
      <c r="V112" s="52"/>
      <c r="W112" s="50" t="str">
        <f aca="true">IF(Q112="","",TODAY()-Q112)</f>
        <v/>
      </c>
      <c r="X112" s="51" t="str">
        <f aca="true">IF(F112="","",IF(OR(O112="Won",O112="Lost"),"Closed",IF(S112="","No date set",IF(S112&lt;TODAY(),"Overdue",IF(S112=TODAY(),"Due today","Upcoming")))))</f>
        <v/>
      </c>
    </row>
    <row r="113" customFormat="false" ht="15" hidden="false" customHeight="false" outlineLevel="0" collapsed="false">
      <c r="A113" s="16" t="s">
        <v>340</v>
      </c>
      <c r="B113" s="18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8"/>
      <c r="R113" s="16"/>
      <c r="S113" s="18"/>
      <c r="T113" s="24"/>
      <c r="U113" s="23"/>
      <c r="V113" s="52"/>
      <c r="W113" s="50" t="str">
        <f aca="true">IF(Q113="","",TODAY()-Q113)</f>
        <v/>
      </c>
      <c r="X113" s="51" t="str">
        <f aca="true">IF(F113="","",IF(OR(O113="Won",O113="Lost"),"Closed",IF(S113="","No date set",IF(S113&lt;TODAY(),"Overdue",IF(S113=TODAY(),"Due today","Upcoming")))))</f>
        <v/>
      </c>
    </row>
    <row r="114" customFormat="false" ht="15" hidden="false" customHeight="false" outlineLevel="0" collapsed="false">
      <c r="A114" s="16" t="s">
        <v>341</v>
      </c>
      <c r="B114" s="18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8"/>
      <c r="R114" s="16"/>
      <c r="S114" s="18"/>
      <c r="T114" s="24"/>
      <c r="U114" s="23"/>
      <c r="V114" s="52"/>
      <c r="W114" s="50" t="str">
        <f aca="true">IF(Q114="","",TODAY()-Q114)</f>
        <v/>
      </c>
      <c r="X114" s="51" t="str">
        <f aca="true">IF(F114="","",IF(OR(O114="Won",O114="Lost"),"Closed",IF(S114="","No date set",IF(S114&lt;TODAY(),"Overdue",IF(S114=TODAY(),"Due today","Upcoming")))))</f>
        <v/>
      </c>
    </row>
    <row r="115" customFormat="false" ht="15" hidden="false" customHeight="false" outlineLevel="0" collapsed="false">
      <c r="A115" s="16" t="s">
        <v>342</v>
      </c>
      <c r="B115" s="18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8"/>
      <c r="R115" s="16"/>
      <c r="S115" s="18"/>
      <c r="T115" s="24"/>
      <c r="U115" s="23"/>
      <c r="V115" s="52"/>
      <c r="W115" s="50" t="str">
        <f aca="true">IF(Q115="","",TODAY()-Q115)</f>
        <v/>
      </c>
      <c r="X115" s="51" t="str">
        <f aca="true">IF(F115="","",IF(OR(O115="Won",O115="Lost"),"Closed",IF(S115="","No date set",IF(S115&lt;TODAY(),"Overdue",IF(S115=TODAY(),"Due today","Upcoming")))))</f>
        <v/>
      </c>
    </row>
    <row r="116" customFormat="false" ht="15" hidden="false" customHeight="false" outlineLevel="0" collapsed="false">
      <c r="A116" s="16" t="s">
        <v>343</v>
      </c>
      <c r="B116" s="18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8"/>
      <c r="R116" s="16"/>
      <c r="S116" s="18"/>
      <c r="T116" s="24"/>
      <c r="U116" s="23"/>
      <c r="V116" s="52"/>
      <c r="W116" s="50" t="str">
        <f aca="true">IF(Q116="","",TODAY()-Q116)</f>
        <v/>
      </c>
      <c r="X116" s="51" t="str">
        <f aca="true">IF(F116="","",IF(OR(O116="Won",O116="Lost"),"Closed",IF(S116="","No date set",IF(S116&lt;TODAY(),"Overdue",IF(S116=TODAY(),"Due today","Upcoming")))))</f>
        <v/>
      </c>
    </row>
    <row r="117" customFormat="false" ht="15" hidden="false" customHeight="false" outlineLevel="0" collapsed="false">
      <c r="A117" s="16" t="s">
        <v>344</v>
      </c>
      <c r="B117" s="18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8"/>
      <c r="R117" s="16"/>
      <c r="S117" s="18"/>
      <c r="T117" s="24"/>
      <c r="U117" s="23"/>
      <c r="V117" s="52"/>
      <c r="W117" s="50" t="str">
        <f aca="true">IF(Q117="","",TODAY()-Q117)</f>
        <v/>
      </c>
      <c r="X117" s="51" t="str">
        <f aca="true">IF(F117="","",IF(OR(O117="Won",O117="Lost"),"Closed",IF(S117="","No date set",IF(S117&lt;TODAY(),"Overdue",IF(S117=TODAY(),"Due today","Upcoming")))))</f>
        <v/>
      </c>
    </row>
    <row r="118" customFormat="false" ht="15" hidden="false" customHeight="false" outlineLevel="0" collapsed="false">
      <c r="A118" s="16" t="s">
        <v>345</v>
      </c>
      <c r="B118" s="18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8"/>
      <c r="R118" s="16"/>
      <c r="S118" s="18"/>
      <c r="T118" s="24"/>
      <c r="U118" s="23"/>
      <c r="V118" s="52"/>
      <c r="W118" s="50" t="str">
        <f aca="true">IF(Q118="","",TODAY()-Q118)</f>
        <v/>
      </c>
      <c r="X118" s="51" t="str">
        <f aca="true">IF(F118="","",IF(OR(O118="Won",O118="Lost"),"Closed",IF(S118="","No date set",IF(S118&lt;TODAY(),"Overdue",IF(S118=TODAY(),"Due today","Upcoming")))))</f>
        <v/>
      </c>
    </row>
    <row r="119" customFormat="false" ht="15" hidden="false" customHeight="false" outlineLevel="0" collapsed="false">
      <c r="A119" s="16" t="s">
        <v>346</v>
      </c>
      <c r="B119" s="18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8"/>
      <c r="R119" s="16"/>
      <c r="S119" s="18"/>
      <c r="T119" s="24"/>
      <c r="U119" s="23"/>
      <c r="V119" s="52"/>
      <c r="W119" s="50" t="str">
        <f aca="true">IF(Q119="","",TODAY()-Q119)</f>
        <v/>
      </c>
      <c r="X119" s="51" t="str">
        <f aca="true">IF(F119="","",IF(OR(O119="Won",O119="Lost"),"Closed",IF(S119="","No date set",IF(S119&lt;TODAY(),"Overdue",IF(S119=TODAY(),"Due today","Upcoming")))))</f>
        <v/>
      </c>
    </row>
    <row r="120" customFormat="false" ht="15" hidden="false" customHeight="false" outlineLevel="0" collapsed="false">
      <c r="A120" s="16" t="s">
        <v>347</v>
      </c>
      <c r="B120" s="18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8"/>
      <c r="R120" s="16"/>
      <c r="S120" s="18"/>
      <c r="T120" s="24"/>
      <c r="U120" s="23"/>
      <c r="V120" s="52"/>
      <c r="W120" s="50" t="str">
        <f aca="true">IF(Q120="","",TODAY()-Q120)</f>
        <v/>
      </c>
      <c r="X120" s="51" t="str">
        <f aca="true">IF(F120="","",IF(OR(O120="Won",O120="Lost"),"Closed",IF(S120="","No date set",IF(S120&lt;TODAY(),"Overdue",IF(S120=TODAY(),"Due today","Upcoming")))))</f>
        <v/>
      </c>
    </row>
    <row r="121" customFormat="false" ht="15" hidden="false" customHeight="false" outlineLevel="0" collapsed="false">
      <c r="A121" s="16" t="s">
        <v>348</v>
      </c>
      <c r="B121" s="18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8"/>
      <c r="R121" s="16"/>
      <c r="S121" s="18"/>
      <c r="T121" s="24"/>
      <c r="U121" s="23"/>
      <c r="V121" s="52"/>
      <c r="W121" s="50" t="str">
        <f aca="true">IF(Q121="","",TODAY()-Q121)</f>
        <v/>
      </c>
      <c r="X121" s="51" t="str">
        <f aca="true">IF(F121="","",IF(OR(O121="Won",O121="Lost"),"Closed",IF(S121="","No date set",IF(S121&lt;TODAY(),"Overdue",IF(S121=TODAY(),"Due today","Upcoming")))))</f>
        <v/>
      </c>
    </row>
    <row r="122" customFormat="false" ht="15" hidden="false" customHeight="false" outlineLevel="0" collapsed="false">
      <c r="A122" s="16" t="s">
        <v>349</v>
      </c>
      <c r="B122" s="18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8"/>
      <c r="R122" s="16"/>
      <c r="S122" s="18"/>
      <c r="T122" s="24"/>
      <c r="U122" s="23"/>
      <c r="V122" s="52"/>
      <c r="W122" s="50" t="str">
        <f aca="true">IF(Q122="","",TODAY()-Q122)</f>
        <v/>
      </c>
      <c r="X122" s="51" t="str">
        <f aca="true">IF(F122="","",IF(OR(O122="Won",O122="Lost"),"Closed",IF(S122="","No date set",IF(S122&lt;TODAY(),"Overdue",IF(S122=TODAY(),"Due today","Upcoming")))))</f>
        <v/>
      </c>
    </row>
    <row r="123" customFormat="false" ht="15" hidden="false" customHeight="false" outlineLevel="0" collapsed="false">
      <c r="A123" s="16" t="s">
        <v>350</v>
      </c>
      <c r="B123" s="18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8"/>
      <c r="R123" s="16"/>
      <c r="S123" s="18"/>
      <c r="T123" s="24"/>
      <c r="U123" s="23"/>
      <c r="V123" s="52"/>
      <c r="W123" s="50" t="str">
        <f aca="true">IF(Q123="","",TODAY()-Q123)</f>
        <v/>
      </c>
      <c r="X123" s="51" t="str">
        <f aca="true">IF(F123="","",IF(OR(O123="Won",O123="Lost"),"Closed",IF(S123="","No date set",IF(S123&lt;TODAY(),"Overdue",IF(S123=TODAY(),"Due today","Upcoming")))))</f>
        <v/>
      </c>
    </row>
    <row r="124" customFormat="false" ht="15" hidden="false" customHeight="false" outlineLevel="0" collapsed="false">
      <c r="A124" s="16" t="s">
        <v>351</v>
      </c>
      <c r="B124" s="18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8"/>
      <c r="R124" s="16"/>
      <c r="S124" s="18"/>
      <c r="T124" s="24"/>
      <c r="U124" s="23"/>
      <c r="V124" s="52"/>
      <c r="W124" s="50" t="str">
        <f aca="true">IF(Q124="","",TODAY()-Q124)</f>
        <v/>
      </c>
      <c r="X124" s="51" t="str">
        <f aca="true">IF(F124="","",IF(OR(O124="Won",O124="Lost"),"Closed",IF(S124="","No date set",IF(S124&lt;TODAY(),"Overdue",IF(S124=TODAY(),"Due today","Upcoming")))))</f>
        <v/>
      </c>
    </row>
    <row r="125" customFormat="false" ht="15" hidden="false" customHeight="false" outlineLevel="0" collapsed="false">
      <c r="A125" s="16" t="s">
        <v>352</v>
      </c>
      <c r="B125" s="18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8"/>
      <c r="R125" s="16"/>
      <c r="S125" s="18"/>
      <c r="T125" s="24"/>
      <c r="U125" s="23"/>
      <c r="V125" s="52"/>
      <c r="W125" s="50" t="str">
        <f aca="true">IF(Q125="","",TODAY()-Q125)</f>
        <v/>
      </c>
      <c r="X125" s="51" t="str">
        <f aca="true">IF(F125="","",IF(OR(O125="Won",O125="Lost"),"Closed",IF(S125="","No date set",IF(S125&lt;TODAY(),"Overdue",IF(S125=TODAY(),"Due today","Upcoming")))))</f>
        <v/>
      </c>
    </row>
    <row r="126" customFormat="false" ht="15" hidden="false" customHeight="false" outlineLevel="0" collapsed="false">
      <c r="A126" s="16" t="s">
        <v>353</v>
      </c>
      <c r="B126" s="18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8"/>
      <c r="R126" s="16"/>
      <c r="S126" s="18"/>
      <c r="T126" s="24"/>
      <c r="U126" s="23"/>
      <c r="V126" s="52"/>
      <c r="W126" s="50" t="str">
        <f aca="true">IF(Q126="","",TODAY()-Q126)</f>
        <v/>
      </c>
      <c r="X126" s="51" t="str">
        <f aca="true">IF(F126="","",IF(OR(O126="Won",O126="Lost"),"Closed",IF(S126="","No date set",IF(S126&lt;TODAY(),"Overdue",IF(S126=TODAY(),"Due today","Upcoming")))))</f>
        <v/>
      </c>
    </row>
    <row r="127" customFormat="false" ht="15" hidden="false" customHeight="false" outlineLevel="0" collapsed="false">
      <c r="A127" s="16" t="s">
        <v>354</v>
      </c>
      <c r="B127" s="18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8"/>
      <c r="R127" s="16"/>
      <c r="S127" s="18"/>
      <c r="T127" s="24"/>
      <c r="U127" s="23"/>
      <c r="V127" s="52"/>
      <c r="W127" s="50" t="str">
        <f aca="true">IF(Q127="","",TODAY()-Q127)</f>
        <v/>
      </c>
      <c r="X127" s="51" t="str">
        <f aca="true">IF(F127="","",IF(OR(O127="Won",O127="Lost"),"Closed",IF(S127="","No date set",IF(S127&lt;TODAY(),"Overdue",IF(S127=TODAY(),"Due today","Upcoming")))))</f>
        <v/>
      </c>
    </row>
    <row r="128" customFormat="false" ht="15" hidden="false" customHeight="false" outlineLevel="0" collapsed="false">
      <c r="A128" s="16" t="s">
        <v>355</v>
      </c>
      <c r="B128" s="18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8"/>
      <c r="R128" s="16"/>
      <c r="S128" s="18"/>
      <c r="T128" s="24"/>
      <c r="U128" s="23"/>
      <c r="V128" s="52"/>
      <c r="W128" s="50" t="str">
        <f aca="true">IF(Q128="","",TODAY()-Q128)</f>
        <v/>
      </c>
      <c r="X128" s="51" t="str">
        <f aca="true">IF(F128="","",IF(OR(O128="Won",O128="Lost"),"Closed",IF(S128="","No date set",IF(S128&lt;TODAY(),"Overdue",IF(S128=TODAY(),"Due today","Upcoming")))))</f>
        <v/>
      </c>
    </row>
    <row r="129" customFormat="false" ht="15" hidden="false" customHeight="false" outlineLevel="0" collapsed="false">
      <c r="A129" s="16" t="s">
        <v>356</v>
      </c>
      <c r="B129" s="18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8"/>
      <c r="R129" s="16"/>
      <c r="S129" s="18"/>
      <c r="T129" s="24"/>
      <c r="U129" s="23"/>
      <c r="V129" s="52"/>
      <c r="W129" s="50" t="str">
        <f aca="true">IF(Q129="","",TODAY()-Q129)</f>
        <v/>
      </c>
      <c r="X129" s="51" t="str">
        <f aca="true">IF(F129="","",IF(OR(O129="Won",O129="Lost"),"Closed",IF(S129="","No date set",IF(S129&lt;TODAY(),"Overdue",IF(S129=TODAY(),"Due today","Upcoming")))))</f>
        <v/>
      </c>
    </row>
    <row r="130" customFormat="false" ht="15" hidden="false" customHeight="false" outlineLevel="0" collapsed="false">
      <c r="A130" s="16" t="s">
        <v>357</v>
      </c>
      <c r="B130" s="18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8"/>
      <c r="R130" s="16"/>
      <c r="S130" s="18"/>
      <c r="T130" s="24"/>
      <c r="U130" s="23"/>
      <c r="V130" s="52"/>
      <c r="W130" s="50" t="str">
        <f aca="true">IF(Q130="","",TODAY()-Q130)</f>
        <v/>
      </c>
      <c r="X130" s="51" t="str">
        <f aca="true">IF(F130="","",IF(OR(O130="Won",O130="Lost"),"Closed",IF(S130="","No date set",IF(S130&lt;TODAY(),"Overdue",IF(S130=TODAY(),"Due today","Upcoming")))))</f>
        <v/>
      </c>
    </row>
    <row r="131" customFormat="false" ht="15" hidden="false" customHeight="false" outlineLevel="0" collapsed="false">
      <c r="A131" s="16" t="s">
        <v>358</v>
      </c>
      <c r="B131" s="18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8"/>
      <c r="R131" s="16"/>
      <c r="S131" s="18"/>
      <c r="T131" s="24"/>
      <c r="U131" s="23"/>
      <c r="V131" s="52"/>
      <c r="W131" s="50" t="str">
        <f aca="true">IF(Q131="","",TODAY()-Q131)</f>
        <v/>
      </c>
      <c r="X131" s="51" t="str">
        <f aca="true">IF(F131="","",IF(OR(O131="Won",O131="Lost"),"Closed",IF(S131="","No date set",IF(S131&lt;TODAY(),"Overdue",IF(S131=TODAY(),"Due today","Upcoming")))))</f>
        <v/>
      </c>
    </row>
    <row r="132" customFormat="false" ht="15" hidden="false" customHeight="false" outlineLevel="0" collapsed="false">
      <c r="A132" s="16" t="s">
        <v>359</v>
      </c>
      <c r="B132" s="18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8"/>
      <c r="R132" s="16"/>
      <c r="S132" s="18"/>
      <c r="T132" s="24"/>
      <c r="U132" s="23"/>
      <c r="V132" s="52"/>
      <c r="W132" s="50" t="str">
        <f aca="true">IF(Q132="","",TODAY()-Q132)</f>
        <v/>
      </c>
      <c r="X132" s="51" t="str">
        <f aca="true">IF(F132="","",IF(OR(O132="Won",O132="Lost"),"Closed",IF(S132="","No date set",IF(S132&lt;TODAY(),"Overdue",IF(S132=TODAY(),"Due today","Upcoming")))))</f>
        <v/>
      </c>
    </row>
    <row r="133" customFormat="false" ht="15" hidden="false" customHeight="false" outlineLevel="0" collapsed="false">
      <c r="A133" s="16" t="s">
        <v>360</v>
      </c>
      <c r="B133" s="18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8"/>
      <c r="R133" s="16"/>
      <c r="S133" s="18"/>
      <c r="T133" s="24"/>
      <c r="U133" s="23"/>
      <c r="V133" s="52"/>
      <c r="W133" s="50" t="str">
        <f aca="true">IF(Q133="","",TODAY()-Q133)</f>
        <v/>
      </c>
      <c r="X133" s="51" t="str">
        <f aca="true">IF(F133="","",IF(OR(O133="Won",O133="Lost"),"Closed",IF(S133="","No date set",IF(S133&lt;TODAY(),"Overdue",IF(S133=TODAY(),"Due today","Upcoming")))))</f>
        <v/>
      </c>
    </row>
    <row r="134" customFormat="false" ht="15" hidden="false" customHeight="false" outlineLevel="0" collapsed="false">
      <c r="A134" s="16" t="s">
        <v>361</v>
      </c>
      <c r="B134" s="18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8"/>
      <c r="R134" s="16"/>
      <c r="S134" s="18"/>
      <c r="T134" s="24"/>
      <c r="U134" s="23"/>
      <c r="V134" s="52"/>
      <c r="W134" s="50" t="str">
        <f aca="true">IF(Q134="","",TODAY()-Q134)</f>
        <v/>
      </c>
      <c r="X134" s="51" t="str">
        <f aca="true">IF(F134="","",IF(OR(O134="Won",O134="Lost"),"Closed",IF(S134="","No date set",IF(S134&lt;TODAY(),"Overdue",IF(S134=TODAY(),"Due today","Upcoming")))))</f>
        <v/>
      </c>
    </row>
    <row r="135" customFormat="false" ht="15" hidden="false" customHeight="false" outlineLevel="0" collapsed="false">
      <c r="A135" s="16" t="s">
        <v>362</v>
      </c>
      <c r="B135" s="18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8"/>
      <c r="R135" s="16"/>
      <c r="S135" s="18"/>
      <c r="T135" s="24"/>
      <c r="U135" s="23"/>
      <c r="V135" s="52"/>
      <c r="W135" s="50" t="str">
        <f aca="true">IF(Q135="","",TODAY()-Q135)</f>
        <v/>
      </c>
      <c r="X135" s="51" t="str">
        <f aca="true">IF(F135="","",IF(OR(O135="Won",O135="Lost"),"Closed",IF(S135="","No date set",IF(S135&lt;TODAY(),"Overdue",IF(S135=TODAY(),"Due today","Upcoming")))))</f>
        <v/>
      </c>
    </row>
    <row r="136" customFormat="false" ht="15" hidden="false" customHeight="false" outlineLevel="0" collapsed="false">
      <c r="A136" s="16" t="s">
        <v>363</v>
      </c>
      <c r="B136" s="18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8"/>
      <c r="R136" s="16"/>
      <c r="S136" s="18"/>
      <c r="T136" s="24"/>
      <c r="U136" s="23"/>
      <c r="V136" s="52"/>
      <c r="W136" s="50" t="str">
        <f aca="true">IF(Q136="","",TODAY()-Q136)</f>
        <v/>
      </c>
      <c r="X136" s="51" t="str">
        <f aca="true">IF(F136="","",IF(OR(O136="Won",O136="Lost"),"Closed",IF(S136="","No date set",IF(S136&lt;TODAY(),"Overdue",IF(S136=TODAY(),"Due today","Upcoming")))))</f>
        <v/>
      </c>
    </row>
    <row r="137" customFormat="false" ht="15" hidden="false" customHeight="false" outlineLevel="0" collapsed="false">
      <c r="A137" s="16" t="s">
        <v>364</v>
      </c>
      <c r="B137" s="18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8"/>
      <c r="R137" s="16"/>
      <c r="S137" s="18"/>
      <c r="T137" s="24"/>
      <c r="U137" s="23"/>
      <c r="V137" s="52"/>
      <c r="W137" s="50" t="str">
        <f aca="true">IF(Q137="","",TODAY()-Q137)</f>
        <v/>
      </c>
      <c r="X137" s="51" t="str">
        <f aca="true">IF(F137="","",IF(OR(O137="Won",O137="Lost"),"Closed",IF(S137="","No date set",IF(S137&lt;TODAY(),"Overdue",IF(S137=TODAY(),"Due today","Upcoming")))))</f>
        <v/>
      </c>
    </row>
    <row r="138" customFormat="false" ht="15" hidden="false" customHeight="false" outlineLevel="0" collapsed="false">
      <c r="A138" s="16" t="s">
        <v>365</v>
      </c>
      <c r="B138" s="18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8"/>
      <c r="R138" s="16"/>
      <c r="S138" s="18"/>
      <c r="T138" s="24"/>
      <c r="U138" s="23"/>
      <c r="V138" s="52"/>
      <c r="W138" s="50" t="str">
        <f aca="true">IF(Q138="","",TODAY()-Q138)</f>
        <v/>
      </c>
      <c r="X138" s="51" t="str">
        <f aca="true">IF(F138="","",IF(OR(O138="Won",O138="Lost"),"Closed",IF(S138="","No date set",IF(S138&lt;TODAY(),"Overdue",IF(S138=TODAY(),"Due today","Upcoming")))))</f>
        <v/>
      </c>
    </row>
    <row r="139" customFormat="false" ht="15" hidden="false" customHeight="false" outlineLevel="0" collapsed="false">
      <c r="A139" s="16" t="s">
        <v>366</v>
      </c>
      <c r="B139" s="18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8"/>
      <c r="R139" s="16"/>
      <c r="S139" s="18"/>
      <c r="T139" s="24"/>
      <c r="U139" s="23"/>
      <c r="V139" s="52"/>
      <c r="W139" s="50" t="str">
        <f aca="true">IF(Q139="","",TODAY()-Q139)</f>
        <v/>
      </c>
      <c r="X139" s="51" t="str">
        <f aca="true">IF(F139="","",IF(OR(O139="Won",O139="Lost"),"Closed",IF(S139="","No date set",IF(S139&lt;TODAY(),"Overdue",IF(S139=TODAY(),"Due today","Upcoming")))))</f>
        <v/>
      </c>
    </row>
    <row r="140" customFormat="false" ht="15" hidden="false" customHeight="false" outlineLevel="0" collapsed="false">
      <c r="A140" s="16" t="s">
        <v>367</v>
      </c>
      <c r="B140" s="18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8"/>
      <c r="R140" s="16"/>
      <c r="S140" s="18"/>
      <c r="T140" s="24"/>
      <c r="U140" s="23"/>
      <c r="V140" s="52"/>
      <c r="W140" s="50" t="str">
        <f aca="true">IF(Q140="","",TODAY()-Q140)</f>
        <v/>
      </c>
      <c r="X140" s="51" t="str">
        <f aca="true">IF(F140="","",IF(OR(O140="Won",O140="Lost"),"Closed",IF(S140="","No date set",IF(S140&lt;TODAY(),"Overdue",IF(S140=TODAY(),"Due today","Upcoming")))))</f>
        <v/>
      </c>
    </row>
    <row r="141" customFormat="false" ht="15" hidden="false" customHeight="false" outlineLevel="0" collapsed="false">
      <c r="A141" s="16" t="s">
        <v>368</v>
      </c>
      <c r="B141" s="18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8"/>
      <c r="R141" s="16"/>
      <c r="S141" s="18"/>
      <c r="T141" s="24"/>
      <c r="U141" s="23"/>
      <c r="V141" s="52"/>
      <c r="W141" s="50" t="str">
        <f aca="true">IF(Q141="","",TODAY()-Q141)</f>
        <v/>
      </c>
      <c r="X141" s="51" t="str">
        <f aca="true">IF(F141="","",IF(OR(O141="Won",O141="Lost"),"Closed",IF(S141="","No date set",IF(S141&lt;TODAY(),"Overdue",IF(S141=TODAY(),"Due today","Upcoming")))))</f>
        <v/>
      </c>
    </row>
    <row r="142" customFormat="false" ht="15" hidden="false" customHeight="false" outlineLevel="0" collapsed="false">
      <c r="A142" s="16" t="s">
        <v>369</v>
      </c>
      <c r="B142" s="18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8"/>
      <c r="R142" s="16"/>
      <c r="S142" s="18"/>
      <c r="T142" s="24"/>
      <c r="U142" s="23"/>
      <c r="V142" s="52"/>
      <c r="W142" s="50" t="str">
        <f aca="true">IF(Q142="","",TODAY()-Q142)</f>
        <v/>
      </c>
      <c r="X142" s="51" t="str">
        <f aca="true">IF(F142="","",IF(OR(O142="Won",O142="Lost"),"Closed",IF(S142="","No date set",IF(S142&lt;TODAY(),"Overdue",IF(S142=TODAY(),"Due today","Upcoming")))))</f>
        <v/>
      </c>
    </row>
    <row r="143" customFormat="false" ht="15" hidden="false" customHeight="false" outlineLevel="0" collapsed="false">
      <c r="A143" s="16" t="s">
        <v>370</v>
      </c>
      <c r="B143" s="18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8"/>
      <c r="R143" s="16"/>
      <c r="S143" s="18"/>
      <c r="T143" s="24"/>
      <c r="U143" s="23"/>
      <c r="V143" s="52"/>
      <c r="W143" s="50" t="str">
        <f aca="true">IF(Q143="","",TODAY()-Q143)</f>
        <v/>
      </c>
      <c r="X143" s="51" t="str">
        <f aca="true">IF(F143="","",IF(OR(O143="Won",O143="Lost"),"Closed",IF(S143="","No date set",IF(S143&lt;TODAY(),"Overdue",IF(S143=TODAY(),"Due today","Upcoming")))))</f>
        <v/>
      </c>
    </row>
    <row r="144" customFormat="false" ht="15" hidden="false" customHeight="false" outlineLevel="0" collapsed="false">
      <c r="A144" s="16" t="s">
        <v>371</v>
      </c>
      <c r="B144" s="18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8"/>
      <c r="R144" s="16"/>
      <c r="S144" s="18"/>
      <c r="T144" s="24"/>
      <c r="U144" s="23"/>
      <c r="V144" s="52"/>
      <c r="W144" s="50" t="str">
        <f aca="true">IF(Q144="","",TODAY()-Q144)</f>
        <v/>
      </c>
      <c r="X144" s="51" t="str">
        <f aca="true">IF(F144="","",IF(OR(O144="Won",O144="Lost"),"Closed",IF(S144="","No date set",IF(S144&lt;TODAY(),"Overdue",IF(S144=TODAY(),"Due today","Upcoming")))))</f>
        <v/>
      </c>
    </row>
    <row r="145" customFormat="false" ht="15" hidden="false" customHeight="false" outlineLevel="0" collapsed="false">
      <c r="A145" s="16" t="s">
        <v>372</v>
      </c>
      <c r="B145" s="18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8"/>
      <c r="R145" s="16"/>
      <c r="S145" s="18"/>
      <c r="T145" s="24"/>
      <c r="U145" s="23"/>
      <c r="V145" s="52"/>
      <c r="W145" s="50" t="str">
        <f aca="true">IF(Q145="","",TODAY()-Q145)</f>
        <v/>
      </c>
      <c r="X145" s="51" t="str">
        <f aca="true">IF(F145="","",IF(OR(O145="Won",O145="Lost"),"Closed",IF(S145="","No date set",IF(S145&lt;TODAY(),"Overdue",IF(S145=TODAY(),"Due today","Upcoming")))))</f>
        <v/>
      </c>
    </row>
    <row r="146" customFormat="false" ht="15" hidden="false" customHeight="false" outlineLevel="0" collapsed="false">
      <c r="A146" s="16" t="s">
        <v>373</v>
      </c>
      <c r="B146" s="18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8"/>
      <c r="R146" s="16"/>
      <c r="S146" s="18"/>
      <c r="T146" s="24"/>
      <c r="U146" s="23"/>
      <c r="V146" s="52"/>
      <c r="W146" s="50" t="str">
        <f aca="true">IF(Q146="","",TODAY()-Q146)</f>
        <v/>
      </c>
      <c r="X146" s="51" t="str">
        <f aca="true">IF(F146="","",IF(OR(O146="Won",O146="Lost"),"Closed",IF(S146="","No date set",IF(S146&lt;TODAY(),"Overdue",IF(S146=TODAY(),"Due today","Upcoming")))))</f>
        <v/>
      </c>
    </row>
    <row r="147" customFormat="false" ht="15" hidden="false" customHeight="false" outlineLevel="0" collapsed="false">
      <c r="A147" s="16" t="s">
        <v>374</v>
      </c>
      <c r="B147" s="18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8"/>
      <c r="R147" s="16"/>
      <c r="S147" s="18"/>
      <c r="T147" s="24"/>
      <c r="U147" s="23"/>
      <c r="V147" s="52"/>
      <c r="W147" s="50" t="str">
        <f aca="true">IF(Q147="","",TODAY()-Q147)</f>
        <v/>
      </c>
      <c r="X147" s="51" t="str">
        <f aca="true">IF(F147="","",IF(OR(O147="Won",O147="Lost"),"Closed",IF(S147="","No date set",IF(S147&lt;TODAY(),"Overdue",IF(S147=TODAY(),"Due today","Upcoming")))))</f>
        <v/>
      </c>
    </row>
    <row r="148" customFormat="false" ht="15" hidden="false" customHeight="false" outlineLevel="0" collapsed="false">
      <c r="A148" s="16" t="s">
        <v>375</v>
      </c>
      <c r="B148" s="18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8"/>
      <c r="R148" s="16"/>
      <c r="S148" s="18"/>
      <c r="T148" s="24"/>
      <c r="U148" s="23"/>
      <c r="V148" s="52"/>
      <c r="W148" s="50" t="str">
        <f aca="true">IF(Q148="","",TODAY()-Q148)</f>
        <v/>
      </c>
      <c r="X148" s="51" t="str">
        <f aca="true">IF(F148="","",IF(OR(O148="Won",O148="Lost"),"Closed",IF(S148="","No date set",IF(S148&lt;TODAY(),"Overdue",IF(S148=TODAY(),"Due today","Upcoming")))))</f>
        <v/>
      </c>
    </row>
    <row r="149" customFormat="false" ht="15" hidden="false" customHeight="false" outlineLevel="0" collapsed="false">
      <c r="A149" s="16" t="s">
        <v>376</v>
      </c>
      <c r="B149" s="18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8"/>
      <c r="R149" s="16"/>
      <c r="S149" s="18"/>
      <c r="T149" s="24"/>
      <c r="U149" s="23"/>
      <c r="V149" s="52"/>
      <c r="W149" s="50" t="str">
        <f aca="true">IF(Q149="","",TODAY()-Q149)</f>
        <v/>
      </c>
      <c r="X149" s="51" t="str">
        <f aca="true">IF(F149="","",IF(OR(O149="Won",O149="Lost"),"Closed",IF(S149="","No date set",IF(S149&lt;TODAY(),"Overdue",IF(S149=TODAY(),"Due today","Upcoming")))))</f>
        <v/>
      </c>
    </row>
    <row r="150" customFormat="false" ht="15" hidden="false" customHeight="false" outlineLevel="0" collapsed="false">
      <c r="A150" s="16" t="s">
        <v>377</v>
      </c>
      <c r="B150" s="18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8"/>
      <c r="R150" s="16"/>
      <c r="S150" s="18"/>
      <c r="T150" s="24"/>
      <c r="U150" s="23"/>
      <c r="V150" s="52"/>
      <c r="W150" s="50" t="str">
        <f aca="true">IF(Q150="","",TODAY()-Q150)</f>
        <v/>
      </c>
      <c r="X150" s="51" t="str">
        <f aca="true">IF(F150="","",IF(OR(O150="Won",O150="Lost"),"Closed",IF(S150="","No date set",IF(S150&lt;TODAY(),"Overdue",IF(S150=TODAY(),"Due today","Upcoming")))))</f>
        <v/>
      </c>
    </row>
    <row r="151" customFormat="false" ht="15" hidden="false" customHeight="false" outlineLevel="0" collapsed="false">
      <c r="A151" s="16" t="s">
        <v>378</v>
      </c>
      <c r="B151" s="18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8"/>
      <c r="R151" s="16"/>
      <c r="S151" s="18"/>
      <c r="T151" s="24"/>
      <c r="U151" s="23"/>
      <c r="V151" s="52"/>
      <c r="W151" s="50" t="str">
        <f aca="true">IF(Q151="","",TODAY()-Q151)</f>
        <v/>
      </c>
      <c r="X151" s="51" t="str">
        <f aca="true">IF(F151="","",IF(OR(O151="Won",O151="Lost"),"Closed",IF(S151="","No date set",IF(S151&lt;TODAY(),"Overdue",IF(S151=TODAY(),"Due today","Upcoming")))))</f>
        <v/>
      </c>
    </row>
    <row r="152" customFormat="false" ht="15" hidden="false" customHeight="false" outlineLevel="0" collapsed="false">
      <c r="A152" s="16" t="s">
        <v>379</v>
      </c>
      <c r="B152" s="18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8"/>
      <c r="R152" s="16"/>
      <c r="S152" s="18"/>
      <c r="T152" s="24"/>
      <c r="U152" s="23"/>
      <c r="V152" s="52"/>
      <c r="W152" s="50" t="str">
        <f aca="true">IF(Q152="","",TODAY()-Q152)</f>
        <v/>
      </c>
      <c r="X152" s="51" t="str">
        <f aca="true">IF(F152="","",IF(OR(O152="Won",O152="Lost"),"Closed",IF(S152="","No date set",IF(S152&lt;TODAY(),"Overdue",IF(S152=TODAY(),"Due today","Upcoming")))))</f>
        <v/>
      </c>
    </row>
    <row r="153" customFormat="false" ht="15" hidden="false" customHeight="false" outlineLevel="0" collapsed="false">
      <c r="A153" s="16" t="s">
        <v>380</v>
      </c>
      <c r="B153" s="18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8"/>
      <c r="R153" s="16"/>
      <c r="S153" s="18"/>
      <c r="T153" s="24"/>
      <c r="U153" s="23"/>
      <c r="V153" s="52"/>
      <c r="W153" s="50" t="str">
        <f aca="true">IF(Q153="","",TODAY()-Q153)</f>
        <v/>
      </c>
      <c r="X153" s="51" t="str">
        <f aca="true">IF(F153="","",IF(OR(O153="Won",O153="Lost"),"Closed",IF(S153="","No date set",IF(S153&lt;TODAY(),"Overdue",IF(S153=TODAY(),"Due today","Upcoming")))))</f>
        <v/>
      </c>
    </row>
    <row r="154" customFormat="false" ht="15" hidden="false" customHeight="false" outlineLevel="0" collapsed="false">
      <c r="A154" s="16" t="s">
        <v>381</v>
      </c>
      <c r="B154" s="18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8"/>
      <c r="R154" s="16"/>
      <c r="S154" s="18"/>
      <c r="T154" s="24"/>
      <c r="U154" s="23"/>
      <c r="V154" s="52"/>
      <c r="W154" s="50" t="str">
        <f aca="true">IF(Q154="","",TODAY()-Q154)</f>
        <v/>
      </c>
      <c r="X154" s="51" t="str">
        <f aca="true">IF(F154="","",IF(OR(O154="Won",O154="Lost"),"Closed",IF(S154="","No date set",IF(S154&lt;TODAY(),"Overdue",IF(S154=TODAY(),"Due today","Upcoming")))))</f>
        <v/>
      </c>
    </row>
    <row r="155" customFormat="false" ht="15" hidden="false" customHeight="false" outlineLevel="0" collapsed="false">
      <c r="A155" s="16" t="s">
        <v>382</v>
      </c>
      <c r="B155" s="18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8"/>
      <c r="R155" s="16"/>
      <c r="S155" s="18"/>
      <c r="T155" s="24"/>
      <c r="U155" s="23"/>
      <c r="V155" s="52"/>
      <c r="W155" s="50" t="str">
        <f aca="true">IF(Q155="","",TODAY()-Q155)</f>
        <v/>
      </c>
      <c r="X155" s="51" t="str">
        <f aca="true">IF(F155="","",IF(OR(O155="Won",O155="Lost"),"Closed",IF(S155="","No date set",IF(S155&lt;TODAY(),"Overdue",IF(S155=TODAY(),"Due today","Upcoming")))))</f>
        <v/>
      </c>
    </row>
    <row r="156" customFormat="false" ht="15" hidden="false" customHeight="false" outlineLevel="0" collapsed="false">
      <c r="A156" s="16" t="s">
        <v>383</v>
      </c>
      <c r="B156" s="18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8"/>
      <c r="R156" s="16"/>
      <c r="S156" s="18"/>
      <c r="T156" s="24"/>
      <c r="U156" s="23"/>
      <c r="V156" s="52"/>
      <c r="W156" s="50" t="str">
        <f aca="true">IF(Q156="","",TODAY()-Q156)</f>
        <v/>
      </c>
      <c r="X156" s="51" t="str">
        <f aca="true">IF(F156="","",IF(OR(O156="Won",O156="Lost"),"Closed",IF(S156="","No date set",IF(S156&lt;TODAY(),"Overdue",IF(S156=TODAY(),"Due today","Upcoming")))))</f>
        <v/>
      </c>
    </row>
    <row r="157" customFormat="false" ht="15" hidden="false" customHeight="false" outlineLevel="0" collapsed="false">
      <c r="A157" s="16" t="s">
        <v>384</v>
      </c>
      <c r="B157" s="18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8"/>
      <c r="R157" s="16"/>
      <c r="S157" s="18"/>
      <c r="T157" s="24"/>
      <c r="U157" s="23"/>
      <c r="V157" s="52"/>
      <c r="W157" s="50" t="str">
        <f aca="true">IF(Q157="","",TODAY()-Q157)</f>
        <v/>
      </c>
      <c r="X157" s="51" t="str">
        <f aca="true">IF(F157="","",IF(OR(O157="Won",O157="Lost"),"Closed",IF(S157="","No date set",IF(S157&lt;TODAY(),"Overdue",IF(S157=TODAY(),"Due today","Upcoming")))))</f>
        <v/>
      </c>
    </row>
    <row r="158" customFormat="false" ht="15" hidden="false" customHeight="false" outlineLevel="0" collapsed="false">
      <c r="A158" s="16" t="s">
        <v>385</v>
      </c>
      <c r="B158" s="18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8"/>
      <c r="R158" s="16"/>
      <c r="S158" s="18"/>
      <c r="T158" s="24"/>
      <c r="U158" s="23"/>
      <c r="V158" s="52"/>
      <c r="W158" s="50" t="str">
        <f aca="true">IF(Q158="","",TODAY()-Q158)</f>
        <v/>
      </c>
      <c r="X158" s="51" t="str">
        <f aca="true">IF(F158="","",IF(OR(O158="Won",O158="Lost"),"Closed",IF(S158="","No date set",IF(S158&lt;TODAY(),"Overdue",IF(S158=TODAY(),"Due today","Upcoming")))))</f>
        <v/>
      </c>
    </row>
    <row r="159" customFormat="false" ht="15" hidden="false" customHeight="false" outlineLevel="0" collapsed="false">
      <c r="A159" s="16" t="s">
        <v>386</v>
      </c>
      <c r="B159" s="18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8"/>
      <c r="R159" s="16"/>
      <c r="S159" s="18"/>
      <c r="T159" s="24"/>
      <c r="U159" s="23"/>
      <c r="V159" s="52"/>
      <c r="W159" s="50" t="str">
        <f aca="true">IF(Q159="","",TODAY()-Q159)</f>
        <v/>
      </c>
      <c r="X159" s="51" t="str">
        <f aca="true">IF(F159="","",IF(OR(O159="Won",O159="Lost"),"Closed",IF(S159="","No date set",IF(S159&lt;TODAY(),"Overdue",IF(S159=TODAY(),"Due today","Upcoming")))))</f>
        <v/>
      </c>
    </row>
    <row r="160" customFormat="false" ht="15" hidden="false" customHeight="false" outlineLevel="0" collapsed="false">
      <c r="A160" s="16" t="s">
        <v>387</v>
      </c>
      <c r="B160" s="18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8"/>
      <c r="R160" s="16"/>
      <c r="S160" s="18"/>
      <c r="T160" s="24"/>
      <c r="U160" s="23"/>
      <c r="V160" s="52"/>
      <c r="W160" s="50" t="str">
        <f aca="true">IF(Q160="","",TODAY()-Q160)</f>
        <v/>
      </c>
      <c r="X160" s="51" t="str">
        <f aca="true">IF(F160="","",IF(OR(O160="Won",O160="Lost"),"Closed",IF(S160="","No date set",IF(S160&lt;TODAY(),"Overdue",IF(S160=TODAY(),"Due today","Upcoming")))))</f>
        <v/>
      </c>
    </row>
    <row r="161" customFormat="false" ht="15" hidden="false" customHeight="false" outlineLevel="0" collapsed="false">
      <c r="A161" s="16" t="s">
        <v>388</v>
      </c>
      <c r="B161" s="18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8"/>
      <c r="R161" s="16"/>
      <c r="S161" s="18"/>
      <c r="T161" s="24"/>
      <c r="U161" s="23"/>
      <c r="V161" s="52"/>
      <c r="W161" s="50" t="str">
        <f aca="true">IF(Q161="","",TODAY()-Q161)</f>
        <v/>
      </c>
      <c r="X161" s="51" t="str">
        <f aca="true">IF(F161="","",IF(OR(O161="Won",O161="Lost"),"Closed",IF(S161="","No date set",IF(S161&lt;TODAY(),"Overdue",IF(S161=TODAY(),"Due today","Upcoming")))))</f>
        <v/>
      </c>
    </row>
    <row r="162" customFormat="false" ht="15" hidden="false" customHeight="false" outlineLevel="0" collapsed="false">
      <c r="A162" s="16" t="s">
        <v>389</v>
      </c>
      <c r="B162" s="18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8"/>
      <c r="R162" s="16"/>
      <c r="S162" s="18"/>
      <c r="T162" s="24"/>
      <c r="U162" s="23"/>
      <c r="V162" s="52"/>
      <c r="W162" s="50" t="str">
        <f aca="true">IF(Q162="","",TODAY()-Q162)</f>
        <v/>
      </c>
      <c r="X162" s="51" t="str">
        <f aca="true">IF(F162="","",IF(OR(O162="Won",O162="Lost"),"Closed",IF(S162="","No date set",IF(S162&lt;TODAY(),"Overdue",IF(S162=TODAY(),"Due today","Upcoming")))))</f>
        <v/>
      </c>
    </row>
    <row r="163" customFormat="false" ht="15" hidden="false" customHeight="false" outlineLevel="0" collapsed="false">
      <c r="A163" s="16" t="s">
        <v>390</v>
      </c>
      <c r="B163" s="18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8"/>
      <c r="R163" s="16"/>
      <c r="S163" s="18"/>
      <c r="T163" s="24"/>
      <c r="U163" s="23"/>
      <c r="V163" s="52"/>
      <c r="W163" s="50" t="str">
        <f aca="true">IF(Q163="","",TODAY()-Q163)</f>
        <v/>
      </c>
      <c r="X163" s="51" t="str">
        <f aca="true">IF(F163="","",IF(OR(O163="Won",O163="Lost"),"Closed",IF(S163="","No date set",IF(S163&lt;TODAY(),"Overdue",IF(S163=TODAY(),"Due today","Upcoming")))))</f>
        <v/>
      </c>
    </row>
    <row r="164" customFormat="false" ht="15" hidden="false" customHeight="false" outlineLevel="0" collapsed="false">
      <c r="A164" s="16" t="s">
        <v>391</v>
      </c>
      <c r="B164" s="18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8"/>
      <c r="R164" s="16"/>
      <c r="S164" s="18"/>
      <c r="T164" s="24"/>
      <c r="U164" s="23"/>
      <c r="V164" s="52"/>
      <c r="W164" s="50" t="str">
        <f aca="true">IF(Q164="","",TODAY()-Q164)</f>
        <v/>
      </c>
      <c r="X164" s="51" t="str">
        <f aca="true">IF(F164="","",IF(OR(O164="Won",O164="Lost"),"Closed",IF(S164="","No date set",IF(S164&lt;TODAY(),"Overdue",IF(S164=TODAY(),"Due today","Upcoming")))))</f>
        <v/>
      </c>
    </row>
    <row r="165" customFormat="false" ht="15" hidden="false" customHeight="false" outlineLevel="0" collapsed="false">
      <c r="A165" s="16" t="s">
        <v>392</v>
      </c>
      <c r="B165" s="18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8"/>
      <c r="R165" s="16"/>
      <c r="S165" s="18"/>
      <c r="T165" s="24"/>
      <c r="U165" s="23"/>
      <c r="V165" s="52"/>
      <c r="W165" s="50" t="str">
        <f aca="true">IF(Q165="","",TODAY()-Q165)</f>
        <v/>
      </c>
      <c r="X165" s="51" t="str">
        <f aca="true">IF(F165="","",IF(OR(O165="Won",O165="Lost"),"Closed",IF(S165="","No date set",IF(S165&lt;TODAY(),"Overdue",IF(S165=TODAY(),"Due today","Upcoming")))))</f>
        <v/>
      </c>
    </row>
    <row r="166" customFormat="false" ht="15" hidden="false" customHeight="false" outlineLevel="0" collapsed="false">
      <c r="A166" s="16" t="s">
        <v>393</v>
      </c>
      <c r="B166" s="18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8"/>
      <c r="R166" s="16"/>
      <c r="S166" s="18"/>
      <c r="T166" s="24"/>
      <c r="U166" s="23"/>
      <c r="V166" s="52"/>
      <c r="W166" s="50" t="str">
        <f aca="true">IF(Q166="","",TODAY()-Q166)</f>
        <v/>
      </c>
      <c r="X166" s="51" t="str">
        <f aca="true">IF(F166="","",IF(OR(O166="Won",O166="Lost"),"Closed",IF(S166="","No date set",IF(S166&lt;TODAY(),"Overdue",IF(S166=TODAY(),"Due today","Upcoming")))))</f>
        <v/>
      </c>
    </row>
    <row r="167" customFormat="false" ht="15" hidden="false" customHeight="false" outlineLevel="0" collapsed="false">
      <c r="A167" s="16" t="s">
        <v>394</v>
      </c>
      <c r="B167" s="18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8"/>
      <c r="R167" s="16"/>
      <c r="S167" s="18"/>
      <c r="T167" s="24"/>
      <c r="U167" s="23"/>
      <c r="V167" s="52"/>
      <c r="W167" s="50" t="str">
        <f aca="true">IF(Q167="","",TODAY()-Q167)</f>
        <v/>
      </c>
      <c r="X167" s="51" t="str">
        <f aca="true">IF(F167="","",IF(OR(O167="Won",O167="Lost"),"Closed",IF(S167="","No date set",IF(S167&lt;TODAY(),"Overdue",IF(S167=TODAY(),"Due today","Upcoming")))))</f>
        <v/>
      </c>
    </row>
    <row r="168" customFormat="false" ht="15" hidden="false" customHeight="false" outlineLevel="0" collapsed="false">
      <c r="A168" s="16" t="s">
        <v>395</v>
      </c>
      <c r="B168" s="18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8"/>
      <c r="R168" s="16"/>
      <c r="S168" s="18"/>
      <c r="T168" s="24"/>
      <c r="U168" s="23"/>
      <c r="V168" s="52"/>
      <c r="W168" s="50" t="str">
        <f aca="true">IF(Q168="","",TODAY()-Q168)</f>
        <v/>
      </c>
      <c r="X168" s="51" t="str">
        <f aca="true">IF(F168="","",IF(OR(O168="Won",O168="Lost"),"Closed",IF(S168="","No date set",IF(S168&lt;TODAY(),"Overdue",IF(S168=TODAY(),"Due today","Upcoming")))))</f>
        <v/>
      </c>
    </row>
    <row r="169" customFormat="false" ht="15" hidden="false" customHeight="false" outlineLevel="0" collapsed="false">
      <c r="A169" s="16" t="s">
        <v>396</v>
      </c>
      <c r="B169" s="18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8"/>
      <c r="R169" s="16"/>
      <c r="S169" s="18"/>
      <c r="T169" s="24"/>
      <c r="U169" s="23"/>
      <c r="V169" s="52"/>
      <c r="W169" s="50" t="str">
        <f aca="true">IF(Q169="","",TODAY()-Q169)</f>
        <v/>
      </c>
      <c r="X169" s="51" t="str">
        <f aca="true">IF(F169="","",IF(OR(O169="Won",O169="Lost"),"Closed",IF(S169="","No date set",IF(S169&lt;TODAY(),"Overdue",IF(S169=TODAY(),"Due today","Upcoming")))))</f>
        <v/>
      </c>
    </row>
    <row r="170" customFormat="false" ht="15" hidden="false" customHeight="false" outlineLevel="0" collapsed="false">
      <c r="A170" s="16" t="s">
        <v>397</v>
      </c>
      <c r="B170" s="18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8"/>
      <c r="R170" s="16"/>
      <c r="S170" s="18"/>
      <c r="T170" s="24"/>
      <c r="U170" s="23"/>
      <c r="V170" s="52"/>
      <c r="W170" s="50" t="str">
        <f aca="true">IF(Q170="","",TODAY()-Q170)</f>
        <v/>
      </c>
      <c r="X170" s="51" t="str">
        <f aca="true">IF(F170="","",IF(OR(O170="Won",O170="Lost"),"Closed",IF(S170="","No date set",IF(S170&lt;TODAY(),"Overdue",IF(S170=TODAY(),"Due today","Upcoming")))))</f>
        <v/>
      </c>
    </row>
    <row r="171" customFormat="false" ht="15" hidden="false" customHeight="false" outlineLevel="0" collapsed="false">
      <c r="A171" s="16" t="s">
        <v>398</v>
      </c>
      <c r="B171" s="18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8"/>
      <c r="R171" s="16"/>
      <c r="S171" s="18"/>
      <c r="T171" s="24"/>
      <c r="U171" s="23"/>
      <c r="V171" s="52"/>
      <c r="W171" s="50" t="str">
        <f aca="true">IF(Q171="","",TODAY()-Q171)</f>
        <v/>
      </c>
      <c r="X171" s="51" t="str">
        <f aca="true">IF(F171="","",IF(OR(O171="Won",O171="Lost"),"Closed",IF(S171="","No date set",IF(S171&lt;TODAY(),"Overdue",IF(S171=TODAY(),"Due today","Upcoming")))))</f>
        <v/>
      </c>
    </row>
    <row r="172" customFormat="false" ht="15" hidden="false" customHeight="false" outlineLevel="0" collapsed="false">
      <c r="A172" s="16" t="s">
        <v>399</v>
      </c>
      <c r="B172" s="18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8"/>
      <c r="R172" s="16"/>
      <c r="S172" s="18"/>
      <c r="T172" s="24"/>
      <c r="U172" s="23"/>
      <c r="V172" s="52"/>
      <c r="W172" s="50" t="str">
        <f aca="true">IF(Q172="","",TODAY()-Q172)</f>
        <v/>
      </c>
      <c r="X172" s="51" t="str">
        <f aca="true">IF(F172="","",IF(OR(O172="Won",O172="Lost"),"Closed",IF(S172="","No date set",IF(S172&lt;TODAY(),"Overdue",IF(S172=TODAY(),"Due today","Upcoming")))))</f>
        <v/>
      </c>
    </row>
    <row r="173" customFormat="false" ht="15" hidden="false" customHeight="false" outlineLevel="0" collapsed="false">
      <c r="A173" s="16" t="s">
        <v>400</v>
      </c>
      <c r="B173" s="18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8"/>
      <c r="R173" s="16"/>
      <c r="S173" s="18"/>
      <c r="T173" s="24"/>
      <c r="U173" s="23"/>
      <c r="V173" s="52"/>
      <c r="W173" s="50" t="str">
        <f aca="true">IF(Q173="","",TODAY()-Q173)</f>
        <v/>
      </c>
      <c r="X173" s="51" t="str">
        <f aca="true">IF(F173="","",IF(OR(O173="Won",O173="Lost"),"Closed",IF(S173="","No date set",IF(S173&lt;TODAY(),"Overdue",IF(S173=TODAY(),"Due today","Upcoming")))))</f>
        <v/>
      </c>
    </row>
    <row r="174" customFormat="false" ht="15" hidden="false" customHeight="false" outlineLevel="0" collapsed="false">
      <c r="A174" s="16" t="s">
        <v>401</v>
      </c>
      <c r="B174" s="18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8"/>
      <c r="R174" s="16"/>
      <c r="S174" s="18"/>
      <c r="T174" s="24"/>
      <c r="U174" s="23"/>
      <c r="V174" s="52"/>
      <c r="W174" s="50" t="str">
        <f aca="true">IF(Q174="","",TODAY()-Q174)</f>
        <v/>
      </c>
      <c r="X174" s="51" t="str">
        <f aca="true">IF(F174="","",IF(OR(O174="Won",O174="Lost"),"Closed",IF(S174="","No date set",IF(S174&lt;TODAY(),"Overdue",IF(S174=TODAY(),"Due today","Upcoming")))))</f>
        <v/>
      </c>
    </row>
    <row r="175" customFormat="false" ht="15" hidden="false" customHeight="false" outlineLevel="0" collapsed="false">
      <c r="A175" s="16" t="s">
        <v>402</v>
      </c>
      <c r="B175" s="18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8"/>
      <c r="R175" s="16"/>
      <c r="S175" s="18"/>
      <c r="T175" s="24"/>
      <c r="U175" s="23"/>
      <c r="V175" s="52"/>
      <c r="W175" s="50" t="str">
        <f aca="true">IF(Q175="","",TODAY()-Q175)</f>
        <v/>
      </c>
      <c r="X175" s="51" t="str">
        <f aca="true">IF(F175="","",IF(OR(O175="Won",O175="Lost"),"Closed",IF(S175="","No date set",IF(S175&lt;TODAY(),"Overdue",IF(S175=TODAY(),"Due today","Upcoming")))))</f>
        <v/>
      </c>
    </row>
    <row r="176" customFormat="false" ht="15" hidden="false" customHeight="false" outlineLevel="0" collapsed="false">
      <c r="A176" s="16" t="s">
        <v>403</v>
      </c>
      <c r="B176" s="18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8"/>
      <c r="R176" s="16"/>
      <c r="S176" s="18"/>
      <c r="T176" s="24"/>
      <c r="U176" s="23"/>
      <c r="V176" s="52"/>
      <c r="W176" s="50" t="str">
        <f aca="true">IF(Q176="","",TODAY()-Q176)</f>
        <v/>
      </c>
      <c r="X176" s="51" t="str">
        <f aca="true">IF(F176="","",IF(OR(O176="Won",O176="Lost"),"Closed",IF(S176="","No date set",IF(S176&lt;TODAY(),"Overdue",IF(S176=TODAY(),"Due today","Upcoming")))))</f>
        <v/>
      </c>
    </row>
    <row r="177" customFormat="false" ht="15" hidden="false" customHeight="false" outlineLevel="0" collapsed="false">
      <c r="A177" s="16" t="s">
        <v>404</v>
      </c>
      <c r="B177" s="18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8"/>
      <c r="R177" s="16"/>
      <c r="S177" s="18"/>
      <c r="T177" s="24"/>
      <c r="U177" s="23"/>
      <c r="V177" s="52"/>
      <c r="W177" s="50" t="str">
        <f aca="true">IF(Q177="","",TODAY()-Q177)</f>
        <v/>
      </c>
      <c r="X177" s="51" t="str">
        <f aca="true">IF(F177="","",IF(OR(O177="Won",O177="Lost"),"Closed",IF(S177="","No date set",IF(S177&lt;TODAY(),"Overdue",IF(S177=TODAY(),"Due today","Upcoming")))))</f>
        <v/>
      </c>
    </row>
    <row r="178" customFormat="false" ht="15" hidden="false" customHeight="false" outlineLevel="0" collapsed="false">
      <c r="A178" s="16" t="s">
        <v>405</v>
      </c>
      <c r="B178" s="18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8"/>
      <c r="R178" s="16"/>
      <c r="S178" s="18"/>
      <c r="T178" s="24"/>
      <c r="U178" s="23"/>
      <c r="V178" s="52"/>
      <c r="W178" s="50" t="str">
        <f aca="true">IF(Q178="","",TODAY()-Q178)</f>
        <v/>
      </c>
      <c r="X178" s="51" t="str">
        <f aca="true">IF(F178="","",IF(OR(O178="Won",O178="Lost"),"Closed",IF(S178="","No date set",IF(S178&lt;TODAY(),"Overdue",IF(S178=TODAY(),"Due today","Upcoming")))))</f>
        <v/>
      </c>
    </row>
    <row r="179" customFormat="false" ht="15" hidden="false" customHeight="false" outlineLevel="0" collapsed="false">
      <c r="A179" s="16" t="s">
        <v>406</v>
      </c>
      <c r="B179" s="18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8"/>
      <c r="R179" s="16"/>
      <c r="S179" s="18"/>
      <c r="T179" s="24"/>
      <c r="U179" s="23"/>
      <c r="V179" s="52"/>
      <c r="W179" s="50" t="str">
        <f aca="true">IF(Q179="","",TODAY()-Q179)</f>
        <v/>
      </c>
      <c r="X179" s="51" t="str">
        <f aca="true">IF(F179="","",IF(OR(O179="Won",O179="Lost"),"Closed",IF(S179="","No date set",IF(S179&lt;TODAY(),"Overdue",IF(S179=TODAY(),"Due today","Upcoming")))))</f>
        <v/>
      </c>
    </row>
    <row r="180" customFormat="false" ht="15" hidden="false" customHeight="false" outlineLevel="0" collapsed="false">
      <c r="A180" s="16" t="s">
        <v>407</v>
      </c>
      <c r="B180" s="18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8"/>
      <c r="R180" s="16"/>
      <c r="S180" s="18"/>
      <c r="T180" s="24"/>
      <c r="U180" s="23"/>
      <c r="V180" s="52"/>
      <c r="W180" s="50" t="str">
        <f aca="true">IF(Q180="","",TODAY()-Q180)</f>
        <v/>
      </c>
      <c r="X180" s="51" t="str">
        <f aca="true">IF(F180="","",IF(OR(O180="Won",O180="Lost"),"Closed",IF(S180="","No date set",IF(S180&lt;TODAY(),"Overdue",IF(S180=TODAY(),"Due today","Upcoming")))))</f>
        <v/>
      </c>
    </row>
    <row r="181" customFormat="false" ht="15" hidden="false" customHeight="false" outlineLevel="0" collapsed="false">
      <c r="A181" s="16" t="s">
        <v>408</v>
      </c>
      <c r="B181" s="18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8"/>
      <c r="R181" s="16"/>
      <c r="S181" s="18"/>
      <c r="T181" s="24"/>
      <c r="U181" s="23"/>
      <c r="V181" s="52"/>
      <c r="W181" s="50" t="str">
        <f aca="true">IF(Q181="","",TODAY()-Q181)</f>
        <v/>
      </c>
      <c r="X181" s="51" t="str">
        <f aca="true">IF(F181="","",IF(OR(O181="Won",O181="Lost"),"Closed",IF(S181="","No date set",IF(S181&lt;TODAY(),"Overdue",IF(S181=TODAY(),"Due today","Upcoming")))))</f>
        <v/>
      </c>
    </row>
    <row r="182" customFormat="false" ht="15" hidden="false" customHeight="false" outlineLevel="0" collapsed="false">
      <c r="A182" s="16" t="s">
        <v>409</v>
      </c>
      <c r="B182" s="18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8"/>
      <c r="R182" s="16"/>
      <c r="S182" s="18"/>
      <c r="T182" s="24"/>
      <c r="U182" s="23"/>
      <c r="V182" s="52"/>
      <c r="W182" s="50" t="str">
        <f aca="true">IF(Q182="","",TODAY()-Q182)</f>
        <v/>
      </c>
      <c r="X182" s="51" t="str">
        <f aca="true">IF(F182="","",IF(OR(O182="Won",O182="Lost"),"Closed",IF(S182="","No date set",IF(S182&lt;TODAY(),"Overdue",IF(S182=TODAY(),"Due today","Upcoming")))))</f>
        <v/>
      </c>
    </row>
    <row r="183" customFormat="false" ht="15" hidden="false" customHeight="false" outlineLevel="0" collapsed="false">
      <c r="A183" s="16" t="s">
        <v>410</v>
      </c>
      <c r="B183" s="18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8"/>
      <c r="R183" s="16"/>
      <c r="S183" s="18"/>
      <c r="T183" s="24"/>
      <c r="U183" s="23"/>
      <c r="V183" s="52"/>
      <c r="W183" s="50" t="str">
        <f aca="true">IF(Q183="","",TODAY()-Q183)</f>
        <v/>
      </c>
      <c r="X183" s="51" t="str">
        <f aca="true">IF(F183="","",IF(OR(O183="Won",O183="Lost"),"Closed",IF(S183="","No date set",IF(S183&lt;TODAY(),"Overdue",IF(S183=TODAY(),"Due today","Upcoming")))))</f>
        <v/>
      </c>
    </row>
    <row r="184" customFormat="false" ht="15" hidden="false" customHeight="false" outlineLevel="0" collapsed="false">
      <c r="A184" s="16" t="s">
        <v>411</v>
      </c>
      <c r="B184" s="18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8"/>
      <c r="R184" s="16"/>
      <c r="S184" s="18"/>
      <c r="T184" s="24"/>
      <c r="U184" s="23"/>
      <c r="V184" s="52"/>
      <c r="W184" s="50" t="str">
        <f aca="true">IF(Q184="","",TODAY()-Q184)</f>
        <v/>
      </c>
      <c r="X184" s="51" t="str">
        <f aca="true">IF(F184="","",IF(OR(O184="Won",O184="Lost"),"Closed",IF(S184="","No date set",IF(S184&lt;TODAY(),"Overdue",IF(S184=TODAY(),"Due today","Upcoming")))))</f>
        <v/>
      </c>
    </row>
    <row r="185" customFormat="false" ht="15" hidden="false" customHeight="false" outlineLevel="0" collapsed="false">
      <c r="A185" s="16" t="s">
        <v>412</v>
      </c>
      <c r="B185" s="18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8"/>
      <c r="R185" s="16"/>
      <c r="S185" s="18"/>
      <c r="T185" s="24"/>
      <c r="U185" s="23"/>
      <c r="V185" s="52"/>
      <c r="W185" s="50" t="str">
        <f aca="true">IF(Q185="","",TODAY()-Q185)</f>
        <v/>
      </c>
      <c r="X185" s="51" t="str">
        <f aca="true">IF(F185="","",IF(OR(O185="Won",O185="Lost"),"Closed",IF(S185="","No date set",IF(S185&lt;TODAY(),"Overdue",IF(S185=TODAY(),"Due today","Upcoming")))))</f>
        <v/>
      </c>
    </row>
    <row r="186" customFormat="false" ht="15" hidden="false" customHeight="false" outlineLevel="0" collapsed="false">
      <c r="A186" s="16" t="s">
        <v>413</v>
      </c>
      <c r="B186" s="18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8"/>
      <c r="R186" s="16"/>
      <c r="S186" s="18"/>
      <c r="T186" s="24"/>
      <c r="U186" s="23"/>
      <c r="V186" s="52"/>
      <c r="W186" s="50" t="str">
        <f aca="true">IF(Q186="","",TODAY()-Q186)</f>
        <v/>
      </c>
      <c r="X186" s="51" t="str">
        <f aca="true">IF(F186="","",IF(OR(O186="Won",O186="Lost"),"Closed",IF(S186="","No date set",IF(S186&lt;TODAY(),"Overdue",IF(S186=TODAY(),"Due today","Upcoming")))))</f>
        <v/>
      </c>
    </row>
    <row r="187" customFormat="false" ht="15" hidden="false" customHeight="false" outlineLevel="0" collapsed="false">
      <c r="A187" s="16" t="s">
        <v>414</v>
      </c>
      <c r="B187" s="18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8"/>
      <c r="R187" s="16"/>
      <c r="S187" s="18"/>
      <c r="T187" s="24"/>
      <c r="U187" s="23"/>
      <c r="V187" s="52"/>
      <c r="W187" s="50" t="str">
        <f aca="true">IF(Q187="","",TODAY()-Q187)</f>
        <v/>
      </c>
      <c r="X187" s="51" t="str">
        <f aca="true">IF(F187="","",IF(OR(O187="Won",O187="Lost"),"Closed",IF(S187="","No date set",IF(S187&lt;TODAY(),"Overdue",IF(S187=TODAY(),"Due today","Upcoming")))))</f>
        <v/>
      </c>
    </row>
    <row r="188" customFormat="false" ht="15" hidden="false" customHeight="false" outlineLevel="0" collapsed="false">
      <c r="A188" s="16" t="s">
        <v>415</v>
      </c>
      <c r="B188" s="18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8"/>
      <c r="R188" s="16"/>
      <c r="S188" s="18"/>
      <c r="T188" s="24"/>
      <c r="U188" s="23"/>
      <c r="V188" s="52"/>
      <c r="W188" s="50" t="str">
        <f aca="true">IF(Q188="","",TODAY()-Q188)</f>
        <v/>
      </c>
      <c r="X188" s="51" t="str">
        <f aca="true">IF(F188="","",IF(OR(O188="Won",O188="Lost"),"Closed",IF(S188="","No date set",IF(S188&lt;TODAY(),"Overdue",IF(S188=TODAY(),"Due today","Upcoming")))))</f>
        <v/>
      </c>
    </row>
    <row r="189" customFormat="false" ht="15" hidden="false" customHeight="false" outlineLevel="0" collapsed="false">
      <c r="A189" s="16" t="s">
        <v>416</v>
      </c>
      <c r="B189" s="18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8"/>
      <c r="R189" s="16"/>
      <c r="S189" s="18"/>
      <c r="T189" s="24"/>
      <c r="U189" s="23"/>
      <c r="V189" s="52"/>
      <c r="W189" s="50" t="str">
        <f aca="true">IF(Q189="","",TODAY()-Q189)</f>
        <v/>
      </c>
      <c r="X189" s="51" t="str">
        <f aca="true">IF(F189="","",IF(OR(O189="Won",O189="Lost"),"Closed",IF(S189="","No date set",IF(S189&lt;TODAY(),"Overdue",IF(S189=TODAY(),"Due today","Upcoming")))))</f>
        <v/>
      </c>
    </row>
    <row r="190" customFormat="false" ht="15" hidden="false" customHeight="false" outlineLevel="0" collapsed="false">
      <c r="A190" s="16" t="s">
        <v>417</v>
      </c>
      <c r="B190" s="18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8"/>
      <c r="R190" s="16"/>
      <c r="S190" s="18"/>
      <c r="T190" s="24"/>
      <c r="U190" s="23"/>
      <c r="V190" s="52"/>
      <c r="W190" s="50" t="str">
        <f aca="true">IF(Q190="","",TODAY()-Q190)</f>
        <v/>
      </c>
      <c r="X190" s="51" t="str">
        <f aca="true">IF(F190="","",IF(OR(O190="Won",O190="Lost"),"Closed",IF(S190="","No date set",IF(S190&lt;TODAY(),"Overdue",IF(S190=TODAY(),"Due today","Upcoming")))))</f>
        <v/>
      </c>
    </row>
    <row r="191" customFormat="false" ht="15" hidden="false" customHeight="false" outlineLevel="0" collapsed="false">
      <c r="A191" s="16" t="s">
        <v>418</v>
      </c>
      <c r="B191" s="18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8"/>
      <c r="R191" s="16"/>
      <c r="S191" s="18"/>
      <c r="T191" s="24"/>
      <c r="U191" s="23"/>
      <c r="V191" s="52"/>
      <c r="W191" s="50" t="str">
        <f aca="true">IF(Q191="","",TODAY()-Q191)</f>
        <v/>
      </c>
      <c r="X191" s="51" t="str">
        <f aca="true">IF(F191="","",IF(OR(O191="Won",O191="Lost"),"Closed",IF(S191="","No date set",IF(S191&lt;TODAY(),"Overdue",IF(S191=TODAY(),"Due today","Upcoming")))))</f>
        <v/>
      </c>
    </row>
    <row r="192" customFormat="false" ht="15" hidden="false" customHeight="false" outlineLevel="0" collapsed="false">
      <c r="A192" s="16" t="s">
        <v>419</v>
      </c>
      <c r="B192" s="18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8"/>
      <c r="R192" s="16"/>
      <c r="S192" s="18"/>
      <c r="T192" s="24"/>
      <c r="U192" s="23"/>
      <c r="V192" s="52"/>
      <c r="W192" s="50" t="str">
        <f aca="true">IF(Q192="","",TODAY()-Q192)</f>
        <v/>
      </c>
      <c r="X192" s="51" t="str">
        <f aca="true">IF(F192="","",IF(OR(O192="Won",O192="Lost"),"Closed",IF(S192="","No date set",IF(S192&lt;TODAY(),"Overdue",IF(S192=TODAY(),"Due today","Upcoming")))))</f>
        <v/>
      </c>
    </row>
    <row r="193" customFormat="false" ht="15" hidden="false" customHeight="false" outlineLevel="0" collapsed="false">
      <c r="A193" s="16" t="s">
        <v>420</v>
      </c>
      <c r="B193" s="18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8"/>
      <c r="R193" s="16"/>
      <c r="S193" s="18"/>
      <c r="T193" s="24"/>
      <c r="U193" s="23"/>
      <c r="V193" s="52"/>
      <c r="W193" s="50" t="str">
        <f aca="true">IF(Q193="","",TODAY()-Q193)</f>
        <v/>
      </c>
      <c r="X193" s="51" t="str">
        <f aca="true">IF(F193="","",IF(OR(O193="Won",O193="Lost"),"Closed",IF(S193="","No date set",IF(S193&lt;TODAY(),"Overdue",IF(S193=TODAY(),"Due today","Upcoming")))))</f>
        <v/>
      </c>
    </row>
    <row r="194" customFormat="false" ht="15" hidden="false" customHeight="false" outlineLevel="0" collapsed="false">
      <c r="A194" s="16" t="s">
        <v>421</v>
      </c>
      <c r="B194" s="18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8"/>
      <c r="R194" s="16"/>
      <c r="S194" s="18"/>
      <c r="T194" s="24"/>
      <c r="U194" s="23"/>
      <c r="V194" s="52"/>
      <c r="W194" s="50" t="str">
        <f aca="true">IF(Q194="","",TODAY()-Q194)</f>
        <v/>
      </c>
      <c r="X194" s="51" t="str">
        <f aca="true">IF(F194="","",IF(OR(O194="Won",O194="Lost"),"Closed",IF(S194="","No date set",IF(S194&lt;TODAY(),"Overdue",IF(S194=TODAY(),"Due today","Upcoming")))))</f>
        <v/>
      </c>
    </row>
    <row r="195" customFormat="false" ht="15" hidden="false" customHeight="false" outlineLevel="0" collapsed="false">
      <c r="A195" s="16" t="s">
        <v>422</v>
      </c>
      <c r="B195" s="18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8"/>
      <c r="R195" s="16"/>
      <c r="S195" s="18"/>
      <c r="T195" s="24"/>
      <c r="U195" s="23"/>
      <c r="V195" s="52"/>
      <c r="W195" s="50" t="str">
        <f aca="true">IF(Q195="","",TODAY()-Q195)</f>
        <v/>
      </c>
      <c r="X195" s="51" t="str">
        <f aca="true">IF(F195="","",IF(OR(O195="Won",O195="Lost"),"Closed",IF(S195="","No date set",IF(S195&lt;TODAY(),"Overdue",IF(S195=TODAY(),"Due today","Upcoming")))))</f>
        <v/>
      </c>
    </row>
    <row r="196" customFormat="false" ht="15" hidden="false" customHeight="false" outlineLevel="0" collapsed="false">
      <c r="A196" s="16" t="s">
        <v>423</v>
      </c>
      <c r="B196" s="18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8"/>
      <c r="R196" s="16"/>
      <c r="S196" s="18"/>
      <c r="T196" s="24"/>
      <c r="U196" s="23"/>
      <c r="V196" s="52"/>
      <c r="W196" s="50" t="str">
        <f aca="true">IF(Q196="","",TODAY()-Q196)</f>
        <v/>
      </c>
      <c r="X196" s="51" t="str">
        <f aca="true">IF(F196="","",IF(OR(O196="Won",O196="Lost"),"Closed",IF(S196="","No date set",IF(S196&lt;TODAY(),"Overdue",IF(S196=TODAY(),"Due today","Upcoming")))))</f>
        <v/>
      </c>
    </row>
    <row r="197" customFormat="false" ht="15" hidden="false" customHeight="false" outlineLevel="0" collapsed="false">
      <c r="A197" s="16" t="s">
        <v>424</v>
      </c>
      <c r="B197" s="18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8"/>
      <c r="R197" s="16"/>
      <c r="S197" s="18"/>
      <c r="T197" s="24"/>
      <c r="U197" s="23"/>
      <c r="V197" s="52"/>
      <c r="W197" s="50" t="str">
        <f aca="true">IF(Q197="","",TODAY()-Q197)</f>
        <v/>
      </c>
      <c r="X197" s="51" t="str">
        <f aca="true">IF(F197="","",IF(OR(O197="Won",O197="Lost"),"Closed",IF(S197="","No date set",IF(S197&lt;TODAY(),"Overdue",IF(S197=TODAY(),"Due today","Upcoming")))))</f>
        <v/>
      </c>
    </row>
    <row r="198" customFormat="false" ht="15" hidden="false" customHeight="false" outlineLevel="0" collapsed="false">
      <c r="A198" s="16" t="s">
        <v>425</v>
      </c>
      <c r="B198" s="18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8"/>
      <c r="R198" s="16"/>
      <c r="S198" s="18"/>
      <c r="T198" s="24"/>
      <c r="U198" s="23"/>
      <c r="V198" s="52"/>
      <c r="W198" s="50" t="str">
        <f aca="true">IF(Q198="","",TODAY()-Q198)</f>
        <v/>
      </c>
      <c r="X198" s="51" t="str">
        <f aca="true">IF(F198="","",IF(OR(O198="Won",O198="Lost"),"Closed",IF(S198="","No date set",IF(S198&lt;TODAY(),"Overdue",IF(S198=TODAY(),"Due today","Upcoming")))))</f>
        <v/>
      </c>
    </row>
    <row r="199" customFormat="false" ht="15" hidden="false" customHeight="false" outlineLevel="0" collapsed="false">
      <c r="A199" s="16" t="s">
        <v>426</v>
      </c>
      <c r="B199" s="18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8"/>
      <c r="R199" s="16"/>
      <c r="S199" s="18"/>
      <c r="T199" s="24"/>
      <c r="U199" s="23"/>
      <c r="V199" s="52"/>
      <c r="W199" s="50" t="str">
        <f aca="true">IF(Q199="","",TODAY()-Q199)</f>
        <v/>
      </c>
      <c r="X199" s="51" t="str">
        <f aca="true">IF(F199="","",IF(OR(O199="Won",O199="Lost"),"Closed",IF(S199="","No date set",IF(S199&lt;TODAY(),"Overdue",IF(S199=TODAY(),"Due today","Upcoming")))))</f>
        <v/>
      </c>
    </row>
    <row r="200" customFormat="false" ht="15" hidden="false" customHeight="false" outlineLevel="0" collapsed="false">
      <c r="A200" s="16" t="s">
        <v>427</v>
      </c>
      <c r="B200" s="18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8"/>
      <c r="R200" s="16"/>
      <c r="S200" s="18"/>
      <c r="T200" s="24"/>
      <c r="U200" s="23"/>
      <c r="V200" s="52"/>
      <c r="W200" s="50" t="str">
        <f aca="true">IF(Q200="","",TODAY()-Q200)</f>
        <v/>
      </c>
      <c r="X200" s="51" t="str">
        <f aca="true">IF(F200="","",IF(OR(O200="Won",O200="Lost"),"Closed",IF(S200="","No date set",IF(S200&lt;TODAY(),"Overdue",IF(S200=TODAY(),"Due today","Upcoming")))))</f>
        <v/>
      </c>
    </row>
    <row r="201" customFormat="false" ht="15" hidden="false" customHeight="false" outlineLevel="0" collapsed="false">
      <c r="A201" s="16" t="s">
        <v>428</v>
      </c>
      <c r="B201" s="18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8"/>
      <c r="R201" s="16"/>
      <c r="S201" s="18"/>
      <c r="T201" s="24"/>
      <c r="U201" s="23"/>
      <c r="V201" s="52"/>
      <c r="W201" s="50" t="str">
        <f aca="true">IF(Q201="","",TODAY()-Q201)</f>
        <v/>
      </c>
      <c r="X201" s="51" t="str">
        <f aca="true">IF(F201="","",IF(OR(O201="Won",O201="Lost"),"Closed",IF(S201="","No date set",IF(S201&lt;TODAY(),"Overdue",IF(S201=TODAY(),"Due today","Upcoming")))))</f>
        <v/>
      </c>
    </row>
    <row r="202" customFormat="false" ht="15" hidden="false" customHeight="false" outlineLevel="0" collapsed="false">
      <c r="A202" s="16" t="s">
        <v>429</v>
      </c>
      <c r="B202" s="18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8"/>
      <c r="R202" s="16"/>
      <c r="S202" s="18"/>
      <c r="T202" s="24"/>
      <c r="U202" s="23"/>
      <c r="V202" s="52"/>
      <c r="W202" s="50" t="str">
        <f aca="true">IF(Q202="","",TODAY()-Q202)</f>
        <v/>
      </c>
      <c r="X202" s="51" t="str">
        <f aca="true">IF(F202="","",IF(OR(O202="Won",O202="Lost"),"Closed",IF(S202="","No date set",IF(S202&lt;TODAY(),"Overdue",IF(S202=TODAY(),"Due today","Upcoming")))))</f>
        <v/>
      </c>
    </row>
    <row r="203" customFormat="false" ht="15" hidden="false" customHeight="false" outlineLevel="0" collapsed="false">
      <c r="A203" s="16" t="s">
        <v>430</v>
      </c>
      <c r="B203" s="18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8"/>
      <c r="R203" s="16"/>
      <c r="S203" s="18"/>
      <c r="T203" s="24"/>
      <c r="U203" s="23"/>
      <c r="V203" s="52"/>
      <c r="W203" s="50" t="str">
        <f aca="true">IF(Q203="","",TODAY()-Q203)</f>
        <v/>
      </c>
      <c r="X203" s="51" t="str">
        <f aca="true">IF(F203="","",IF(OR(O203="Won",O203="Lost"),"Closed",IF(S203="","No date set",IF(S203&lt;TODAY(),"Overdue",IF(S203=TODAY(),"Due today","Upcoming")))))</f>
        <v/>
      </c>
    </row>
    <row r="204" customFormat="false" ht="15" hidden="false" customHeight="false" outlineLevel="0" collapsed="false">
      <c r="A204" s="16" t="s">
        <v>431</v>
      </c>
      <c r="B204" s="18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8"/>
      <c r="R204" s="16"/>
      <c r="S204" s="18"/>
      <c r="T204" s="24"/>
      <c r="U204" s="23"/>
      <c r="V204" s="52"/>
      <c r="W204" s="50" t="str">
        <f aca="true">IF(Q204="","",TODAY()-Q204)</f>
        <v/>
      </c>
      <c r="X204" s="51" t="str">
        <f aca="true">IF(F204="","",IF(OR(O204="Won",O204="Lost"),"Closed",IF(S204="","No date set",IF(S204&lt;TODAY(),"Overdue",IF(S204=TODAY(),"Due today","Upcoming")))))</f>
        <v/>
      </c>
    </row>
    <row r="205" customFormat="false" ht="15" hidden="false" customHeight="false" outlineLevel="0" collapsed="false">
      <c r="A205" s="16" t="s">
        <v>432</v>
      </c>
      <c r="B205" s="18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8"/>
      <c r="R205" s="16"/>
      <c r="S205" s="18"/>
      <c r="T205" s="24"/>
      <c r="U205" s="23"/>
      <c r="V205" s="52"/>
      <c r="W205" s="50" t="str">
        <f aca="true">IF(Q205="","",TODAY()-Q205)</f>
        <v/>
      </c>
      <c r="X205" s="51" t="str">
        <f aca="true">IF(F205="","",IF(OR(O205="Won",O205="Lost"),"Closed",IF(S205="","No date set",IF(S205&lt;TODAY(),"Overdue",IF(S205=TODAY(),"Due today","Upcoming")))))</f>
        <v/>
      </c>
    </row>
    <row r="206" customFormat="false" ht="15" hidden="false" customHeight="false" outlineLevel="0" collapsed="false">
      <c r="A206" s="16" t="s">
        <v>433</v>
      </c>
      <c r="B206" s="18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8"/>
      <c r="R206" s="16"/>
      <c r="S206" s="18"/>
      <c r="T206" s="24"/>
      <c r="U206" s="23"/>
      <c r="V206" s="52"/>
      <c r="W206" s="50" t="str">
        <f aca="true">IF(Q206="","",TODAY()-Q206)</f>
        <v/>
      </c>
      <c r="X206" s="51" t="str">
        <f aca="true">IF(F206="","",IF(OR(O206="Won",O206="Lost"),"Closed",IF(S206="","No date set",IF(S206&lt;TODAY(),"Overdue",IF(S206=TODAY(),"Due today","Upcoming")))))</f>
        <v/>
      </c>
    </row>
    <row r="207" customFormat="false" ht="15" hidden="false" customHeight="false" outlineLevel="0" collapsed="false">
      <c r="A207" s="16" t="s">
        <v>434</v>
      </c>
      <c r="B207" s="18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8"/>
      <c r="R207" s="16"/>
      <c r="S207" s="18"/>
      <c r="T207" s="24"/>
      <c r="U207" s="23"/>
      <c r="V207" s="52"/>
      <c r="W207" s="50" t="str">
        <f aca="true">IF(Q207="","",TODAY()-Q207)</f>
        <v/>
      </c>
      <c r="X207" s="51" t="str">
        <f aca="true">IF(F207="","",IF(OR(O207="Won",O207="Lost"),"Closed",IF(S207="","No date set",IF(S207&lt;TODAY(),"Overdue",IF(S207=TODAY(),"Due today","Upcoming")))))</f>
        <v/>
      </c>
    </row>
    <row r="208" customFormat="false" ht="15" hidden="false" customHeight="false" outlineLevel="0" collapsed="false">
      <c r="A208" s="16" t="s">
        <v>435</v>
      </c>
      <c r="B208" s="18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8"/>
      <c r="R208" s="16"/>
      <c r="S208" s="18"/>
      <c r="T208" s="24"/>
      <c r="U208" s="23"/>
      <c r="V208" s="52"/>
      <c r="W208" s="50" t="str">
        <f aca="true">IF(Q208="","",TODAY()-Q208)</f>
        <v/>
      </c>
      <c r="X208" s="51" t="str">
        <f aca="true">IF(F208="","",IF(OR(O208="Won",O208="Lost"),"Closed",IF(S208="","No date set",IF(S208&lt;TODAY(),"Overdue",IF(S208=TODAY(),"Due today","Upcoming")))))</f>
        <v/>
      </c>
    </row>
    <row r="209" customFormat="false" ht="15" hidden="false" customHeight="false" outlineLevel="0" collapsed="false">
      <c r="A209" s="16" t="s">
        <v>436</v>
      </c>
      <c r="B209" s="18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8"/>
      <c r="R209" s="16"/>
      <c r="S209" s="18"/>
      <c r="T209" s="24"/>
      <c r="U209" s="23"/>
      <c r="V209" s="52"/>
      <c r="W209" s="50" t="str">
        <f aca="true">IF(Q209="","",TODAY()-Q209)</f>
        <v/>
      </c>
      <c r="X209" s="51" t="str">
        <f aca="true">IF(F209="","",IF(OR(O209="Won",O209="Lost"),"Closed",IF(S209="","No date set",IF(S209&lt;TODAY(),"Overdue",IF(S209=TODAY(),"Due today","Upcoming")))))</f>
        <v/>
      </c>
    </row>
    <row r="210" customFormat="false" ht="15" hidden="false" customHeight="false" outlineLevel="0" collapsed="false">
      <c r="A210" s="16" t="s">
        <v>437</v>
      </c>
      <c r="B210" s="18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8"/>
      <c r="R210" s="16"/>
      <c r="S210" s="18"/>
      <c r="T210" s="24"/>
      <c r="U210" s="23"/>
      <c r="V210" s="52"/>
      <c r="W210" s="50" t="str">
        <f aca="true">IF(Q210="","",TODAY()-Q210)</f>
        <v/>
      </c>
      <c r="X210" s="51" t="str">
        <f aca="true">IF(F210="","",IF(OR(O210="Won",O210="Lost"),"Closed",IF(S210="","No date set",IF(S210&lt;TODAY(),"Overdue",IF(S210=TODAY(),"Due today","Upcoming")))))</f>
        <v/>
      </c>
    </row>
    <row r="211" customFormat="false" ht="15" hidden="false" customHeight="false" outlineLevel="0" collapsed="false">
      <c r="A211" s="16" t="s">
        <v>438</v>
      </c>
      <c r="B211" s="18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8"/>
      <c r="R211" s="16"/>
      <c r="S211" s="18"/>
      <c r="T211" s="24"/>
      <c r="U211" s="23"/>
      <c r="V211" s="52"/>
      <c r="W211" s="50" t="str">
        <f aca="true">IF(Q211="","",TODAY()-Q211)</f>
        <v/>
      </c>
      <c r="X211" s="51" t="str">
        <f aca="true">IF(F211="","",IF(OR(O211="Won",O211="Lost"),"Closed",IF(S211="","No date set",IF(S211&lt;TODAY(),"Overdue",IF(S211=TODAY(),"Due today","Upcoming")))))</f>
        <v/>
      </c>
    </row>
    <row r="212" customFormat="false" ht="15" hidden="false" customHeight="false" outlineLevel="0" collapsed="false">
      <c r="A212" s="16" t="s">
        <v>439</v>
      </c>
      <c r="B212" s="18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8"/>
      <c r="R212" s="16"/>
      <c r="S212" s="18"/>
      <c r="T212" s="24"/>
      <c r="U212" s="23"/>
      <c r="V212" s="52"/>
      <c r="W212" s="50" t="str">
        <f aca="true">IF(Q212="","",TODAY()-Q212)</f>
        <v/>
      </c>
      <c r="X212" s="51" t="str">
        <f aca="true">IF(F212="","",IF(OR(O212="Won",O212="Lost"),"Closed",IF(S212="","No date set",IF(S212&lt;TODAY(),"Overdue",IF(S212=TODAY(),"Due today","Upcoming")))))</f>
        <v/>
      </c>
    </row>
    <row r="213" customFormat="false" ht="15" hidden="false" customHeight="false" outlineLevel="0" collapsed="false">
      <c r="A213" s="16" t="s">
        <v>440</v>
      </c>
      <c r="B213" s="18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8"/>
      <c r="R213" s="16"/>
      <c r="S213" s="18"/>
      <c r="T213" s="24"/>
      <c r="U213" s="23"/>
      <c r="V213" s="52"/>
      <c r="W213" s="50" t="str">
        <f aca="true">IF(Q213="","",TODAY()-Q213)</f>
        <v/>
      </c>
      <c r="X213" s="51" t="str">
        <f aca="true">IF(F213="","",IF(OR(O213="Won",O213="Lost"),"Closed",IF(S213="","No date set",IF(S213&lt;TODAY(),"Overdue",IF(S213=TODAY(),"Due today","Upcoming")))))</f>
        <v/>
      </c>
    </row>
    <row r="214" customFormat="false" ht="15" hidden="false" customHeight="false" outlineLevel="0" collapsed="false">
      <c r="A214" s="16" t="s">
        <v>441</v>
      </c>
      <c r="B214" s="18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8"/>
      <c r="R214" s="16"/>
      <c r="S214" s="18"/>
      <c r="T214" s="24"/>
      <c r="U214" s="23"/>
      <c r="V214" s="52"/>
      <c r="W214" s="50" t="str">
        <f aca="true">IF(Q214="","",TODAY()-Q214)</f>
        <v/>
      </c>
      <c r="X214" s="51" t="str">
        <f aca="true">IF(F214="","",IF(OR(O214="Won",O214="Lost"),"Closed",IF(S214="","No date set",IF(S214&lt;TODAY(),"Overdue",IF(S214=TODAY(),"Due today","Upcoming")))))</f>
        <v/>
      </c>
    </row>
    <row r="215" customFormat="false" ht="15" hidden="false" customHeight="false" outlineLevel="0" collapsed="false">
      <c r="A215" s="16" t="s">
        <v>442</v>
      </c>
      <c r="B215" s="18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8"/>
      <c r="R215" s="16"/>
      <c r="S215" s="18"/>
      <c r="T215" s="24"/>
      <c r="U215" s="23"/>
      <c r="V215" s="52"/>
      <c r="W215" s="50" t="str">
        <f aca="true">IF(Q215="","",TODAY()-Q215)</f>
        <v/>
      </c>
      <c r="X215" s="51" t="str">
        <f aca="true">IF(F215="","",IF(OR(O215="Won",O215="Lost"),"Closed",IF(S215="","No date set",IF(S215&lt;TODAY(),"Overdue",IF(S215=TODAY(),"Due today","Upcoming")))))</f>
        <v/>
      </c>
    </row>
    <row r="216" customFormat="false" ht="15" hidden="false" customHeight="false" outlineLevel="0" collapsed="false">
      <c r="A216" s="16" t="s">
        <v>443</v>
      </c>
      <c r="B216" s="18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8"/>
      <c r="R216" s="16"/>
      <c r="S216" s="18"/>
      <c r="T216" s="24"/>
      <c r="U216" s="23"/>
      <c r="V216" s="52"/>
      <c r="W216" s="50" t="str">
        <f aca="true">IF(Q216="","",TODAY()-Q216)</f>
        <v/>
      </c>
      <c r="X216" s="51" t="str">
        <f aca="true">IF(F216="","",IF(OR(O216="Won",O216="Lost"),"Closed",IF(S216="","No date set",IF(S216&lt;TODAY(),"Overdue",IF(S216=TODAY(),"Due today","Upcoming")))))</f>
        <v/>
      </c>
    </row>
    <row r="217" customFormat="false" ht="15" hidden="false" customHeight="false" outlineLevel="0" collapsed="false">
      <c r="A217" s="16" t="s">
        <v>444</v>
      </c>
      <c r="B217" s="18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8"/>
      <c r="R217" s="16"/>
      <c r="S217" s="18"/>
      <c r="T217" s="24"/>
      <c r="U217" s="23"/>
      <c r="V217" s="52"/>
      <c r="W217" s="50" t="str">
        <f aca="true">IF(Q217="","",TODAY()-Q217)</f>
        <v/>
      </c>
      <c r="X217" s="51" t="str">
        <f aca="true">IF(F217="","",IF(OR(O217="Won",O217="Lost"),"Closed",IF(S217="","No date set",IF(S217&lt;TODAY(),"Overdue",IF(S217=TODAY(),"Due today","Upcoming")))))</f>
        <v/>
      </c>
    </row>
    <row r="218" customFormat="false" ht="15" hidden="false" customHeight="false" outlineLevel="0" collapsed="false">
      <c r="A218" s="16" t="s">
        <v>445</v>
      </c>
      <c r="B218" s="18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8"/>
      <c r="R218" s="16"/>
      <c r="S218" s="18"/>
      <c r="T218" s="24"/>
      <c r="U218" s="23"/>
      <c r="V218" s="52"/>
      <c r="W218" s="50" t="str">
        <f aca="true">IF(Q218="","",TODAY()-Q218)</f>
        <v/>
      </c>
      <c r="X218" s="51" t="str">
        <f aca="true">IF(F218="","",IF(OR(O218="Won",O218="Lost"),"Closed",IF(S218="","No date set",IF(S218&lt;TODAY(),"Overdue",IF(S218=TODAY(),"Due today","Upcoming")))))</f>
        <v/>
      </c>
    </row>
    <row r="219" customFormat="false" ht="15" hidden="false" customHeight="false" outlineLevel="0" collapsed="false">
      <c r="A219" s="16" t="s">
        <v>446</v>
      </c>
      <c r="B219" s="18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8"/>
      <c r="R219" s="16"/>
      <c r="S219" s="18"/>
      <c r="T219" s="24"/>
      <c r="U219" s="23"/>
      <c r="V219" s="52"/>
      <c r="W219" s="50" t="str">
        <f aca="true">IF(Q219="","",TODAY()-Q219)</f>
        <v/>
      </c>
      <c r="X219" s="51" t="str">
        <f aca="true">IF(F219="","",IF(OR(O219="Won",O219="Lost"),"Closed",IF(S219="","No date set",IF(S219&lt;TODAY(),"Overdue",IF(S219=TODAY(),"Due today","Upcoming")))))</f>
        <v/>
      </c>
    </row>
    <row r="220" customFormat="false" ht="15" hidden="false" customHeight="false" outlineLevel="0" collapsed="false">
      <c r="A220" s="16" t="s">
        <v>447</v>
      </c>
      <c r="B220" s="18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8"/>
      <c r="R220" s="16"/>
      <c r="S220" s="18"/>
      <c r="T220" s="24"/>
      <c r="U220" s="23"/>
      <c r="V220" s="52"/>
      <c r="W220" s="50" t="str">
        <f aca="true">IF(Q220="","",TODAY()-Q220)</f>
        <v/>
      </c>
      <c r="X220" s="51" t="str">
        <f aca="true">IF(F220="","",IF(OR(O220="Won",O220="Lost"),"Closed",IF(S220="","No date set",IF(S220&lt;TODAY(),"Overdue",IF(S220=TODAY(),"Due today","Upcoming")))))</f>
        <v/>
      </c>
    </row>
    <row r="221" customFormat="false" ht="15" hidden="false" customHeight="false" outlineLevel="0" collapsed="false">
      <c r="A221" s="16" t="s">
        <v>448</v>
      </c>
      <c r="B221" s="18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8"/>
      <c r="R221" s="16"/>
      <c r="S221" s="18"/>
      <c r="T221" s="24"/>
      <c r="U221" s="23"/>
      <c r="V221" s="52"/>
      <c r="W221" s="50" t="str">
        <f aca="true">IF(Q221="","",TODAY()-Q221)</f>
        <v/>
      </c>
      <c r="X221" s="51" t="str">
        <f aca="true">IF(F221="","",IF(OR(O221="Won",O221="Lost"),"Closed",IF(S221="","No date set",IF(S221&lt;TODAY(),"Overdue",IF(S221=TODAY(),"Due today","Upcoming")))))</f>
        <v/>
      </c>
    </row>
    <row r="222" customFormat="false" ht="15" hidden="false" customHeight="false" outlineLevel="0" collapsed="false">
      <c r="A222" s="16" t="s">
        <v>449</v>
      </c>
      <c r="B222" s="18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8"/>
      <c r="R222" s="16"/>
      <c r="S222" s="18"/>
      <c r="T222" s="24"/>
      <c r="U222" s="23"/>
      <c r="V222" s="52"/>
      <c r="W222" s="50" t="str">
        <f aca="true">IF(Q222="","",TODAY()-Q222)</f>
        <v/>
      </c>
      <c r="X222" s="51" t="str">
        <f aca="true">IF(F222="","",IF(OR(O222="Won",O222="Lost"),"Closed",IF(S222="","No date set",IF(S222&lt;TODAY(),"Overdue",IF(S222=TODAY(),"Due today","Upcoming")))))</f>
        <v/>
      </c>
    </row>
    <row r="223" customFormat="false" ht="15" hidden="false" customHeight="false" outlineLevel="0" collapsed="false">
      <c r="A223" s="16" t="s">
        <v>450</v>
      </c>
      <c r="B223" s="18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8"/>
      <c r="R223" s="16"/>
      <c r="S223" s="18"/>
      <c r="T223" s="24"/>
      <c r="U223" s="23"/>
      <c r="V223" s="52"/>
      <c r="W223" s="50" t="str">
        <f aca="true">IF(Q223="","",TODAY()-Q223)</f>
        <v/>
      </c>
      <c r="X223" s="51" t="str">
        <f aca="true">IF(F223="","",IF(OR(O223="Won",O223="Lost"),"Closed",IF(S223="","No date set",IF(S223&lt;TODAY(),"Overdue",IF(S223=TODAY(),"Due today","Upcoming")))))</f>
        <v/>
      </c>
    </row>
    <row r="224" customFormat="false" ht="15" hidden="false" customHeight="false" outlineLevel="0" collapsed="false">
      <c r="A224" s="16" t="s">
        <v>451</v>
      </c>
      <c r="B224" s="18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8"/>
      <c r="R224" s="16"/>
      <c r="S224" s="18"/>
      <c r="T224" s="24"/>
      <c r="U224" s="23"/>
      <c r="V224" s="52"/>
      <c r="W224" s="50" t="str">
        <f aca="true">IF(Q224="","",TODAY()-Q224)</f>
        <v/>
      </c>
      <c r="X224" s="51" t="str">
        <f aca="true">IF(F224="","",IF(OR(O224="Won",O224="Lost"),"Closed",IF(S224="","No date set",IF(S224&lt;TODAY(),"Overdue",IF(S224=TODAY(),"Due today","Upcoming")))))</f>
        <v/>
      </c>
    </row>
    <row r="225" customFormat="false" ht="15" hidden="false" customHeight="false" outlineLevel="0" collapsed="false">
      <c r="A225" s="16" t="s">
        <v>452</v>
      </c>
      <c r="B225" s="18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8"/>
      <c r="R225" s="16"/>
      <c r="S225" s="18"/>
      <c r="T225" s="24"/>
      <c r="U225" s="23"/>
      <c r="V225" s="52"/>
      <c r="W225" s="50" t="str">
        <f aca="true">IF(Q225="","",TODAY()-Q225)</f>
        <v/>
      </c>
      <c r="X225" s="51" t="str">
        <f aca="true">IF(F225="","",IF(OR(O225="Won",O225="Lost"),"Closed",IF(S225="","No date set",IF(S225&lt;TODAY(),"Overdue",IF(S225=TODAY(),"Due today","Upcoming")))))</f>
        <v/>
      </c>
    </row>
    <row r="226" customFormat="false" ht="15" hidden="false" customHeight="false" outlineLevel="0" collapsed="false">
      <c r="A226" s="16" t="s">
        <v>453</v>
      </c>
      <c r="B226" s="18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8"/>
      <c r="R226" s="16"/>
      <c r="S226" s="18"/>
      <c r="T226" s="24"/>
      <c r="U226" s="23"/>
      <c r="V226" s="52"/>
      <c r="W226" s="50" t="str">
        <f aca="true">IF(Q226="","",TODAY()-Q226)</f>
        <v/>
      </c>
      <c r="X226" s="51" t="str">
        <f aca="true">IF(F226="","",IF(OR(O226="Won",O226="Lost"),"Closed",IF(S226="","No date set",IF(S226&lt;TODAY(),"Overdue",IF(S226=TODAY(),"Due today","Upcoming")))))</f>
        <v/>
      </c>
    </row>
    <row r="227" customFormat="false" ht="15" hidden="false" customHeight="false" outlineLevel="0" collapsed="false">
      <c r="A227" s="16" t="s">
        <v>454</v>
      </c>
      <c r="B227" s="18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8"/>
      <c r="R227" s="16"/>
      <c r="S227" s="18"/>
      <c r="T227" s="24"/>
      <c r="U227" s="23"/>
      <c r="V227" s="52"/>
      <c r="W227" s="50" t="str">
        <f aca="true">IF(Q227="","",TODAY()-Q227)</f>
        <v/>
      </c>
      <c r="X227" s="51" t="str">
        <f aca="true">IF(F227="","",IF(OR(O227="Won",O227="Lost"),"Closed",IF(S227="","No date set",IF(S227&lt;TODAY(),"Overdue",IF(S227=TODAY(),"Due today","Upcoming")))))</f>
        <v/>
      </c>
    </row>
    <row r="228" customFormat="false" ht="15" hidden="false" customHeight="false" outlineLevel="0" collapsed="false">
      <c r="A228" s="16" t="s">
        <v>455</v>
      </c>
      <c r="B228" s="18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8"/>
      <c r="R228" s="16"/>
      <c r="S228" s="18"/>
      <c r="T228" s="24"/>
      <c r="U228" s="23"/>
      <c r="V228" s="52"/>
      <c r="W228" s="50" t="str">
        <f aca="true">IF(Q228="","",TODAY()-Q228)</f>
        <v/>
      </c>
      <c r="X228" s="51" t="str">
        <f aca="true">IF(F228="","",IF(OR(O228="Won",O228="Lost"),"Closed",IF(S228="","No date set",IF(S228&lt;TODAY(),"Overdue",IF(S228=TODAY(),"Due today","Upcoming")))))</f>
        <v/>
      </c>
    </row>
    <row r="229" customFormat="false" ht="15" hidden="false" customHeight="false" outlineLevel="0" collapsed="false">
      <c r="A229" s="16" t="s">
        <v>456</v>
      </c>
      <c r="B229" s="18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8"/>
      <c r="R229" s="16"/>
      <c r="S229" s="18"/>
      <c r="T229" s="24"/>
      <c r="U229" s="23"/>
      <c r="V229" s="52"/>
      <c r="W229" s="50" t="str">
        <f aca="true">IF(Q229="","",TODAY()-Q229)</f>
        <v/>
      </c>
      <c r="X229" s="51" t="str">
        <f aca="true">IF(F229="","",IF(OR(O229="Won",O229="Lost"),"Closed",IF(S229="","No date set",IF(S229&lt;TODAY(),"Overdue",IF(S229=TODAY(),"Due today","Upcoming")))))</f>
        <v/>
      </c>
    </row>
    <row r="230" customFormat="false" ht="15" hidden="false" customHeight="false" outlineLevel="0" collapsed="false">
      <c r="A230" s="16" t="s">
        <v>457</v>
      </c>
      <c r="B230" s="18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8"/>
      <c r="R230" s="16"/>
      <c r="S230" s="18"/>
      <c r="T230" s="24"/>
      <c r="U230" s="23"/>
      <c r="V230" s="52"/>
      <c r="W230" s="50" t="str">
        <f aca="true">IF(Q230="","",TODAY()-Q230)</f>
        <v/>
      </c>
      <c r="X230" s="51" t="str">
        <f aca="true">IF(F230="","",IF(OR(O230="Won",O230="Lost"),"Closed",IF(S230="","No date set",IF(S230&lt;TODAY(),"Overdue",IF(S230=TODAY(),"Due today","Upcoming")))))</f>
        <v/>
      </c>
    </row>
    <row r="231" customFormat="false" ht="15" hidden="false" customHeight="false" outlineLevel="0" collapsed="false">
      <c r="A231" s="16" t="s">
        <v>458</v>
      </c>
      <c r="B231" s="18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8"/>
      <c r="R231" s="16"/>
      <c r="S231" s="18"/>
      <c r="T231" s="24"/>
      <c r="U231" s="23"/>
      <c r="V231" s="52"/>
      <c r="W231" s="50" t="str">
        <f aca="true">IF(Q231="","",TODAY()-Q231)</f>
        <v/>
      </c>
      <c r="X231" s="51" t="str">
        <f aca="true">IF(F231="","",IF(OR(O231="Won",O231="Lost"),"Closed",IF(S231="","No date set",IF(S231&lt;TODAY(),"Overdue",IF(S231=TODAY(),"Due today","Upcoming")))))</f>
        <v/>
      </c>
    </row>
    <row r="232" customFormat="false" ht="15" hidden="false" customHeight="false" outlineLevel="0" collapsed="false">
      <c r="A232" s="16" t="s">
        <v>459</v>
      </c>
      <c r="B232" s="18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8"/>
      <c r="R232" s="16"/>
      <c r="S232" s="18"/>
      <c r="T232" s="24"/>
      <c r="U232" s="23"/>
      <c r="V232" s="52"/>
      <c r="W232" s="50" t="str">
        <f aca="true">IF(Q232="","",TODAY()-Q232)</f>
        <v/>
      </c>
      <c r="X232" s="51" t="str">
        <f aca="true">IF(F232="","",IF(OR(O232="Won",O232="Lost"),"Closed",IF(S232="","No date set",IF(S232&lt;TODAY(),"Overdue",IF(S232=TODAY(),"Due today","Upcoming")))))</f>
        <v/>
      </c>
    </row>
    <row r="233" customFormat="false" ht="15" hidden="false" customHeight="false" outlineLevel="0" collapsed="false">
      <c r="A233" s="16" t="s">
        <v>460</v>
      </c>
      <c r="B233" s="18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8"/>
      <c r="R233" s="16"/>
      <c r="S233" s="18"/>
      <c r="T233" s="24"/>
      <c r="U233" s="23"/>
      <c r="V233" s="52"/>
      <c r="W233" s="50" t="str">
        <f aca="true">IF(Q233="","",TODAY()-Q233)</f>
        <v/>
      </c>
      <c r="X233" s="51" t="str">
        <f aca="true">IF(F233="","",IF(OR(O233="Won",O233="Lost"),"Closed",IF(S233="","No date set",IF(S233&lt;TODAY(),"Overdue",IF(S233=TODAY(),"Due today","Upcoming")))))</f>
        <v/>
      </c>
    </row>
    <row r="234" customFormat="false" ht="15" hidden="false" customHeight="false" outlineLevel="0" collapsed="false">
      <c r="A234" s="16" t="s">
        <v>461</v>
      </c>
      <c r="B234" s="18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8"/>
      <c r="R234" s="16"/>
      <c r="S234" s="18"/>
      <c r="T234" s="24"/>
      <c r="U234" s="23"/>
      <c r="V234" s="52"/>
      <c r="W234" s="50" t="str">
        <f aca="true">IF(Q234="","",TODAY()-Q234)</f>
        <v/>
      </c>
      <c r="X234" s="51" t="str">
        <f aca="true">IF(F234="","",IF(OR(O234="Won",O234="Lost"),"Closed",IF(S234="","No date set",IF(S234&lt;TODAY(),"Overdue",IF(S234=TODAY(),"Due today","Upcoming")))))</f>
        <v/>
      </c>
    </row>
    <row r="235" customFormat="false" ht="15" hidden="false" customHeight="false" outlineLevel="0" collapsed="false">
      <c r="A235" s="16" t="s">
        <v>462</v>
      </c>
      <c r="B235" s="18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8"/>
      <c r="R235" s="16"/>
      <c r="S235" s="18"/>
      <c r="T235" s="24"/>
      <c r="U235" s="23"/>
      <c r="V235" s="52"/>
      <c r="W235" s="50" t="str">
        <f aca="true">IF(Q235="","",TODAY()-Q235)</f>
        <v/>
      </c>
      <c r="X235" s="51" t="str">
        <f aca="true">IF(F235="","",IF(OR(O235="Won",O235="Lost"),"Closed",IF(S235="","No date set",IF(S235&lt;TODAY(),"Overdue",IF(S235=TODAY(),"Due today","Upcoming")))))</f>
        <v/>
      </c>
    </row>
    <row r="236" customFormat="false" ht="15" hidden="false" customHeight="false" outlineLevel="0" collapsed="false">
      <c r="A236" s="16" t="s">
        <v>463</v>
      </c>
      <c r="B236" s="18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8"/>
      <c r="R236" s="16"/>
      <c r="S236" s="18"/>
      <c r="T236" s="24"/>
      <c r="U236" s="23"/>
      <c r="V236" s="52"/>
      <c r="W236" s="50" t="str">
        <f aca="true">IF(Q236="","",TODAY()-Q236)</f>
        <v/>
      </c>
      <c r="X236" s="51" t="str">
        <f aca="true">IF(F236="","",IF(OR(O236="Won",O236="Lost"),"Closed",IF(S236="","No date set",IF(S236&lt;TODAY(),"Overdue",IF(S236=TODAY(),"Due today","Upcoming")))))</f>
        <v/>
      </c>
    </row>
    <row r="237" customFormat="false" ht="15" hidden="false" customHeight="false" outlineLevel="0" collapsed="false">
      <c r="A237" s="16" t="s">
        <v>464</v>
      </c>
      <c r="B237" s="18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8"/>
      <c r="R237" s="16"/>
      <c r="S237" s="18"/>
      <c r="T237" s="24"/>
      <c r="U237" s="23"/>
      <c r="V237" s="52"/>
      <c r="W237" s="50" t="str">
        <f aca="true">IF(Q237="","",TODAY()-Q237)</f>
        <v/>
      </c>
      <c r="X237" s="51" t="str">
        <f aca="true">IF(F237="","",IF(OR(O237="Won",O237="Lost"),"Closed",IF(S237="","No date set",IF(S237&lt;TODAY(),"Overdue",IF(S237=TODAY(),"Due today","Upcoming")))))</f>
        <v/>
      </c>
    </row>
    <row r="238" customFormat="false" ht="15" hidden="false" customHeight="false" outlineLevel="0" collapsed="false">
      <c r="A238" s="16" t="s">
        <v>465</v>
      </c>
      <c r="B238" s="18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8"/>
      <c r="R238" s="16"/>
      <c r="S238" s="18"/>
      <c r="T238" s="24"/>
      <c r="U238" s="23"/>
      <c r="V238" s="52"/>
      <c r="W238" s="50" t="str">
        <f aca="true">IF(Q238="","",TODAY()-Q238)</f>
        <v/>
      </c>
      <c r="X238" s="51" t="str">
        <f aca="true">IF(F238="","",IF(OR(O238="Won",O238="Lost"),"Closed",IF(S238="","No date set",IF(S238&lt;TODAY(),"Overdue",IF(S238=TODAY(),"Due today","Upcoming")))))</f>
        <v/>
      </c>
    </row>
    <row r="239" customFormat="false" ht="15" hidden="false" customHeight="false" outlineLevel="0" collapsed="false">
      <c r="A239" s="16" t="s">
        <v>466</v>
      </c>
      <c r="B239" s="18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8"/>
      <c r="R239" s="16"/>
      <c r="S239" s="18"/>
      <c r="T239" s="24"/>
      <c r="U239" s="23"/>
      <c r="V239" s="52"/>
      <c r="W239" s="50" t="str">
        <f aca="true">IF(Q239="","",TODAY()-Q239)</f>
        <v/>
      </c>
      <c r="X239" s="51" t="str">
        <f aca="true">IF(F239="","",IF(OR(O239="Won",O239="Lost"),"Closed",IF(S239="","No date set",IF(S239&lt;TODAY(),"Overdue",IF(S239=TODAY(),"Due today","Upcoming")))))</f>
        <v/>
      </c>
    </row>
    <row r="240" customFormat="false" ht="15" hidden="false" customHeight="false" outlineLevel="0" collapsed="false">
      <c r="A240" s="16" t="s">
        <v>467</v>
      </c>
      <c r="B240" s="18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8"/>
      <c r="R240" s="16"/>
      <c r="S240" s="18"/>
      <c r="T240" s="24"/>
      <c r="U240" s="23"/>
      <c r="V240" s="52"/>
      <c r="W240" s="50" t="str">
        <f aca="true">IF(Q240="","",TODAY()-Q240)</f>
        <v/>
      </c>
      <c r="X240" s="51" t="str">
        <f aca="true">IF(F240="","",IF(OR(O240="Won",O240="Lost"),"Closed",IF(S240="","No date set",IF(S240&lt;TODAY(),"Overdue",IF(S240=TODAY(),"Due today","Upcoming")))))</f>
        <v/>
      </c>
    </row>
    <row r="241" customFormat="false" ht="15" hidden="false" customHeight="false" outlineLevel="0" collapsed="false">
      <c r="A241" s="16" t="s">
        <v>468</v>
      </c>
      <c r="B241" s="18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8"/>
      <c r="R241" s="16"/>
      <c r="S241" s="18"/>
      <c r="T241" s="24"/>
      <c r="U241" s="23"/>
      <c r="V241" s="52"/>
      <c r="W241" s="50" t="str">
        <f aca="true">IF(Q241="","",TODAY()-Q241)</f>
        <v/>
      </c>
      <c r="X241" s="51" t="str">
        <f aca="true">IF(F241="","",IF(OR(O241="Won",O241="Lost"),"Closed",IF(S241="","No date set",IF(S241&lt;TODAY(),"Overdue",IF(S241=TODAY(),"Due today","Upcoming")))))</f>
        <v/>
      </c>
    </row>
    <row r="242" customFormat="false" ht="15" hidden="false" customHeight="false" outlineLevel="0" collapsed="false">
      <c r="A242" s="16" t="s">
        <v>469</v>
      </c>
      <c r="B242" s="18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8"/>
      <c r="R242" s="16"/>
      <c r="S242" s="18"/>
      <c r="T242" s="24"/>
      <c r="U242" s="23"/>
      <c r="V242" s="52"/>
      <c r="W242" s="50" t="str">
        <f aca="true">IF(Q242="","",TODAY()-Q242)</f>
        <v/>
      </c>
      <c r="X242" s="51" t="str">
        <f aca="true">IF(F242="","",IF(OR(O242="Won",O242="Lost"),"Closed",IF(S242="","No date set",IF(S242&lt;TODAY(),"Overdue",IF(S242=TODAY(),"Due today","Upcoming")))))</f>
        <v/>
      </c>
    </row>
    <row r="243" customFormat="false" ht="15" hidden="false" customHeight="false" outlineLevel="0" collapsed="false">
      <c r="A243" s="16" t="s">
        <v>470</v>
      </c>
      <c r="B243" s="18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8"/>
      <c r="R243" s="16"/>
      <c r="S243" s="18"/>
      <c r="T243" s="24"/>
      <c r="U243" s="23"/>
      <c r="V243" s="52"/>
      <c r="W243" s="50" t="str">
        <f aca="true">IF(Q243="","",TODAY()-Q243)</f>
        <v/>
      </c>
      <c r="X243" s="51" t="str">
        <f aca="true">IF(F243="","",IF(OR(O243="Won",O243="Lost"),"Closed",IF(S243="","No date set",IF(S243&lt;TODAY(),"Overdue",IF(S243=TODAY(),"Due today","Upcoming")))))</f>
        <v/>
      </c>
    </row>
    <row r="244" customFormat="false" ht="15" hidden="false" customHeight="false" outlineLevel="0" collapsed="false">
      <c r="A244" s="16" t="s">
        <v>471</v>
      </c>
      <c r="B244" s="18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8"/>
      <c r="R244" s="16"/>
      <c r="S244" s="18"/>
      <c r="T244" s="24"/>
      <c r="U244" s="23"/>
      <c r="V244" s="52"/>
      <c r="W244" s="50" t="str">
        <f aca="true">IF(Q244="","",TODAY()-Q244)</f>
        <v/>
      </c>
      <c r="X244" s="51" t="str">
        <f aca="true">IF(F244="","",IF(OR(O244="Won",O244="Lost"),"Closed",IF(S244="","No date set",IF(S244&lt;TODAY(),"Overdue",IF(S244=TODAY(),"Due today","Upcoming")))))</f>
        <v/>
      </c>
    </row>
    <row r="245" customFormat="false" ht="15" hidden="false" customHeight="false" outlineLevel="0" collapsed="false">
      <c r="A245" s="16" t="s">
        <v>472</v>
      </c>
      <c r="B245" s="18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8"/>
      <c r="R245" s="16"/>
      <c r="S245" s="18"/>
      <c r="T245" s="24"/>
      <c r="U245" s="23"/>
      <c r="V245" s="52"/>
      <c r="W245" s="50" t="str">
        <f aca="true">IF(Q245="","",TODAY()-Q245)</f>
        <v/>
      </c>
      <c r="X245" s="51" t="str">
        <f aca="true">IF(F245="","",IF(OR(O245="Won",O245="Lost"),"Closed",IF(S245="","No date set",IF(S245&lt;TODAY(),"Overdue",IF(S245=TODAY(),"Due today","Upcoming")))))</f>
        <v/>
      </c>
    </row>
    <row r="246" customFormat="false" ht="15" hidden="false" customHeight="false" outlineLevel="0" collapsed="false">
      <c r="A246" s="16" t="s">
        <v>473</v>
      </c>
      <c r="B246" s="18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8"/>
      <c r="R246" s="16"/>
      <c r="S246" s="18"/>
      <c r="T246" s="24"/>
      <c r="U246" s="23"/>
      <c r="V246" s="52"/>
      <c r="W246" s="50" t="str">
        <f aca="true">IF(Q246="","",TODAY()-Q246)</f>
        <v/>
      </c>
      <c r="X246" s="51" t="str">
        <f aca="true">IF(F246="","",IF(OR(O246="Won",O246="Lost"),"Closed",IF(S246="","No date set",IF(S246&lt;TODAY(),"Overdue",IF(S246=TODAY(),"Due today","Upcoming")))))</f>
        <v/>
      </c>
    </row>
    <row r="247" customFormat="false" ht="15" hidden="false" customHeight="false" outlineLevel="0" collapsed="false">
      <c r="A247" s="16" t="s">
        <v>474</v>
      </c>
      <c r="B247" s="18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8"/>
      <c r="R247" s="16"/>
      <c r="S247" s="18"/>
      <c r="T247" s="24"/>
      <c r="U247" s="23"/>
      <c r="V247" s="52"/>
      <c r="W247" s="50" t="str">
        <f aca="true">IF(Q247="","",TODAY()-Q247)</f>
        <v/>
      </c>
      <c r="X247" s="51" t="str">
        <f aca="true">IF(F247="","",IF(OR(O247="Won",O247="Lost"),"Closed",IF(S247="","No date set",IF(S247&lt;TODAY(),"Overdue",IF(S247=TODAY(),"Due today","Upcoming")))))</f>
        <v/>
      </c>
    </row>
    <row r="248" customFormat="false" ht="15" hidden="false" customHeight="false" outlineLevel="0" collapsed="false">
      <c r="A248" s="16" t="s">
        <v>475</v>
      </c>
      <c r="B248" s="18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8"/>
      <c r="R248" s="16"/>
      <c r="S248" s="18"/>
      <c r="T248" s="24"/>
      <c r="U248" s="23"/>
      <c r="V248" s="52"/>
      <c r="W248" s="50" t="str">
        <f aca="true">IF(Q248="","",TODAY()-Q248)</f>
        <v/>
      </c>
      <c r="X248" s="51" t="str">
        <f aca="true">IF(F248="","",IF(OR(O248="Won",O248="Lost"),"Closed",IF(S248="","No date set",IF(S248&lt;TODAY(),"Overdue",IF(S248=TODAY(),"Due today","Upcoming")))))</f>
        <v/>
      </c>
    </row>
    <row r="249" customFormat="false" ht="15" hidden="false" customHeight="false" outlineLevel="0" collapsed="false">
      <c r="A249" s="16" t="s">
        <v>476</v>
      </c>
      <c r="B249" s="18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8"/>
      <c r="R249" s="16"/>
      <c r="S249" s="18"/>
      <c r="T249" s="24"/>
      <c r="U249" s="23"/>
      <c r="V249" s="52"/>
      <c r="W249" s="50" t="str">
        <f aca="true">IF(Q249="","",TODAY()-Q249)</f>
        <v/>
      </c>
      <c r="X249" s="51" t="str">
        <f aca="true">IF(F249="","",IF(OR(O249="Won",O249="Lost"),"Closed",IF(S249="","No date set",IF(S249&lt;TODAY(),"Overdue",IF(S249=TODAY(),"Due today","Upcoming")))))</f>
        <v/>
      </c>
    </row>
    <row r="250" customFormat="false" ht="15" hidden="false" customHeight="false" outlineLevel="0" collapsed="false">
      <c r="A250" s="16" t="s">
        <v>477</v>
      </c>
      <c r="B250" s="18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8"/>
      <c r="R250" s="16"/>
      <c r="S250" s="18"/>
      <c r="T250" s="24"/>
      <c r="U250" s="23"/>
      <c r="V250" s="52"/>
      <c r="W250" s="50" t="str">
        <f aca="true">IF(Q250="","",TODAY()-Q250)</f>
        <v/>
      </c>
      <c r="X250" s="51" t="str">
        <f aca="true">IF(F250="","",IF(OR(O250="Won",O250="Lost"),"Closed",IF(S250="","No date set",IF(S250&lt;TODAY(),"Overdue",IF(S250=TODAY(),"Due today","Upcoming")))))</f>
        <v/>
      </c>
    </row>
    <row r="251" customFormat="false" ht="15" hidden="false" customHeight="false" outlineLevel="0" collapsed="false">
      <c r="A251" s="16" t="s">
        <v>478</v>
      </c>
      <c r="B251" s="18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8"/>
      <c r="R251" s="16"/>
      <c r="S251" s="18"/>
      <c r="T251" s="24"/>
      <c r="U251" s="23"/>
      <c r="V251" s="52"/>
      <c r="W251" s="50" t="str">
        <f aca="true">IF(Q251="","",TODAY()-Q251)</f>
        <v/>
      </c>
      <c r="X251" s="51" t="str">
        <f aca="true">IF(F251="","",IF(OR(O251="Won",O251="Lost"),"Closed",IF(S251="","No date set",IF(S251&lt;TODAY(),"Overdue",IF(S251=TODAY(),"Due today","Upcoming")))))</f>
        <v/>
      </c>
    </row>
    <row r="252" customFormat="false" ht="15" hidden="false" customHeight="false" outlineLevel="0" collapsed="false">
      <c r="A252" s="16" t="s">
        <v>479</v>
      </c>
      <c r="B252" s="18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8"/>
      <c r="R252" s="16"/>
      <c r="S252" s="18"/>
      <c r="T252" s="24"/>
      <c r="U252" s="23"/>
      <c r="V252" s="52"/>
      <c r="W252" s="50" t="str">
        <f aca="true">IF(Q252="","",TODAY()-Q252)</f>
        <v/>
      </c>
      <c r="X252" s="51" t="str">
        <f aca="true">IF(F252="","",IF(OR(O252="Won",O252="Lost"),"Closed",IF(S252="","No date set",IF(S252&lt;TODAY(),"Overdue",IF(S252=TODAY(),"Due today","Upcoming")))))</f>
        <v/>
      </c>
    </row>
    <row r="253" customFormat="false" ht="15" hidden="false" customHeight="false" outlineLevel="0" collapsed="false">
      <c r="A253" s="16" t="s">
        <v>480</v>
      </c>
      <c r="B253" s="18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8"/>
      <c r="R253" s="16"/>
      <c r="S253" s="18"/>
      <c r="T253" s="24"/>
      <c r="U253" s="23"/>
      <c r="V253" s="52"/>
      <c r="W253" s="50" t="str">
        <f aca="true">IF(Q253="","",TODAY()-Q253)</f>
        <v/>
      </c>
      <c r="X253" s="51" t="str">
        <f aca="true">IF(F253="","",IF(OR(O253="Won",O253="Lost"),"Closed",IF(S253="","No date set",IF(S253&lt;TODAY(),"Overdue",IF(S253=TODAY(),"Due today","Upcoming")))))</f>
        <v/>
      </c>
    </row>
    <row r="254" customFormat="false" ht="15" hidden="false" customHeight="false" outlineLevel="0" collapsed="false">
      <c r="A254" s="16" t="s">
        <v>481</v>
      </c>
      <c r="B254" s="18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8"/>
      <c r="R254" s="16"/>
      <c r="S254" s="18"/>
      <c r="T254" s="24"/>
      <c r="U254" s="23"/>
      <c r="V254" s="52"/>
      <c r="W254" s="50" t="str">
        <f aca="true">IF(Q254="","",TODAY()-Q254)</f>
        <v/>
      </c>
      <c r="X254" s="51" t="str">
        <f aca="true">IF(F254="","",IF(OR(O254="Won",O254="Lost"),"Closed",IF(S254="","No date set",IF(S254&lt;TODAY(),"Overdue",IF(S254=TODAY(),"Due today","Upcoming")))))</f>
        <v/>
      </c>
    </row>
    <row r="255" customFormat="false" ht="15" hidden="false" customHeight="false" outlineLevel="0" collapsed="false">
      <c r="A255" s="16" t="s">
        <v>482</v>
      </c>
      <c r="B255" s="18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8"/>
      <c r="R255" s="16"/>
      <c r="S255" s="18"/>
      <c r="T255" s="24"/>
      <c r="U255" s="23"/>
      <c r="V255" s="52"/>
      <c r="W255" s="50" t="str">
        <f aca="true">IF(Q255="","",TODAY()-Q255)</f>
        <v/>
      </c>
      <c r="X255" s="51" t="str">
        <f aca="true">IF(F255="","",IF(OR(O255="Won",O255="Lost"),"Closed",IF(S255="","No date set",IF(S255&lt;TODAY(),"Overdue",IF(S255=TODAY(),"Due today","Upcoming")))))</f>
        <v/>
      </c>
    </row>
    <row r="256" customFormat="false" ht="15" hidden="false" customHeight="false" outlineLevel="0" collapsed="false">
      <c r="A256" s="16" t="s">
        <v>483</v>
      </c>
      <c r="B256" s="18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8"/>
      <c r="R256" s="16"/>
      <c r="S256" s="18"/>
      <c r="T256" s="24"/>
      <c r="U256" s="23"/>
      <c r="V256" s="52"/>
      <c r="W256" s="50" t="str">
        <f aca="true">IF(Q256="","",TODAY()-Q256)</f>
        <v/>
      </c>
      <c r="X256" s="51" t="str">
        <f aca="true">IF(F256="","",IF(OR(O256="Won",O256="Lost"),"Closed",IF(S256="","No date set",IF(S256&lt;TODAY(),"Overdue",IF(S256=TODAY(),"Due today","Upcoming")))))</f>
        <v/>
      </c>
    </row>
    <row r="257" customFormat="false" ht="15" hidden="false" customHeight="false" outlineLevel="0" collapsed="false">
      <c r="A257" s="16" t="s">
        <v>484</v>
      </c>
      <c r="B257" s="18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8"/>
      <c r="R257" s="16"/>
      <c r="S257" s="18"/>
      <c r="T257" s="24"/>
      <c r="U257" s="23"/>
      <c r="V257" s="52"/>
      <c r="W257" s="50" t="str">
        <f aca="true">IF(Q257="","",TODAY()-Q257)</f>
        <v/>
      </c>
      <c r="X257" s="51" t="str">
        <f aca="true">IF(F257="","",IF(OR(O257="Won",O257="Lost"),"Closed",IF(S257="","No date set",IF(S257&lt;TODAY(),"Overdue",IF(S257=TODAY(),"Due today","Upcoming")))))</f>
        <v/>
      </c>
    </row>
    <row r="258" customFormat="false" ht="15" hidden="false" customHeight="false" outlineLevel="0" collapsed="false">
      <c r="A258" s="16" t="s">
        <v>485</v>
      </c>
      <c r="B258" s="18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8"/>
      <c r="R258" s="16"/>
      <c r="S258" s="18"/>
      <c r="T258" s="24"/>
      <c r="U258" s="23"/>
      <c r="V258" s="52"/>
      <c r="W258" s="50" t="str">
        <f aca="true">IF(Q258="","",TODAY()-Q258)</f>
        <v/>
      </c>
      <c r="X258" s="51" t="str">
        <f aca="true">IF(F258="","",IF(OR(O258="Won",O258="Lost"),"Closed",IF(S258="","No date set",IF(S258&lt;TODAY(),"Overdue",IF(S258=TODAY(),"Due today","Upcoming")))))</f>
        <v/>
      </c>
    </row>
    <row r="259" customFormat="false" ht="15" hidden="false" customHeight="false" outlineLevel="0" collapsed="false">
      <c r="A259" s="16" t="s">
        <v>486</v>
      </c>
      <c r="B259" s="18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8"/>
      <c r="R259" s="16"/>
      <c r="S259" s="18"/>
      <c r="T259" s="24"/>
      <c r="U259" s="23"/>
      <c r="V259" s="52"/>
      <c r="W259" s="50" t="str">
        <f aca="true">IF(Q259="","",TODAY()-Q259)</f>
        <v/>
      </c>
      <c r="X259" s="51" t="str">
        <f aca="true">IF(F259="","",IF(OR(O259="Won",O259="Lost"),"Closed",IF(S259="","No date set",IF(S259&lt;TODAY(),"Overdue",IF(S259=TODAY(),"Due today","Upcoming")))))</f>
        <v/>
      </c>
    </row>
    <row r="260" customFormat="false" ht="15" hidden="false" customHeight="false" outlineLevel="0" collapsed="false">
      <c r="A260" s="16" t="s">
        <v>487</v>
      </c>
      <c r="B260" s="18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8"/>
      <c r="R260" s="16"/>
      <c r="S260" s="18"/>
      <c r="T260" s="24"/>
      <c r="U260" s="23"/>
      <c r="V260" s="52"/>
      <c r="W260" s="50" t="str">
        <f aca="true">IF(Q260="","",TODAY()-Q260)</f>
        <v/>
      </c>
      <c r="X260" s="51" t="str">
        <f aca="true">IF(F260="","",IF(OR(O260="Won",O260="Lost"),"Closed",IF(S260="","No date set",IF(S260&lt;TODAY(),"Overdue",IF(S260=TODAY(),"Due today","Upcoming")))))</f>
        <v/>
      </c>
    </row>
    <row r="261" customFormat="false" ht="15" hidden="false" customHeight="false" outlineLevel="0" collapsed="false">
      <c r="A261" s="16" t="s">
        <v>488</v>
      </c>
      <c r="B261" s="18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8"/>
      <c r="R261" s="16"/>
      <c r="S261" s="18"/>
      <c r="T261" s="24"/>
      <c r="U261" s="23"/>
      <c r="V261" s="52"/>
      <c r="W261" s="50" t="str">
        <f aca="true">IF(Q261="","",TODAY()-Q261)</f>
        <v/>
      </c>
      <c r="X261" s="51" t="str">
        <f aca="true">IF(F261="","",IF(OR(O261="Won",O261="Lost"),"Closed",IF(S261="","No date set",IF(S261&lt;TODAY(),"Overdue",IF(S261=TODAY(),"Due today","Upcoming")))))</f>
        <v/>
      </c>
    </row>
    <row r="262" customFormat="false" ht="15" hidden="false" customHeight="false" outlineLevel="0" collapsed="false">
      <c r="A262" s="16" t="s">
        <v>489</v>
      </c>
      <c r="B262" s="18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8"/>
      <c r="R262" s="16"/>
      <c r="S262" s="18"/>
      <c r="T262" s="24"/>
      <c r="U262" s="23"/>
      <c r="V262" s="52"/>
      <c r="W262" s="50" t="str">
        <f aca="true">IF(Q262="","",TODAY()-Q262)</f>
        <v/>
      </c>
      <c r="X262" s="51" t="str">
        <f aca="true">IF(F262="","",IF(OR(O262="Won",O262="Lost"),"Closed",IF(S262="","No date set",IF(S262&lt;TODAY(),"Overdue",IF(S262=TODAY(),"Due today","Upcoming")))))</f>
        <v/>
      </c>
    </row>
    <row r="263" customFormat="false" ht="15" hidden="false" customHeight="false" outlineLevel="0" collapsed="false">
      <c r="A263" s="16" t="s">
        <v>490</v>
      </c>
      <c r="B263" s="18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8"/>
      <c r="R263" s="16"/>
      <c r="S263" s="18"/>
      <c r="T263" s="24"/>
      <c r="U263" s="23"/>
      <c r="V263" s="52"/>
      <c r="W263" s="50" t="str">
        <f aca="true">IF(Q263="","",TODAY()-Q263)</f>
        <v/>
      </c>
      <c r="X263" s="51" t="str">
        <f aca="true">IF(F263="","",IF(OR(O263="Won",O263="Lost"),"Closed",IF(S263="","No date set",IF(S263&lt;TODAY(),"Overdue",IF(S263=TODAY(),"Due today","Upcoming")))))</f>
        <v/>
      </c>
    </row>
    <row r="264" customFormat="false" ht="15" hidden="false" customHeight="false" outlineLevel="0" collapsed="false">
      <c r="A264" s="16" t="s">
        <v>491</v>
      </c>
      <c r="B264" s="18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8"/>
      <c r="R264" s="16"/>
      <c r="S264" s="18"/>
      <c r="T264" s="24"/>
      <c r="U264" s="23"/>
      <c r="V264" s="52"/>
      <c r="W264" s="50" t="str">
        <f aca="true">IF(Q264="","",TODAY()-Q264)</f>
        <v/>
      </c>
      <c r="X264" s="51" t="str">
        <f aca="true">IF(F264="","",IF(OR(O264="Won",O264="Lost"),"Closed",IF(S264="","No date set",IF(S264&lt;TODAY(),"Overdue",IF(S264=TODAY(),"Due today","Upcoming")))))</f>
        <v/>
      </c>
    </row>
    <row r="265" customFormat="false" ht="15" hidden="false" customHeight="false" outlineLevel="0" collapsed="false">
      <c r="A265" s="16" t="s">
        <v>492</v>
      </c>
      <c r="B265" s="18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8"/>
      <c r="R265" s="16"/>
      <c r="S265" s="18"/>
      <c r="T265" s="24"/>
      <c r="U265" s="23"/>
      <c r="V265" s="52"/>
      <c r="W265" s="50" t="str">
        <f aca="true">IF(Q265="","",TODAY()-Q265)</f>
        <v/>
      </c>
      <c r="X265" s="51" t="str">
        <f aca="true">IF(F265="","",IF(OR(O265="Won",O265="Lost"),"Closed",IF(S265="","No date set",IF(S265&lt;TODAY(),"Overdue",IF(S265=TODAY(),"Due today","Upcoming")))))</f>
        <v/>
      </c>
    </row>
    <row r="266" customFormat="false" ht="15" hidden="false" customHeight="false" outlineLevel="0" collapsed="false">
      <c r="A266" s="16" t="s">
        <v>493</v>
      </c>
      <c r="B266" s="18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8"/>
      <c r="R266" s="16"/>
      <c r="S266" s="18"/>
      <c r="T266" s="24"/>
      <c r="U266" s="23"/>
      <c r="V266" s="52"/>
      <c r="W266" s="50" t="str">
        <f aca="true">IF(Q266="","",TODAY()-Q266)</f>
        <v/>
      </c>
      <c r="X266" s="51" t="str">
        <f aca="true">IF(F266="","",IF(OR(O266="Won",O266="Lost"),"Closed",IF(S266="","No date set",IF(S266&lt;TODAY(),"Overdue",IF(S266=TODAY(),"Due today","Upcoming")))))</f>
        <v/>
      </c>
    </row>
    <row r="267" customFormat="false" ht="15" hidden="false" customHeight="false" outlineLevel="0" collapsed="false">
      <c r="A267" s="16" t="s">
        <v>494</v>
      </c>
      <c r="B267" s="18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8"/>
      <c r="R267" s="16"/>
      <c r="S267" s="18"/>
      <c r="T267" s="24"/>
      <c r="U267" s="23"/>
      <c r="V267" s="52"/>
      <c r="W267" s="50" t="str">
        <f aca="true">IF(Q267="","",TODAY()-Q267)</f>
        <v/>
      </c>
      <c r="X267" s="51" t="str">
        <f aca="true">IF(F267="","",IF(OR(O267="Won",O267="Lost"),"Closed",IF(S267="","No date set",IF(S267&lt;TODAY(),"Overdue",IF(S267=TODAY(),"Due today","Upcoming")))))</f>
        <v/>
      </c>
    </row>
    <row r="268" customFormat="false" ht="15" hidden="false" customHeight="false" outlineLevel="0" collapsed="false">
      <c r="A268" s="16" t="s">
        <v>495</v>
      </c>
      <c r="B268" s="18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8"/>
      <c r="R268" s="16"/>
      <c r="S268" s="18"/>
      <c r="T268" s="24"/>
      <c r="U268" s="23"/>
      <c r="V268" s="52"/>
      <c r="W268" s="50" t="str">
        <f aca="true">IF(Q268="","",TODAY()-Q268)</f>
        <v/>
      </c>
      <c r="X268" s="51" t="str">
        <f aca="true">IF(F268="","",IF(OR(O268="Won",O268="Lost"),"Closed",IF(S268="","No date set",IF(S268&lt;TODAY(),"Overdue",IF(S268=TODAY(),"Due today","Upcoming")))))</f>
        <v/>
      </c>
    </row>
    <row r="269" customFormat="false" ht="15" hidden="false" customHeight="false" outlineLevel="0" collapsed="false">
      <c r="A269" s="16" t="s">
        <v>496</v>
      </c>
      <c r="B269" s="18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8"/>
      <c r="R269" s="16"/>
      <c r="S269" s="18"/>
      <c r="T269" s="24"/>
      <c r="U269" s="23"/>
      <c r="V269" s="52"/>
      <c r="W269" s="50" t="str">
        <f aca="true">IF(Q269="","",TODAY()-Q269)</f>
        <v/>
      </c>
      <c r="X269" s="51" t="str">
        <f aca="true">IF(F269="","",IF(OR(O269="Won",O269="Lost"),"Closed",IF(S269="","No date set",IF(S269&lt;TODAY(),"Overdue",IF(S269=TODAY(),"Due today","Upcoming")))))</f>
        <v/>
      </c>
    </row>
    <row r="270" customFormat="false" ht="15" hidden="false" customHeight="false" outlineLevel="0" collapsed="false">
      <c r="A270" s="16" t="s">
        <v>497</v>
      </c>
      <c r="B270" s="18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8"/>
      <c r="R270" s="16"/>
      <c r="S270" s="18"/>
      <c r="T270" s="24"/>
      <c r="U270" s="23"/>
      <c r="V270" s="52"/>
      <c r="W270" s="50" t="str">
        <f aca="true">IF(Q270="","",TODAY()-Q270)</f>
        <v/>
      </c>
      <c r="X270" s="51" t="str">
        <f aca="true">IF(F270="","",IF(OR(O270="Won",O270="Lost"),"Closed",IF(S270="","No date set",IF(S270&lt;TODAY(),"Overdue",IF(S270=TODAY(),"Due today","Upcoming")))))</f>
        <v/>
      </c>
    </row>
    <row r="271" customFormat="false" ht="15" hidden="false" customHeight="false" outlineLevel="0" collapsed="false">
      <c r="A271" s="16" t="s">
        <v>498</v>
      </c>
      <c r="B271" s="18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8"/>
      <c r="R271" s="16"/>
      <c r="S271" s="18"/>
      <c r="T271" s="24"/>
      <c r="U271" s="23"/>
      <c r="V271" s="52"/>
      <c r="W271" s="50" t="str">
        <f aca="true">IF(Q271="","",TODAY()-Q271)</f>
        <v/>
      </c>
      <c r="X271" s="51" t="str">
        <f aca="true">IF(F271="","",IF(OR(O271="Won",O271="Lost"),"Closed",IF(S271="","No date set",IF(S271&lt;TODAY(),"Overdue",IF(S271=TODAY(),"Due today","Upcoming")))))</f>
        <v/>
      </c>
    </row>
    <row r="272" customFormat="false" ht="15" hidden="false" customHeight="false" outlineLevel="0" collapsed="false">
      <c r="A272" s="16" t="s">
        <v>499</v>
      </c>
      <c r="B272" s="18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8"/>
      <c r="R272" s="16"/>
      <c r="S272" s="18"/>
      <c r="T272" s="24"/>
      <c r="U272" s="23"/>
      <c r="V272" s="52"/>
      <c r="W272" s="50" t="str">
        <f aca="true">IF(Q272="","",TODAY()-Q272)</f>
        <v/>
      </c>
      <c r="X272" s="51" t="str">
        <f aca="true">IF(F272="","",IF(OR(O272="Won",O272="Lost"),"Closed",IF(S272="","No date set",IF(S272&lt;TODAY(),"Overdue",IF(S272=TODAY(),"Due today","Upcoming")))))</f>
        <v/>
      </c>
    </row>
    <row r="273" customFormat="false" ht="15" hidden="false" customHeight="false" outlineLevel="0" collapsed="false">
      <c r="A273" s="16" t="s">
        <v>500</v>
      </c>
      <c r="B273" s="18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8"/>
      <c r="R273" s="16"/>
      <c r="S273" s="18"/>
      <c r="T273" s="24"/>
      <c r="U273" s="23"/>
      <c r="V273" s="52"/>
      <c r="W273" s="50" t="str">
        <f aca="true">IF(Q273="","",TODAY()-Q273)</f>
        <v/>
      </c>
      <c r="X273" s="51" t="str">
        <f aca="true">IF(F273="","",IF(OR(O273="Won",O273="Lost"),"Closed",IF(S273="","No date set",IF(S273&lt;TODAY(),"Overdue",IF(S273=TODAY(),"Due today","Upcoming")))))</f>
        <v/>
      </c>
    </row>
    <row r="274" customFormat="false" ht="15" hidden="false" customHeight="false" outlineLevel="0" collapsed="false">
      <c r="A274" s="16" t="s">
        <v>501</v>
      </c>
      <c r="B274" s="18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8"/>
      <c r="R274" s="16"/>
      <c r="S274" s="18"/>
      <c r="T274" s="24"/>
      <c r="U274" s="23"/>
      <c r="V274" s="52"/>
      <c r="W274" s="50" t="str">
        <f aca="true">IF(Q274="","",TODAY()-Q274)</f>
        <v/>
      </c>
      <c r="X274" s="51" t="str">
        <f aca="true">IF(F274="","",IF(OR(O274="Won",O274="Lost"),"Closed",IF(S274="","No date set",IF(S274&lt;TODAY(),"Overdue",IF(S274=TODAY(),"Due today","Upcoming")))))</f>
        <v/>
      </c>
    </row>
    <row r="275" customFormat="false" ht="15" hidden="false" customHeight="false" outlineLevel="0" collapsed="false">
      <c r="A275" s="16" t="s">
        <v>502</v>
      </c>
      <c r="B275" s="18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8"/>
      <c r="R275" s="16"/>
      <c r="S275" s="18"/>
      <c r="T275" s="24"/>
      <c r="U275" s="23"/>
      <c r="V275" s="52"/>
      <c r="W275" s="50" t="str">
        <f aca="true">IF(Q275="","",TODAY()-Q275)</f>
        <v/>
      </c>
      <c r="X275" s="51" t="str">
        <f aca="true">IF(F275="","",IF(OR(O275="Won",O275="Lost"),"Closed",IF(S275="","No date set",IF(S275&lt;TODAY(),"Overdue",IF(S275=TODAY(),"Due today","Upcoming")))))</f>
        <v/>
      </c>
    </row>
    <row r="276" customFormat="false" ht="15" hidden="false" customHeight="false" outlineLevel="0" collapsed="false">
      <c r="A276" s="16" t="s">
        <v>503</v>
      </c>
      <c r="B276" s="18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8"/>
      <c r="R276" s="16"/>
      <c r="S276" s="18"/>
      <c r="T276" s="24"/>
      <c r="U276" s="23"/>
      <c r="V276" s="52"/>
      <c r="W276" s="50" t="str">
        <f aca="true">IF(Q276="","",TODAY()-Q276)</f>
        <v/>
      </c>
      <c r="X276" s="51" t="str">
        <f aca="true">IF(F276="","",IF(OR(O276="Won",O276="Lost"),"Closed",IF(S276="","No date set",IF(S276&lt;TODAY(),"Overdue",IF(S276=TODAY(),"Due today","Upcoming")))))</f>
        <v/>
      </c>
    </row>
    <row r="277" customFormat="false" ht="15" hidden="false" customHeight="false" outlineLevel="0" collapsed="false">
      <c r="A277" s="16" t="s">
        <v>504</v>
      </c>
      <c r="B277" s="18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8"/>
      <c r="R277" s="16"/>
      <c r="S277" s="18"/>
      <c r="T277" s="24"/>
      <c r="U277" s="23"/>
      <c r="V277" s="52"/>
      <c r="W277" s="50" t="str">
        <f aca="true">IF(Q277="","",TODAY()-Q277)</f>
        <v/>
      </c>
      <c r="X277" s="51" t="str">
        <f aca="true">IF(F277="","",IF(OR(O277="Won",O277="Lost"),"Closed",IF(S277="","No date set",IF(S277&lt;TODAY(),"Overdue",IF(S277=TODAY(),"Due today","Upcoming")))))</f>
        <v/>
      </c>
    </row>
    <row r="278" customFormat="false" ht="15" hidden="false" customHeight="false" outlineLevel="0" collapsed="false">
      <c r="A278" s="16" t="s">
        <v>505</v>
      </c>
      <c r="B278" s="18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8"/>
      <c r="R278" s="16"/>
      <c r="S278" s="18"/>
      <c r="T278" s="24"/>
      <c r="U278" s="23"/>
      <c r="V278" s="52"/>
      <c r="W278" s="50" t="str">
        <f aca="true">IF(Q278="","",TODAY()-Q278)</f>
        <v/>
      </c>
      <c r="X278" s="51" t="str">
        <f aca="true">IF(F278="","",IF(OR(O278="Won",O278="Lost"),"Closed",IF(S278="","No date set",IF(S278&lt;TODAY(),"Overdue",IF(S278=TODAY(),"Due today","Upcoming")))))</f>
        <v/>
      </c>
    </row>
    <row r="279" customFormat="false" ht="15" hidden="false" customHeight="false" outlineLevel="0" collapsed="false">
      <c r="A279" s="16" t="s">
        <v>506</v>
      </c>
      <c r="B279" s="18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8"/>
      <c r="R279" s="16"/>
      <c r="S279" s="18"/>
      <c r="T279" s="24"/>
      <c r="U279" s="23"/>
      <c r="V279" s="52"/>
      <c r="W279" s="50" t="str">
        <f aca="true">IF(Q279="","",TODAY()-Q279)</f>
        <v/>
      </c>
      <c r="X279" s="51" t="str">
        <f aca="true">IF(F279="","",IF(OR(O279="Won",O279="Lost"),"Closed",IF(S279="","No date set",IF(S279&lt;TODAY(),"Overdue",IF(S279=TODAY(),"Due today","Upcoming")))))</f>
        <v/>
      </c>
    </row>
    <row r="280" customFormat="false" ht="15" hidden="false" customHeight="false" outlineLevel="0" collapsed="false">
      <c r="A280" s="16" t="s">
        <v>507</v>
      </c>
      <c r="B280" s="18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8"/>
      <c r="R280" s="16"/>
      <c r="S280" s="18"/>
      <c r="T280" s="24"/>
      <c r="U280" s="23"/>
      <c r="V280" s="52"/>
      <c r="W280" s="50" t="str">
        <f aca="true">IF(Q280="","",TODAY()-Q280)</f>
        <v/>
      </c>
      <c r="X280" s="51" t="str">
        <f aca="true">IF(F280="","",IF(OR(O280="Won",O280="Lost"),"Closed",IF(S280="","No date set",IF(S280&lt;TODAY(),"Overdue",IF(S280=TODAY(),"Due today","Upcoming")))))</f>
        <v/>
      </c>
    </row>
    <row r="281" customFormat="false" ht="15" hidden="false" customHeight="false" outlineLevel="0" collapsed="false">
      <c r="A281" s="16" t="s">
        <v>508</v>
      </c>
      <c r="B281" s="18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8"/>
      <c r="R281" s="16"/>
      <c r="S281" s="18"/>
      <c r="T281" s="24"/>
      <c r="U281" s="23"/>
      <c r="V281" s="52"/>
      <c r="W281" s="50" t="str">
        <f aca="true">IF(Q281="","",TODAY()-Q281)</f>
        <v/>
      </c>
      <c r="X281" s="51" t="str">
        <f aca="true">IF(F281="","",IF(OR(O281="Won",O281="Lost"),"Closed",IF(S281="","No date set",IF(S281&lt;TODAY(),"Overdue",IF(S281=TODAY(),"Due today","Upcoming")))))</f>
        <v/>
      </c>
    </row>
    <row r="282" customFormat="false" ht="15" hidden="false" customHeight="false" outlineLevel="0" collapsed="false">
      <c r="A282" s="16" t="s">
        <v>509</v>
      </c>
      <c r="B282" s="18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8"/>
      <c r="R282" s="16"/>
      <c r="S282" s="18"/>
      <c r="T282" s="24"/>
      <c r="U282" s="23"/>
      <c r="V282" s="52"/>
      <c r="W282" s="50" t="str">
        <f aca="true">IF(Q282="","",TODAY()-Q282)</f>
        <v/>
      </c>
      <c r="X282" s="51" t="str">
        <f aca="true">IF(F282="","",IF(OR(O282="Won",O282="Lost"),"Closed",IF(S282="","No date set",IF(S282&lt;TODAY(),"Overdue",IF(S282=TODAY(),"Due today","Upcoming")))))</f>
        <v/>
      </c>
    </row>
    <row r="283" customFormat="false" ht="15" hidden="false" customHeight="false" outlineLevel="0" collapsed="false">
      <c r="A283" s="16" t="s">
        <v>510</v>
      </c>
      <c r="B283" s="18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8"/>
      <c r="R283" s="16"/>
      <c r="S283" s="18"/>
      <c r="T283" s="24"/>
      <c r="U283" s="23"/>
      <c r="V283" s="52"/>
      <c r="W283" s="50" t="str">
        <f aca="true">IF(Q283="","",TODAY()-Q283)</f>
        <v/>
      </c>
      <c r="X283" s="51" t="str">
        <f aca="true">IF(F283="","",IF(OR(O283="Won",O283="Lost"),"Closed",IF(S283="","No date set",IF(S283&lt;TODAY(),"Overdue",IF(S283=TODAY(),"Due today","Upcoming")))))</f>
        <v/>
      </c>
    </row>
    <row r="284" customFormat="false" ht="15" hidden="false" customHeight="false" outlineLevel="0" collapsed="false">
      <c r="A284" s="16" t="s">
        <v>511</v>
      </c>
      <c r="B284" s="18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8"/>
      <c r="R284" s="16"/>
      <c r="S284" s="18"/>
      <c r="T284" s="24"/>
      <c r="U284" s="23"/>
      <c r="V284" s="52"/>
      <c r="W284" s="50" t="str">
        <f aca="true">IF(Q284="","",TODAY()-Q284)</f>
        <v/>
      </c>
      <c r="X284" s="51" t="str">
        <f aca="true">IF(F284="","",IF(OR(O284="Won",O284="Lost"),"Closed",IF(S284="","No date set",IF(S284&lt;TODAY(),"Overdue",IF(S284=TODAY(),"Due today","Upcoming")))))</f>
        <v/>
      </c>
    </row>
    <row r="285" customFormat="false" ht="15" hidden="false" customHeight="false" outlineLevel="0" collapsed="false">
      <c r="A285" s="16" t="s">
        <v>512</v>
      </c>
      <c r="B285" s="18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8"/>
      <c r="R285" s="16"/>
      <c r="S285" s="18"/>
      <c r="T285" s="24"/>
      <c r="U285" s="23"/>
      <c r="V285" s="52"/>
      <c r="W285" s="50" t="str">
        <f aca="true">IF(Q285="","",TODAY()-Q285)</f>
        <v/>
      </c>
      <c r="X285" s="51" t="str">
        <f aca="true">IF(F285="","",IF(OR(O285="Won",O285="Lost"),"Closed",IF(S285="","No date set",IF(S285&lt;TODAY(),"Overdue",IF(S285=TODAY(),"Due today","Upcoming")))))</f>
        <v/>
      </c>
    </row>
    <row r="286" customFormat="false" ht="15" hidden="false" customHeight="false" outlineLevel="0" collapsed="false">
      <c r="A286" s="16" t="s">
        <v>513</v>
      </c>
      <c r="B286" s="18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8"/>
      <c r="R286" s="16"/>
      <c r="S286" s="18"/>
      <c r="T286" s="24"/>
      <c r="U286" s="23"/>
      <c r="V286" s="52"/>
      <c r="W286" s="50" t="str">
        <f aca="true">IF(Q286="","",TODAY()-Q286)</f>
        <v/>
      </c>
      <c r="X286" s="51" t="str">
        <f aca="true">IF(F286="","",IF(OR(O286="Won",O286="Lost"),"Closed",IF(S286="","No date set",IF(S286&lt;TODAY(),"Overdue",IF(S286=TODAY(),"Due today","Upcoming")))))</f>
        <v/>
      </c>
    </row>
    <row r="287" customFormat="false" ht="15" hidden="false" customHeight="false" outlineLevel="0" collapsed="false">
      <c r="A287" s="16" t="s">
        <v>514</v>
      </c>
      <c r="B287" s="18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8"/>
      <c r="R287" s="16"/>
      <c r="S287" s="18"/>
      <c r="T287" s="24"/>
      <c r="U287" s="23"/>
      <c r="V287" s="52"/>
      <c r="W287" s="50" t="str">
        <f aca="true">IF(Q287="","",TODAY()-Q287)</f>
        <v/>
      </c>
      <c r="X287" s="51" t="str">
        <f aca="true">IF(F287="","",IF(OR(O287="Won",O287="Lost"),"Closed",IF(S287="","No date set",IF(S287&lt;TODAY(),"Overdue",IF(S287=TODAY(),"Due today","Upcoming")))))</f>
        <v/>
      </c>
    </row>
    <row r="288" customFormat="false" ht="15" hidden="false" customHeight="false" outlineLevel="0" collapsed="false">
      <c r="A288" s="16" t="s">
        <v>515</v>
      </c>
      <c r="B288" s="18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8"/>
      <c r="R288" s="16"/>
      <c r="S288" s="18"/>
      <c r="T288" s="24"/>
      <c r="U288" s="23"/>
      <c r="V288" s="52"/>
      <c r="W288" s="50" t="str">
        <f aca="true">IF(Q288="","",TODAY()-Q288)</f>
        <v/>
      </c>
      <c r="X288" s="51" t="str">
        <f aca="true">IF(F288="","",IF(OR(O288="Won",O288="Lost"),"Closed",IF(S288="","No date set",IF(S288&lt;TODAY(),"Overdue",IF(S288=TODAY(),"Due today","Upcoming")))))</f>
        <v/>
      </c>
    </row>
    <row r="289" customFormat="false" ht="15" hidden="false" customHeight="false" outlineLevel="0" collapsed="false">
      <c r="A289" s="16" t="s">
        <v>516</v>
      </c>
      <c r="B289" s="18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8"/>
      <c r="R289" s="16"/>
      <c r="S289" s="18"/>
      <c r="T289" s="24"/>
      <c r="U289" s="23"/>
      <c r="V289" s="52"/>
      <c r="W289" s="50" t="str">
        <f aca="true">IF(Q289="","",TODAY()-Q289)</f>
        <v/>
      </c>
      <c r="X289" s="51" t="str">
        <f aca="true">IF(F289="","",IF(OR(O289="Won",O289="Lost"),"Closed",IF(S289="","No date set",IF(S289&lt;TODAY(),"Overdue",IF(S289=TODAY(),"Due today","Upcoming")))))</f>
        <v/>
      </c>
    </row>
    <row r="290" customFormat="false" ht="15" hidden="false" customHeight="false" outlineLevel="0" collapsed="false">
      <c r="A290" s="16" t="s">
        <v>517</v>
      </c>
      <c r="B290" s="18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8"/>
      <c r="R290" s="16"/>
      <c r="S290" s="18"/>
      <c r="T290" s="24"/>
      <c r="U290" s="23"/>
      <c r="V290" s="52"/>
      <c r="W290" s="50" t="str">
        <f aca="true">IF(Q290="","",TODAY()-Q290)</f>
        <v/>
      </c>
      <c r="X290" s="51" t="str">
        <f aca="true">IF(F290="","",IF(OR(O290="Won",O290="Lost"),"Closed",IF(S290="","No date set",IF(S290&lt;TODAY(),"Overdue",IF(S290=TODAY(),"Due today","Upcoming")))))</f>
        <v/>
      </c>
    </row>
    <row r="291" customFormat="false" ht="15" hidden="false" customHeight="false" outlineLevel="0" collapsed="false">
      <c r="A291" s="16" t="s">
        <v>518</v>
      </c>
      <c r="B291" s="18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8"/>
      <c r="R291" s="16"/>
      <c r="S291" s="18"/>
      <c r="T291" s="24"/>
      <c r="U291" s="23"/>
      <c r="V291" s="52"/>
      <c r="W291" s="50" t="str">
        <f aca="true">IF(Q291="","",TODAY()-Q291)</f>
        <v/>
      </c>
      <c r="X291" s="51" t="str">
        <f aca="true">IF(F291="","",IF(OR(O291="Won",O291="Lost"),"Closed",IF(S291="","No date set",IF(S291&lt;TODAY(),"Overdue",IF(S291=TODAY(),"Due today","Upcoming")))))</f>
        <v/>
      </c>
    </row>
    <row r="292" customFormat="false" ht="15" hidden="false" customHeight="false" outlineLevel="0" collapsed="false">
      <c r="A292" s="16" t="s">
        <v>519</v>
      </c>
      <c r="B292" s="18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8"/>
      <c r="R292" s="16"/>
      <c r="S292" s="18"/>
      <c r="T292" s="24"/>
      <c r="U292" s="23"/>
      <c r="V292" s="52"/>
      <c r="W292" s="50" t="str">
        <f aca="true">IF(Q292="","",TODAY()-Q292)</f>
        <v/>
      </c>
      <c r="X292" s="51" t="str">
        <f aca="true">IF(F292="","",IF(OR(O292="Won",O292="Lost"),"Closed",IF(S292="","No date set",IF(S292&lt;TODAY(),"Overdue",IF(S292=TODAY(),"Due today","Upcoming")))))</f>
        <v/>
      </c>
    </row>
    <row r="293" customFormat="false" ht="15" hidden="false" customHeight="false" outlineLevel="0" collapsed="false">
      <c r="A293" s="16" t="s">
        <v>520</v>
      </c>
      <c r="B293" s="18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8"/>
      <c r="R293" s="16"/>
      <c r="S293" s="18"/>
      <c r="T293" s="24"/>
      <c r="U293" s="23"/>
      <c r="V293" s="52"/>
      <c r="W293" s="50" t="str">
        <f aca="true">IF(Q293="","",TODAY()-Q293)</f>
        <v/>
      </c>
      <c r="X293" s="51" t="str">
        <f aca="true">IF(F293="","",IF(OR(O293="Won",O293="Lost"),"Closed",IF(S293="","No date set",IF(S293&lt;TODAY(),"Overdue",IF(S293=TODAY(),"Due today","Upcoming")))))</f>
        <v/>
      </c>
    </row>
    <row r="294" customFormat="false" ht="15" hidden="false" customHeight="false" outlineLevel="0" collapsed="false">
      <c r="A294" s="16" t="s">
        <v>521</v>
      </c>
      <c r="B294" s="18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8"/>
      <c r="R294" s="16"/>
      <c r="S294" s="18"/>
      <c r="T294" s="24"/>
      <c r="U294" s="23"/>
      <c r="V294" s="52"/>
      <c r="W294" s="50" t="str">
        <f aca="true">IF(Q294="","",TODAY()-Q294)</f>
        <v/>
      </c>
      <c r="X294" s="51" t="str">
        <f aca="true">IF(F294="","",IF(OR(O294="Won",O294="Lost"),"Closed",IF(S294="","No date set",IF(S294&lt;TODAY(),"Overdue",IF(S294=TODAY(),"Due today","Upcoming")))))</f>
        <v/>
      </c>
    </row>
    <row r="295" customFormat="false" ht="15" hidden="false" customHeight="false" outlineLevel="0" collapsed="false">
      <c r="A295" s="16" t="s">
        <v>522</v>
      </c>
      <c r="B295" s="18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8"/>
      <c r="R295" s="16"/>
      <c r="S295" s="18"/>
      <c r="T295" s="24"/>
      <c r="U295" s="23"/>
      <c r="V295" s="52"/>
      <c r="W295" s="50" t="str">
        <f aca="true">IF(Q295="","",TODAY()-Q295)</f>
        <v/>
      </c>
      <c r="X295" s="51" t="str">
        <f aca="true">IF(F295="","",IF(OR(O295="Won",O295="Lost"),"Closed",IF(S295="","No date set",IF(S295&lt;TODAY(),"Overdue",IF(S295=TODAY(),"Due today","Upcoming")))))</f>
        <v/>
      </c>
    </row>
    <row r="296" customFormat="false" ht="15" hidden="false" customHeight="false" outlineLevel="0" collapsed="false">
      <c r="A296" s="16" t="s">
        <v>523</v>
      </c>
      <c r="B296" s="18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8"/>
      <c r="R296" s="16"/>
      <c r="S296" s="18"/>
      <c r="T296" s="24"/>
      <c r="U296" s="23"/>
      <c r="V296" s="52"/>
      <c r="W296" s="50" t="str">
        <f aca="true">IF(Q296="","",TODAY()-Q296)</f>
        <v/>
      </c>
      <c r="X296" s="51" t="str">
        <f aca="true">IF(F296="","",IF(OR(O296="Won",O296="Lost"),"Closed",IF(S296="","No date set",IF(S296&lt;TODAY(),"Overdue",IF(S296=TODAY(),"Due today","Upcoming")))))</f>
        <v/>
      </c>
    </row>
    <row r="297" customFormat="false" ht="15" hidden="false" customHeight="false" outlineLevel="0" collapsed="false">
      <c r="A297" s="16" t="s">
        <v>524</v>
      </c>
      <c r="B297" s="18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8"/>
      <c r="R297" s="16"/>
      <c r="S297" s="18"/>
      <c r="T297" s="24"/>
      <c r="U297" s="23"/>
      <c r="V297" s="52"/>
      <c r="W297" s="50" t="str">
        <f aca="true">IF(Q297="","",TODAY()-Q297)</f>
        <v/>
      </c>
      <c r="X297" s="51" t="str">
        <f aca="true">IF(F297="","",IF(OR(O297="Won",O297="Lost"),"Closed",IF(S297="","No date set",IF(S297&lt;TODAY(),"Overdue",IF(S297=TODAY(),"Due today","Upcoming")))))</f>
        <v/>
      </c>
    </row>
    <row r="298" customFormat="false" ht="15" hidden="false" customHeight="false" outlineLevel="0" collapsed="false">
      <c r="A298" s="16" t="s">
        <v>525</v>
      </c>
      <c r="B298" s="18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8"/>
      <c r="R298" s="16"/>
      <c r="S298" s="18"/>
      <c r="T298" s="24"/>
      <c r="U298" s="23"/>
      <c r="V298" s="52"/>
      <c r="W298" s="50" t="str">
        <f aca="true">IF(Q298="","",TODAY()-Q298)</f>
        <v/>
      </c>
      <c r="X298" s="51" t="str">
        <f aca="true">IF(F298="","",IF(OR(O298="Won",O298="Lost"),"Closed",IF(S298="","No date set",IF(S298&lt;TODAY(),"Overdue",IF(S298=TODAY(),"Due today","Upcoming")))))</f>
        <v/>
      </c>
    </row>
    <row r="299" customFormat="false" ht="15" hidden="false" customHeight="false" outlineLevel="0" collapsed="false">
      <c r="A299" s="16" t="s">
        <v>526</v>
      </c>
      <c r="B299" s="18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8"/>
      <c r="R299" s="16"/>
      <c r="S299" s="18"/>
      <c r="T299" s="24"/>
      <c r="U299" s="23"/>
      <c r="V299" s="52"/>
      <c r="W299" s="50" t="str">
        <f aca="true">IF(Q299="","",TODAY()-Q299)</f>
        <v/>
      </c>
      <c r="X299" s="51" t="str">
        <f aca="true">IF(F299="","",IF(OR(O299="Won",O299="Lost"),"Closed",IF(S299="","No date set",IF(S299&lt;TODAY(),"Overdue",IF(S299=TODAY(),"Due today","Upcoming")))))</f>
        <v/>
      </c>
    </row>
    <row r="300" customFormat="false" ht="15" hidden="false" customHeight="false" outlineLevel="0" collapsed="false">
      <c r="A300" s="16" t="s">
        <v>527</v>
      </c>
      <c r="B300" s="18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8"/>
      <c r="R300" s="16"/>
      <c r="S300" s="18"/>
      <c r="T300" s="24"/>
      <c r="U300" s="23"/>
      <c r="V300" s="52"/>
      <c r="W300" s="50" t="str">
        <f aca="true">IF(Q300="","",TODAY()-Q300)</f>
        <v/>
      </c>
      <c r="X300" s="51" t="str">
        <f aca="true">IF(F300="","",IF(OR(O300="Won",O300="Lost"),"Closed",IF(S300="","No date set",IF(S300&lt;TODAY(),"Overdue",IF(S300=TODAY(),"Due today","Upcoming")))))</f>
        <v/>
      </c>
    </row>
    <row r="301" customFormat="false" ht="15" hidden="false" customHeight="false" outlineLevel="0" collapsed="false">
      <c r="A301" s="16" t="s">
        <v>528</v>
      </c>
      <c r="B301" s="18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8"/>
      <c r="R301" s="16"/>
      <c r="S301" s="18"/>
      <c r="T301" s="24"/>
      <c r="U301" s="23"/>
      <c r="V301" s="52"/>
      <c r="W301" s="50" t="str">
        <f aca="true">IF(Q301="","",TODAY()-Q301)</f>
        <v/>
      </c>
      <c r="X301" s="51" t="str">
        <f aca="true">IF(F301="","",IF(OR(O301="Won",O301="Lost"),"Closed",IF(S301="","No date set",IF(S301&lt;TODAY(),"Overdue",IF(S301=TODAY(),"Due today","Upcoming")))))</f>
        <v/>
      </c>
    </row>
    <row r="302" customFormat="false" ht="15" hidden="false" customHeight="false" outlineLevel="0" collapsed="false">
      <c r="A302" s="16" t="s">
        <v>529</v>
      </c>
      <c r="B302" s="18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8"/>
      <c r="R302" s="16"/>
      <c r="S302" s="18"/>
      <c r="T302" s="24"/>
      <c r="U302" s="23"/>
      <c r="V302" s="52"/>
      <c r="W302" s="50" t="str">
        <f aca="true">IF(Q302="","",TODAY()-Q302)</f>
        <v/>
      </c>
      <c r="X302" s="51" t="str">
        <f aca="true">IF(F302="","",IF(OR(O302="Won",O302="Lost"),"Closed",IF(S302="","No date set",IF(S302&lt;TODAY(),"Overdue",IF(S302=TODAY(),"Due today","Upcoming")))))</f>
        <v/>
      </c>
    </row>
    <row r="303" customFormat="false" ht="15" hidden="false" customHeight="false" outlineLevel="0" collapsed="false">
      <c r="A303" s="16" t="s">
        <v>530</v>
      </c>
      <c r="B303" s="18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8"/>
      <c r="R303" s="16"/>
      <c r="S303" s="18"/>
      <c r="T303" s="24"/>
      <c r="U303" s="23"/>
      <c r="V303" s="52"/>
      <c r="W303" s="50" t="str">
        <f aca="true">IF(Q303="","",TODAY()-Q303)</f>
        <v/>
      </c>
      <c r="X303" s="51" t="str">
        <f aca="true">IF(F303="","",IF(OR(O303="Won",O303="Lost"),"Closed",IF(S303="","No date set",IF(S303&lt;TODAY(),"Overdue",IF(S303=TODAY(),"Due today","Upcoming")))))</f>
        <v/>
      </c>
    </row>
    <row r="304" customFormat="false" ht="15" hidden="false" customHeight="false" outlineLevel="0" collapsed="false">
      <c r="A304" s="16" t="s">
        <v>531</v>
      </c>
      <c r="B304" s="18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8"/>
      <c r="R304" s="16"/>
      <c r="S304" s="18"/>
      <c r="T304" s="24"/>
      <c r="U304" s="23"/>
      <c r="V304" s="52"/>
      <c r="W304" s="50" t="str">
        <f aca="true">IF(Q304="","",TODAY()-Q304)</f>
        <v/>
      </c>
      <c r="X304" s="51" t="str">
        <f aca="true">IF(F304="","",IF(OR(O304="Won",O304="Lost"),"Closed",IF(S304="","No date set",IF(S304&lt;TODAY(),"Overdue",IF(S304=TODAY(),"Due today","Upcoming")))))</f>
        <v/>
      </c>
    </row>
    <row r="305" customFormat="false" ht="15" hidden="false" customHeight="false" outlineLevel="0" collapsed="false">
      <c r="A305" s="16" t="s">
        <v>532</v>
      </c>
      <c r="B305" s="18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8"/>
      <c r="R305" s="16"/>
      <c r="S305" s="18"/>
      <c r="T305" s="24"/>
      <c r="U305" s="23"/>
      <c r="V305" s="52"/>
      <c r="W305" s="50" t="str">
        <f aca="true">IF(Q305="","",TODAY()-Q305)</f>
        <v/>
      </c>
      <c r="X305" s="51" t="str">
        <f aca="true">IF(F305="","",IF(OR(O305="Won",O305="Lost"),"Closed",IF(S305="","No date set",IF(S305&lt;TODAY(),"Overdue",IF(S305=TODAY(),"Due today","Upcoming")))))</f>
        <v/>
      </c>
    </row>
    <row r="306" customFormat="false" ht="15" hidden="false" customHeight="false" outlineLevel="0" collapsed="false">
      <c r="A306" s="16" t="s">
        <v>533</v>
      </c>
      <c r="B306" s="18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8"/>
      <c r="R306" s="16"/>
      <c r="S306" s="18"/>
      <c r="T306" s="24"/>
      <c r="U306" s="23"/>
      <c r="V306" s="52"/>
      <c r="W306" s="50" t="str">
        <f aca="true">IF(Q306="","",TODAY()-Q306)</f>
        <v/>
      </c>
      <c r="X306" s="51" t="str">
        <f aca="true">IF(F306="","",IF(OR(O306="Won",O306="Lost"),"Closed",IF(S306="","No date set",IF(S306&lt;TODAY(),"Overdue",IF(S306=TODAY(),"Due today","Upcoming")))))</f>
        <v/>
      </c>
    </row>
    <row r="307" customFormat="false" ht="15" hidden="false" customHeight="false" outlineLevel="0" collapsed="false">
      <c r="A307" s="16" t="s">
        <v>534</v>
      </c>
      <c r="B307" s="18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8"/>
      <c r="R307" s="16"/>
      <c r="S307" s="18"/>
      <c r="T307" s="24"/>
      <c r="U307" s="23"/>
      <c r="V307" s="52"/>
      <c r="W307" s="50" t="str">
        <f aca="true">IF(Q307="","",TODAY()-Q307)</f>
        <v/>
      </c>
      <c r="X307" s="51" t="str">
        <f aca="true">IF(F307="","",IF(OR(O307="Won",O307="Lost"),"Closed",IF(S307="","No date set",IF(S307&lt;TODAY(),"Overdue",IF(S307=TODAY(),"Due today","Upcoming")))))</f>
        <v/>
      </c>
    </row>
    <row r="308" customFormat="false" ht="15" hidden="false" customHeight="false" outlineLevel="0" collapsed="false">
      <c r="A308" s="16" t="s">
        <v>535</v>
      </c>
      <c r="B308" s="18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8"/>
      <c r="R308" s="16"/>
      <c r="S308" s="18"/>
      <c r="T308" s="24"/>
      <c r="U308" s="23"/>
      <c r="V308" s="52"/>
      <c r="W308" s="50" t="str">
        <f aca="true">IF(Q308="","",TODAY()-Q308)</f>
        <v/>
      </c>
      <c r="X308" s="51" t="str">
        <f aca="true">IF(F308="","",IF(OR(O308="Won",O308="Lost"),"Closed",IF(S308="","No date set",IF(S308&lt;TODAY(),"Overdue",IF(S308=TODAY(),"Due today","Upcoming")))))</f>
        <v/>
      </c>
    </row>
    <row r="309" customFormat="false" ht="15" hidden="false" customHeight="false" outlineLevel="0" collapsed="false">
      <c r="A309" s="16" t="s">
        <v>536</v>
      </c>
      <c r="B309" s="18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8"/>
      <c r="R309" s="16"/>
      <c r="S309" s="18"/>
      <c r="T309" s="24"/>
      <c r="U309" s="23"/>
      <c r="V309" s="52"/>
      <c r="W309" s="50" t="str">
        <f aca="true">IF(Q309="","",TODAY()-Q309)</f>
        <v/>
      </c>
      <c r="X309" s="51" t="str">
        <f aca="true">IF(F309="","",IF(OR(O309="Won",O309="Lost"),"Closed",IF(S309="","No date set",IF(S309&lt;TODAY(),"Overdue",IF(S309=TODAY(),"Due today","Upcoming")))))</f>
        <v/>
      </c>
    </row>
    <row r="310" customFormat="false" ht="15" hidden="false" customHeight="false" outlineLevel="0" collapsed="false">
      <c r="A310" s="16" t="s">
        <v>537</v>
      </c>
      <c r="B310" s="18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8"/>
      <c r="R310" s="16"/>
      <c r="S310" s="18"/>
      <c r="T310" s="24"/>
      <c r="U310" s="23"/>
      <c r="V310" s="52"/>
      <c r="W310" s="50" t="str">
        <f aca="true">IF(Q310="","",TODAY()-Q310)</f>
        <v/>
      </c>
      <c r="X310" s="51" t="str">
        <f aca="true">IF(F310="","",IF(OR(O310="Won",O310="Lost"),"Closed",IF(S310="","No date set",IF(S310&lt;TODAY(),"Overdue",IF(S310=TODAY(),"Due today","Upcoming")))))</f>
        <v/>
      </c>
    </row>
    <row r="311" customFormat="false" ht="15" hidden="false" customHeight="false" outlineLevel="0" collapsed="false">
      <c r="A311" s="16" t="s">
        <v>538</v>
      </c>
      <c r="B311" s="18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8"/>
      <c r="R311" s="16"/>
      <c r="S311" s="18"/>
      <c r="T311" s="24"/>
      <c r="U311" s="23"/>
      <c r="V311" s="52"/>
      <c r="W311" s="50" t="str">
        <f aca="true">IF(Q311="","",TODAY()-Q311)</f>
        <v/>
      </c>
      <c r="X311" s="51" t="str">
        <f aca="true">IF(F311="","",IF(OR(O311="Won",O311="Lost"),"Closed",IF(S311="","No date set",IF(S311&lt;TODAY(),"Overdue",IF(S311=TODAY(),"Due today","Upcoming")))))</f>
        <v/>
      </c>
    </row>
    <row r="312" customFormat="false" ht="15" hidden="false" customHeight="false" outlineLevel="0" collapsed="false">
      <c r="A312" s="16" t="s">
        <v>539</v>
      </c>
      <c r="B312" s="18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8"/>
      <c r="R312" s="16"/>
      <c r="S312" s="18"/>
      <c r="T312" s="24"/>
      <c r="U312" s="23"/>
      <c r="V312" s="52"/>
      <c r="W312" s="50" t="str">
        <f aca="true">IF(Q312="","",TODAY()-Q312)</f>
        <v/>
      </c>
      <c r="X312" s="51" t="str">
        <f aca="true">IF(F312="","",IF(OR(O312="Won",O312="Lost"),"Closed",IF(S312="","No date set",IF(S312&lt;TODAY(),"Overdue",IF(S312=TODAY(),"Due today","Upcoming")))))</f>
        <v/>
      </c>
    </row>
    <row r="313" customFormat="false" ht="15" hidden="false" customHeight="false" outlineLevel="0" collapsed="false">
      <c r="A313" s="16" t="s">
        <v>540</v>
      </c>
      <c r="B313" s="18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8"/>
      <c r="R313" s="16"/>
      <c r="S313" s="18"/>
      <c r="T313" s="24"/>
      <c r="U313" s="23"/>
      <c r="V313" s="52"/>
      <c r="W313" s="50" t="str">
        <f aca="true">IF(Q313="","",TODAY()-Q313)</f>
        <v/>
      </c>
      <c r="X313" s="51" t="str">
        <f aca="true">IF(F313="","",IF(OR(O313="Won",O313="Lost"),"Closed",IF(S313="","No date set",IF(S313&lt;TODAY(),"Overdue",IF(S313=TODAY(),"Due today","Upcoming")))))</f>
        <v/>
      </c>
    </row>
    <row r="314" customFormat="false" ht="15" hidden="false" customHeight="false" outlineLevel="0" collapsed="false">
      <c r="A314" s="16" t="s">
        <v>541</v>
      </c>
      <c r="B314" s="18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8"/>
      <c r="R314" s="16"/>
      <c r="S314" s="18"/>
      <c r="T314" s="24"/>
      <c r="U314" s="23"/>
      <c r="V314" s="52"/>
      <c r="W314" s="50" t="str">
        <f aca="true">IF(Q314="","",TODAY()-Q314)</f>
        <v/>
      </c>
      <c r="X314" s="51" t="str">
        <f aca="true">IF(F314="","",IF(OR(O314="Won",O314="Lost"),"Closed",IF(S314="","No date set",IF(S314&lt;TODAY(),"Overdue",IF(S314=TODAY(),"Due today","Upcoming")))))</f>
        <v/>
      </c>
    </row>
    <row r="315" customFormat="false" ht="15" hidden="false" customHeight="false" outlineLevel="0" collapsed="false">
      <c r="A315" s="16" t="s">
        <v>542</v>
      </c>
      <c r="B315" s="18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8"/>
      <c r="R315" s="16"/>
      <c r="S315" s="18"/>
      <c r="T315" s="24"/>
      <c r="U315" s="23"/>
      <c r="V315" s="52"/>
      <c r="W315" s="50" t="str">
        <f aca="true">IF(Q315="","",TODAY()-Q315)</f>
        <v/>
      </c>
      <c r="X315" s="51" t="str">
        <f aca="true">IF(F315="","",IF(OR(O315="Won",O315="Lost"),"Closed",IF(S315="","No date set",IF(S315&lt;TODAY(),"Overdue",IF(S315=TODAY(),"Due today","Upcoming")))))</f>
        <v/>
      </c>
    </row>
    <row r="316" customFormat="false" ht="15" hidden="false" customHeight="false" outlineLevel="0" collapsed="false">
      <c r="A316" s="16" t="s">
        <v>543</v>
      </c>
      <c r="B316" s="18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8"/>
      <c r="R316" s="16"/>
      <c r="S316" s="18"/>
      <c r="T316" s="24"/>
      <c r="U316" s="23"/>
      <c r="V316" s="52"/>
      <c r="W316" s="50" t="str">
        <f aca="true">IF(Q316="","",TODAY()-Q316)</f>
        <v/>
      </c>
      <c r="X316" s="51" t="str">
        <f aca="true">IF(F316="","",IF(OR(O316="Won",O316="Lost"),"Closed",IF(S316="","No date set",IF(S316&lt;TODAY(),"Overdue",IF(S316=TODAY(),"Due today","Upcoming")))))</f>
        <v/>
      </c>
    </row>
    <row r="317" customFormat="false" ht="15" hidden="false" customHeight="false" outlineLevel="0" collapsed="false">
      <c r="A317" s="16" t="s">
        <v>544</v>
      </c>
      <c r="B317" s="18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8"/>
      <c r="R317" s="16"/>
      <c r="S317" s="18"/>
      <c r="T317" s="24"/>
      <c r="U317" s="23"/>
      <c r="V317" s="52"/>
      <c r="W317" s="50" t="str">
        <f aca="true">IF(Q317="","",TODAY()-Q317)</f>
        <v/>
      </c>
      <c r="X317" s="51" t="str">
        <f aca="true">IF(F317="","",IF(OR(O317="Won",O317="Lost"),"Closed",IF(S317="","No date set",IF(S317&lt;TODAY(),"Overdue",IF(S317=TODAY(),"Due today","Upcoming")))))</f>
        <v/>
      </c>
    </row>
    <row r="318" customFormat="false" ht="15" hidden="false" customHeight="false" outlineLevel="0" collapsed="false">
      <c r="A318" s="16" t="s">
        <v>545</v>
      </c>
      <c r="B318" s="18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8"/>
      <c r="R318" s="16"/>
      <c r="S318" s="18"/>
      <c r="T318" s="24"/>
      <c r="U318" s="23"/>
      <c r="V318" s="52"/>
      <c r="W318" s="50" t="str">
        <f aca="true">IF(Q318="","",TODAY()-Q318)</f>
        <v/>
      </c>
      <c r="X318" s="51" t="str">
        <f aca="true">IF(F318="","",IF(OR(O318="Won",O318="Lost"),"Closed",IF(S318="","No date set",IF(S318&lt;TODAY(),"Overdue",IF(S318=TODAY(),"Due today","Upcoming")))))</f>
        <v/>
      </c>
    </row>
    <row r="319" customFormat="false" ht="15" hidden="false" customHeight="false" outlineLevel="0" collapsed="false">
      <c r="A319" s="16" t="s">
        <v>546</v>
      </c>
      <c r="B319" s="18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8"/>
      <c r="R319" s="16"/>
      <c r="S319" s="18"/>
      <c r="T319" s="24"/>
      <c r="U319" s="23"/>
      <c r="V319" s="52"/>
      <c r="W319" s="50" t="str">
        <f aca="true">IF(Q319="","",TODAY()-Q319)</f>
        <v/>
      </c>
      <c r="X319" s="51" t="str">
        <f aca="true">IF(F319="","",IF(OR(O319="Won",O319="Lost"),"Closed",IF(S319="","No date set",IF(S319&lt;TODAY(),"Overdue",IF(S319=TODAY(),"Due today","Upcoming")))))</f>
        <v/>
      </c>
    </row>
    <row r="320" customFormat="false" ht="15" hidden="false" customHeight="false" outlineLevel="0" collapsed="false">
      <c r="A320" s="16" t="s">
        <v>547</v>
      </c>
      <c r="B320" s="18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8"/>
      <c r="R320" s="16"/>
      <c r="S320" s="18"/>
      <c r="T320" s="24"/>
      <c r="U320" s="23"/>
      <c r="V320" s="52"/>
      <c r="W320" s="50" t="str">
        <f aca="true">IF(Q320="","",TODAY()-Q320)</f>
        <v/>
      </c>
      <c r="X320" s="51" t="str">
        <f aca="true">IF(F320="","",IF(OR(O320="Won",O320="Lost"),"Closed",IF(S320="","No date set",IF(S320&lt;TODAY(),"Overdue",IF(S320=TODAY(),"Due today","Upcoming")))))</f>
        <v/>
      </c>
    </row>
    <row r="321" customFormat="false" ht="15" hidden="false" customHeight="false" outlineLevel="0" collapsed="false">
      <c r="A321" s="16" t="s">
        <v>548</v>
      </c>
      <c r="B321" s="18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8"/>
      <c r="R321" s="16"/>
      <c r="S321" s="18"/>
      <c r="T321" s="24"/>
      <c r="U321" s="23"/>
      <c r="V321" s="52"/>
      <c r="W321" s="50" t="str">
        <f aca="true">IF(Q321="","",TODAY()-Q321)</f>
        <v/>
      </c>
      <c r="X321" s="51" t="str">
        <f aca="true">IF(F321="","",IF(OR(O321="Won",O321="Lost"),"Closed",IF(S321="","No date set",IF(S321&lt;TODAY(),"Overdue",IF(S321=TODAY(),"Due today","Upcoming")))))</f>
        <v/>
      </c>
    </row>
    <row r="322" customFormat="false" ht="15" hidden="false" customHeight="false" outlineLevel="0" collapsed="false">
      <c r="A322" s="16" t="s">
        <v>549</v>
      </c>
      <c r="B322" s="18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8"/>
      <c r="R322" s="16"/>
      <c r="S322" s="18"/>
      <c r="T322" s="24"/>
      <c r="U322" s="23"/>
      <c r="V322" s="52"/>
      <c r="W322" s="50" t="str">
        <f aca="true">IF(Q322="","",TODAY()-Q322)</f>
        <v/>
      </c>
      <c r="X322" s="51" t="str">
        <f aca="true">IF(F322="","",IF(OR(O322="Won",O322="Lost"),"Closed",IF(S322="","No date set",IF(S322&lt;TODAY(),"Overdue",IF(S322=TODAY(),"Due today","Upcoming")))))</f>
        <v/>
      </c>
    </row>
    <row r="323" customFormat="false" ht="15" hidden="false" customHeight="false" outlineLevel="0" collapsed="false">
      <c r="A323" s="16" t="s">
        <v>550</v>
      </c>
      <c r="B323" s="18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8"/>
      <c r="R323" s="16"/>
      <c r="S323" s="18"/>
      <c r="T323" s="24"/>
      <c r="U323" s="23"/>
      <c r="V323" s="52"/>
      <c r="W323" s="50" t="str">
        <f aca="true">IF(Q323="","",TODAY()-Q323)</f>
        <v/>
      </c>
      <c r="X323" s="51" t="str">
        <f aca="true">IF(F323="","",IF(OR(O323="Won",O323="Lost"),"Closed",IF(S323="","No date set",IF(S323&lt;TODAY(),"Overdue",IF(S323=TODAY(),"Due today","Upcoming")))))</f>
        <v/>
      </c>
    </row>
    <row r="324" customFormat="false" ht="15" hidden="false" customHeight="false" outlineLevel="0" collapsed="false">
      <c r="A324" s="16" t="s">
        <v>551</v>
      </c>
      <c r="B324" s="18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8"/>
      <c r="R324" s="16"/>
      <c r="S324" s="18"/>
      <c r="T324" s="24"/>
      <c r="U324" s="23"/>
      <c r="V324" s="52"/>
      <c r="W324" s="50" t="str">
        <f aca="true">IF(Q324="","",TODAY()-Q324)</f>
        <v/>
      </c>
      <c r="X324" s="51" t="str">
        <f aca="true">IF(F324="","",IF(OR(O324="Won",O324="Lost"),"Closed",IF(S324="","No date set",IF(S324&lt;TODAY(),"Overdue",IF(S324=TODAY(),"Due today","Upcoming")))))</f>
        <v/>
      </c>
    </row>
    <row r="325" customFormat="false" ht="15" hidden="false" customHeight="false" outlineLevel="0" collapsed="false">
      <c r="A325" s="16" t="s">
        <v>552</v>
      </c>
      <c r="B325" s="18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8"/>
      <c r="R325" s="16"/>
      <c r="S325" s="18"/>
      <c r="T325" s="24"/>
      <c r="U325" s="23"/>
      <c r="V325" s="52"/>
      <c r="W325" s="50" t="str">
        <f aca="true">IF(Q325="","",TODAY()-Q325)</f>
        <v/>
      </c>
      <c r="X325" s="51" t="str">
        <f aca="true">IF(F325="","",IF(OR(O325="Won",O325="Lost"),"Closed",IF(S325="","No date set",IF(S325&lt;TODAY(),"Overdue",IF(S325=TODAY(),"Due today","Upcoming")))))</f>
        <v/>
      </c>
    </row>
    <row r="326" customFormat="false" ht="15" hidden="false" customHeight="false" outlineLevel="0" collapsed="false">
      <c r="A326" s="16" t="s">
        <v>553</v>
      </c>
      <c r="B326" s="18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8"/>
      <c r="R326" s="16"/>
      <c r="S326" s="18"/>
      <c r="T326" s="24"/>
      <c r="U326" s="23"/>
      <c r="V326" s="52"/>
      <c r="W326" s="50" t="str">
        <f aca="true">IF(Q326="","",TODAY()-Q326)</f>
        <v/>
      </c>
      <c r="X326" s="51" t="str">
        <f aca="true">IF(F326="","",IF(OR(O326="Won",O326="Lost"),"Closed",IF(S326="","No date set",IF(S326&lt;TODAY(),"Overdue",IF(S326=TODAY(),"Due today","Upcoming")))))</f>
        <v/>
      </c>
    </row>
    <row r="327" customFormat="false" ht="15" hidden="false" customHeight="false" outlineLevel="0" collapsed="false">
      <c r="A327" s="16" t="s">
        <v>554</v>
      </c>
      <c r="B327" s="18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8"/>
      <c r="R327" s="16"/>
      <c r="S327" s="18"/>
      <c r="T327" s="24"/>
      <c r="U327" s="23"/>
      <c r="V327" s="52"/>
      <c r="W327" s="50" t="str">
        <f aca="true">IF(Q327="","",TODAY()-Q327)</f>
        <v/>
      </c>
      <c r="X327" s="51" t="str">
        <f aca="true">IF(F327="","",IF(OR(O327="Won",O327="Lost"),"Closed",IF(S327="","No date set",IF(S327&lt;TODAY(),"Overdue",IF(S327=TODAY(),"Due today","Upcoming")))))</f>
        <v/>
      </c>
    </row>
    <row r="328" customFormat="false" ht="15" hidden="false" customHeight="false" outlineLevel="0" collapsed="false">
      <c r="A328" s="16" t="s">
        <v>555</v>
      </c>
      <c r="B328" s="18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8"/>
      <c r="R328" s="16"/>
      <c r="S328" s="18"/>
      <c r="T328" s="24"/>
      <c r="U328" s="23"/>
      <c r="V328" s="52"/>
      <c r="W328" s="50" t="str">
        <f aca="true">IF(Q328="","",TODAY()-Q328)</f>
        <v/>
      </c>
      <c r="X328" s="51" t="str">
        <f aca="true">IF(F328="","",IF(OR(O328="Won",O328="Lost"),"Closed",IF(S328="","No date set",IF(S328&lt;TODAY(),"Overdue",IF(S328=TODAY(),"Due today","Upcoming")))))</f>
        <v/>
      </c>
    </row>
    <row r="329" customFormat="false" ht="15" hidden="false" customHeight="false" outlineLevel="0" collapsed="false">
      <c r="A329" s="16" t="s">
        <v>556</v>
      </c>
      <c r="B329" s="18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8"/>
      <c r="R329" s="16"/>
      <c r="S329" s="18"/>
      <c r="T329" s="24"/>
      <c r="U329" s="23"/>
      <c r="V329" s="52"/>
      <c r="W329" s="50" t="str">
        <f aca="true">IF(Q329="","",TODAY()-Q329)</f>
        <v/>
      </c>
      <c r="X329" s="51" t="str">
        <f aca="true">IF(F329="","",IF(OR(O329="Won",O329="Lost"),"Closed",IF(S329="","No date set",IF(S329&lt;TODAY(),"Overdue",IF(S329=TODAY(),"Due today","Upcoming")))))</f>
        <v/>
      </c>
    </row>
    <row r="330" customFormat="false" ht="15" hidden="false" customHeight="false" outlineLevel="0" collapsed="false">
      <c r="A330" s="16" t="s">
        <v>557</v>
      </c>
      <c r="B330" s="18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8"/>
      <c r="R330" s="16"/>
      <c r="S330" s="18"/>
      <c r="T330" s="24"/>
      <c r="U330" s="23"/>
      <c r="V330" s="52"/>
      <c r="W330" s="50" t="str">
        <f aca="true">IF(Q330="","",TODAY()-Q330)</f>
        <v/>
      </c>
      <c r="X330" s="51" t="str">
        <f aca="true">IF(F330="","",IF(OR(O330="Won",O330="Lost"),"Closed",IF(S330="","No date set",IF(S330&lt;TODAY(),"Overdue",IF(S330=TODAY(),"Due today","Upcoming")))))</f>
        <v/>
      </c>
    </row>
    <row r="331" customFormat="false" ht="15" hidden="false" customHeight="false" outlineLevel="0" collapsed="false">
      <c r="A331" s="16" t="s">
        <v>558</v>
      </c>
      <c r="B331" s="18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8"/>
      <c r="R331" s="16"/>
      <c r="S331" s="18"/>
      <c r="T331" s="24"/>
      <c r="U331" s="23"/>
      <c r="V331" s="52"/>
      <c r="W331" s="50" t="str">
        <f aca="true">IF(Q331="","",TODAY()-Q331)</f>
        <v/>
      </c>
      <c r="X331" s="51" t="str">
        <f aca="true">IF(F331="","",IF(OR(O331="Won",O331="Lost"),"Closed",IF(S331="","No date set",IF(S331&lt;TODAY(),"Overdue",IF(S331=TODAY(),"Due today","Upcoming")))))</f>
        <v/>
      </c>
    </row>
    <row r="332" customFormat="false" ht="15" hidden="false" customHeight="false" outlineLevel="0" collapsed="false">
      <c r="A332" s="16" t="s">
        <v>559</v>
      </c>
      <c r="B332" s="18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8"/>
      <c r="R332" s="16"/>
      <c r="S332" s="18"/>
      <c r="T332" s="24"/>
      <c r="U332" s="23"/>
      <c r="V332" s="52"/>
      <c r="W332" s="50" t="str">
        <f aca="true">IF(Q332="","",TODAY()-Q332)</f>
        <v/>
      </c>
      <c r="X332" s="51" t="str">
        <f aca="true">IF(F332="","",IF(OR(O332="Won",O332="Lost"),"Closed",IF(S332="","No date set",IF(S332&lt;TODAY(),"Overdue",IF(S332=TODAY(),"Due today","Upcoming")))))</f>
        <v/>
      </c>
    </row>
    <row r="333" customFormat="false" ht="15" hidden="false" customHeight="false" outlineLevel="0" collapsed="false">
      <c r="A333" s="16" t="s">
        <v>560</v>
      </c>
      <c r="B333" s="18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8"/>
      <c r="R333" s="16"/>
      <c r="S333" s="18"/>
      <c r="T333" s="24"/>
      <c r="U333" s="23"/>
      <c r="V333" s="52"/>
      <c r="W333" s="50" t="str">
        <f aca="true">IF(Q333="","",TODAY()-Q333)</f>
        <v/>
      </c>
      <c r="X333" s="51" t="str">
        <f aca="true">IF(F333="","",IF(OR(O333="Won",O333="Lost"),"Closed",IF(S333="","No date set",IF(S333&lt;TODAY(),"Overdue",IF(S333=TODAY(),"Due today","Upcoming")))))</f>
        <v/>
      </c>
    </row>
    <row r="334" customFormat="false" ht="15" hidden="false" customHeight="false" outlineLevel="0" collapsed="false">
      <c r="A334" s="16" t="s">
        <v>561</v>
      </c>
      <c r="B334" s="18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8"/>
      <c r="R334" s="16"/>
      <c r="S334" s="18"/>
      <c r="T334" s="24"/>
      <c r="U334" s="23"/>
      <c r="V334" s="52"/>
      <c r="W334" s="50" t="str">
        <f aca="true">IF(Q334="","",TODAY()-Q334)</f>
        <v/>
      </c>
      <c r="X334" s="51" t="str">
        <f aca="true">IF(F334="","",IF(OR(O334="Won",O334="Lost"),"Closed",IF(S334="","No date set",IF(S334&lt;TODAY(),"Overdue",IF(S334=TODAY(),"Due today","Upcoming")))))</f>
        <v/>
      </c>
    </row>
    <row r="335" customFormat="false" ht="15" hidden="false" customHeight="false" outlineLevel="0" collapsed="false">
      <c r="A335" s="16" t="s">
        <v>562</v>
      </c>
      <c r="B335" s="18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8"/>
      <c r="R335" s="16"/>
      <c r="S335" s="18"/>
      <c r="T335" s="24"/>
      <c r="U335" s="23"/>
      <c r="V335" s="52"/>
      <c r="W335" s="50" t="str">
        <f aca="true">IF(Q335="","",TODAY()-Q335)</f>
        <v/>
      </c>
      <c r="X335" s="51" t="str">
        <f aca="true">IF(F335="","",IF(OR(O335="Won",O335="Lost"),"Closed",IF(S335="","No date set",IF(S335&lt;TODAY(),"Overdue",IF(S335=TODAY(),"Due today","Upcoming")))))</f>
        <v/>
      </c>
    </row>
    <row r="336" customFormat="false" ht="15" hidden="false" customHeight="false" outlineLevel="0" collapsed="false">
      <c r="A336" s="16" t="s">
        <v>563</v>
      </c>
      <c r="B336" s="18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8"/>
      <c r="R336" s="16"/>
      <c r="S336" s="18"/>
      <c r="T336" s="24"/>
      <c r="U336" s="23"/>
      <c r="V336" s="52"/>
      <c r="W336" s="50" t="str">
        <f aca="true">IF(Q336="","",TODAY()-Q336)</f>
        <v/>
      </c>
      <c r="X336" s="51" t="str">
        <f aca="true">IF(F336="","",IF(OR(O336="Won",O336="Lost"),"Closed",IF(S336="","No date set",IF(S336&lt;TODAY(),"Overdue",IF(S336=TODAY(),"Due today","Upcoming")))))</f>
        <v/>
      </c>
    </row>
    <row r="337" customFormat="false" ht="15" hidden="false" customHeight="false" outlineLevel="0" collapsed="false">
      <c r="A337" s="16" t="s">
        <v>564</v>
      </c>
      <c r="B337" s="18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8"/>
      <c r="R337" s="16"/>
      <c r="S337" s="18"/>
      <c r="T337" s="24"/>
      <c r="U337" s="23"/>
      <c r="V337" s="52"/>
      <c r="W337" s="50" t="str">
        <f aca="true">IF(Q337="","",TODAY()-Q337)</f>
        <v/>
      </c>
      <c r="X337" s="51" t="str">
        <f aca="true">IF(F337="","",IF(OR(O337="Won",O337="Lost"),"Closed",IF(S337="","No date set",IF(S337&lt;TODAY(),"Overdue",IF(S337=TODAY(),"Due today","Upcoming")))))</f>
        <v/>
      </c>
    </row>
    <row r="338" customFormat="false" ht="15" hidden="false" customHeight="false" outlineLevel="0" collapsed="false">
      <c r="A338" s="16" t="s">
        <v>565</v>
      </c>
      <c r="B338" s="18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8"/>
      <c r="R338" s="16"/>
      <c r="S338" s="18"/>
      <c r="T338" s="24"/>
      <c r="U338" s="23"/>
      <c r="V338" s="52"/>
      <c r="W338" s="50" t="str">
        <f aca="true">IF(Q338="","",TODAY()-Q338)</f>
        <v/>
      </c>
      <c r="X338" s="51" t="str">
        <f aca="true">IF(F338="","",IF(OR(O338="Won",O338="Lost"),"Closed",IF(S338="","No date set",IF(S338&lt;TODAY(),"Overdue",IF(S338=TODAY(),"Due today","Upcoming")))))</f>
        <v/>
      </c>
    </row>
    <row r="339" customFormat="false" ht="15" hidden="false" customHeight="false" outlineLevel="0" collapsed="false">
      <c r="A339" s="16" t="s">
        <v>566</v>
      </c>
      <c r="B339" s="18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8"/>
      <c r="R339" s="16"/>
      <c r="S339" s="18"/>
      <c r="T339" s="24"/>
      <c r="U339" s="23"/>
      <c r="V339" s="52"/>
      <c r="W339" s="50" t="str">
        <f aca="true">IF(Q339="","",TODAY()-Q339)</f>
        <v/>
      </c>
      <c r="X339" s="51" t="str">
        <f aca="true">IF(F339="","",IF(OR(O339="Won",O339="Lost"),"Closed",IF(S339="","No date set",IF(S339&lt;TODAY(),"Overdue",IF(S339=TODAY(),"Due today","Upcoming")))))</f>
        <v/>
      </c>
    </row>
    <row r="340" customFormat="false" ht="15" hidden="false" customHeight="false" outlineLevel="0" collapsed="false">
      <c r="A340" s="16" t="s">
        <v>567</v>
      </c>
      <c r="B340" s="18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8"/>
      <c r="R340" s="16"/>
      <c r="S340" s="18"/>
      <c r="T340" s="24"/>
      <c r="U340" s="23"/>
      <c r="V340" s="52"/>
      <c r="W340" s="50" t="str">
        <f aca="true">IF(Q340="","",TODAY()-Q340)</f>
        <v/>
      </c>
      <c r="X340" s="51" t="str">
        <f aca="true">IF(F340="","",IF(OR(O340="Won",O340="Lost"),"Closed",IF(S340="","No date set",IF(S340&lt;TODAY(),"Overdue",IF(S340=TODAY(),"Due today","Upcoming")))))</f>
        <v/>
      </c>
    </row>
    <row r="341" customFormat="false" ht="15" hidden="false" customHeight="false" outlineLevel="0" collapsed="false">
      <c r="A341" s="16" t="s">
        <v>568</v>
      </c>
      <c r="B341" s="18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8"/>
      <c r="R341" s="16"/>
      <c r="S341" s="18"/>
      <c r="T341" s="24"/>
      <c r="U341" s="23"/>
      <c r="V341" s="52"/>
      <c r="W341" s="50" t="str">
        <f aca="true">IF(Q341="","",TODAY()-Q341)</f>
        <v/>
      </c>
      <c r="X341" s="51" t="str">
        <f aca="true">IF(F341="","",IF(OR(O341="Won",O341="Lost"),"Closed",IF(S341="","No date set",IF(S341&lt;TODAY(),"Overdue",IF(S341=TODAY(),"Due today","Upcoming")))))</f>
        <v/>
      </c>
    </row>
    <row r="342" customFormat="false" ht="15" hidden="false" customHeight="false" outlineLevel="0" collapsed="false">
      <c r="A342" s="16" t="s">
        <v>569</v>
      </c>
      <c r="B342" s="18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8"/>
      <c r="R342" s="16"/>
      <c r="S342" s="18"/>
      <c r="T342" s="24"/>
      <c r="U342" s="23"/>
      <c r="V342" s="52"/>
      <c r="W342" s="50" t="str">
        <f aca="true">IF(Q342="","",TODAY()-Q342)</f>
        <v/>
      </c>
      <c r="X342" s="51" t="str">
        <f aca="true">IF(F342="","",IF(OR(O342="Won",O342="Lost"),"Closed",IF(S342="","No date set",IF(S342&lt;TODAY(),"Overdue",IF(S342=TODAY(),"Due today","Upcoming")))))</f>
        <v/>
      </c>
    </row>
    <row r="343" customFormat="false" ht="15" hidden="false" customHeight="false" outlineLevel="0" collapsed="false">
      <c r="A343" s="16" t="s">
        <v>570</v>
      </c>
      <c r="B343" s="18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8"/>
      <c r="R343" s="16"/>
      <c r="S343" s="18"/>
      <c r="T343" s="24"/>
      <c r="U343" s="23"/>
      <c r="V343" s="52"/>
      <c r="W343" s="50" t="str">
        <f aca="true">IF(Q343="","",TODAY()-Q343)</f>
        <v/>
      </c>
      <c r="X343" s="51" t="str">
        <f aca="true">IF(F343="","",IF(OR(O343="Won",O343="Lost"),"Closed",IF(S343="","No date set",IF(S343&lt;TODAY(),"Overdue",IF(S343=TODAY(),"Due today","Upcoming")))))</f>
        <v/>
      </c>
    </row>
    <row r="344" customFormat="false" ht="15" hidden="false" customHeight="false" outlineLevel="0" collapsed="false">
      <c r="A344" s="16" t="s">
        <v>571</v>
      </c>
      <c r="B344" s="18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8"/>
      <c r="R344" s="16"/>
      <c r="S344" s="18"/>
      <c r="T344" s="24"/>
      <c r="U344" s="23"/>
      <c r="V344" s="52"/>
      <c r="W344" s="50" t="str">
        <f aca="true">IF(Q344="","",TODAY()-Q344)</f>
        <v/>
      </c>
      <c r="X344" s="51" t="str">
        <f aca="true">IF(F344="","",IF(OR(O344="Won",O344="Lost"),"Closed",IF(S344="","No date set",IF(S344&lt;TODAY(),"Overdue",IF(S344=TODAY(),"Due today","Upcoming")))))</f>
        <v/>
      </c>
    </row>
    <row r="345" customFormat="false" ht="15" hidden="false" customHeight="false" outlineLevel="0" collapsed="false">
      <c r="A345" s="16" t="s">
        <v>572</v>
      </c>
      <c r="B345" s="18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8"/>
      <c r="R345" s="16"/>
      <c r="S345" s="18"/>
      <c r="T345" s="24"/>
      <c r="U345" s="23"/>
      <c r="V345" s="52"/>
      <c r="W345" s="50" t="str">
        <f aca="true">IF(Q345="","",TODAY()-Q345)</f>
        <v/>
      </c>
      <c r="X345" s="51" t="str">
        <f aca="true">IF(F345="","",IF(OR(O345="Won",O345="Lost"),"Closed",IF(S345="","No date set",IF(S345&lt;TODAY(),"Overdue",IF(S345=TODAY(),"Due today","Upcoming")))))</f>
        <v/>
      </c>
    </row>
    <row r="346" customFormat="false" ht="15" hidden="false" customHeight="false" outlineLevel="0" collapsed="false">
      <c r="A346" s="16" t="s">
        <v>573</v>
      </c>
      <c r="B346" s="18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8"/>
      <c r="R346" s="16"/>
      <c r="S346" s="18"/>
      <c r="T346" s="24"/>
      <c r="U346" s="23"/>
      <c r="V346" s="52"/>
      <c r="W346" s="50" t="str">
        <f aca="true">IF(Q346="","",TODAY()-Q346)</f>
        <v/>
      </c>
      <c r="X346" s="51" t="str">
        <f aca="true">IF(F346="","",IF(OR(O346="Won",O346="Lost"),"Closed",IF(S346="","No date set",IF(S346&lt;TODAY(),"Overdue",IF(S346=TODAY(),"Due today","Upcoming")))))</f>
        <v/>
      </c>
    </row>
    <row r="347" customFormat="false" ht="15" hidden="false" customHeight="false" outlineLevel="0" collapsed="false">
      <c r="A347" s="16" t="s">
        <v>574</v>
      </c>
      <c r="B347" s="18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8"/>
      <c r="R347" s="16"/>
      <c r="S347" s="18"/>
      <c r="T347" s="24"/>
      <c r="U347" s="23"/>
      <c r="V347" s="52"/>
      <c r="W347" s="50" t="str">
        <f aca="true">IF(Q347="","",TODAY()-Q347)</f>
        <v/>
      </c>
      <c r="X347" s="51" t="str">
        <f aca="true">IF(F347="","",IF(OR(O347="Won",O347="Lost"),"Closed",IF(S347="","No date set",IF(S347&lt;TODAY(),"Overdue",IF(S347=TODAY(),"Due today","Upcoming")))))</f>
        <v/>
      </c>
    </row>
    <row r="348" customFormat="false" ht="15" hidden="false" customHeight="false" outlineLevel="0" collapsed="false">
      <c r="A348" s="16" t="s">
        <v>575</v>
      </c>
      <c r="B348" s="18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8"/>
      <c r="R348" s="16"/>
      <c r="S348" s="18"/>
      <c r="T348" s="24"/>
      <c r="U348" s="23"/>
      <c r="V348" s="52"/>
      <c r="W348" s="50" t="str">
        <f aca="true">IF(Q348="","",TODAY()-Q348)</f>
        <v/>
      </c>
      <c r="X348" s="51" t="str">
        <f aca="true">IF(F348="","",IF(OR(O348="Won",O348="Lost"),"Closed",IF(S348="","No date set",IF(S348&lt;TODAY(),"Overdue",IF(S348=TODAY(),"Due today","Upcoming")))))</f>
        <v/>
      </c>
    </row>
    <row r="349" customFormat="false" ht="15" hidden="false" customHeight="false" outlineLevel="0" collapsed="false">
      <c r="A349" s="16" t="s">
        <v>576</v>
      </c>
      <c r="B349" s="18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8"/>
      <c r="R349" s="16"/>
      <c r="S349" s="18"/>
      <c r="T349" s="24"/>
      <c r="U349" s="23"/>
      <c r="V349" s="52"/>
      <c r="W349" s="50" t="str">
        <f aca="true">IF(Q349="","",TODAY()-Q349)</f>
        <v/>
      </c>
      <c r="X349" s="51" t="str">
        <f aca="true">IF(F349="","",IF(OR(O349="Won",O349="Lost"),"Closed",IF(S349="","No date set",IF(S349&lt;TODAY(),"Overdue",IF(S349=TODAY(),"Due today","Upcoming")))))</f>
        <v/>
      </c>
    </row>
    <row r="350" customFormat="false" ht="15" hidden="false" customHeight="false" outlineLevel="0" collapsed="false">
      <c r="A350" s="16" t="s">
        <v>577</v>
      </c>
      <c r="B350" s="18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8"/>
      <c r="R350" s="16"/>
      <c r="S350" s="18"/>
      <c r="T350" s="24"/>
      <c r="U350" s="23"/>
      <c r="V350" s="52"/>
      <c r="W350" s="50" t="str">
        <f aca="true">IF(Q350="","",TODAY()-Q350)</f>
        <v/>
      </c>
      <c r="X350" s="51" t="str">
        <f aca="true">IF(F350="","",IF(OR(O350="Won",O350="Lost"),"Closed",IF(S350="","No date set",IF(S350&lt;TODAY(),"Overdue",IF(S350=TODAY(),"Due today","Upcoming")))))</f>
        <v/>
      </c>
    </row>
    <row r="351" customFormat="false" ht="15" hidden="false" customHeight="false" outlineLevel="0" collapsed="false">
      <c r="A351" s="16" t="s">
        <v>578</v>
      </c>
      <c r="B351" s="18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8"/>
      <c r="R351" s="16"/>
      <c r="S351" s="18"/>
      <c r="T351" s="24"/>
      <c r="U351" s="23"/>
      <c r="V351" s="52"/>
      <c r="W351" s="50" t="str">
        <f aca="true">IF(Q351="","",TODAY()-Q351)</f>
        <v/>
      </c>
      <c r="X351" s="51" t="str">
        <f aca="true">IF(F351="","",IF(OR(O351="Won",O351="Lost"),"Closed",IF(S351="","No date set",IF(S351&lt;TODAY(),"Overdue",IF(S351=TODAY(),"Due today","Upcoming")))))</f>
        <v/>
      </c>
    </row>
    <row r="352" customFormat="false" ht="15" hidden="false" customHeight="false" outlineLevel="0" collapsed="false">
      <c r="A352" s="16" t="s">
        <v>579</v>
      </c>
      <c r="B352" s="18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8"/>
      <c r="R352" s="16"/>
      <c r="S352" s="18"/>
      <c r="T352" s="24"/>
      <c r="U352" s="23"/>
      <c r="V352" s="52"/>
      <c r="W352" s="50" t="str">
        <f aca="true">IF(Q352="","",TODAY()-Q352)</f>
        <v/>
      </c>
      <c r="X352" s="51" t="str">
        <f aca="true">IF(F352="","",IF(OR(O352="Won",O352="Lost"),"Closed",IF(S352="","No date set",IF(S352&lt;TODAY(),"Overdue",IF(S352=TODAY(),"Due today","Upcoming")))))</f>
        <v/>
      </c>
    </row>
    <row r="353" customFormat="false" ht="15" hidden="false" customHeight="false" outlineLevel="0" collapsed="false">
      <c r="A353" s="16" t="s">
        <v>580</v>
      </c>
      <c r="B353" s="18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8"/>
      <c r="R353" s="16"/>
      <c r="S353" s="18"/>
      <c r="T353" s="24"/>
      <c r="U353" s="23"/>
      <c r="V353" s="52"/>
      <c r="W353" s="50" t="str">
        <f aca="true">IF(Q353="","",TODAY()-Q353)</f>
        <v/>
      </c>
      <c r="X353" s="51" t="str">
        <f aca="true">IF(F353="","",IF(OR(O353="Won",O353="Lost"),"Closed",IF(S353="","No date set",IF(S353&lt;TODAY(),"Overdue",IF(S353=TODAY(),"Due today","Upcoming")))))</f>
        <v/>
      </c>
    </row>
    <row r="354" customFormat="false" ht="15" hidden="false" customHeight="false" outlineLevel="0" collapsed="false">
      <c r="A354" s="16" t="s">
        <v>581</v>
      </c>
      <c r="B354" s="18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8"/>
      <c r="R354" s="16"/>
      <c r="S354" s="18"/>
      <c r="T354" s="24"/>
      <c r="U354" s="23"/>
      <c r="V354" s="52"/>
      <c r="W354" s="50" t="str">
        <f aca="true">IF(Q354="","",TODAY()-Q354)</f>
        <v/>
      </c>
      <c r="X354" s="51" t="str">
        <f aca="true">IF(F354="","",IF(OR(O354="Won",O354="Lost"),"Closed",IF(S354="","No date set",IF(S354&lt;TODAY(),"Overdue",IF(S354=TODAY(),"Due today","Upcoming")))))</f>
        <v/>
      </c>
    </row>
    <row r="355" customFormat="false" ht="15" hidden="false" customHeight="false" outlineLevel="0" collapsed="false">
      <c r="A355" s="16" t="s">
        <v>582</v>
      </c>
      <c r="B355" s="18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8"/>
      <c r="R355" s="16"/>
      <c r="S355" s="18"/>
      <c r="T355" s="24"/>
      <c r="U355" s="23"/>
      <c r="V355" s="52"/>
      <c r="W355" s="50" t="str">
        <f aca="true">IF(Q355="","",TODAY()-Q355)</f>
        <v/>
      </c>
      <c r="X355" s="51" t="str">
        <f aca="true">IF(F355="","",IF(OR(O355="Won",O355="Lost"),"Closed",IF(S355="","No date set",IF(S355&lt;TODAY(),"Overdue",IF(S355=TODAY(),"Due today","Upcoming")))))</f>
        <v/>
      </c>
    </row>
    <row r="356" customFormat="false" ht="15" hidden="false" customHeight="false" outlineLevel="0" collapsed="false">
      <c r="A356" s="16" t="s">
        <v>583</v>
      </c>
      <c r="B356" s="18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8"/>
      <c r="R356" s="16"/>
      <c r="S356" s="18"/>
      <c r="T356" s="24"/>
      <c r="U356" s="23"/>
      <c r="V356" s="52"/>
      <c r="W356" s="50" t="str">
        <f aca="true">IF(Q356="","",TODAY()-Q356)</f>
        <v/>
      </c>
      <c r="X356" s="51" t="str">
        <f aca="true">IF(F356="","",IF(OR(O356="Won",O356="Lost"),"Closed",IF(S356="","No date set",IF(S356&lt;TODAY(),"Overdue",IF(S356=TODAY(),"Due today","Upcoming")))))</f>
        <v/>
      </c>
    </row>
    <row r="357" customFormat="false" ht="15" hidden="false" customHeight="false" outlineLevel="0" collapsed="false">
      <c r="A357" s="16" t="s">
        <v>584</v>
      </c>
      <c r="B357" s="18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8"/>
      <c r="R357" s="16"/>
      <c r="S357" s="18"/>
      <c r="T357" s="24"/>
      <c r="U357" s="23"/>
      <c r="V357" s="52"/>
      <c r="W357" s="50" t="str">
        <f aca="true">IF(Q357="","",TODAY()-Q357)</f>
        <v/>
      </c>
      <c r="X357" s="51" t="str">
        <f aca="true">IF(F357="","",IF(OR(O357="Won",O357="Lost"),"Closed",IF(S357="","No date set",IF(S357&lt;TODAY(),"Overdue",IF(S357=TODAY(),"Due today","Upcoming")))))</f>
        <v/>
      </c>
    </row>
    <row r="358" customFormat="false" ht="15" hidden="false" customHeight="false" outlineLevel="0" collapsed="false">
      <c r="A358" s="16" t="s">
        <v>585</v>
      </c>
      <c r="B358" s="18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8"/>
      <c r="R358" s="16"/>
      <c r="S358" s="18"/>
      <c r="T358" s="24"/>
      <c r="U358" s="23"/>
      <c r="V358" s="52"/>
      <c r="W358" s="50" t="str">
        <f aca="true">IF(Q358="","",TODAY()-Q358)</f>
        <v/>
      </c>
      <c r="X358" s="51" t="str">
        <f aca="true">IF(F358="","",IF(OR(O358="Won",O358="Lost"),"Closed",IF(S358="","No date set",IF(S358&lt;TODAY(),"Overdue",IF(S358=TODAY(),"Due today","Upcoming")))))</f>
        <v/>
      </c>
    </row>
    <row r="359" customFormat="false" ht="15" hidden="false" customHeight="false" outlineLevel="0" collapsed="false">
      <c r="A359" s="16" t="s">
        <v>586</v>
      </c>
      <c r="B359" s="18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8"/>
      <c r="R359" s="16"/>
      <c r="S359" s="18"/>
      <c r="T359" s="24"/>
      <c r="U359" s="23"/>
      <c r="V359" s="52"/>
      <c r="W359" s="50" t="str">
        <f aca="true">IF(Q359="","",TODAY()-Q359)</f>
        <v/>
      </c>
      <c r="X359" s="51" t="str">
        <f aca="true">IF(F359="","",IF(OR(O359="Won",O359="Lost"),"Closed",IF(S359="","No date set",IF(S359&lt;TODAY(),"Overdue",IF(S359=TODAY(),"Due today","Upcoming")))))</f>
        <v/>
      </c>
    </row>
    <row r="360" customFormat="false" ht="15" hidden="false" customHeight="false" outlineLevel="0" collapsed="false">
      <c r="A360" s="16" t="s">
        <v>587</v>
      </c>
      <c r="B360" s="18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8"/>
      <c r="R360" s="16"/>
      <c r="S360" s="18"/>
      <c r="T360" s="24"/>
      <c r="U360" s="23"/>
      <c r="V360" s="52"/>
      <c r="W360" s="50" t="str">
        <f aca="true">IF(Q360="","",TODAY()-Q360)</f>
        <v/>
      </c>
      <c r="X360" s="51" t="str">
        <f aca="true">IF(F360="","",IF(OR(O360="Won",O360="Lost"),"Closed",IF(S360="","No date set",IF(S360&lt;TODAY(),"Overdue",IF(S360=TODAY(),"Due today","Upcoming")))))</f>
        <v/>
      </c>
    </row>
    <row r="361" customFormat="false" ht="15" hidden="false" customHeight="false" outlineLevel="0" collapsed="false">
      <c r="A361" s="16" t="s">
        <v>588</v>
      </c>
      <c r="B361" s="18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8"/>
      <c r="R361" s="16"/>
      <c r="S361" s="18"/>
      <c r="T361" s="24"/>
      <c r="U361" s="23"/>
      <c r="V361" s="52"/>
      <c r="W361" s="50" t="str">
        <f aca="true">IF(Q361="","",TODAY()-Q361)</f>
        <v/>
      </c>
      <c r="X361" s="51" t="str">
        <f aca="true">IF(F361="","",IF(OR(O361="Won",O361="Lost"),"Closed",IF(S361="","No date set",IF(S361&lt;TODAY(),"Overdue",IF(S361=TODAY(),"Due today","Upcoming")))))</f>
        <v/>
      </c>
    </row>
    <row r="362" customFormat="false" ht="15" hidden="false" customHeight="false" outlineLevel="0" collapsed="false">
      <c r="A362" s="16" t="s">
        <v>589</v>
      </c>
      <c r="B362" s="18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8"/>
      <c r="R362" s="16"/>
      <c r="S362" s="18"/>
      <c r="T362" s="24"/>
      <c r="U362" s="23"/>
      <c r="V362" s="52"/>
      <c r="W362" s="50" t="str">
        <f aca="true">IF(Q362="","",TODAY()-Q362)</f>
        <v/>
      </c>
      <c r="X362" s="51" t="str">
        <f aca="true">IF(F362="","",IF(OR(O362="Won",O362="Lost"),"Closed",IF(S362="","No date set",IF(S362&lt;TODAY(),"Overdue",IF(S362=TODAY(),"Due today","Upcoming")))))</f>
        <v/>
      </c>
    </row>
    <row r="363" customFormat="false" ht="15" hidden="false" customHeight="false" outlineLevel="0" collapsed="false">
      <c r="A363" s="16" t="s">
        <v>590</v>
      </c>
      <c r="B363" s="18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8"/>
      <c r="R363" s="16"/>
      <c r="S363" s="18"/>
      <c r="T363" s="24"/>
      <c r="U363" s="23"/>
      <c r="V363" s="52"/>
      <c r="W363" s="50" t="str">
        <f aca="true">IF(Q363="","",TODAY()-Q363)</f>
        <v/>
      </c>
      <c r="X363" s="51" t="str">
        <f aca="true">IF(F363="","",IF(OR(O363="Won",O363="Lost"),"Closed",IF(S363="","No date set",IF(S363&lt;TODAY(),"Overdue",IF(S363=TODAY(),"Due today","Upcoming")))))</f>
        <v/>
      </c>
    </row>
    <row r="364" customFormat="false" ht="15" hidden="false" customHeight="false" outlineLevel="0" collapsed="false">
      <c r="A364" s="16" t="s">
        <v>591</v>
      </c>
      <c r="B364" s="18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8"/>
      <c r="R364" s="16"/>
      <c r="S364" s="18"/>
      <c r="T364" s="24"/>
      <c r="U364" s="23"/>
      <c r="V364" s="52"/>
      <c r="W364" s="50" t="str">
        <f aca="true">IF(Q364="","",TODAY()-Q364)</f>
        <v/>
      </c>
      <c r="X364" s="51" t="str">
        <f aca="true">IF(F364="","",IF(OR(O364="Won",O364="Lost"),"Closed",IF(S364="","No date set",IF(S364&lt;TODAY(),"Overdue",IF(S364=TODAY(),"Due today","Upcoming")))))</f>
        <v/>
      </c>
    </row>
    <row r="365" customFormat="false" ht="15" hidden="false" customHeight="false" outlineLevel="0" collapsed="false">
      <c r="A365" s="16" t="s">
        <v>592</v>
      </c>
      <c r="B365" s="18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8"/>
      <c r="R365" s="16"/>
      <c r="S365" s="18"/>
      <c r="T365" s="24"/>
      <c r="U365" s="23"/>
      <c r="V365" s="52"/>
      <c r="W365" s="50" t="str">
        <f aca="true">IF(Q365="","",TODAY()-Q365)</f>
        <v/>
      </c>
      <c r="X365" s="51" t="str">
        <f aca="true">IF(F365="","",IF(OR(O365="Won",O365="Lost"),"Closed",IF(S365="","No date set",IF(S365&lt;TODAY(),"Overdue",IF(S365=TODAY(),"Due today","Upcoming")))))</f>
        <v/>
      </c>
    </row>
    <row r="366" customFormat="false" ht="15" hidden="false" customHeight="false" outlineLevel="0" collapsed="false">
      <c r="A366" s="16" t="s">
        <v>593</v>
      </c>
      <c r="B366" s="18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8"/>
      <c r="R366" s="16"/>
      <c r="S366" s="18"/>
      <c r="T366" s="24"/>
      <c r="U366" s="23"/>
      <c r="V366" s="52"/>
      <c r="W366" s="50" t="str">
        <f aca="true">IF(Q366="","",TODAY()-Q366)</f>
        <v/>
      </c>
      <c r="X366" s="51" t="str">
        <f aca="true">IF(F366="","",IF(OR(O366="Won",O366="Lost"),"Closed",IF(S366="","No date set",IF(S366&lt;TODAY(),"Overdue",IF(S366=TODAY(),"Due today","Upcoming")))))</f>
        <v/>
      </c>
    </row>
    <row r="367" customFormat="false" ht="15" hidden="false" customHeight="false" outlineLevel="0" collapsed="false">
      <c r="A367" s="16" t="s">
        <v>594</v>
      </c>
      <c r="B367" s="18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8"/>
      <c r="R367" s="16"/>
      <c r="S367" s="18"/>
      <c r="T367" s="24"/>
      <c r="U367" s="23"/>
      <c r="V367" s="52"/>
      <c r="W367" s="50" t="str">
        <f aca="true">IF(Q367="","",TODAY()-Q367)</f>
        <v/>
      </c>
      <c r="X367" s="51" t="str">
        <f aca="true">IF(F367="","",IF(OR(O367="Won",O367="Lost"),"Closed",IF(S367="","No date set",IF(S367&lt;TODAY(),"Overdue",IF(S367=TODAY(),"Due today","Upcoming")))))</f>
        <v/>
      </c>
    </row>
    <row r="368" customFormat="false" ht="15" hidden="false" customHeight="false" outlineLevel="0" collapsed="false">
      <c r="A368" s="16" t="s">
        <v>595</v>
      </c>
      <c r="B368" s="18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8"/>
      <c r="R368" s="16"/>
      <c r="S368" s="18"/>
      <c r="T368" s="24"/>
      <c r="U368" s="23"/>
      <c r="V368" s="52"/>
      <c r="W368" s="50" t="str">
        <f aca="true">IF(Q368="","",TODAY()-Q368)</f>
        <v/>
      </c>
      <c r="X368" s="51" t="str">
        <f aca="true">IF(F368="","",IF(OR(O368="Won",O368="Lost"),"Closed",IF(S368="","No date set",IF(S368&lt;TODAY(),"Overdue",IF(S368=TODAY(),"Due today","Upcoming")))))</f>
        <v/>
      </c>
    </row>
    <row r="369" customFormat="false" ht="15" hidden="false" customHeight="false" outlineLevel="0" collapsed="false">
      <c r="A369" s="16" t="s">
        <v>596</v>
      </c>
      <c r="B369" s="18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8"/>
      <c r="R369" s="16"/>
      <c r="S369" s="18"/>
      <c r="T369" s="24"/>
      <c r="U369" s="23"/>
      <c r="V369" s="52"/>
      <c r="W369" s="50" t="str">
        <f aca="true">IF(Q369="","",TODAY()-Q369)</f>
        <v/>
      </c>
      <c r="X369" s="51" t="str">
        <f aca="true">IF(F369="","",IF(OR(O369="Won",O369="Lost"),"Closed",IF(S369="","No date set",IF(S369&lt;TODAY(),"Overdue",IF(S369=TODAY(),"Due today","Upcoming")))))</f>
        <v/>
      </c>
    </row>
    <row r="370" customFormat="false" ht="15" hidden="false" customHeight="false" outlineLevel="0" collapsed="false">
      <c r="A370" s="16" t="s">
        <v>597</v>
      </c>
      <c r="B370" s="18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8"/>
      <c r="R370" s="16"/>
      <c r="S370" s="18"/>
      <c r="T370" s="24"/>
      <c r="U370" s="23"/>
      <c r="V370" s="52"/>
      <c r="W370" s="50" t="str">
        <f aca="true">IF(Q370="","",TODAY()-Q370)</f>
        <v/>
      </c>
      <c r="X370" s="51" t="str">
        <f aca="true">IF(F370="","",IF(OR(O370="Won",O370="Lost"),"Closed",IF(S370="","No date set",IF(S370&lt;TODAY(),"Overdue",IF(S370=TODAY(),"Due today","Upcoming")))))</f>
        <v/>
      </c>
    </row>
    <row r="371" customFormat="false" ht="15" hidden="false" customHeight="false" outlineLevel="0" collapsed="false">
      <c r="A371" s="16" t="s">
        <v>598</v>
      </c>
      <c r="B371" s="18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8"/>
      <c r="R371" s="16"/>
      <c r="S371" s="18"/>
      <c r="T371" s="24"/>
      <c r="U371" s="23"/>
      <c r="V371" s="52"/>
      <c r="W371" s="50" t="str">
        <f aca="true">IF(Q371="","",TODAY()-Q371)</f>
        <v/>
      </c>
      <c r="X371" s="51" t="str">
        <f aca="true">IF(F371="","",IF(OR(O371="Won",O371="Lost"),"Closed",IF(S371="","No date set",IF(S371&lt;TODAY(),"Overdue",IF(S371=TODAY(),"Due today","Upcoming")))))</f>
        <v/>
      </c>
    </row>
    <row r="372" customFormat="false" ht="15" hidden="false" customHeight="false" outlineLevel="0" collapsed="false">
      <c r="A372" s="16" t="s">
        <v>599</v>
      </c>
      <c r="B372" s="18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8"/>
      <c r="R372" s="16"/>
      <c r="S372" s="18"/>
      <c r="T372" s="24"/>
      <c r="U372" s="23"/>
      <c r="V372" s="52"/>
      <c r="W372" s="50" t="str">
        <f aca="true">IF(Q372="","",TODAY()-Q372)</f>
        <v/>
      </c>
      <c r="X372" s="51" t="str">
        <f aca="true">IF(F372="","",IF(OR(O372="Won",O372="Lost"),"Closed",IF(S372="","No date set",IF(S372&lt;TODAY(),"Overdue",IF(S372=TODAY(),"Due today","Upcoming")))))</f>
        <v/>
      </c>
    </row>
    <row r="373" customFormat="false" ht="15" hidden="false" customHeight="false" outlineLevel="0" collapsed="false">
      <c r="A373" s="16" t="s">
        <v>600</v>
      </c>
      <c r="B373" s="18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8"/>
      <c r="R373" s="16"/>
      <c r="S373" s="18"/>
      <c r="T373" s="24"/>
      <c r="U373" s="23"/>
      <c r="V373" s="52"/>
      <c r="W373" s="50" t="str">
        <f aca="true">IF(Q373="","",TODAY()-Q373)</f>
        <v/>
      </c>
      <c r="X373" s="51" t="str">
        <f aca="true">IF(F373="","",IF(OR(O373="Won",O373="Lost"),"Closed",IF(S373="","No date set",IF(S373&lt;TODAY(),"Overdue",IF(S373=TODAY(),"Due today","Upcoming")))))</f>
        <v/>
      </c>
    </row>
    <row r="374" customFormat="false" ht="15" hidden="false" customHeight="false" outlineLevel="0" collapsed="false">
      <c r="A374" s="16" t="s">
        <v>601</v>
      </c>
      <c r="B374" s="18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8"/>
      <c r="R374" s="16"/>
      <c r="S374" s="18"/>
      <c r="T374" s="24"/>
      <c r="U374" s="23"/>
      <c r="V374" s="52"/>
      <c r="W374" s="50" t="str">
        <f aca="true">IF(Q374="","",TODAY()-Q374)</f>
        <v/>
      </c>
      <c r="X374" s="51" t="str">
        <f aca="true">IF(F374="","",IF(OR(O374="Won",O374="Lost"),"Closed",IF(S374="","No date set",IF(S374&lt;TODAY(),"Overdue",IF(S374=TODAY(),"Due today","Upcoming")))))</f>
        <v/>
      </c>
    </row>
    <row r="375" customFormat="false" ht="15" hidden="false" customHeight="false" outlineLevel="0" collapsed="false">
      <c r="A375" s="16" t="s">
        <v>602</v>
      </c>
      <c r="B375" s="18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8"/>
      <c r="R375" s="16"/>
      <c r="S375" s="18"/>
      <c r="T375" s="24"/>
      <c r="U375" s="23"/>
      <c r="V375" s="52"/>
      <c r="W375" s="50" t="str">
        <f aca="true">IF(Q375="","",TODAY()-Q375)</f>
        <v/>
      </c>
      <c r="X375" s="51" t="str">
        <f aca="true">IF(F375="","",IF(OR(O375="Won",O375="Lost"),"Closed",IF(S375="","No date set",IF(S375&lt;TODAY(),"Overdue",IF(S375=TODAY(),"Due today","Upcoming")))))</f>
        <v/>
      </c>
    </row>
    <row r="376" customFormat="false" ht="15" hidden="false" customHeight="false" outlineLevel="0" collapsed="false">
      <c r="A376" s="16" t="s">
        <v>603</v>
      </c>
      <c r="B376" s="18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8"/>
      <c r="R376" s="16"/>
      <c r="S376" s="18"/>
      <c r="T376" s="24"/>
      <c r="U376" s="23"/>
      <c r="V376" s="52"/>
      <c r="W376" s="50" t="str">
        <f aca="true">IF(Q376="","",TODAY()-Q376)</f>
        <v/>
      </c>
      <c r="X376" s="51" t="str">
        <f aca="true">IF(F376="","",IF(OR(O376="Won",O376="Lost"),"Closed",IF(S376="","No date set",IF(S376&lt;TODAY(),"Overdue",IF(S376=TODAY(),"Due today","Upcoming")))))</f>
        <v/>
      </c>
    </row>
    <row r="377" customFormat="false" ht="15" hidden="false" customHeight="false" outlineLevel="0" collapsed="false">
      <c r="A377" s="16" t="s">
        <v>604</v>
      </c>
      <c r="B377" s="18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8"/>
      <c r="R377" s="16"/>
      <c r="S377" s="18"/>
      <c r="T377" s="24"/>
      <c r="U377" s="23"/>
      <c r="V377" s="52"/>
      <c r="W377" s="50" t="str">
        <f aca="true">IF(Q377="","",TODAY()-Q377)</f>
        <v/>
      </c>
      <c r="X377" s="51" t="str">
        <f aca="true">IF(F377="","",IF(OR(O377="Won",O377="Lost"),"Closed",IF(S377="","No date set",IF(S377&lt;TODAY(),"Overdue",IF(S377=TODAY(),"Due today","Upcoming")))))</f>
        <v/>
      </c>
    </row>
    <row r="378" customFormat="false" ht="15" hidden="false" customHeight="false" outlineLevel="0" collapsed="false">
      <c r="A378" s="16" t="s">
        <v>605</v>
      </c>
      <c r="B378" s="18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8"/>
      <c r="R378" s="16"/>
      <c r="S378" s="18"/>
      <c r="T378" s="24"/>
      <c r="U378" s="23"/>
      <c r="V378" s="52"/>
      <c r="W378" s="50" t="str">
        <f aca="true">IF(Q378="","",TODAY()-Q378)</f>
        <v/>
      </c>
      <c r="X378" s="51" t="str">
        <f aca="true">IF(F378="","",IF(OR(O378="Won",O378="Lost"),"Closed",IF(S378="","No date set",IF(S378&lt;TODAY(),"Overdue",IF(S378=TODAY(),"Due today","Upcoming")))))</f>
        <v/>
      </c>
    </row>
    <row r="379" customFormat="false" ht="15" hidden="false" customHeight="false" outlineLevel="0" collapsed="false">
      <c r="A379" s="16" t="s">
        <v>606</v>
      </c>
      <c r="B379" s="18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8"/>
      <c r="R379" s="16"/>
      <c r="S379" s="18"/>
      <c r="T379" s="24"/>
      <c r="U379" s="23"/>
      <c r="V379" s="52"/>
      <c r="W379" s="50" t="str">
        <f aca="true">IF(Q379="","",TODAY()-Q379)</f>
        <v/>
      </c>
      <c r="X379" s="51" t="str">
        <f aca="true">IF(F379="","",IF(OR(O379="Won",O379="Lost"),"Closed",IF(S379="","No date set",IF(S379&lt;TODAY(),"Overdue",IF(S379=TODAY(),"Due today","Upcoming")))))</f>
        <v/>
      </c>
    </row>
    <row r="380" customFormat="false" ht="15" hidden="false" customHeight="false" outlineLevel="0" collapsed="false">
      <c r="A380" s="16" t="s">
        <v>607</v>
      </c>
      <c r="B380" s="18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8"/>
      <c r="R380" s="16"/>
      <c r="S380" s="18"/>
      <c r="T380" s="24"/>
      <c r="U380" s="23"/>
      <c r="V380" s="52"/>
      <c r="W380" s="50" t="str">
        <f aca="true">IF(Q380="","",TODAY()-Q380)</f>
        <v/>
      </c>
      <c r="X380" s="51" t="str">
        <f aca="true">IF(F380="","",IF(OR(O380="Won",O380="Lost"),"Closed",IF(S380="","No date set",IF(S380&lt;TODAY(),"Overdue",IF(S380=TODAY(),"Due today","Upcoming")))))</f>
        <v/>
      </c>
    </row>
    <row r="381" customFormat="false" ht="15" hidden="false" customHeight="false" outlineLevel="0" collapsed="false">
      <c r="A381" s="16" t="s">
        <v>608</v>
      </c>
      <c r="B381" s="18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8"/>
      <c r="R381" s="16"/>
      <c r="S381" s="18"/>
      <c r="T381" s="24"/>
      <c r="U381" s="23"/>
      <c r="V381" s="52"/>
      <c r="W381" s="50" t="str">
        <f aca="true">IF(Q381="","",TODAY()-Q381)</f>
        <v/>
      </c>
      <c r="X381" s="51" t="str">
        <f aca="true">IF(F381="","",IF(OR(O381="Won",O381="Lost"),"Closed",IF(S381="","No date set",IF(S381&lt;TODAY(),"Overdue",IF(S381=TODAY(),"Due today","Upcoming")))))</f>
        <v/>
      </c>
    </row>
    <row r="382" customFormat="false" ht="15" hidden="false" customHeight="false" outlineLevel="0" collapsed="false">
      <c r="A382" s="16" t="s">
        <v>609</v>
      </c>
      <c r="B382" s="18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8"/>
      <c r="R382" s="16"/>
      <c r="S382" s="18"/>
      <c r="T382" s="24"/>
      <c r="U382" s="23"/>
      <c r="V382" s="52"/>
      <c r="W382" s="50" t="str">
        <f aca="true">IF(Q382="","",TODAY()-Q382)</f>
        <v/>
      </c>
      <c r="X382" s="51" t="str">
        <f aca="true">IF(F382="","",IF(OR(O382="Won",O382="Lost"),"Closed",IF(S382="","No date set",IF(S382&lt;TODAY(),"Overdue",IF(S382=TODAY(),"Due today","Upcoming")))))</f>
        <v/>
      </c>
    </row>
    <row r="383" customFormat="false" ht="15" hidden="false" customHeight="false" outlineLevel="0" collapsed="false">
      <c r="A383" s="16" t="s">
        <v>610</v>
      </c>
      <c r="B383" s="18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8"/>
      <c r="R383" s="16"/>
      <c r="S383" s="18"/>
      <c r="T383" s="24"/>
      <c r="U383" s="23"/>
      <c r="V383" s="52"/>
      <c r="W383" s="50" t="str">
        <f aca="true">IF(Q383="","",TODAY()-Q383)</f>
        <v/>
      </c>
      <c r="X383" s="51" t="str">
        <f aca="true">IF(F383="","",IF(OR(O383="Won",O383="Lost"),"Closed",IF(S383="","No date set",IF(S383&lt;TODAY(),"Overdue",IF(S383=TODAY(),"Due today","Upcoming")))))</f>
        <v/>
      </c>
    </row>
    <row r="384" customFormat="false" ht="15" hidden="false" customHeight="false" outlineLevel="0" collapsed="false">
      <c r="A384" s="16" t="s">
        <v>611</v>
      </c>
      <c r="B384" s="18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8"/>
      <c r="R384" s="16"/>
      <c r="S384" s="18"/>
      <c r="T384" s="24"/>
      <c r="U384" s="23"/>
      <c r="V384" s="52"/>
      <c r="W384" s="50" t="str">
        <f aca="true">IF(Q384="","",TODAY()-Q384)</f>
        <v/>
      </c>
      <c r="X384" s="51" t="str">
        <f aca="true">IF(F384="","",IF(OR(O384="Won",O384="Lost"),"Closed",IF(S384="","No date set",IF(S384&lt;TODAY(),"Overdue",IF(S384=TODAY(),"Due today","Upcoming")))))</f>
        <v/>
      </c>
    </row>
    <row r="385" customFormat="false" ht="15" hidden="false" customHeight="false" outlineLevel="0" collapsed="false">
      <c r="A385" s="16" t="s">
        <v>612</v>
      </c>
      <c r="B385" s="18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8"/>
      <c r="R385" s="16"/>
      <c r="S385" s="18"/>
      <c r="T385" s="24"/>
      <c r="U385" s="23"/>
      <c r="V385" s="52"/>
      <c r="W385" s="50" t="str">
        <f aca="true">IF(Q385="","",TODAY()-Q385)</f>
        <v/>
      </c>
      <c r="X385" s="51" t="str">
        <f aca="true">IF(F385="","",IF(OR(O385="Won",O385="Lost"),"Closed",IF(S385="","No date set",IF(S385&lt;TODAY(),"Overdue",IF(S385=TODAY(),"Due today","Upcoming")))))</f>
        <v/>
      </c>
    </row>
    <row r="386" customFormat="false" ht="15" hidden="false" customHeight="false" outlineLevel="0" collapsed="false">
      <c r="A386" s="16" t="s">
        <v>613</v>
      </c>
      <c r="B386" s="18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8"/>
      <c r="R386" s="16"/>
      <c r="S386" s="18"/>
      <c r="T386" s="24"/>
      <c r="U386" s="23"/>
      <c r="V386" s="52"/>
      <c r="W386" s="50" t="str">
        <f aca="true">IF(Q386="","",TODAY()-Q386)</f>
        <v/>
      </c>
      <c r="X386" s="51" t="str">
        <f aca="true">IF(F386="","",IF(OR(O386="Won",O386="Lost"),"Closed",IF(S386="","No date set",IF(S386&lt;TODAY(),"Overdue",IF(S386=TODAY(),"Due today","Upcoming")))))</f>
        <v/>
      </c>
    </row>
    <row r="387" customFormat="false" ht="15" hidden="false" customHeight="false" outlineLevel="0" collapsed="false">
      <c r="A387" s="16" t="s">
        <v>614</v>
      </c>
      <c r="B387" s="18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8"/>
      <c r="R387" s="16"/>
      <c r="S387" s="18"/>
      <c r="T387" s="24"/>
      <c r="U387" s="23"/>
      <c r="V387" s="52"/>
      <c r="W387" s="50" t="str">
        <f aca="true">IF(Q387="","",TODAY()-Q387)</f>
        <v/>
      </c>
      <c r="X387" s="51" t="str">
        <f aca="true">IF(F387="","",IF(OR(O387="Won",O387="Lost"),"Closed",IF(S387="","No date set",IF(S387&lt;TODAY(),"Overdue",IF(S387=TODAY(),"Due today","Upcoming")))))</f>
        <v/>
      </c>
    </row>
    <row r="388" customFormat="false" ht="15" hidden="false" customHeight="false" outlineLevel="0" collapsed="false">
      <c r="A388" s="16" t="s">
        <v>615</v>
      </c>
      <c r="B388" s="18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8"/>
      <c r="R388" s="16"/>
      <c r="S388" s="18"/>
      <c r="T388" s="24"/>
      <c r="U388" s="23"/>
      <c r="V388" s="52"/>
      <c r="W388" s="50" t="str">
        <f aca="true">IF(Q388="","",TODAY()-Q388)</f>
        <v/>
      </c>
      <c r="X388" s="51" t="str">
        <f aca="true">IF(F388="","",IF(OR(O388="Won",O388="Lost"),"Closed",IF(S388="","No date set",IF(S388&lt;TODAY(),"Overdue",IF(S388=TODAY(),"Due today","Upcoming")))))</f>
        <v/>
      </c>
    </row>
    <row r="389" customFormat="false" ht="15" hidden="false" customHeight="false" outlineLevel="0" collapsed="false">
      <c r="A389" s="16" t="s">
        <v>616</v>
      </c>
      <c r="B389" s="18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8"/>
      <c r="R389" s="16"/>
      <c r="S389" s="18"/>
      <c r="T389" s="24"/>
      <c r="U389" s="23"/>
      <c r="V389" s="52"/>
      <c r="W389" s="50" t="str">
        <f aca="true">IF(Q389="","",TODAY()-Q389)</f>
        <v/>
      </c>
      <c r="X389" s="51" t="str">
        <f aca="true">IF(F389="","",IF(OR(O389="Won",O389="Lost"),"Closed",IF(S389="","No date set",IF(S389&lt;TODAY(),"Overdue",IF(S389=TODAY(),"Due today","Upcoming")))))</f>
        <v/>
      </c>
    </row>
    <row r="390" customFormat="false" ht="15" hidden="false" customHeight="false" outlineLevel="0" collapsed="false">
      <c r="A390" s="16" t="s">
        <v>617</v>
      </c>
      <c r="B390" s="18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8"/>
      <c r="R390" s="16"/>
      <c r="S390" s="18"/>
      <c r="T390" s="24"/>
      <c r="U390" s="23"/>
      <c r="V390" s="52"/>
      <c r="W390" s="50" t="str">
        <f aca="true">IF(Q390="","",TODAY()-Q390)</f>
        <v/>
      </c>
      <c r="X390" s="51" t="str">
        <f aca="true">IF(F390="","",IF(OR(O390="Won",O390="Lost"),"Closed",IF(S390="","No date set",IF(S390&lt;TODAY(),"Overdue",IF(S390=TODAY(),"Due today","Upcoming")))))</f>
        <v/>
      </c>
    </row>
    <row r="391" customFormat="false" ht="15" hidden="false" customHeight="false" outlineLevel="0" collapsed="false">
      <c r="A391" s="16" t="s">
        <v>618</v>
      </c>
      <c r="B391" s="18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8"/>
      <c r="R391" s="16"/>
      <c r="S391" s="18"/>
      <c r="T391" s="24"/>
      <c r="U391" s="23"/>
      <c r="V391" s="52"/>
      <c r="W391" s="50" t="str">
        <f aca="true">IF(Q391="","",TODAY()-Q391)</f>
        <v/>
      </c>
      <c r="X391" s="51" t="str">
        <f aca="true">IF(F391="","",IF(OR(O391="Won",O391="Lost"),"Closed",IF(S391="","No date set",IF(S391&lt;TODAY(),"Overdue",IF(S391=TODAY(),"Due today","Upcoming")))))</f>
        <v/>
      </c>
    </row>
    <row r="392" customFormat="false" ht="15" hidden="false" customHeight="false" outlineLevel="0" collapsed="false">
      <c r="A392" s="16" t="s">
        <v>619</v>
      </c>
      <c r="B392" s="18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8"/>
      <c r="R392" s="16"/>
      <c r="S392" s="18"/>
      <c r="T392" s="24"/>
      <c r="U392" s="23"/>
      <c r="V392" s="52"/>
      <c r="W392" s="50" t="str">
        <f aca="true">IF(Q392="","",TODAY()-Q392)</f>
        <v/>
      </c>
      <c r="X392" s="51" t="str">
        <f aca="true">IF(F392="","",IF(OR(O392="Won",O392="Lost"),"Closed",IF(S392="","No date set",IF(S392&lt;TODAY(),"Overdue",IF(S392=TODAY(),"Due today","Upcoming")))))</f>
        <v/>
      </c>
    </row>
    <row r="393" customFormat="false" ht="15" hidden="false" customHeight="false" outlineLevel="0" collapsed="false">
      <c r="A393" s="16" t="s">
        <v>620</v>
      </c>
      <c r="B393" s="18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8"/>
      <c r="R393" s="16"/>
      <c r="S393" s="18"/>
      <c r="T393" s="24"/>
      <c r="U393" s="23"/>
      <c r="V393" s="52"/>
      <c r="W393" s="50" t="str">
        <f aca="true">IF(Q393="","",TODAY()-Q393)</f>
        <v/>
      </c>
      <c r="X393" s="51" t="str">
        <f aca="true">IF(F393="","",IF(OR(O393="Won",O393="Lost"),"Closed",IF(S393="","No date set",IF(S393&lt;TODAY(),"Overdue",IF(S393=TODAY(),"Due today","Upcoming")))))</f>
        <v/>
      </c>
    </row>
    <row r="394" customFormat="false" ht="15" hidden="false" customHeight="false" outlineLevel="0" collapsed="false">
      <c r="A394" s="16" t="s">
        <v>621</v>
      </c>
      <c r="B394" s="18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8"/>
      <c r="R394" s="16"/>
      <c r="S394" s="18"/>
      <c r="T394" s="24"/>
      <c r="U394" s="23"/>
      <c r="V394" s="52"/>
      <c r="W394" s="50" t="str">
        <f aca="true">IF(Q394="","",TODAY()-Q394)</f>
        <v/>
      </c>
      <c r="X394" s="51" t="str">
        <f aca="true">IF(F394="","",IF(OR(O394="Won",O394="Lost"),"Closed",IF(S394="","No date set",IF(S394&lt;TODAY(),"Overdue",IF(S394=TODAY(),"Due today","Upcoming")))))</f>
        <v/>
      </c>
    </row>
    <row r="395" customFormat="false" ht="15" hidden="false" customHeight="false" outlineLevel="0" collapsed="false">
      <c r="A395" s="16" t="s">
        <v>622</v>
      </c>
      <c r="B395" s="18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8"/>
      <c r="R395" s="16"/>
      <c r="S395" s="18"/>
      <c r="T395" s="24"/>
      <c r="U395" s="23"/>
      <c r="V395" s="52"/>
      <c r="W395" s="50" t="str">
        <f aca="true">IF(Q395="","",TODAY()-Q395)</f>
        <v/>
      </c>
      <c r="X395" s="51" t="str">
        <f aca="true">IF(F395="","",IF(OR(O395="Won",O395="Lost"),"Closed",IF(S395="","No date set",IF(S395&lt;TODAY(),"Overdue",IF(S395=TODAY(),"Due today","Upcoming")))))</f>
        <v/>
      </c>
    </row>
    <row r="396" customFormat="false" ht="15" hidden="false" customHeight="false" outlineLevel="0" collapsed="false">
      <c r="A396" s="16" t="s">
        <v>623</v>
      </c>
      <c r="B396" s="18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8"/>
      <c r="R396" s="16"/>
      <c r="S396" s="18"/>
      <c r="T396" s="24"/>
      <c r="U396" s="23"/>
      <c r="V396" s="52"/>
      <c r="W396" s="50" t="str">
        <f aca="true">IF(Q396="","",TODAY()-Q396)</f>
        <v/>
      </c>
      <c r="X396" s="51" t="str">
        <f aca="true">IF(F396="","",IF(OR(O396="Won",O396="Lost"),"Closed",IF(S396="","No date set",IF(S396&lt;TODAY(),"Overdue",IF(S396=TODAY(),"Due today","Upcoming")))))</f>
        <v/>
      </c>
    </row>
    <row r="397" customFormat="false" ht="15" hidden="false" customHeight="false" outlineLevel="0" collapsed="false">
      <c r="A397" s="16" t="s">
        <v>624</v>
      </c>
      <c r="B397" s="18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8"/>
      <c r="R397" s="16"/>
      <c r="S397" s="18"/>
      <c r="T397" s="24"/>
      <c r="U397" s="23"/>
      <c r="V397" s="52"/>
      <c r="W397" s="50" t="str">
        <f aca="true">IF(Q397="","",TODAY()-Q397)</f>
        <v/>
      </c>
      <c r="X397" s="51" t="str">
        <f aca="true">IF(F397="","",IF(OR(O397="Won",O397="Lost"),"Closed",IF(S397="","No date set",IF(S397&lt;TODAY(),"Overdue",IF(S397=TODAY(),"Due today","Upcoming")))))</f>
        <v/>
      </c>
    </row>
    <row r="398" customFormat="false" ht="15" hidden="false" customHeight="false" outlineLevel="0" collapsed="false">
      <c r="A398" s="16" t="s">
        <v>625</v>
      </c>
      <c r="B398" s="18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8"/>
      <c r="R398" s="16"/>
      <c r="S398" s="18"/>
      <c r="T398" s="24"/>
      <c r="U398" s="23"/>
      <c r="V398" s="52"/>
      <c r="W398" s="50" t="str">
        <f aca="true">IF(Q398="","",TODAY()-Q398)</f>
        <v/>
      </c>
      <c r="X398" s="51" t="str">
        <f aca="true">IF(F398="","",IF(OR(O398="Won",O398="Lost"),"Closed",IF(S398="","No date set",IF(S398&lt;TODAY(),"Overdue",IF(S398=TODAY(),"Due today","Upcoming")))))</f>
        <v/>
      </c>
    </row>
    <row r="399" customFormat="false" ht="15" hidden="false" customHeight="false" outlineLevel="0" collapsed="false">
      <c r="A399" s="16" t="s">
        <v>626</v>
      </c>
      <c r="B399" s="18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8"/>
      <c r="R399" s="16"/>
      <c r="S399" s="18"/>
      <c r="T399" s="24"/>
      <c r="U399" s="23"/>
      <c r="V399" s="52"/>
      <c r="W399" s="50" t="str">
        <f aca="true">IF(Q399="","",TODAY()-Q399)</f>
        <v/>
      </c>
      <c r="X399" s="51" t="str">
        <f aca="true">IF(F399="","",IF(OR(O399="Won",O399="Lost"),"Closed",IF(S399="","No date set",IF(S399&lt;TODAY(),"Overdue",IF(S399=TODAY(),"Due today","Upcoming")))))</f>
        <v/>
      </c>
    </row>
    <row r="400" customFormat="false" ht="15" hidden="false" customHeight="false" outlineLevel="0" collapsed="false">
      <c r="A400" s="16" t="s">
        <v>627</v>
      </c>
      <c r="B400" s="18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8"/>
      <c r="R400" s="16"/>
      <c r="S400" s="18"/>
      <c r="T400" s="24"/>
      <c r="U400" s="23"/>
      <c r="V400" s="52"/>
      <c r="W400" s="50" t="str">
        <f aca="true">IF(Q400="","",TODAY()-Q400)</f>
        <v/>
      </c>
      <c r="X400" s="51" t="str">
        <f aca="true">IF(F400="","",IF(OR(O400="Won",O400="Lost"),"Closed",IF(S400="","No date set",IF(S400&lt;TODAY(),"Overdue",IF(S400=TODAY(),"Due today","Upcoming")))))</f>
        <v/>
      </c>
    </row>
    <row r="401" customFormat="false" ht="15" hidden="false" customHeight="false" outlineLevel="0" collapsed="false">
      <c r="A401" s="16" t="s">
        <v>628</v>
      </c>
      <c r="B401" s="18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8"/>
      <c r="R401" s="16"/>
      <c r="S401" s="18"/>
      <c r="T401" s="24"/>
      <c r="U401" s="23"/>
      <c r="V401" s="52"/>
      <c r="W401" s="50" t="str">
        <f aca="true">IF(Q401="","",TODAY()-Q401)</f>
        <v/>
      </c>
      <c r="X401" s="51" t="str">
        <f aca="true">IF(F401="","",IF(OR(O401="Won",O401="Lost"),"Closed",IF(S401="","No date set",IF(S401&lt;TODAY(),"Overdue",IF(S401=TODAY(),"Due today","Upcoming")))))</f>
        <v/>
      </c>
    </row>
    <row r="402" customFormat="false" ht="15" hidden="false" customHeight="false" outlineLevel="0" collapsed="false">
      <c r="A402" s="16" t="s">
        <v>629</v>
      </c>
      <c r="B402" s="18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8"/>
      <c r="R402" s="16"/>
      <c r="S402" s="18"/>
      <c r="T402" s="24"/>
      <c r="U402" s="23"/>
      <c r="V402" s="52"/>
      <c r="W402" s="50" t="str">
        <f aca="true">IF(Q402="","",TODAY()-Q402)</f>
        <v/>
      </c>
      <c r="X402" s="51" t="str">
        <f aca="true">IF(F402="","",IF(OR(O402="Won",O402="Lost"),"Closed",IF(S402="","No date set",IF(S402&lt;TODAY(),"Overdue",IF(S402=TODAY(),"Due today","Upcoming")))))</f>
        <v/>
      </c>
    </row>
    <row r="403" customFormat="false" ht="15" hidden="false" customHeight="false" outlineLevel="0" collapsed="false">
      <c r="A403" s="16" t="s">
        <v>630</v>
      </c>
      <c r="B403" s="18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8"/>
      <c r="R403" s="16"/>
      <c r="S403" s="18"/>
      <c r="T403" s="24"/>
      <c r="U403" s="23"/>
      <c r="V403" s="52"/>
      <c r="W403" s="50" t="str">
        <f aca="true">IF(Q403="","",TODAY()-Q403)</f>
        <v/>
      </c>
      <c r="X403" s="51" t="str">
        <f aca="true">IF(F403="","",IF(OR(O403="Won",O403="Lost"),"Closed",IF(S403="","No date set",IF(S403&lt;TODAY(),"Overdue",IF(S403=TODAY(),"Due today","Upcoming")))))</f>
        <v/>
      </c>
    </row>
    <row r="404" customFormat="false" ht="15" hidden="false" customHeight="false" outlineLevel="0" collapsed="false">
      <c r="A404" s="16" t="s">
        <v>631</v>
      </c>
      <c r="B404" s="18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8"/>
      <c r="R404" s="16"/>
      <c r="S404" s="18"/>
      <c r="T404" s="24"/>
      <c r="U404" s="23"/>
      <c r="V404" s="52"/>
      <c r="W404" s="50" t="str">
        <f aca="true">IF(Q404="","",TODAY()-Q404)</f>
        <v/>
      </c>
      <c r="X404" s="51" t="str">
        <f aca="true">IF(F404="","",IF(OR(O404="Won",O404="Lost"),"Closed",IF(S404="","No date set",IF(S404&lt;TODAY(),"Overdue",IF(S404=TODAY(),"Due today","Upcoming")))))</f>
        <v/>
      </c>
    </row>
    <row r="405" customFormat="false" ht="15" hidden="false" customHeight="false" outlineLevel="0" collapsed="false">
      <c r="A405" s="16" t="s">
        <v>632</v>
      </c>
      <c r="B405" s="18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8"/>
      <c r="R405" s="16"/>
      <c r="S405" s="18"/>
      <c r="T405" s="24"/>
      <c r="U405" s="23"/>
      <c r="V405" s="52"/>
      <c r="W405" s="50" t="str">
        <f aca="true">IF(Q405="","",TODAY()-Q405)</f>
        <v/>
      </c>
      <c r="X405" s="51" t="str">
        <f aca="true">IF(F405="","",IF(OR(O405="Won",O405="Lost"),"Closed",IF(S405="","No date set",IF(S405&lt;TODAY(),"Overdue",IF(S405=TODAY(),"Due today","Upcoming")))))</f>
        <v/>
      </c>
    </row>
    <row r="406" customFormat="false" ht="15" hidden="false" customHeight="false" outlineLevel="0" collapsed="false">
      <c r="A406" s="16" t="s">
        <v>633</v>
      </c>
      <c r="B406" s="18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8"/>
      <c r="R406" s="16"/>
      <c r="S406" s="18"/>
      <c r="T406" s="24"/>
      <c r="U406" s="23"/>
      <c r="V406" s="52"/>
      <c r="W406" s="50" t="str">
        <f aca="true">IF(Q406="","",TODAY()-Q406)</f>
        <v/>
      </c>
      <c r="X406" s="51" t="str">
        <f aca="true">IF(F406="","",IF(OR(O406="Won",O406="Lost"),"Closed",IF(S406="","No date set",IF(S406&lt;TODAY(),"Overdue",IF(S406=TODAY(),"Due today","Upcoming")))))</f>
        <v/>
      </c>
    </row>
    <row r="407" customFormat="false" ht="15" hidden="false" customHeight="false" outlineLevel="0" collapsed="false">
      <c r="A407" s="16" t="s">
        <v>634</v>
      </c>
      <c r="B407" s="18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8"/>
      <c r="R407" s="16"/>
      <c r="S407" s="18"/>
      <c r="T407" s="24"/>
      <c r="U407" s="23"/>
      <c r="V407" s="52"/>
      <c r="W407" s="50" t="str">
        <f aca="true">IF(Q407="","",TODAY()-Q407)</f>
        <v/>
      </c>
      <c r="X407" s="51" t="str">
        <f aca="true">IF(F407="","",IF(OR(O407="Won",O407="Lost"),"Closed",IF(S407="","No date set",IF(S407&lt;TODAY(),"Overdue",IF(S407=TODAY(),"Due today","Upcoming")))))</f>
        <v/>
      </c>
    </row>
    <row r="408" customFormat="false" ht="15" hidden="false" customHeight="false" outlineLevel="0" collapsed="false">
      <c r="A408" s="16" t="s">
        <v>635</v>
      </c>
      <c r="B408" s="18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8"/>
      <c r="R408" s="16"/>
      <c r="S408" s="18"/>
      <c r="T408" s="24"/>
      <c r="U408" s="23"/>
      <c r="V408" s="52"/>
      <c r="W408" s="50" t="str">
        <f aca="true">IF(Q408="","",TODAY()-Q408)</f>
        <v/>
      </c>
      <c r="X408" s="51" t="str">
        <f aca="true">IF(F408="","",IF(OR(O408="Won",O408="Lost"),"Closed",IF(S408="","No date set",IF(S408&lt;TODAY(),"Overdue",IF(S408=TODAY(),"Due today","Upcoming")))))</f>
        <v/>
      </c>
    </row>
    <row r="409" customFormat="false" ht="15" hidden="false" customHeight="false" outlineLevel="0" collapsed="false">
      <c r="A409" s="16" t="s">
        <v>636</v>
      </c>
      <c r="B409" s="18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8"/>
      <c r="R409" s="16"/>
      <c r="S409" s="18"/>
      <c r="T409" s="24"/>
      <c r="U409" s="23"/>
      <c r="V409" s="52"/>
      <c r="W409" s="50" t="str">
        <f aca="true">IF(Q409="","",TODAY()-Q409)</f>
        <v/>
      </c>
      <c r="X409" s="51" t="str">
        <f aca="true">IF(F409="","",IF(OR(O409="Won",O409="Lost"),"Closed",IF(S409="","No date set",IF(S409&lt;TODAY(),"Overdue",IF(S409=TODAY(),"Due today","Upcoming")))))</f>
        <v/>
      </c>
    </row>
    <row r="410" customFormat="false" ht="15" hidden="false" customHeight="false" outlineLevel="0" collapsed="false">
      <c r="A410" s="16" t="s">
        <v>637</v>
      </c>
      <c r="B410" s="18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8"/>
      <c r="R410" s="16"/>
      <c r="S410" s="18"/>
      <c r="T410" s="24"/>
      <c r="U410" s="23"/>
      <c r="V410" s="52"/>
      <c r="W410" s="50" t="str">
        <f aca="true">IF(Q410="","",TODAY()-Q410)</f>
        <v/>
      </c>
      <c r="X410" s="51" t="str">
        <f aca="true">IF(F410="","",IF(OR(O410="Won",O410="Lost"),"Closed",IF(S410="","No date set",IF(S410&lt;TODAY(),"Overdue",IF(S410=TODAY(),"Due today","Upcoming")))))</f>
        <v/>
      </c>
    </row>
    <row r="411" customFormat="false" ht="15" hidden="false" customHeight="false" outlineLevel="0" collapsed="false">
      <c r="A411" s="16" t="s">
        <v>638</v>
      </c>
      <c r="B411" s="18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8"/>
      <c r="R411" s="16"/>
      <c r="S411" s="18"/>
      <c r="T411" s="24"/>
      <c r="U411" s="23"/>
      <c r="V411" s="52"/>
      <c r="W411" s="50" t="str">
        <f aca="true">IF(Q411="","",TODAY()-Q411)</f>
        <v/>
      </c>
      <c r="X411" s="51" t="str">
        <f aca="true">IF(F411="","",IF(OR(O411="Won",O411="Lost"),"Closed",IF(S411="","No date set",IF(S411&lt;TODAY(),"Overdue",IF(S411=TODAY(),"Due today","Upcoming")))))</f>
        <v/>
      </c>
    </row>
    <row r="412" customFormat="false" ht="15" hidden="false" customHeight="false" outlineLevel="0" collapsed="false">
      <c r="A412" s="16" t="s">
        <v>639</v>
      </c>
      <c r="B412" s="18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8"/>
      <c r="R412" s="16"/>
      <c r="S412" s="18"/>
      <c r="T412" s="24"/>
      <c r="U412" s="23"/>
      <c r="V412" s="52"/>
      <c r="W412" s="50" t="str">
        <f aca="true">IF(Q412="","",TODAY()-Q412)</f>
        <v/>
      </c>
      <c r="X412" s="51" t="str">
        <f aca="true">IF(F412="","",IF(OR(O412="Won",O412="Lost"),"Closed",IF(S412="","No date set",IF(S412&lt;TODAY(),"Overdue",IF(S412=TODAY(),"Due today","Upcoming")))))</f>
        <v/>
      </c>
    </row>
    <row r="413" customFormat="false" ht="15" hidden="false" customHeight="false" outlineLevel="0" collapsed="false">
      <c r="A413" s="16" t="s">
        <v>640</v>
      </c>
      <c r="B413" s="18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8"/>
      <c r="R413" s="16"/>
      <c r="S413" s="18"/>
      <c r="T413" s="24"/>
      <c r="U413" s="23"/>
      <c r="V413" s="52"/>
      <c r="W413" s="50" t="str">
        <f aca="true">IF(Q413="","",TODAY()-Q413)</f>
        <v/>
      </c>
      <c r="X413" s="51" t="str">
        <f aca="true">IF(F413="","",IF(OR(O413="Won",O413="Lost"),"Closed",IF(S413="","No date set",IF(S413&lt;TODAY(),"Overdue",IF(S413=TODAY(),"Due today","Upcoming")))))</f>
        <v/>
      </c>
    </row>
    <row r="414" customFormat="false" ht="15" hidden="false" customHeight="false" outlineLevel="0" collapsed="false">
      <c r="A414" s="16" t="s">
        <v>641</v>
      </c>
      <c r="B414" s="18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8"/>
      <c r="R414" s="16"/>
      <c r="S414" s="18"/>
      <c r="T414" s="24"/>
      <c r="U414" s="23"/>
      <c r="V414" s="52"/>
      <c r="W414" s="50" t="str">
        <f aca="true">IF(Q414="","",TODAY()-Q414)</f>
        <v/>
      </c>
      <c r="X414" s="51" t="str">
        <f aca="true">IF(F414="","",IF(OR(O414="Won",O414="Lost"),"Closed",IF(S414="","No date set",IF(S414&lt;TODAY(),"Overdue",IF(S414=TODAY(),"Due today","Upcoming")))))</f>
        <v/>
      </c>
    </row>
    <row r="415" customFormat="false" ht="15" hidden="false" customHeight="false" outlineLevel="0" collapsed="false">
      <c r="A415" s="16" t="s">
        <v>642</v>
      </c>
      <c r="B415" s="18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8"/>
      <c r="R415" s="16"/>
      <c r="S415" s="18"/>
      <c r="T415" s="24"/>
      <c r="U415" s="23"/>
      <c r="V415" s="52"/>
      <c r="W415" s="50" t="str">
        <f aca="true">IF(Q415="","",TODAY()-Q415)</f>
        <v/>
      </c>
      <c r="X415" s="51" t="str">
        <f aca="true">IF(F415="","",IF(OR(O415="Won",O415="Lost"),"Closed",IF(S415="","No date set",IF(S415&lt;TODAY(),"Overdue",IF(S415=TODAY(),"Due today","Upcoming")))))</f>
        <v/>
      </c>
    </row>
    <row r="416" customFormat="false" ht="15" hidden="false" customHeight="false" outlineLevel="0" collapsed="false">
      <c r="A416" s="16" t="s">
        <v>643</v>
      </c>
      <c r="B416" s="18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8"/>
      <c r="R416" s="16"/>
      <c r="S416" s="18"/>
      <c r="T416" s="24"/>
      <c r="U416" s="23"/>
      <c r="V416" s="52"/>
      <c r="W416" s="50" t="str">
        <f aca="true">IF(Q416="","",TODAY()-Q416)</f>
        <v/>
      </c>
      <c r="X416" s="51" t="str">
        <f aca="true">IF(F416="","",IF(OR(O416="Won",O416="Lost"),"Closed",IF(S416="","No date set",IF(S416&lt;TODAY(),"Overdue",IF(S416=TODAY(),"Due today","Upcoming")))))</f>
        <v/>
      </c>
    </row>
    <row r="417" customFormat="false" ht="15" hidden="false" customHeight="false" outlineLevel="0" collapsed="false">
      <c r="A417" s="16" t="s">
        <v>644</v>
      </c>
      <c r="B417" s="18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8"/>
      <c r="R417" s="16"/>
      <c r="S417" s="18"/>
      <c r="T417" s="24"/>
      <c r="U417" s="23"/>
      <c r="V417" s="52"/>
      <c r="W417" s="50" t="str">
        <f aca="true">IF(Q417="","",TODAY()-Q417)</f>
        <v/>
      </c>
      <c r="X417" s="51" t="str">
        <f aca="true">IF(F417="","",IF(OR(O417="Won",O417="Lost"),"Closed",IF(S417="","No date set",IF(S417&lt;TODAY(),"Overdue",IF(S417=TODAY(),"Due today","Upcoming")))))</f>
        <v/>
      </c>
    </row>
    <row r="418" customFormat="false" ht="15" hidden="false" customHeight="false" outlineLevel="0" collapsed="false">
      <c r="A418" s="16" t="s">
        <v>645</v>
      </c>
      <c r="B418" s="18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8"/>
      <c r="R418" s="16"/>
      <c r="S418" s="18"/>
      <c r="T418" s="24"/>
      <c r="U418" s="23"/>
      <c r="V418" s="52"/>
      <c r="W418" s="50" t="str">
        <f aca="true">IF(Q418="","",TODAY()-Q418)</f>
        <v/>
      </c>
      <c r="X418" s="51" t="str">
        <f aca="true">IF(F418="","",IF(OR(O418="Won",O418="Lost"),"Closed",IF(S418="","No date set",IF(S418&lt;TODAY(),"Overdue",IF(S418=TODAY(),"Due today","Upcoming")))))</f>
        <v/>
      </c>
    </row>
    <row r="419" customFormat="false" ht="15" hidden="false" customHeight="false" outlineLevel="0" collapsed="false">
      <c r="A419" s="16" t="s">
        <v>646</v>
      </c>
      <c r="B419" s="18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8"/>
      <c r="R419" s="16"/>
      <c r="S419" s="18"/>
      <c r="T419" s="24"/>
      <c r="U419" s="23"/>
      <c r="V419" s="52"/>
      <c r="W419" s="50" t="str">
        <f aca="true">IF(Q419="","",TODAY()-Q419)</f>
        <v/>
      </c>
      <c r="X419" s="51" t="str">
        <f aca="true">IF(F419="","",IF(OR(O419="Won",O419="Lost"),"Closed",IF(S419="","No date set",IF(S419&lt;TODAY(),"Overdue",IF(S419=TODAY(),"Due today","Upcoming")))))</f>
        <v/>
      </c>
    </row>
    <row r="420" customFormat="false" ht="15" hidden="false" customHeight="false" outlineLevel="0" collapsed="false">
      <c r="A420" s="16" t="s">
        <v>647</v>
      </c>
      <c r="B420" s="18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8"/>
      <c r="R420" s="16"/>
      <c r="S420" s="18"/>
      <c r="T420" s="24"/>
      <c r="U420" s="23"/>
      <c r="V420" s="52"/>
      <c r="W420" s="50" t="str">
        <f aca="true">IF(Q420="","",TODAY()-Q420)</f>
        <v/>
      </c>
      <c r="X420" s="51" t="str">
        <f aca="true">IF(F420="","",IF(OR(O420="Won",O420="Lost"),"Closed",IF(S420="","No date set",IF(S420&lt;TODAY(),"Overdue",IF(S420=TODAY(),"Due today","Upcoming")))))</f>
        <v/>
      </c>
    </row>
    <row r="421" customFormat="false" ht="15" hidden="false" customHeight="false" outlineLevel="0" collapsed="false">
      <c r="A421" s="16" t="s">
        <v>648</v>
      </c>
      <c r="B421" s="18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8"/>
      <c r="R421" s="16"/>
      <c r="S421" s="18"/>
      <c r="T421" s="24"/>
      <c r="U421" s="23"/>
      <c r="V421" s="52"/>
      <c r="W421" s="50" t="str">
        <f aca="true">IF(Q421="","",TODAY()-Q421)</f>
        <v/>
      </c>
      <c r="X421" s="51" t="str">
        <f aca="true">IF(F421="","",IF(OR(O421="Won",O421="Lost"),"Closed",IF(S421="","No date set",IF(S421&lt;TODAY(),"Overdue",IF(S421=TODAY(),"Due today","Upcoming")))))</f>
        <v/>
      </c>
    </row>
    <row r="422" customFormat="false" ht="15" hidden="false" customHeight="false" outlineLevel="0" collapsed="false">
      <c r="A422" s="16" t="s">
        <v>649</v>
      </c>
      <c r="B422" s="18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8"/>
      <c r="R422" s="16"/>
      <c r="S422" s="18"/>
      <c r="T422" s="24"/>
      <c r="U422" s="23"/>
      <c r="V422" s="52"/>
      <c r="W422" s="50" t="str">
        <f aca="true">IF(Q422="","",TODAY()-Q422)</f>
        <v/>
      </c>
      <c r="X422" s="51" t="str">
        <f aca="true">IF(F422="","",IF(OR(O422="Won",O422="Lost"),"Closed",IF(S422="","No date set",IF(S422&lt;TODAY(),"Overdue",IF(S422=TODAY(),"Due today","Upcoming")))))</f>
        <v/>
      </c>
    </row>
    <row r="423" customFormat="false" ht="15" hidden="false" customHeight="false" outlineLevel="0" collapsed="false">
      <c r="A423" s="16" t="s">
        <v>650</v>
      </c>
      <c r="B423" s="18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8"/>
      <c r="R423" s="16"/>
      <c r="S423" s="18"/>
      <c r="T423" s="24"/>
      <c r="U423" s="23"/>
      <c r="V423" s="52"/>
      <c r="W423" s="50" t="str">
        <f aca="true">IF(Q423="","",TODAY()-Q423)</f>
        <v/>
      </c>
      <c r="X423" s="51" t="str">
        <f aca="true">IF(F423="","",IF(OR(O423="Won",O423="Lost"),"Closed",IF(S423="","No date set",IF(S423&lt;TODAY(),"Overdue",IF(S423=TODAY(),"Due today","Upcoming")))))</f>
        <v/>
      </c>
    </row>
    <row r="424" customFormat="false" ht="15" hidden="false" customHeight="false" outlineLevel="0" collapsed="false">
      <c r="A424" s="16" t="s">
        <v>651</v>
      </c>
      <c r="B424" s="18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8"/>
      <c r="R424" s="16"/>
      <c r="S424" s="18"/>
      <c r="T424" s="24"/>
      <c r="U424" s="23"/>
      <c r="V424" s="52"/>
      <c r="W424" s="50" t="str">
        <f aca="true">IF(Q424="","",TODAY()-Q424)</f>
        <v/>
      </c>
      <c r="X424" s="51" t="str">
        <f aca="true">IF(F424="","",IF(OR(O424="Won",O424="Lost"),"Closed",IF(S424="","No date set",IF(S424&lt;TODAY(),"Overdue",IF(S424=TODAY(),"Due today","Upcoming")))))</f>
        <v/>
      </c>
    </row>
    <row r="425" customFormat="false" ht="15" hidden="false" customHeight="false" outlineLevel="0" collapsed="false">
      <c r="A425" s="16" t="s">
        <v>652</v>
      </c>
      <c r="B425" s="18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8"/>
      <c r="R425" s="16"/>
      <c r="S425" s="18"/>
      <c r="T425" s="24"/>
      <c r="U425" s="23"/>
      <c r="V425" s="52"/>
      <c r="W425" s="50" t="str">
        <f aca="true">IF(Q425="","",TODAY()-Q425)</f>
        <v/>
      </c>
      <c r="X425" s="51" t="str">
        <f aca="true">IF(F425="","",IF(OR(O425="Won",O425="Lost"),"Closed",IF(S425="","No date set",IF(S425&lt;TODAY(),"Overdue",IF(S425=TODAY(),"Due today","Upcoming")))))</f>
        <v/>
      </c>
    </row>
    <row r="426" customFormat="false" ht="15" hidden="false" customHeight="false" outlineLevel="0" collapsed="false">
      <c r="A426" s="16" t="s">
        <v>653</v>
      </c>
      <c r="B426" s="18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8"/>
      <c r="R426" s="16"/>
      <c r="S426" s="18"/>
      <c r="T426" s="24"/>
      <c r="U426" s="23"/>
      <c r="V426" s="52"/>
      <c r="W426" s="50" t="str">
        <f aca="true">IF(Q426="","",TODAY()-Q426)</f>
        <v/>
      </c>
      <c r="X426" s="51" t="str">
        <f aca="true">IF(F426="","",IF(OR(O426="Won",O426="Lost"),"Closed",IF(S426="","No date set",IF(S426&lt;TODAY(),"Overdue",IF(S426=TODAY(),"Due today","Upcoming")))))</f>
        <v/>
      </c>
    </row>
    <row r="427" customFormat="false" ht="15" hidden="false" customHeight="false" outlineLevel="0" collapsed="false">
      <c r="A427" s="16" t="s">
        <v>654</v>
      </c>
      <c r="B427" s="18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8"/>
      <c r="R427" s="16"/>
      <c r="S427" s="18"/>
      <c r="T427" s="24"/>
      <c r="U427" s="23"/>
      <c r="V427" s="52"/>
      <c r="W427" s="50" t="str">
        <f aca="true">IF(Q427="","",TODAY()-Q427)</f>
        <v/>
      </c>
      <c r="X427" s="51" t="str">
        <f aca="true">IF(F427="","",IF(OR(O427="Won",O427="Lost"),"Closed",IF(S427="","No date set",IF(S427&lt;TODAY(),"Overdue",IF(S427=TODAY(),"Due today","Upcoming")))))</f>
        <v/>
      </c>
    </row>
    <row r="428" customFormat="false" ht="15" hidden="false" customHeight="false" outlineLevel="0" collapsed="false">
      <c r="A428" s="16" t="s">
        <v>655</v>
      </c>
      <c r="B428" s="18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8"/>
      <c r="R428" s="16"/>
      <c r="S428" s="18"/>
      <c r="T428" s="24"/>
      <c r="U428" s="23"/>
      <c r="V428" s="52"/>
      <c r="W428" s="50" t="str">
        <f aca="true">IF(Q428="","",TODAY()-Q428)</f>
        <v/>
      </c>
      <c r="X428" s="51" t="str">
        <f aca="true">IF(F428="","",IF(OR(O428="Won",O428="Lost"),"Closed",IF(S428="","No date set",IF(S428&lt;TODAY(),"Overdue",IF(S428=TODAY(),"Due today","Upcoming")))))</f>
        <v/>
      </c>
    </row>
    <row r="429" customFormat="false" ht="15" hidden="false" customHeight="false" outlineLevel="0" collapsed="false">
      <c r="A429" s="16" t="s">
        <v>656</v>
      </c>
      <c r="B429" s="18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8"/>
      <c r="R429" s="16"/>
      <c r="S429" s="18"/>
      <c r="T429" s="24"/>
      <c r="U429" s="23"/>
      <c r="V429" s="52"/>
      <c r="W429" s="50" t="str">
        <f aca="true">IF(Q429="","",TODAY()-Q429)</f>
        <v/>
      </c>
      <c r="X429" s="51" t="str">
        <f aca="true">IF(F429="","",IF(OR(O429="Won",O429="Lost"),"Closed",IF(S429="","No date set",IF(S429&lt;TODAY(),"Overdue",IF(S429=TODAY(),"Due today","Upcoming")))))</f>
        <v/>
      </c>
    </row>
    <row r="430" customFormat="false" ht="15" hidden="false" customHeight="false" outlineLevel="0" collapsed="false">
      <c r="A430" s="16" t="s">
        <v>657</v>
      </c>
      <c r="B430" s="18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8"/>
      <c r="R430" s="16"/>
      <c r="S430" s="18"/>
      <c r="T430" s="24"/>
      <c r="U430" s="23"/>
      <c r="V430" s="52"/>
      <c r="W430" s="50" t="str">
        <f aca="true">IF(Q430="","",TODAY()-Q430)</f>
        <v/>
      </c>
      <c r="X430" s="51" t="str">
        <f aca="true">IF(F430="","",IF(OR(O430="Won",O430="Lost"),"Closed",IF(S430="","No date set",IF(S430&lt;TODAY(),"Overdue",IF(S430=TODAY(),"Due today","Upcoming")))))</f>
        <v/>
      </c>
    </row>
    <row r="431" customFormat="false" ht="15" hidden="false" customHeight="false" outlineLevel="0" collapsed="false">
      <c r="A431" s="16" t="s">
        <v>658</v>
      </c>
      <c r="B431" s="18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8"/>
      <c r="R431" s="16"/>
      <c r="S431" s="18"/>
      <c r="T431" s="24"/>
      <c r="U431" s="23"/>
      <c r="V431" s="52"/>
      <c r="W431" s="50" t="str">
        <f aca="true">IF(Q431="","",TODAY()-Q431)</f>
        <v/>
      </c>
      <c r="X431" s="51" t="str">
        <f aca="true">IF(F431="","",IF(OR(O431="Won",O431="Lost"),"Closed",IF(S431="","No date set",IF(S431&lt;TODAY(),"Overdue",IF(S431=TODAY(),"Due today","Upcoming")))))</f>
        <v/>
      </c>
    </row>
    <row r="432" customFormat="false" ht="15" hidden="false" customHeight="false" outlineLevel="0" collapsed="false">
      <c r="A432" s="16" t="s">
        <v>659</v>
      </c>
      <c r="B432" s="18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8"/>
      <c r="R432" s="16"/>
      <c r="S432" s="18"/>
      <c r="T432" s="24"/>
      <c r="U432" s="23"/>
      <c r="V432" s="52"/>
      <c r="W432" s="50" t="str">
        <f aca="true">IF(Q432="","",TODAY()-Q432)</f>
        <v/>
      </c>
      <c r="X432" s="51" t="str">
        <f aca="true">IF(F432="","",IF(OR(O432="Won",O432="Lost"),"Closed",IF(S432="","No date set",IF(S432&lt;TODAY(),"Overdue",IF(S432=TODAY(),"Due today","Upcoming")))))</f>
        <v/>
      </c>
    </row>
    <row r="433" customFormat="false" ht="15" hidden="false" customHeight="false" outlineLevel="0" collapsed="false">
      <c r="A433" s="16" t="s">
        <v>660</v>
      </c>
      <c r="B433" s="18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8"/>
      <c r="R433" s="16"/>
      <c r="S433" s="18"/>
      <c r="T433" s="24"/>
      <c r="U433" s="23"/>
      <c r="V433" s="52"/>
      <c r="W433" s="50" t="str">
        <f aca="true">IF(Q433="","",TODAY()-Q433)</f>
        <v/>
      </c>
      <c r="X433" s="51" t="str">
        <f aca="true">IF(F433="","",IF(OR(O433="Won",O433="Lost"),"Closed",IF(S433="","No date set",IF(S433&lt;TODAY(),"Overdue",IF(S433=TODAY(),"Due today","Upcoming")))))</f>
        <v/>
      </c>
    </row>
    <row r="434" customFormat="false" ht="15" hidden="false" customHeight="false" outlineLevel="0" collapsed="false">
      <c r="A434" s="16" t="s">
        <v>661</v>
      </c>
      <c r="B434" s="18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8"/>
      <c r="R434" s="16"/>
      <c r="S434" s="18"/>
      <c r="T434" s="24"/>
      <c r="U434" s="23"/>
      <c r="V434" s="52"/>
      <c r="W434" s="50" t="str">
        <f aca="true">IF(Q434="","",TODAY()-Q434)</f>
        <v/>
      </c>
      <c r="X434" s="51" t="str">
        <f aca="true">IF(F434="","",IF(OR(O434="Won",O434="Lost"),"Closed",IF(S434="","No date set",IF(S434&lt;TODAY(),"Overdue",IF(S434=TODAY(),"Due today","Upcoming")))))</f>
        <v/>
      </c>
    </row>
    <row r="435" customFormat="false" ht="15" hidden="false" customHeight="false" outlineLevel="0" collapsed="false">
      <c r="A435" s="16" t="s">
        <v>662</v>
      </c>
      <c r="B435" s="18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8"/>
      <c r="R435" s="16"/>
      <c r="S435" s="18"/>
      <c r="T435" s="24"/>
      <c r="U435" s="23"/>
      <c r="V435" s="52"/>
      <c r="W435" s="50" t="str">
        <f aca="true">IF(Q435="","",TODAY()-Q435)</f>
        <v/>
      </c>
      <c r="X435" s="51" t="str">
        <f aca="true">IF(F435="","",IF(OR(O435="Won",O435="Lost"),"Closed",IF(S435="","No date set",IF(S435&lt;TODAY(),"Overdue",IF(S435=TODAY(),"Due today","Upcoming")))))</f>
        <v/>
      </c>
    </row>
    <row r="436" customFormat="false" ht="15" hidden="false" customHeight="false" outlineLevel="0" collapsed="false">
      <c r="A436" s="16" t="s">
        <v>663</v>
      </c>
      <c r="B436" s="18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8"/>
      <c r="R436" s="16"/>
      <c r="S436" s="18"/>
      <c r="T436" s="24"/>
      <c r="U436" s="23"/>
      <c r="V436" s="52"/>
      <c r="W436" s="50" t="str">
        <f aca="true">IF(Q436="","",TODAY()-Q436)</f>
        <v/>
      </c>
      <c r="X436" s="51" t="str">
        <f aca="true">IF(F436="","",IF(OR(O436="Won",O436="Lost"),"Closed",IF(S436="","No date set",IF(S436&lt;TODAY(),"Overdue",IF(S436=TODAY(),"Due today","Upcoming")))))</f>
        <v/>
      </c>
    </row>
    <row r="437" customFormat="false" ht="15" hidden="false" customHeight="false" outlineLevel="0" collapsed="false">
      <c r="A437" s="16" t="s">
        <v>664</v>
      </c>
      <c r="B437" s="18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8"/>
      <c r="R437" s="16"/>
      <c r="S437" s="18"/>
      <c r="T437" s="24"/>
      <c r="U437" s="23"/>
      <c r="V437" s="52"/>
      <c r="W437" s="50" t="str">
        <f aca="true">IF(Q437="","",TODAY()-Q437)</f>
        <v/>
      </c>
      <c r="X437" s="51" t="str">
        <f aca="true">IF(F437="","",IF(OR(O437="Won",O437="Lost"),"Closed",IF(S437="","No date set",IF(S437&lt;TODAY(),"Overdue",IF(S437=TODAY(),"Due today","Upcoming")))))</f>
        <v/>
      </c>
    </row>
    <row r="438" customFormat="false" ht="15" hidden="false" customHeight="false" outlineLevel="0" collapsed="false">
      <c r="A438" s="16" t="s">
        <v>665</v>
      </c>
      <c r="B438" s="18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8"/>
      <c r="R438" s="16"/>
      <c r="S438" s="18"/>
      <c r="T438" s="24"/>
      <c r="U438" s="23"/>
      <c r="V438" s="52"/>
      <c r="W438" s="50" t="str">
        <f aca="true">IF(Q438="","",TODAY()-Q438)</f>
        <v/>
      </c>
      <c r="X438" s="51" t="str">
        <f aca="true">IF(F438="","",IF(OR(O438="Won",O438="Lost"),"Closed",IF(S438="","No date set",IF(S438&lt;TODAY(),"Overdue",IF(S438=TODAY(),"Due today","Upcoming")))))</f>
        <v/>
      </c>
    </row>
    <row r="439" customFormat="false" ht="15" hidden="false" customHeight="false" outlineLevel="0" collapsed="false">
      <c r="A439" s="16" t="s">
        <v>666</v>
      </c>
      <c r="B439" s="18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8"/>
      <c r="R439" s="16"/>
      <c r="S439" s="18"/>
      <c r="T439" s="24"/>
      <c r="U439" s="23"/>
      <c r="V439" s="52"/>
      <c r="W439" s="50" t="str">
        <f aca="true">IF(Q439="","",TODAY()-Q439)</f>
        <v/>
      </c>
      <c r="X439" s="51" t="str">
        <f aca="true">IF(F439="","",IF(OR(O439="Won",O439="Lost"),"Closed",IF(S439="","No date set",IF(S439&lt;TODAY(),"Overdue",IF(S439=TODAY(),"Due today","Upcoming")))))</f>
        <v/>
      </c>
    </row>
    <row r="440" customFormat="false" ht="15" hidden="false" customHeight="false" outlineLevel="0" collapsed="false">
      <c r="A440" s="16" t="s">
        <v>667</v>
      </c>
      <c r="B440" s="18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8"/>
      <c r="R440" s="16"/>
      <c r="S440" s="18"/>
      <c r="T440" s="24"/>
      <c r="U440" s="23"/>
      <c r="V440" s="52"/>
      <c r="W440" s="50" t="str">
        <f aca="true">IF(Q440="","",TODAY()-Q440)</f>
        <v/>
      </c>
      <c r="X440" s="51" t="str">
        <f aca="true">IF(F440="","",IF(OR(O440="Won",O440="Lost"),"Closed",IF(S440="","No date set",IF(S440&lt;TODAY(),"Overdue",IF(S440=TODAY(),"Due today","Upcoming")))))</f>
        <v/>
      </c>
    </row>
    <row r="441" customFormat="false" ht="15" hidden="false" customHeight="false" outlineLevel="0" collapsed="false">
      <c r="A441" s="16" t="s">
        <v>668</v>
      </c>
      <c r="B441" s="18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8"/>
      <c r="R441" s="16"/>
      <c r="S441" s="18"/>
      <c r="T441" s="24"/>
      <c r="U441" s="23"/>
      <c r="V441" s="52"/>
      <c r="W441" s="50" t="str">
        <f aca="true">IF(Q441="","",TODAY()-Q441)</f>
        <v/>
      </c>
      <c r="X441" s="51" t="str">
        <f aca="true">IF(F441="","",IF(OR(O441="Won",O441="Lost"),"Closed",IF(S441="","No date set",IF(S441&lt;TODAY(),"Overdue",IF(S441=TODAY(),"Due today","Upcoming")))))</f>
        <v/>
      </c>
    </row>
    <row r="442" customFormat="false" ht="15" hidden="false" customHeight="false" outlineLevel="0" collapsed="false">
      <c r="A442" s="16" t="s">
        <v>669</v>
      </c>
      <c r="B442" s="18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8"/>
      <c r="R442" s="16"/>
      <c r="S442" s="18"/>
      <c r="T442" s="24"/>
      <c r="U442" s="23"/>
      <c r="V442" s="52"/>
      <c r="W442" s="50" t="str">
        <f aca="true">IF(Q442="","",TODAY()-Q442)</f>
        <v/>
      </c>
      <c r="X442" s="51" t="str">
        <f aca="true">IF(F442="","",IF(OR(O442="Won",O442="Lost"),"Closed",IF(S442="","No date set",IF(S442&lt;TODAY(),"Overdue",IF(S442=TODAY(),"Due today","Upcoming")))))</f>
        <v/>
      </c>
    </row>
    <row r="443" customFormat="false" ht="15" hidden="false" customHeight="false" outlineLevel="0" collapsed="false">
      <c r="A443" s="16" t="s">
        <v>670</v>
      </c>
      <c r="B443" s="18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8"/>
      <c r="R443" s="16"/>
      <c r="S443" s="18"/>
      <c r="T443" s="24"/>
      <c r="U443" s="23"/>
      <c r="V443" s="52"/>
      <c r="W443" s="50" t="str">
        <f aca="true">IF(Q443="","",TODAY()-Q443)</f>
        <v/>
      </c>
      <c r="X443" s="51" t="str">
        <f aca="true">IF(F443="","",IF(OR(O443="Won",O443="Lost"),"Closed",IF(S443="","No date set",IF(S443&lt;TODAY(),"Overdue",IF(S443=TODAY(),"Due today","Upcoming")))))</f>
        <v/>
      </c>
    </row>
    <row r="444" customFormat="false" ht="15" hidden="false" customHeight="false" outlineLevel="0" collapsed="false">
      <c r="A444" s="16" t="s">
        <v>671</v>
      </c>
      <c r="B444" s="18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8"/>
      <c r="R444" s="16"/>
      <c r="S444" s="18"/>
      <c r="T444" s="24"/>
      <c r="U444" s="23"/>
      <c r="V444" s="52"/>
      <c r="W444" s="50" t="str">
        <f aca="true">IF(Q444="","",TODAY()-Q444)</f>
        <v/>
      </c>
      <c r="X444" s="51" t="str">
        <f aca="true">IF(F444="","",IF(OR(O444="Won",O444="Lost"),"Closed",IF(S444="","No date set",IF(S444&lt;TODAY(),"Overdue",IF(S444=TODAY(),"Due today","Upcoming")))))</f>
        <v/>
      </c>
    </row>
    <row r="445" customFormat="false" ht="15" hidden="false" customHeight="false" outlineLevel="0" collapsed="false">
      <c r="A445" s="16" t="s">
        <v>672</v>
      </c>
      <c r="B445" s="18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8"/>
      <c r="R445" s="16"/>
      <c r="S445" s="18"/>
      <c r="T445" s="24"/>
      <c r="U445" s="23"/>
      <c r="V445" s="52"/>
      <c r="W445" s="50" t="str">
        <f aca="true">IF(Q445="","",TODAY()-Q445)</f>
        <v/>
      </c>
      <c r="X445" s="51" t="str">
        <f aca="true">IF(F445="","",IF(OR(O445="Won",O445="Lost"),"Closed",IF(S445="","No date set",IF(S445&lt;TODAY(),"Overdue",IF(S445=TODAY(),"Due today","Upcoming")))))</f>
        <v/>
      </c>
    </row>
    <row r="446" customFormat="false" ht="15" hidden="false" customHeight="false" outlineLevel="0" collapsed="false">
      <c r="A446" s="16" t="s">
        <v>673</v>
      </c>
      <c r="B446" s="18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8"/>
      <c r="R446" s="16"/>
      <c r="S446" s="18"/>
      <c r="T446" s="24"/>
      <c r="U446" s="23"/>
      <c r="V446" s="52"/>
      <c r="W446" s="50" t="str">
        <f aca="true">IF(Q446="","",TODAY()-Q446)</f>
        <v/>
      </c>
      <c r="X446" s="51" t="str">
        <f aca="true">IF(F446="","",IF(OR(O446="Won",O446="Lost"),"Closed",IF(S446="","No date set",IF(S446&lt;TODAY(),"Overdue",IF(S446=TODAY(),"Due today","Upcoming")))))</f>
        <v/>
      </c>
    </row>
    <row r="447" customFormat="false" ht="15" hidden="false" customHeight="false" outlineLevel="0" collapsed="false">
      <c r="A447" s="16" t="s">
        <v>674</v>
      </c>
      <c r="B447" s="18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8"/>
      <c r="R447" s="16"/>
      <c r="S447" s="18"/>
      <c r="T447" s="24"/>
      <c r="U447" s="23"/>
      <c r="V447" s="52"/>
      <c r="W447" s="50" t="str">
        <f aca="true">IF(Q447="","",TODAY()-Q447)</f>
        <v/>
      </c>
      <c r="X447" s="51" t="str">
        <f aca="true">IF(F447="","",IF(OR(O447="Won",O447="Lost"),"Closed",IF(S447="","No date set",IF(S447&lt;TODAY(),"Overdue",IF(S447=TODAY(),"Due today","Upcoming")))))</f>
        <v/>
      </c>
    </row>
    <row r="448" customFormat="false" ht="15" hidden="false" customHeight="false" outlineLevel="0" collapsed="false">
      <c r="A448" s="16" t="s">
        <v>675</v>
      </c>
      <c r="B448" s="18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8"/>
      <c r="R448" s="16"/>
      <c r="S448" s="18"/>
      <c r="T448" s="24"/>
      <c r="U448" s="23"/>
      <c r="V448" s="52"/>
      <c r="W448" s="50" t="str">
        <f aca="true">IF(Q448="","",TODAY()-Q448)</f>
        <v/>
      </c>
      <c r="X448" s="51" t="str">
        <f aca="true">IF(F448="","",IF(OR(O448="Won",O448="Lost"),"Closed",IF(S448="","No date set",IF(S448&lt;TODAY(),"Overdue",IF(S448=TODAY(),"Due today","Upcoming")))))</f>
        <v/>
      </c>
    </row>
    <row r="449" customFormat="false" ht="15" hidden="false" customHeight="false" outlineLevel="0" collapsed="false">
      <c r="A449" s="16" t="s">
        <v>676</v>
      </c>
      <c r="B449" s="18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8"/>
      <c r="R449" s="16"/>
      <c r="S449" s="18"/>
      <c r="T449" s="24"/>
      <c r="U449" s="23"/>
      <c r="V449" s="52"/>
      <c r="W449" s="50" t="str">
        <f aca="true">IF(Q449="","",TODAY()-Q449)</f>
        <v/>
      </c>
      <c r="X449" s="51" t="str">
        <f aca="true">IF(F449="","",IF(OR(O449="Won",O449="Lost"),"Closed",IF(S449="","No date set",IF(S449&lt;TODAY(),"Overdue",IF(S449=TODAY(),"Due today","Upcoming")))))</f>
        <v/>
      </c>
    </row>
    <row r="450" customFormat="false" ht="15" hidden="false" customHeight="false" outlineLevel="0" collapsed="false">
      <c r="A450" s="16" t="s">
        <v>677</v>
      </c>
      <c r="B450" s="18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8"/>
      <c r="R450" s="16"/>
      <c r="S450" s="18"/>
      <c r="T450" s="24"/>
      <c r="U450" s="23"/>
      <c r="V450" s="52"/>
      <c r="W450" s="50" t="str">
        <f aca="true">IF(Q450="","",TODAY()-Q450)</f>
        <v/>
      </c>
      <c r="X450" s="51" t="str">
        <f aca="true">IF(F450="","",IF(OR(O450="Won",O450="Lost"),"Closed",IF(S450="","No date set",IF(S450&lt;TODAY(),"Overdue",IF(S450=TODAY(),"Due today","Upcoming")))))</f>
        <v/>
      </c>
    </row>
    <row r="451" customFormat="false" ht="15" hidden="false" customHeight="false" outlineLevel="0" collapsed="false">
      <c r="A451" s="16" t="s">
        <v>678</v>
      </c>
      <c r="B451" s="18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8"/>
      <c r="R451" s="16"/>
      <c r="S451" s="18"/>
      <c r="T451" s="24"/>
      <c r="U451" s="23"/>
      <c r="V451" s="52"/>
      <c r="W451" s="50" t="str">
        <f aca="true">IF(Q451="","",TODAY()-Q451)</f>
        <v/>
      </c>
      <c r="X451" s="51" t="str">
        <f aca="true">IF(F451="","",IF(OR(O451="Won",O451="Lost"),"Closed",IF(S451="","No date set",IF(S451&lt;TODAY(),"Overdue",IF(S451=TODAY(),"Due today","Upcoming")))))</f>
        <v/>
      </c>
    </row>
    <row r="452" customFormat="false" ht="15" hidden="false" customHeight="false" outlineLevel="0" collapsed="false">
      <c r="A452" s="16" t="s">
        <v>679</v>
      </c>
      <c r="B452" s="18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8"/>
      <c r="R452" s="16"/>
      <c r="S452" s="18"/>
      <c r="T452" s="24"/>
      <c r="U452" s="23"/>
      <c r="V452" s="52"/>
      <c r="W452" s="50" t="str">
        <f aca="true">IF(Q452="","",TODAY()-Q452)</f>
        <v/>
      </c>
      <c r="X452" s="51" t="str">
        <f aca="true">IF(F452="","",IF(OR(O452="Won",O452="Lost"),"Closed",IF(S452="","No date set",IF(S452&lt;TODAY(),"Overdue",IF(S452=TODAY(),"Due today","Upcoming")))))</f>
        <v/>
      </c>
    </row>
    <row r="453" customFormat="false" ht="15" hidden="false" customHeight="false" outlineLevel="0" collapsed="false">
      <c r="A453" s="16" t="s">
        <v>680</v>
      </c>
      <c r="B453" s="18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8"/>
      <c r="R453" s="16"/>
      <c r="S453" s="18"/>
      <c r="T453" s="24"/>
      <c r="U453" s="23"/>
      <c r="V453" s="52"/>
      <c r="W453" s="50" t="str">
        <f aca="true">IF(Q453="","",TODAY()-Q453)</f>
        <v/>
      </c>
      <c r="X453" s="51" t="str">
        <f aca="true">IF(F453="","",IF(OR(O453="Won",O453="Lost"),"Closed",IF(S453="","No date set",IF(S453&lt;TODAY(),"Overdue",IF(S453=TODAY(),"Due today","Upcoming")))))</f>
        <v/>
      </c>
    </row>
    <row r="454" customFormat="false" ht="15" hidden="false" customHeight="false" outlineLevel="0" collapsed="false">
      <c r="A454" s="16" t="s">
        <v>681</v>
      </c>
      <c r="B454" s="18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8"/>
      <c r="R454" s="16"/>
      <c r="S454" s="18"/>
      <c r="T454" s="24"/>
      <c r="U454" s="23"/>
      <c r="V454" s="52"/>
      <c r="W454" s="50" t="str">
        <f aca="true">IF(Q454="","",TODAY()-Q454)</f>
        <v/>
      </c>
      <c r="X454" s="51" t="str">
        <f aca="true">IF(F454="","",IF(OR(O454="Won",O454="Lost"),"Closed",IF(S454="","No date set",IF(S454&lt;TODAY(),"Overdue",IF(S454=TODAY(),"Due today","Upcoming")))))</f>
        <v/>
      </c>
    </row>
    <row r="455" customFormat="false" ht="15" hidden="false" customHeight="false" outlineLevel="0" collapsed="false">
      <c r="A455" s="16" t="s">
        <v>682</v>
      </c>
      <c r="B455" s="18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8"/>
      <c r="R455" s="16"/>
      <c r="S455" s="18"/>
      <c r="T455" s="24"/>
      <c r="U455" s="23"/>
      <c r="V455" s="52"/>
      <c r="W455" s="50" t="str">
        <f aca="true">IF(Q455="","",TODAY()-Q455)</f>
        <v/>
      </c>
      <c r="X455" s="51" t="str">
        <f aca="true">IF(F455="","",IF(OR(O455="Won",O455="Lost"),"Closed",IF(S455="","No date set",IF(S455&lt;TODAY(),"Overdue",IF(S455=TODAY(),"Due today","Upcoming")))))</f>
        <v/>
      </c>
    </row>
    <row r="456" customFormat="false" ht="15" hidden="false" customHeight="false" outlineLevel="0" collapsed="false">
      <c r="A456" s="16" t="s">
        <v>683</v>
      </c>
      <c r="B456" s="18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8"/>
      <c r="R456" s="16"/>
      <c r="S456" s="18"/>
      <c r="T456" s="24"/>
      <c r="U456" s="23"/>
      <c r="V456" s="52"/>
      <c r="W456" s="50" t="str">
        <f aca="true">IF(Q456="","",TODAY()-Q456)</f>
        <v/>
      </c>
      <c r="X456" s="51" t="str">
        <f aca="true">IF(F456="","",IF(OR(O456="Won",O456="Lost"),"Closed",IF(S456="","No date set",IF(S456&lt;TODAY(),"Overdue",IF(S456=TODAY(),"Due today","Upcoming")))))</f>
        <v/>
      </c>
    </row>
    <row r="457" customFormat="false" ht="15" hidden="false" customHeight="false" outlineLevel="0" collapsed="false">
      <c r="A457" s="16" t="s">
        <v>684</v>
      </c>
      <c r="B457" s="18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8"/>
      <c r="R457" s="16"/>
      <c r="S457" s="18"/>
      <c r="T457" s="24"/>
      <c r="U457" s="23"/>
      <c r="V457" s="52"/>
      <c r="W457" s="50" t="str">
        <f aca="true">IF(Q457="","",TODAY()-Q457)</f>
        <v/>
      </c>
      <c r="X457" s="51" t="str">
        <f aca="true">IF(F457="","",IF(OR(O457="Won",O457="Lost"),"Closed",IF(S457="","No date set",IF(S457&lt;TODAY(),"Overdue",IF(S457=TODAY(),"Due today","Upcoming")))))</f>
        <v/>
      </c>
    </row>
    <row r="458" customFormat="false" ht="15" hidden="false" customHeight="false" outlineLevel="0" collapsed="false">
      <c r="A458" s="16" t="s">
        <v>685</v>
      </c>
      <c r="B458" s="18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8"/>
      <c r="R458" s="16"/>
      <c r="S458" s="18"/>
      <c r="T458" s="24"/>
      <c r="U458" s="23"/>
      <c r="V458" s="52"/>
      <c r="W458" s="50" t="str">
        <f aca="true">IF(Q458="","",TODAY()-Q458)</f>
        <v/>
      </c>
      <c r="X458" s="51" t="str">
        <f aca="true">IF(F458="","",IF(OR(O458="Won",O458="Lost"),"Closed",IF(S458="","No date set",IF(S458&lt;TODAY(),"Overdue",IF(S458=TODAY(),"Due today","Upcoming")))))</f>
        <v/>
      </c>
    </row>
    <row r="459" customFormat="false" ht="15" hidden="false" customHeight="false" outlineLevel="0" collapsed="false">
      <c r="A459" s="16" t="s">
        <v>686</v>
      </c>
      <c r="B459" s="18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8"/>
      <c r="R459" s="16"/>
      <c r="S459" s="18"/>
      <c r="T459" s="24"/>
      <c r="U459" s="23"/>
      <c r="V459" s="52"/>
      <c r="W459" s="50" t="str">
        <f aca="true">IF(Q459="","",TODAY()-Q459)</f>
        <v/>
      </c>
      <c r="X459" s="51" t="str">
        <f aca="true">IF(F459="","",IF(OR(O459="Won",O459="Lost"),"Closed",IF(S459="","No date set",IF(S459&lt;TODAY(),"Overdue",IF(S459=TODAY(),"Due today","Upcoming")))))</f>
        <v/>
      </c>
    </row>
    <row r="460" customFormat="false" ht="15" hidden="false" customHeight="false" outlineLevel="0" collapsed="false">
      <c r="A460" s="16" t="s">
        <v>687</v>
      </c>
      <c r="B460" s="18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8"/>
      <c r="R460" s="16"/>
      <c r="S460" s="18"/>
      <c r="T460" s="24"/>
      <c r="U460" s="23"/>
      <c r="V460" s="52"/>
      <c r="W460" s="50" t="str">
        <f aca="true">IF(Q460="","",TODAY()-Q460)</f>
        <v/>
      </c>
      <c r="X460" s="51" t="str">
        <f aca="true">IF(F460="","",IF(OR(O460="Won",O460="Lost"),"Closed",IF(S460="","No date set",IF(S460&lt;TODAY(),"Overdue",IF(S460=TODAY(),"Due today","Upcoming")))))</f>
        <v/>
      </c>
    </row>
    <row r="461" customFormat="false" ht="15" hidden="false" customHeight="false" outlineLevel="0" collapsed="false">
      <c r="A461" s="16" t="s">
        <v>688</v>
      </c>
      <c r="B461" s="18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8"/>
      <c r="R461" s="16"/>
      <c r="S461" s="18"/>
      <c r="T461" s="24"/>
      <c r="U461" s="23"/>
      <c r="V461" s="52"/>
      <c r="W461" s="50" t="str">
        <f aca="true">IF(Q461="","",TODAY()-Q461)</f>
        <v/>
      </c>
      <c r="X461" s="51" t="str">
        <f aca="true">IF(F461="","",IF(OR(O461="Won",O461="Lost"),"Closed",IF(S461="","No date set",IF(S461&lt;TODAY(),"Overdue",IF(S461=TODAY(),"Due today","Upcoming")))))</f>
        <v/>
      </c>
    </row>
    <row r="462" customFormat="false" ht="15" hidden="false" customHeight="false" outlineLevel="0" collapsed="false">
      <c r="A462" s="16" t="s">
        <v>689</v>
      </c>
      <c r="B462" s="18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8"/>
      <c r="R462" s="16"/>
      <c r="S462" s="18"/>
      <c r="T462" s="24"/>
      <c r="U462" s="23"/>
      <c r="V462" s="52"/>
      <c r="W462" s="50" t="str">
        <f aca="true">IF(Q462="","",TODAY()-Q462)</f>
        <v/>
      </c>
      <c r="X462" s="51" t="str">
        <f aca="true">IF(F462="","",IF(OR(O462="Won",O462="Lost"),"Closed",IF(S462="","No date set",IF(S462&lt;TODAY(),"Overdue",IF(S462=TODAY(),"Due today","Upcoming")))))</f>
        <v/>
      </c>
    </row>
    <row r="463" customFormat="false" ht="15" hidden="false" customHeight="false" outlineLevel="0" collapsed="false">
      <c r="A463" s="16" t="s">
        <v>690</v>
      </c>
      <c r="B463" s="18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8"/>
      <c r="R463" s="16"/>
      <c r="S463" s="18"/>
      <c r="T463" s="24"/>
      <c r="U463" s="23"/>
      <c r="V463" s="52"/>
      <c r="W463" s="50" t="str">
        <f aca="true">IF(Q463="","",TODAY()-Q463)</f>
        <v/>
      </c>
      <c r="X463" s="51" t="str">
        <f aca="true">IF(F463="","",IF(OR(O463="Won",O463="Lost"),"Closed",IF(S463="","No date set",IF(S463&lt;TODAY(),"Overdue",IF(S463=TODAY(),"Due today","Upcoming")))))</f>
        <v/>
      </c>
    </row>
    <row r="464" customFormat="false" ht="15" hidden="false" customHeight="false" outlineLevel="0" collapsed="false">
      <c r="A464" s="16" t="s">
        <v>691</v>
      </c>
      <c r="B464" s="18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8"/>
      <c r="R464" s="16"/>
      <c r="S464" s="18"/>
      <c r="T464" s="24"/>
      <c r="U464" s="23"/>
      <c r="V464" s="52"/>
      <c r="W464" s="50" t="str">
        <f aca="true">IF(Q464="","",TODAY()-Q464)</f>
        <v/>
      </c>
      <c r="X464" s="51" t="str">
        <f aca="true">IF(F464="","",IF(OR(O464="Won",O464="Lost"),"Closed",IF(S464="","No date set",IF(S464&lt;TODAY(),"Overdue",IF(S464=TODAY(),"Due today","Upcoming")))))</f>
        <v/>
      </c>
    </row>
    <row r="465" customFormat="false" ht="15" hidden="false" customHeight="false" outlineLevel="0" collapsed="false">
      <c r="A465" s="16" t="s">
        <v>692</v>
      </c>
      <c r="B465" s="18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8"/>
      <c r="R465" s="16"/>
      <c r="S465" s="18"/>
      <c r="T465" s="24"/>
      <c r="U465" s="23"/>
      <c r="V465" s="52"/>
      <c r="W465" s="50" t="str">
        <f aca="true">IF(Q465="","",TODAY()-Q465)</f>
        <v/>
      </c>
      <c r="X465" s="51" t="str">
        <f aca="true">IF(F465="","",IF(OR(O465="Won",O465="Lost"),"Closed",IF(S465="","No date set",IF(S465&lt;TODAY(),"Overdue",IF(S465=TODAY(),"Due today","Upcoming")))))</f>
        <v/>
      </c>
    </row>
    <row r="466" customFormat="false" ht="15" hidden="false" customHeight="false" outlineLevel="0" collapsed="false">
      <c r="A466" s="16" t="s">
        <v>693</v>
      </c>
      <c r="B466" s="18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8"/>
      <c r="R466" s="16"/>
      <c r="S466" s="18"/>
      <c r="T466" s="24"/>
      <c r="U466" s="23"/>
      <c r="V466" s="52"/>
      <c r="W466" s="50" t="str">
        <f aca="true">IF(Q466="","",TODAY()-Q466)</f>
        <v/>
      </c>
      <c r="X466" s="51" t="str">
        <f aca="true">IF(F466="","",IF(OR(O466="Won",O466="Lost"),"Closed",IF(S466="","No date set",IF(S466&lt;TODAY(),"Overdue",IF(S466=TODAY(),"Due today","Upcoming")))))</f>
        <v/>
      </c>
    </row>
    <row r="467" customFormat="false" ht="15" hidden="false" customHeight="false" outlineLevel="0" collapsed="false">
      <c r="A467" s="16" t="s">
        <v>694</v>
      </c>
      <c r="B467" s="18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8"/>
      <c r="R467" s="16"/>
      <c r="S467" s="18"/>
      <c r="T467" s="24"/>
      <c r="U467" s="23"/>
      <c r="V467" s="52"/>
      <c r="W467" s="50" t="str">
        <f aca="true">IF(Q467="","",TODAY()-Q467)</f>
        <v/>
      </c>
      <c r="X467" s="51" t="str">
        <f aca="true">IF(F467="","",IF(OR(O467="Won",O467="Lost"),"Closed",IF(S467="","No date set",IF(S467&lt;TODAY(),"Overdue",IF(S467=TODAY(),"Due today","Upcoming")))))</f>
        <v/>
      </c>
    </row>
    <row r="468" customFormat="false" ht="15" hidden="false" customHeight="false" outlineLevel="0" collapsed="false">
      <c r="A468" s="16" t="s">
        <v>695</v>
      </c>
      <c r="B468" s="18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8"/>
      <c r="R468" s="16"/>
      <c r="S468" s="18"/>
      <c r="T468" s="24"/>
      <c r="U468" s="23"/>
      <c r="V468" s="52"/>
      <c r="W468" s="50" t="str">
        <f aca="true">IF(Q468="","",TODAY()-Q468)</f>
        <v/>
      </c>
      <c r="X468" s="51" t="str">
        <f aca="true">IF(F468="","",IF(OR(O468="Won",O468="Lost"),"Closed",IF(S468="","No date set",IF(S468&lt;TODAY(),"Overdue",IF(S468=TODAY(),"Due today","Upcoming")))))</f>
        <v/>
      </c>
    </row>
    <row r="469" customFormat="false" ht="15" hidden="false" customHeight="false" outlineLevel="0" collapsed="false">
      <c r="A469" s="16" t="s">
        <v>696</v>
      </c>
      <c r="B469" s="18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8"/>
      <c r="R469" s="16"/>
      <c r="S469" s="18"/>
      <c r="T469" s="24"/>
      <c r="U469" s="23"/>
      <c r="V469" s="52"/>
      <c r="W469" s="50" t="str">
        <f aca="true">IF(Q469="","",TODAY()-Q469)</f>
        <v/>
      </c>
      <c r="X469" s="51" t="str">
        <f aca="true">IF(F469="","",IF(OR(O469="Won",O469="Lost"),"Closed",IF(S469="","No date set",IF(S469&lt;TODAY(),"Overdue",IF(S469=TODAY(),"Due today","Upcoming")))))</f>
        <v/>
      </c>
    </row>
    <row r="470" customFormat="false" ht="15" hidden="false" customHeight="false" outlineLevel="0" collapsed="false">
      <c r="A470" s="16" t="s">
        <v>697</v>
      </c>
      <c r="B470" s="18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8"/>
      <c r="R470" s="16"/>
      <c r="S470" s="18"/>
      <c r="T470" s="24"/>
      <c r="U470" s="23"/>
      <c r="V470" s="52"/>
      <c r="W470" s="50" t="str">
        <f aca="true">IF(Q470="","",TODAY()-Q470)</f>
        <v/>
      </c>
      <c r="X470" s="51" t="str">
        <f aca="true">IF(F470="","",IF(OR(O470="Won",O470="Lost"),"Closed",IF(S470="","No date set",IF(S470&lt;TODAY(),"Overdue",IF(S470=TODAY(),"Due today","Upcoming")))))</f>
        <v/>
      </c>
    </row>
    <row r="471" customFormat="false" ht="15" hidden="false" customHeight="false" outlineLevel="0" collapsed="false">
      <c r="A471" s="16" t="s">
        <v>698</v>
      </c>
      <c r="B471" s="18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8"/>
      <c r="R471" s="16"/>
      <c r="S471" s="18"/>
      <c r="T471" s="24"/>
      <c r="U471" s="23"/>
      <c r="V471" s="52"/>
      <c r="W471" s="50" t="str">
        <f aca="true">IF(Q471="","",TODAY()-Q471)</f>
        <v/>
      </c>
      <c r="X471" s="51" t="str">
        <f aca="true">IF(F471="","",IF(OR(O471="Won",O471="Lost"),"Closed",IF(S471="","No date set",IF(S471&lt;TODAY(),"Overdue",IF(S471=TODAY(),"Due today","Upcoming")))))</f>
        <v/>
      </c>
    </row>
    <row r="472" customFormat="false" ht="15" hidden="false" customHeight="false" outlineLevel="0" collapsed="false">
      <c r="A472" s="16" t="s">
        <v>699</v>
      </c>
      <c r="B472" s="18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8"/>
      <c r="R472" s="16"/>
      <c r="S472" s="18"/>
      <c r="T472" s="24"/>
      <c r="U472" s="23"/>
      <c r="V472" s="52"/>
      <c r="W472" s="50" t="str">
        <f aca="true">IF(Q472="","",TODAY()-Q472)</f>
        <v/>
      </c>
      <c r="X472" s="51" t="str">
        <f aca="true">IF(F472="","",IF(OR(O472="Won",O472="Lost"),"Closed",IF(S472="","No date set",IF(S472&lt;TODAY(),"Overdue",IF(S472=TODAY(),"Due today","Upcoming")))))</f>
        <v/>
      </c>
    </row>
    <row r="473" customFormat="false" ht="15" hidden="false" customHeight="false" outlineLevel="0" collapsed="false">
      <c r="A473" s="16" t="s">
        <v>700</v>
      </c>
      <c r="B473" s="18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8"/>
      <c r="R473" s="16"/>
      <c r="S473" s="18"/>
      <c r="T473" s="24"/>
      <c r="U473" s="23"/>
      <c r="V473" s="52"/>
      <c r="W473" s="50" t="str">
        <f aca="true">IF(Q473="","",TODAY()-Q473)</f>
        <v/>
      </c>
      <c r="X473" s="51" t="str">
        <f aca="true">IF(F473="","",IF(OR(O473="Won",O473="Lost"),"Closed",IF(S473="","No date set",IF(S473&lt;TODAY(),"Overdue",IF(S473=TODAY(),"Due today","Upcoming")))))</f>
        <v/>
      </c>
    </row>
    <row r="474" customFormat="false" ht="15" hidden="false" customHeight="false" outlineLevel="0" collapsed="false">
      <c r="A474" s="16" t="s">
        <v>701</v>
      </c>
      <c r="B474" s="18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8"/>
      <c r="R474" s="16"/>
      <c r="S474" s="18"/>
      <c r="T474" s="24"/>
      <c r="U474" s="23"/>
      <c r="V474" s="52"/>
      <c r="W474" s="50" t="str">
        <f aca="true">IF(Q474="","",TODAY()-Q474)</f>
        <v/>
      </c>
      <c r="X474" s="51" t="str">
        <f aca="true">IF(F474="","",IF(OR(O474="Won",O474="Lost"),"Closed",IF(S474="","No date set",IF(S474&lt;TODAY(),"Overdue",IF(S474=TODAY(),"Due today","Upcoming")))))</f>
        <v/>
      </c>
    </row>
    <row r="475" customFormat="false" ht="15" hidden="false" customHeight="false" outlineLevel="0" collapsed="false">
      <c r="A475" s="16" t="s">
        <v>702</v>
      </c>
      <c r="B475" s="18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8"/>
      <c r="R475" s="16"/>
      <c r="S475" s="18"/>
      <c r="T475" s="24"/>
      <c r="U475" s="23"/>
      <c r="V475" s="52"/>
      <c r="W475" s="50" t="str">
        <f aca="true">IF(Q475="","",TODAY()-Q475)</f>
        <v/>
      </c>
      <c r="X475" s="51" t="str">
        <f aca="true">IF(F475="","",IF(OR(O475="Won",O475="Lost"),"Closed",IF(S475="","No date set",IF(S475&lt;TODAY(),"Overdue",IF(S475=TODAY(),"Due today","Upcoming")))))</f>
        <v/>
      </c>
    </row>
    <row r="476" customFormat="false" ht="15" hidden="false" customHeight="false" outlineLevel="0" collapsed="false">
      <c r="A476" s="16" t="s">
        <v>703</v>
      </c>
      <c r="B476" s="18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8"/>
      <c r="R476" s="16"/>
      <c r="S476" s="18"/>
      <c r="T476" s="24"/>
      <c r="U476" s="23"/>
      <c r="V476" s="52"/>
      <c r="W476" s="50" t="str">
        <f aca="true">IF(Q476="","",TODAY()-Q476)</f>
        <v/>
      </c>
      <c r="X476" s="51" t="str">
        <f aca="true">IF(F476="","",IF(OR(O476="Won",O476="Lost"),"Closed",IF(S476="","No date set",IF(S476&lt;TODAY(),"Overdue",IF(S476=TODAY(),"Due today","Upcoming")))))</f>
        <v/>
      </c>
    </row>
    <row r="477" customFormat="false" ht="15" hidden="false" customHeight="false" outlineLevel="0" collapsed="false">
      <c r="A477" s="16" t="s">
        <v>704</v>
      </c>
      <c r="B477" s="18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8"/>
      <c r="R477" s="16"/>
      <c r="S477" s="18"/>
      <c r="T477" s="24"/>
      <c r="U477" s="23"/>
      <c r="V477" s="52"/>
      <c r="W477" s="50" t="str">
        <f aca="true">IF(Q477="","",TODAY()-Q477)</f>
        <v/>
      </c>
      <c r="X477" s="51" t="str">
        <f aca="true">IF(F477="","",IF(OR(O477="Won",O477="Lost"),"Closed",IF(S477="","No date set",IF(S477&lt;TODAY(),"Overdue",IF(S477=TODAY(),"Due today","Upcoming")))))</f>
        <v/>
      </c>
    </row>
    <row r="478" customFormat="false" ht="15" hidden="false" customHeight="false" outlineLevel="0" collapsed="false">
      <c r="A478" s="16" t="s">
        <v>705</v>
      </c>
      <c r="B478" s="18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8"/>
      <c r="R478" s="16"/>
      <c r="S478" s="18"/>
      <c r="T478" s="24"/>
      <c r="U478" s="23"/>
      <c r="V478" s="52"/>
      <c r="W478" s="50" t="str">
        <f aca="true">IF(Q478="","",TODAY()-Q478)</f>
        <v/>
      </c>
      <c r="X478" s="51" t="str">
        <f aca="true">IF(F478="","",IF(OR(O478="Won",O478="Lost"),"Closed",IF(S478="","No date set",IF(S478&lt;TODAY(),"Overdue",IF(S478=TODAY(),"Due today","Upcoming")))))</f>
        <v/>
      </c>
    </row>
    <row r="479" customFormat="false" ht="15" hidden="false" customHeight="false" outlineLevel="0" collapsed="false">
      <c r="A479" s="16" t="s">
        <v>706</v>
      </c>
      <c r="B479" s="18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8"/>
      <c r="R479" s="16"/>
      <c r="S479" s="18"/>
      <c r="T479" s="24"/>
      <c r="U479" s="23"/>
      <c r="V479" s="52"/>
      <c r="W479" s="50" t="str">
        <f aca="true">IF(Q479="","",TODAY()-Q479)</f>
        <v/>
      </c>
      <c r="X479" s="51" t="str">
        <f aca="true">IF(F479="","",IF(OR(O479="Won",O479="Lost"),"Closed",IF(S479="","No date set",IF(S479&lt;TODAY(),"Overdue",IF(S479=TODAY(),"Due today","Upcoming")))))</f>
        <v/>
      </c>
    </row>
    <row r="480" customFormat="false" ht="15" hidden="false" customHeight="false" outlineLevel="0" collapsed="false">
      <c r="A480" s="16" t="s">
        <v>707</v>
      </c>
      <c r="B480" s="18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8"/>
      <c r="R480" s="16"/>
      <c r="S480" s="18"/>
      <c r="T480" s="24"/>
      <c r="U480" s="23"/>
      <c r="V480" s="52"/>
      <c r="W480" s="50" t="str">
        <f aca="true">IF(Q480="","",TODAY()-Q480)</f>
        <v/>
      </c>
      <c r="X480" s="51" t="str">
        <f aca="true">IF(F480="","",IF(OR(O480="Won",O480="Lost"),"Closed",IF(S480="","No date set",IF(S480&lt;TODAY(),"Overdue",IF(S480=TODAY(),"Due today","Upcoming")))))</f>
        <v/>
      </c>
    </row>
    <row r="481" customFormat="false" ht="15" hidden="false" customHeight="false" outlineLevel="0" collapsed="false">
      <c r="A481" s="16" t="s">
        <v>708</v>
      </c>
      <c r="B481" s="18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8"/>
      <c r="R481" s="16"/>
      <c r="S481" s="18"/>
      <c r="T481" s="24"/>
      <c r="U481" s="23"/>
      <c r="V481" s="52"/>
      <c r="W481" s="50" t="str">
        <f aca="true">IF(Q481="","",TODAY()-Q481)</f>
        <v/>
      </c>
      <c r="X481" s="51" t="str">
        <f aca="true">IF(F481="","",IF(OR(O481="Won",O481="Lost"),"Closed",IF(S481="","No date set",IF(S481&lt;TODAY(),"Overdue",IF(S481=TODAY(),"Due today","Upcoming")))))</f>
        <v/>
      </c>
    </row>
    <row r="482" customFormat="false" ht="15" hidden="false" customHeight="false" outlineLevel="0" collapsed="false">
      <c r="A482" s="16" t="s">
        <v>709</v>
      </c>
      <c r="B482" s="18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8"/>
      <c r="R482" s="16"/>
      <c r="S482" s="18"/>
      <c r="T482" s="24"/>
      <c r="U482" s="23"/>
      <c r="V482" s="52"/>
      <c r="W482" s="50" t="str">
        <f aca="true">IF(Q482="","",TODAY()-Q482)</f>
        <v/>
      </c>
      <c r="X482" s="51" t="str">
        <f aca="true">IF(F482="","",IF(OR(O482="Won",O482="Lost"),"Closed",IF(S482="","No date set",IF(S482&lt;TODAY(),"Overdue",IF(S482=TODAY(),"Due today","Upcoming")))))</f>
        <v/>
      </c>
    </row>
    <row r="483" customFormat="false" ht="15" hidden="false" customHeight="false" outlineLevel="0" collapsed="false">
      <c r="A483" s="16" t="s">
        <v>710</v>
      </c>
      <c r="B483" s="18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8"/>
      <c r="R483" s="16"/>
      <c r="S483" s="18"/>
      <c r="T483" s="24"/>
      <c r="U483" s="23"/>
      <c r="V483" s="52"/>
      <c r="W483" s="50" t="str">
        <f aca="true">IF(Q483="","",TODAY()-Q483)</f>
        <v/>
      </c>
      <c r="X483" s="51" t="str">
        <f aca="true">IF(F483="","",IF(OR(O483="Won",O483="Lost"),"Closed",IF(S483="","No date set",IF(S483&lt;TODAY(),"Overdue",IF(S483=TODAY(),"Due today","Upcoming")))))</f>
        <v/>
      </c>
    </row>
    <row r="484" customFormat="false" ht="15" hidden="false" customHeight="false" outlineLevel="0" collapsed="false">
      <c r="A484" s="16" t="s">
        <v>711</v>
      </c>
      <c r="B484" s="18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8"/>
      <c r="R484" s="16"/>
      <c r="S484" s="18"/>
      <c r="T484" s="24"/>
      <c r="U484" s="23"/>
      <c r="V484" s="52"/>
      <c r="W484" s="50" t="str">
        <f aca="true">IF(Q484="","",TODAY()-Q484)</f>
        <v/>
      </c>
      <c r="X484" s="51" t="str">
        <f aca="true">IF(F484="","",IF(OR(O484="Won",O484="Lost"),"Closed",IF(S484="","No date set",IF(S484&lt;TODAY(),"Overdue",IF(S484=TODAY(),"Due today","Upcoming")))))</f>
        <v/>
      </c>
    </row>
    <row r="485" customFormat="false" ht="15" hidden="false" customHeight="false" outlineLevel="0" collapsed="false">
      <c r="A485" s="16" t="s">
        <v>712</v>
      </c>
      <c r="B485" s="18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8"/>
      <c r="R485" s="16"/>
      <c r="S485" s="18"/>
      <c r="T485" s="24"/>
      <c r="U485" s="23"/>
      <c r="V485" s="52"/>
      <c r="W485" s="50" t="str">
        <f aca="true">IF(Q485="","",TODAY()-Q485)</f>
        <v/>
      </c>
      <c r="X485" s="51" t="str">
        <f aca="true">IF(F485="","",IF(OR(O485="Won",O485="Lost"),"Closed",IF(S485="","No date set",IF(S485&lt;TODAY(),"Overdue",IF(S485=TODAY(),"Due today","Upcoming")))))</f>
        <v/>
      </c>
    </row>
    <row r="486" customFormat="false" ht="15" hidden="false" customHeight="false" outlineLevel="0" collapsed="false">
      <c r="A486" s="16" t="s">
        <v>713</v>
      </c>
      <c r="B486" s="18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8"/>
      <c r="R486" s="16"/>
      <c r="S486" s="18"/>
      <c r="T486" s="24"/>
      <c r="U486" s="23"/>
      <c r="V486" s="52"/>
      <c r="W486" s="50" t="str">
        <f aca="true">IF(Q486="","",TODAY()-Q486)</f>
        <v/>
      </c>
      <c r="X486" s="51" t="str">
        <f aca="true">IF(F486="","",IF(OR(O486="Won",O486="Lost"),"Closed",IF(S486="","No date set",IF(S486&lt;TODAY(),"Overdue",IF(S486=TODAY(),"Due today","Upcoming")))))</f>
        <v/>
      </c>
    </row>
    <row r="487" customFormat="false" ht="15" hidden="false" customHeight="false" outlineLevel="0" collapsed="false">
      <c r="A487" s="16" t="s">
        <v>714</v>
      </c>
      <c r="B487" s="18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8"/>
      <c r="R487" s="16"/>
      <c r="S487" s="18"/>
      <c r="T487" s="24"/>
      <c r="U487" s="23"/>
      <c r="V487" s="52"/>
      <c r="W487" s="50" t="str">
        <f aca="true">IF(Q487="","",TODAY()-Q487)</f>
        <v/>
      </c>
      <c r="X487" s="51" t="str">
        <f aca="true">IF(F487="","",IF(OR(O487="Won",O487="Lost"),"Closed",IF(S487="","No date set",IF(S487&lt;TODAY(),"Overdue",IF(S487=TODAY(),"Due today","Upcoming")))))</f>
        <v/>
      </c>
    </row>
    <row r="488" customFormat="false" ht="15" hidden="false" customHeight="false" outlineLevel="0" collapsed="false">
      <c r="A488" s="16" t="s">
        <v>715</v>
      </c>
      <c r="B488" s="18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8"/>
      <c r="R488" s="16"/>
      <c r="S488" s="18"/>
      <c r="T488" s="24"/>
      <c r="U488" s="23"/>
      <c r="V488" s="52"/>
      <c r="W488" s="50" t="str">
        <f aca="true">IF(Q488="","",TODAY()-Q488)</f>
        <v/>
      </c>
      <c r="X488" s="51" t="str">
        <f aca="true">IF(F488="","",IF(OR(O488="Won",O488="Lost"),"Closed",IF(S488="","No date set",IF(S488&lt;TODAY(),"Overdue",IF(S488=TODAY(),"Due today","Upcoming")))))</f>
        <v/>
      </c>
    </row>
    <row r="489" customFormat="false" ht="15" hidden="false" customHeight="false" outlineLevel="0" collapsed="false">
      <c r="A489" s="16" t="s">
        <v>716</v>
      </c>
      <c r="B489" s="18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8"/>
      <c r="R489" s="16"/>
      <c r="S489" s="18"/>
      <c r="T489" s="24"/>
      <c r="U489" s="23"/>
      <c r="V489" s="52"/>
      <c r="W489" s="50" t="str">
        <f aca="true">IF(Q489="","",TODAY()-Q489)</f>
        <v/>
      </c>
      <c r="X489" s="51" t="str">
        <f aca="true">IF(F489="","",IF(OR(O489="Won",O489="Lost"),"Closed",IF(S489="","No date set",IF(S489&lt;TODAY(),"Overdue",IF(S489=TODAY(),"Due today","Upcoming")))))</f>
        <v/>
      </c>
    </row>
    <row r="490" customFormat="false" ht="15" hidden="false" customHeight="false" outlineLevel="0" collapsed="false">
      <c r="A490" s="16" t="s">
        <v>717</v>
      </c>
      <c r="B490" s="18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8"/>
      <c r="R490" s="16"/>
      <c r="S490" s="18"/>
      <c r="T490" s="24"/>
      <c r="U490" s="23"/>
      <c r="V490" s="52"/>
      <c r="W490" s="50" t="str">
        <f aca="true">IF(Q490="","",TODAY()-Q490)</f>
        <v/>
      </c>
      <c r="X490" s="51" t="str">
        <f aca="true">IF(F490="","",IF(OR(O490="Won",O490="Lost"),"Closed",IF(S490="","No date set",IF(S490&lt;TODAY(),"Overdue",IF(S490=TODAY(),"Due today","Upcoming")))))</f>
        <v/>
      </c>
    </row>
    <row r="491" customFormat="false" ht="15" hidden="false" customHeight="false" outlineLevel="0" collapsed="false">
      <c r="A491" s="16" t="s">
        <v>718</v>
      </c>
      <c r="B491" s="18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8"/>
      <c r="R491" s="16"/>
      <c r="S491" s="18"/>
      <c r="T491" s="24"/>
      <c r="U491" s="23"/>
      <c r="V491" s="52"/>
      <c r="W491" s="50" t="str">
        <f aca="true">IF(Q491="","",TODAY()-Q491)</f>
        <v/>
      </c>
      <c r="X491" s="51" t="str">
        <f aca="true">IF(F491="","",IF(OR(O491="Won",O491="Lost"),"Closed",IF(S491="","No date set",IF(S491&lt;TODAY(),"Overdue",IF(S491=TODAY(),"Due today","Upcoming")))))</f>
        <v/>
      </c>
    </row>
    <row r="492" customFormat="false" ht="15" hidden="false" customHeight="false" outlineLevel="0" collapsed="false">
      <c r="A492" s="16" t="s">
        <v>719</v>
      </c>
      <c r="B492" s="18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8"/>
      <c r="R492" s="16"/>
      <c r="S492" s="18"/>
      <c r="T492" s="24"/>
      <c r="U492" s="23"/>
      <c r="V492" s="52"/>
      <c r="W492" s="50" t="str">
        <f aca="true">IF(Q492="","",TODAY()-Q492)</f>
        <v/>
      </c>
      <c r="X492" s="51" t="str">
        <f aca="true">IF(F492="","",IF(OR(O492="Won",O492="Lost"),"Closed",IF(S492="","No date set",IF(S492&lt;TODAY(),"Overdue",IF(S492=TODAY(),"Due today","Upcoming")))))</f>
        <v/>
      </c>
    </row>
    <row r="493" customFormat="false" ht="15" hidden="false" customHeight="false" outlineLevel="0" collapsed="false">
      <c r="A493" s="16" t="s">
        <v>720</v>
      </c>
      <c r="B493" s="18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8"/>
      <c r="R493" s="16"/>
      <c r="S493" s="18"/>
      <c r="T493" s="24"/>
      <c r="U493" s="23"/>
      <c r="V493" s="52"/>
      <c r="W493" s="50" t="str">
        <f aca="true">IF(Q493="","",TODAY()-Q493)</f>
        <v/>
      </c>
      <c r="X493" s="51" t="str">
        <f aca="true">IF(F493="","",IF(OR(O493="Won",O493="Lost"),"Closed",IF(S493="","No date set",IF(S493&lt;TODAY(),"Overdue",IF(S493=TODAY(),"Due today","Upcoming")))))</f>
        <v/>
      </c>
    </row>
    <row r="494" customFormat="false" ht="15" hidden="false" customHeight="false" outlineLevel="0" collapsed="false">
      <c r="A494" s="16" t="s">
        <v>721</v>
      </c>
      <c r="B494" s="18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8"/>
      <c r="R494" s="16"/>
      <c r="S494" s="18"/>
      <c r="T494" s="24"/>
      <c r="U494" s="23"/>
      <c r="V494" s="52"/>
      <c r="W494" s="50" t="str">
        <f aca="true">IF(Q494="","",TODAY()-Q494)</f>
        <v/>
      </c>
      <c r="X494" s="51" t="str">
        <f aca="true">IF(F494="","",IF(OR(O494="Won",O494="Lost"),"Closed",IF(S494="","No date set",IF(S494&lt;TODAY(),"Overdue",IF(S494=TODAY(),"Due today","Upcoming")))))</f>
        <v/>
      </c>
    </row>
    <row r="495" customFormat="false" ht="15" hidden="false" customHeight="false" outlineLevel="0" collapsed="false">
      <c r="A495" s="16" t="s">
        <v>722</v>
      </c>
      <c r="B495" s="18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8"/>
      <c r="R495" s="16"/>
      <c r="S495" s="18"/>
      <c r="T495" s="24"/>
      <c r="U495" s="23"/>
      <c r="V495" s="52"/>
      <c r="W495" s="50" t="str">
        <f aca="true">IF(Q495="","",TODAY()-Q495)</f>
        <v/>
      </c>
      <c r="X495" s="51" t="str">
        <f aca="true">IF(F495="","",IF(OR(O495="Won",O495="Lost"),"Closed",IF(S495="","No date set",IF(S495&lt;TODAY(),"Overdue",IF(S495=TODAY(),"Due today","Upcoming")))))</f>
        <v/>
      </c>
    </row>
    <row r="496" customFormat="false" ht="15" hidden="false" customHeight="false" outlineLevel="0" collapsed="false">
      <c r="A496" s="16" t="s">
        <v>723</v>
      </c>
      <c r="B496" s="18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8"/>
      <c r="R496" s="16"/>
      <c r="S496" s="18"/>
      <c r="T496" s="24"/>
      <c r="U496" s="23"/>
      <c r="V496" s="52"/>
      <c r="W496" s="50" t="str">
        <f aca="true">IF(Q496="","",TODAY()-Q496)</f>
        <v/>
      </c>
      <c r="X496" s="51" t="str">
        <f aca="true">IF(F496="","",IF(OR(O496="Won",O496="Lost"),"Closed",IF(S496="","No date set",IF(S496&lt;TODAY(),"Overdue",IF(S496=TODAY(),"Due today","Upcoming")))))</f>
        <v/>
      </c>
    </row>
    <row r="497" customFormat="false" ht="15" hidden="false" customHeight="false" outlineLevel="0" collapsed="false">
      <c r="A497" s="16" t="s">
        <v>724</v>
      </c>
      <c r="B497" s="18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8"/>
      <c r="R497" s="16"/>
      <c r="S497" s="18"/>
      <c r="T497" s="24"/>
      <c r="U497" s="23"/>
      <c r="V497" s="52"/>
      <c r="W497" s="50" t="str">
        <f aca="true">IF(Q497="","",TODAY()-Q497)</f>
        <v/>
      </c>
      <c r="X497" s="51" t="str">
        <f aca="true">IF(F497="","",IF(OR(O497="Won",O497="Lost"),"Closed",IF(S497="","No date set",IF(S497&lt;TODAY(),"Overdue",IF(S497=TODAY(),"Due today","Upcoming")))))</f>
        <v/>
      </c>
    </row>
    <row r="498" customFormat="false" ht="15" hidden="false" customHeight="false" outlineLevel="0" collapsed="false">
      <c r="A498" s="16" t="s">
        <v>725</v>
      </c>
      <c r="B498" s="18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8"/>
      <c r="R498" s="16"/>
      <c r="S498" s="18"/>
      <c r="T498" s="24"/>
      <c r="U498" s="23"/>
      <c r="V498" s="52"/>
      <c r="W498" s="50" t="str">
        <f aca="true">IF(Q498="","",TODAY()-Q498)</f>
        <v/>
      </c>
      <c r="X498" s="51" t="str">
        <f aca="true">IF(F498="","",IF(OR(O498="Won",O498="Lost"),"Closed",IF(S498="","No date set",IF(S498&lt;TODAY(),"Overdue",IF(S498=TODAY(),"Due today","Upcoming")))))</f>
        <v/>
      </c>
    </row>
    <row r="499" customFormat="false" ht="15" hidden="false" customHeight="false" outlineLevel="0" collapsed="false">
      <c r="A499" s="16" t="s">
        <v>726</v>
      </c>
      <c r="B499" s="18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8"/>
      <c r="R499" s="16"/>
      <c r="S499" s="18"/>
      <c r="T499" s="24"/>
      <c r="U499" s="23"/>
      <c r="V499" s="52"/>
      <c r="W499" s="50" t="str">
        <f aca="true">IF(Q499="","",TODAY()-Q499)</f>
        <v/>
      </c>
      <c r="X499" s="51" t="str">
        <f aca="true">IF(F499="","",IF(OR(O499="Won",O499="Lost"),"Closed",IF(S499="","No date set",IF(S499&lt;TODAY(),"Overdue",IF(S499=TODAY(),"Due today","Upcoming")))))</f>
        <v/>
      </c>
    </row>
    <row r="500" customFormat="false" ht="15" hidden="false" customHeight="false" outlineLevel="0" collapsed="false">
      <c r="A500" s="16" t="s">
        <v>727</v>
      </c>
      <c r="B500" s="18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8"/>
      <c r="R500" s="16"/>
      <c r="S500" s="18"/>
      <c r="T500" s="24"/>
      <c r="U500" s="23"/>
      <c r="V500" s="52"/>
      <c r="W500" s="50" t="str">
        <f aca="true">IF(Q500="","",TODAY()-Q500)</f>
        <v/>
      </c>
      <c r="X500" s="51" t="str">
        <f aca="true">IF(F500="","",IF(OR(O500="Won",O500="Lost"),"Closed",IF(S500="","No date set",IF(S500&lt;TODAY(),"Overdue",IF(S500=TODAY(),"Due today","Upcoming")))))</f>
        <v/>
      </c>
    </row>
    <row r="501" customFormat="false" ht="15" hidden="false" customHeight="false" outlineLevel="0" collapsed="false">
      <c r="A501" s="16" t="s">
        <v>728</v>
      </c>
      <c r="B501" s="18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8"/>
      <c r="R501" s="16"/>
      <c r="S501" s="18"/>
      <c r="T501" s="24"/>
      <c r="U501" s="23"/>
      <c r="V501" s="52"/>
      <c r="W501" s="50" t="str">
        <f aca="true">IF(Q501="","",TODAY()-Q501)</f>
        <v/>
      </c>
      <c r="X501" s="51" t="str">
        <f aca="true">IF(F501="","",IF(OR(O501="Won",O501="Lost"),"Closed",IF(S501="","No date set",IF(S501&lt;TODAY(),"Overdue",IF(S501=TODAY(),"Due today","Upcoming")))))</f>
        <v/>
      </c>
    </row>
    <row r="502" customFormat="false" ht="15" hidden="false" customHeight="false" outlineLevel="0" collapsed="false">
      <c r="A502" s="16" t="s">
        <v>729</v>
      </c>
      <c r="B502" s="18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8"/>
      <c r="R502" s="16"/>
      <c r="S502" s="18"/>
      <c r="T502" s="24"/>
      <c r="U502" s="23"/>
      <c r="V502" s="52"/>
      <c r="W502" s="50" t="str">
        <f aca="true">IF(Q502="","",TODAY()-Q502)</f>
        <v/>
      </c>
      <c r="X502" s="51" t="str">
        <f aca="true">IF(F502="","",IF(OR(O502="Won",O502="Lost"),"Closed",IF(S502="","No date set",IF(S502&lt;TODAY(),"Overdue",IF(S502=TODAY(),"Due today","Upcoming")))))</f>
        <v/>
      </c>
    </row>
    <row r="503" customFormat="false" ht="15" hidden="false" customHeight="false" outlineLevel="0" collapsed="false">
      <c r="A503" s="16" t="s">
        <v>730</v>
      </c>
      <c r="B503" s="18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8"/>
      <c r="R503" s="16"/>
      <c r="S503" s="18"/>
      <c r="T503" s="24"/>
      <c r="U503" s="23"/>
      <c r="V503" s="52"/>
      <c r="W503" s="50" t="str">
        <f aca="true">IF(Q503="","",TODAY()-Q503)</f>
        <v/>
      </c>
      <c r="X503" s="51" t="str">
        <f aca="true">IF(F503="","",IF(OR(O503="Won",O503="Lost"),"Closed",IF(S503="","No date set",IF(S503&lt;TODAY(),"Overdue",IF(S503=TODAY(),"Due today","Upcoming")))))</f>
        <v/>
      </c>
    </row>
    <row r="504" customFormat="false" ht="15" hidden="false" customHeight="false" outlineLevel="0" collapsed="false">
      <c r="A504" s="16" t="s">
        <v>731</v>
      </c>
      <c r="B504" s="18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8"/>
      <c r="R504" s="16"/>
      <c r="S504" s="18"/>
      <c r="T504" s="24"/>
      <c r="U504" s="23"/>
      <c r="V504" s="52"/>
      <c r="W504" s="50" t="str">
        <f aca="true">IF(Q504="","",TODAY()-Q504)</f>
        <v/>
      </c>
      <c r="X504" s="51" t="str">
        <f aca="true">IF(F504="","",IF(OR(O504="Won",O504="Lost"),"Closed",IF(S504="","No date set",IF(S504&lt;TODAY(),"Overdue",IF(S504=TODAY(),"Due today","Upcoming")))))</f>
        <v/>
      </c>
    </row>
    <row r="505" customFormat="false" ht="15" hidden="false" customHeight="false" outlineLevel="0" collapsed="false">
      <c r="A505" s="16" t="s">
        <v>732</v>
      </c>
      <c r="B505" s="18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8"/>
      <c r="R505" s="16"/>
      <c r="S505" s="18"/>
      <c r="T505" s="24"/>
      <c r="U505" s="23"/>
      <c r="V505" s="52"/>
      <c r="W505" s="50" t="str">
        <f aca="true">IF(Q505="","",TODAY()-Q505)</f>
        <v/>
      </c>
      <c r="X505" s="51" t="str">
        <f aca="true">IF(F505="","",IF(OR(O505="Won",O505="Lost"),"Closed",IF(S505="","No date set",IF(S505&lt;TODAY(),"Overdue",IF(S505=TODAY(),"Due today","Upcoming")))))</f>
        <v/>
      </c>
    </row>
    <row r="506" customFormat="false" ht="15" hidden="false" customHeight="false" outlineLevel="0" collapsed="false">
      <c r="A506" s="16" t="s">
        <v>733</v>
      </c>
      <c r="B506" s="18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8"/>
      <c r="R506" s="16"/>
      <c r="S506" s="18"/>
      <c r="T506" s="24"/>
      <c r="U506" s="23"/>
      <c r="V506" s="52"/>
      <c r="W506" s="50" t="str">
        <f aca="true">IF(Q506="","",TODAY()-Q506)</f>
        <v/>
      </c>
      <c r="X506" s="51" t="str">
        <f aca="true">IF(F506="","",IF(OR(O506="Won",O506="Lost"),"Closed",IF(S506="","No date set",IF(S506&lt;TODAY(),"Overdue",IF(S506=TODAY(),"Due today","Upcoming")))))</f>
        <v/>
      </c>
    </row>
    <row r="507" customFormat="false" ht="15" hidden="false" customHeight="false" outlineLevel="0" collapsed="false">
      <c r="A507" s="16" t="s">
        <v>734</v>
      </c>
      <c r="B507" s="18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8"/>
      <c r="R507" s="16"/>
      <c r="S507" s="18"/>
      <c r="T507" s="24"/>
      <c r="U507" s="23"/>
      <c r="V507" s="52"/>
      <c r="W507" s="50" t="str">
        <f aca="true">IF(Q507="","",TODAY()-Q507)</f>
        <v/>
      </c>
      <c r="X507" s="51" t="str">
        <f aca="true">IF(F507="","",IF(OR(O507="Won",O507="Lost"),"Closed",IF(S507="","No date set",IF(S507&lt;TODAY(),"Overdue",IF(S507=TODAY(),"Due today","Upcoming")))))</f>
        <v/>
      </c>
    </row>
    <row r="508" customFormat="false" ht="15" hidden="false" customHeight="false" outlineLevel="0" collapsed="false">
      <c r="A508" s="16" t="s">
        <v>735</v>
      </c>
      <c r="B508" s="18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8"/>
      <c r="R508" s="16"/>
      <c r="S508" s="18"/>
      <c r="T508" s="24"/>
      <c r="U508" s="23"/>
      <c r="V508" s="52"/>
      <c r="W508" s="50" t="str">
        <f aca="true">IF(Q508="","",TODAY()-Q508)</f>
        <v/>
      </c>
      <c r="X508" s="51" t="str">
        <f aca="true">IF(F508="","",IF(OR(O508="Won",O508="Lost"),"Closed",IF(S508="","No date set",IF(S508&lt;TODAY(),"Overdue",IF(S508=TODAY(),"Due today","Upcoming")))))</f>
        <v/>
      </c>
    </row>
    <row r="509" customFormat="false" ht="15" hidden="false" customHeight="false" outlineLevel="0" collapsed="false">
      <c r="A509" s="16" t="s">
        <v>736</v>
      </c>
      <c r="B509" s="18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8"/>
      <c r="R509" s="16"/>
      <c r="S509" s="18"/>
      <c r="T509" s="24"/>
      <c r="U509" s="23"/>
      <c r="V509" s="52"/>
      <c r="W509" s="50" t="str">
        <f aca="true">IF(Q509="","",TODAY()-Q509)</f>
        <v/>
      </c>
      <c r="X509" s="51" t="str">
        <f aca="true">IF(F509="","",IF(OR(O509="Won",O509="Lost"),"Closed",IF(S509="","No date set",IF(S509&lt;TODAY(),"Overdue",IF(S509=TODAY(),"Due today","Upcoming")))))</f>
        <v/>
      </c>
    </row>
    <row r="510" customFormat="false" ht="15" hidden="false" customHeight="false" outlineLevel="0" collapsed="false">
      <c r="A510" s="16" t="s">
        <v>737</v>
      </c>
      <c r="B510" s="18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8"/>
      <c r="R510" s="16"/>
      <c r="S510" s="18"/>
      <c r="T510" s="24"/>
      <c r="U510" s="23"/>
      <c r="V510" s="52"/>
      <c r="W510" s="50" t="str">
        <f aca="true">IF(Q510="","",TODAY()-Q510)</f>
        <v/>
      </c>
      <c r="X510" s="51" t="str">
        <f aca="true">IF(F510="","",IF(OR(O510="Won",O510="Lost"),"Closed",IF(S510="","No date set",IF(S510&lt;TODAY(),"Overdue",IF(S510=TODAY(),"Due today","Upcoming")))))</f>
        <v/>
      </c>
    </row>
    <row r="511" customFormat="false" ht="15" hidden="false" customHeight="false" outlineLevel="0" collapsed="false">
      <c r="A511" s="16" t="s">
        <v>738</v>
      </c>
      <c r="B511" s="18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8"/>
      <c r="R511" s="16"/>
      <c r="S511" s="18"/>
      <c r="T511" s="24"/>
      <c r="U511" s="23"/>
      <c r="V511" s="52"/>
      <c r="W511" s="50" t="str">
        <f aca="true">IF(Q511="","",TODAY()-Q511)</f>
        <v/>
      </c>
      <c r="X511" s="51" t="str">
        <f aca="true">IF(F511="","",IF(OR(O511="Won",O511="Lost"),"Closed",IF(S511="","No date set",IF(S511&lt;TODAY(),"Overdue",IF(S511=TODAY(),"Due today","Upcoming")))))</f>
        <v/>
      </c>
    </row>
    <row r="512" customFormat="false" ht="15" hidden="false" customHeight="false" outlineLevel="0" collapsed="false">
      <c r="A512" s="16" t="s">
        <v>739</v>
      </c>
      <c r="B512" s="18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8"/>
      <c r="R512" s="16"/>
      <c r="S512" s="18"/>
      <c r="T512" s="24"/>
      <c r="U512" s="23"/>
      <c r="V512" s="52"/>
      <c r="W512" s="50" t="str">
        <f aca="true">IF(Q512="","",TODAY()-Q512)</f>
        <v/>
      </c>
      <c r="X512" s="51" t="str">
        <f aca="true">IF(F512="","",IF(OR(O512="Won",O512="Lost"),"Closed",IF(S512="","No date set",IF(S512&lt;TODAY(),"Overdue",IF(S512=TODAY(),"Due today","Upcoming")))))</f>
        <v/>
      </c>
    </row>
    <row r="513" customFormat="false" ht="15" hidden="false" customHeight="false" outlineLevel="0" collapsed="false">
      <c r="A513" s="16" t="s">
        <v>740</v>
      </c>
      <c r="B513" s="18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8"/>
      <c r="R513" s="16"/>
      <c r="S513" s="18"/>
      <c r="T513" s="24"/>
      <c r="U513" s="23"/>
      <c r="V513" s="52"/>
      <c r="W513" s="50" t="str">
        <f aca="true">IF(Q513="","",TODAY()-Q513)</f>
        <v/>
      </c>
      <c r="X513" s="51" t="str">
        <f aca="true">IF(F513="","",IF(OR(O513="Won",O513="Lost"),"Closed",IF(S513="","No date set",IF(S513&lt;TODAY(),"Overdue",IF(S513=TODAY(),"Due today","Upcoming")))))</f>
        <v/>
      </c>
    </row>
    <row r="514" customFormat="false" ht="15" hidden="false" customHeight="false" outlineLevel="0" collapsed="false">
      <c r="A514" s="16" t="s">
        <v>741</v>
      </c>
      <c r="B514" s="18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8"/>
      <c r="R514" s="16"/>
      <c r="S514" s="18"/>
      <c r="T514" s="24"/>
      <c r="U514" s="23"/>
      <c r="V514" s="52"/>
      <c r="W514" s="50" t="str">
        <f aca="true">IF(Q514="","",TODAY()-Q514)</f>
        <v/>
      </c>
      <c r="X514" s="51" t="str">
        <f aca="true">IF(F514="","",IF(OR(O514="Won",O514="Lost"),"Closed",IF(S514="","No date set",IF(S514&lt;TODAY(),"Overdue",IF(S514=TODAY(),"Due today","Upcoming")))))</f>
        <v/>
      </c>
    </row>
    <row r="515" customFormat="false" ht="15" hidden="false" customHeight="false" outlineLevel="0" collapsed="false">
      <c r="A515" s="16" t="s">
        <v>742</v>
      </c>
      <c r="B515" s="18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8"/>
      <c r="R515" s="16"/>
      <c r="S515" s="18"/>
      <c r="T515" s="24"/>
      <c r="U515" s="23"/>
      <c r="V515" s="52"/>
      <c r="W515" s="50" t="str">
        <f aca="true">IF(Q515="","",TODAY()-Q515)</f>
        <v/>
      </c>
      <c r="X515" s="51" t="str">
        <f aca="true">IF(F515="","",IF(OR(O515="Won",O515="Lost"),"Closed",IF(S515="","No date set",IF(S515&lt;TODAY(),"Overdue",IF(S515=TODAY(),"Due today","Upcoming")))))</f>
        <v/>
      </c>
    </row>
    <row r="516" customFormat="false" ht="15" hidden="false" customHeight="false" outlineLevel="0" collapsed="false">
      <c r="A516" s="16" t="s">
        <v>743</v>
      </c>
      <c r="B516" s="18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8"/>
      <c r="R516" s="16"/>
      <c r="S516" s="18"/>
      <c r="T516" s="24"/>
      <c r="U516" s="23"/>
      <c r="V516" s="52"/>
      <c r="W516" s="50" t="str">
        <f aca="true">IF(Q516="","",TODAY()-Q516)</f>
        <v/>
      </c>
      <c r="X516" s="51" t="str">
        <f aca="true">IF(F516="","",IF(OR(O516="Won",O516="Lost"),"Closed",IF(S516="","No date set",IF(S516&lt;TODAY(),"Overdue",IF(S516=TODAY(),"Due today","Upcoming")))))</f>
        <v/>
      </c>
    </row>
    <row r="517" customFormat="false" ht="15" hidden="false" customHeight="false" outlineLevel="0" collapsed="false">
      <c r="A517" s="16" t="s">
        <v>744</v>
      </c>
      <c r="B517" s="18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8"/>
      <c r="R517" s="16"/>
      <c r="S517" s="18"/>
      <c r="T517" s="24"/>
      <c r="U517" s="23"/>
      <c r="V517" s="52"/>
      <c r="W517" s="50" t="str">
        <f aca="true">IF(Q517="","",TODAY()-Q517)</f>
        <v/>
      </c>
      <c r="X517" s="51" t="str">
        <f aca="true">IF(F517="","",IF(OR(O517="Won",O517="Lost"),"Closed",IF(S517="","No date set",IF(S517&lt;TODAY(),"Overdue",IF(S517=TODAY(),"Due today","Upcoming")))))</f>
        <v/>
      </c>
    </row>
    <row r="518" customFormat="false" ht="15" hidden="false" customHeight="false" outlineLevel="0" collapsed="false">
      <c r="A518" s="16" t="s">
        <v>745</v>
      </c>
      <c r="B518" s="18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8"/>
      <c r="R518" s="16"/>
      <c r="S518" s="18"/>
      <c r="T518" s="24"/>
      <c r="U518" s="23"/>
      <c r="V518" s="52"/>
      <c r="W518" s="50" t="str">
        <f aca="true">IF(Q518="","",TODAY()-Q518)</f>
        <v/>
      </c>
      <c r="X518" s="51" t="str">
        <f aca="true">IF(F518="","",IF(OR(O518="Won",O518="Lost"),"Closed",IF(S518="","No date set",IF(S518&lt;TODAY(),"Overdue",IF(S518=TODAY(),"Due today","Upcoming")))))</f>
        <v/>
      </c>
    </row>
    <row r="519" customFormat="false" ht="15" hidden="false" customHeight="false" outlineLevel="0" collapsed="false">
      <c r="A519" s="16" t="s">
        <v>746</v>
      </c>
      <c r="B519" s="18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8"/>
      <c r="R519" s="16"/>
      <c r="S519" s="18"/>
      <c r="T519" s="24"/>
      <c r="U519" s="23"/>
      <c r="V519" s="52"/>
      <c r="W519" s="50" t="str">
        <f aca="true">IF(Q519="","",TODAY()-Q519)</f>
        <v/>
      </c>
      <c r="X519" s="51" t="str">
        <f aca="true">IF(F519="","",IF(OR(O519="Won",O519="Lost"),"Closed",IF(S519="","No date set",IF(S519&lt;TODAY(),"Overdue",IF(S519=TODAY(),"Due today","Upcoming")))))</f>
        <v/>
      </c>
    </row>
    <row r="520" customFormat="false" ht="15" hidden="false" customHeight="false" outlineLevel="0" collapsed="false">
      <c r="A520" s="16" t="s">
        <v>747</v>
      </c>
      <c r="B520" s="18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8"/>
      <c r="R520" s="16"/>
      <c r="S520" s="18"/>
      <c r="T520" s="24"/>
      <c r="U520" s="23"/>
      <c r="V520" s="52"/>
      <c r="W520" s="50" t="str">
        <f aca="true">IF(Q520="","",TODAY()-Q520)</f>
        <v/>
      </c>
      <c r="X520" s="51" t="str">
        <f aca="true">IF(F520="","",IF(OR(O520="Won",O520="Lost"),"Closed",IF(S520="","No date set",IF(S520&lt;TODAY(),"Overdue",IF(S520=TODAY(),"Due today","Upcoming")))))</f>
        <v/>
      </c>
    </row>
    <row r="521" customFormat="false" ht="15" hidden="false" customHeight="false" outlineLevel="0" collapsed="false">
      <c r="A521" s="16" t="s">
        <v>748</v>
      </c>
      <c r="B521" s="18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8"/>
      <c r="R521" s="16"/>
      <c r="S521" s="18"/>
      <c r="T521" s="24"/>
      <c r="U521" s="23"/>
      <c r="V521" s="52"/>
      <c r="W521" s="50" t="str">
        <f aca="true">IF(Q521="","",TODAY()-Q521)</f>
        <v/>
      </c>
      <c r="X521" s="51" t="str">
        <f aca="true">IF(F521="","",IF(OR(O521="Won",O521="Lost"),"Closed",IF(S521="","No date set",IF(S521&lt;TODAY(),"Overdue",IF(S521=TODAY(),"Due today","Upcoming")))))</f>
        <v/>
      </c>
    </row>
    <row r="522" customFormat="false" ht="15" hidden="false" customHeight="false" outlineLevel="0" collapsed="false">
      <c r="A522" s="16" t="s">
        <v>749</v>
      </c>
      <c r="B522" s="18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8"/>
      <c r="R522" s="16"/>
      <c r="S522" s="18"/>
      <c r="T522" s="24"/>
      <c r="U522" s="23"/>
      <c r="V522" s="52"/>
      <c r="W522" s="50" t="str">
        <f aca="true">IF(Q522="","",TODAY()-Q522)</f>
        <v/>
      </c>
      <c r="X522" s="51" t="str">
        <f aca="true">IF(F522="","",IF(OR(O522="Won",O522="Lost"),"Closed",IF(S522="","No date set",IF(S522&lt;TODAY(),"Overdue",IF(S522=TODAY(),"Due today","Upcoming")))))</f>
        <v/>
      </c>
    </row>
    <row r="523" customFormat="false" ht="15" hidden="false" customHeight="false" outlineLevel="0" collapsed="false">
      <c r="A523" s="16" t="s">
        <v>750</v>
      </c>
      <c r="B523" s="18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8"/>
      <c r="R523" s="16"/>
      <c r="S523" s="18"/>
      <c r="T523" s="24"/>
      <c r="U523" s="23"/>
      <c r="V523" s="52"/>
      <c r="W523" s="50" t="str">
        <f aca="true">IF(Q523="","",TODAY()-Q523)</f>
        <v/>
      </c>
      <c r="X523" s="51" t="str">
        <f aca="true">IF(F523="","",IF(OR(O523="Won",O523="Lost"),"Closed",IF(S523="","No date set",IF(S523&lt;TODAY(),"Overdue",IF(S523=TODAY(),"Due today","Upcoming")))))</f>
        <v/>
      </c>
    </row>
    <row r="524" customFormat="false" ht="15" hidden="false" customHeight="false" outlineLevel="0" collapsed="false">
      <c r="A524" s="16" t="s">
        <v>751</v>
      </c>
      <c r="B524" s="18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8"/>
      <c r="R524" s="16"/>
      <c r="S524" s="18"/>
      <c r="T524" s="24"/>
      <c r="U524" s="23"/>
      <c r="V524" s="52"/>
      <c r="W524" s="50" t="str">
        <f aca="true">IF(Q524="","",TODAY()-Q524)</f>
        <v/>
      </c>
      <c r="X524" s="51" t="str">
        <f aca="true">IF(F524="","",IF(OR(O524="Won",O524="Lost"),"Closed",IF(S524="","No date set",IF(S524&lt;TODAY(),"Overdue",IF(S524=TODAY(),"Due today","Upcoming")))))</f>
        <v/>
      </c>
    </row>
    <row r="525" customFormat="false" ht="15" hidden="false" customHeight="false" outlineLevel="0" collapsed="false">
      <c r="A525" s="16" t="s">
        <v>752</v>
      </c>
      <c r="B525" s="18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8"/>
      <c r="R525" s="16"/>
      <c r="S525" s="18"/>
      <c r="T525" s="24"/>
      <c r="U525" s="23"/>
      <c r="V525" s="52"/>
      <c r="W525" s="50" t="str">
        <f aca="true">IF(Q525="","",TODAY()-Q525)</f>
        <v/>
      </c>
      <c r="X525" s="51" t="str">
        <f aca="true">IF(F525="","",IF(OR(O525="Won",O525="Lost"),"Closed",IF(S525="","No date set",IF(S525&lt;TODAY(),"Overdue",IF(S525=TODAY(),"Due today","Upcoming")))))</f>
        <v/>
      </c>
    </row>
    <row r="526" customFormat="false" ht="15" hidden="false" customHeight="false" outlineLevel="0" collapsed="false">
      <c r="A526" s="16" t="s">
        <v>753</v>
      </c>
      <c r="B526" s="18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8"/>
      <c r="R526" s="16"/>
      <c r="S526" s="18"/>
      <c r="T526" s="24"/>
      <c r="U526" s="23"/>
      <c r="V526" s="52"/>
      <c r="W526" s="50" t="str">
        <f aca="true">IF(Q526="","",TODAY()-Q526)</f>
        <v/>
      </c>
      <c r="X526" s="51" t="str">
        <f aca="true">IF(F526="","",IF(OR(O526="Won",O526="Lost"),"Closed",IF(S526="","No date set",IF(S526&lt;TODAY(),"Overdue",IF(S526=TODAY(),"Due today","Upcoming")))))</f>
        <v/>
      </c>
    </row>
    <row r="527" customFormat="false" ht="15" hidden="false" customHeight="false" outlineLevel="0" collapsed="false">
      <c r="A527" s="16" t="s">
        <v>754</v>
      </c>
      <c r="B527" s="18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8"/>
      <c r="R527" s="16"/>
      <c r="S527" s="18"/>
      <c r="T527" s="24"/>
      <c r="U527" s="23"/>
      <c r="V527" s="52"/>
      <c r="W527" s="50" t="str">
        <f aca="true">IF(Q527="","",TODAY()-Q527)</f>
        <v/>
      </c>
      <c r="X527" s="51" t="str">
        <f aca="true">IF(F527="","",IF(OR(O527="Won",O527="Lost"),"Closed",IF(S527="","No date set",IF(S527&lt;TODAY(),"Overdue",IF(S527=TODAY(),"Due today","Upcoming")))))</f>
        <v/>
      </c>
    </row>
    <row r="528" customFormat="false" ht="15" hidden="false" customHeight="false" outlineLevel="0" collapsed="false">
      <c r="A528" s="16" t="s">
        <v>755</v>
      </c>
      <c r="B528" s="18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8"/>
      <c r="R528" s="16"/>
      <c r="S528" s="18"/>
      <c r="T528" s="24"/>
      <c r="U528" s="23"/>
      <c r="V528" s="52"/>
      <c r="W528" s="50" t="str">
        <f aca="true">IF(Q528="","",TODAY()-Q528)</f>
        <v/>
      </c>
      <c r="X528" s="51" t="str">
        <f aca="true">IF(F528="","",IF(OR(O528="Won",O528="Lost"),"Closed",IF(S528="","No date set",IF(S528&lt;TODAY(),"Overdue",IF(S528=TODAY(),"Due today","Upcoming")))))</f>
        <v/>
      </c>
    </row>
    <row r="529" customFormat="false" ht="15" hidden="false" customHeight="false" outlineLevel="0" collapsed="false">
      <c r="A529" s="16" t="s">
        <v>756</v>
      </c>
      <c r="B529" s="18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8"/>
      <c r="R529" s="16"/>
      <c r="S529" s="18"/>
      <c r="T529" s="24"/>
      <c r="U529" s="23"/>
      <c r="V529" s="52"/>
      <c r="W529" s="50" t="str">
        <f aca="true">IF(Q529="","",TODAY()-Q529)</f>
        <v/>
      </c>
      <c r="X529" s="51" t="str">
        <f aca="true">IF(F529="","",IF(OR(O529="Won",O529="Lost"),"Closed",IF(S529="","No date set",IF(S529&lt;TODAY(),"Overdue",IF(S529=TODAY(),"Due today","Upcoming")))))</f>
        <v/>
      </c>
    </row>
    <row r="530" customFormat="false" ht="15" hidden="false" customHeight="false" outlineLevel="0" collapsed="false">
      <c r="A530" s="16" t="s">
        <v>757</v>
      </c>
      <c r="B530" s="18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8"/>
      <c r="R530" s="16"/>
      <c r="S530" s="18"/>
      <c r="T530" s="24"/>
      <c r="U530" s="23"/>
      <c r="V530" s="52"/>
      <c r="W530" s="50" t="str">
        <f aca="true">IF(Q530="","",TODAY()-Q530)</f>
        <v/>
      </c>
      <c r="X530" s="51" t="str">
        <f aca="true">IF(F530="","",IF(OR(O530="Won",O530="Lost"),"Closed",IF(S530="","No date set",IF(S530&lt;TODAY(),"Overdue",IF(S530=TODAY(),"Due today","Upcoming")))))</f>
        <v/>
      </c>
    </row>
    <row r="531" customFormat="false" ht="15" hidden="false" customHeight="false" outlineLevel="0" collapsed="false">
      <c r="A531" s="16" t="s">
        <v>758</v>
      </c>
      <c r="B531" s="18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8"/>
      <c r="R531" s="16"/>
      <c r="S531" s="18"/>
      <c r="T531" s="24"/>
      <c r="U531" s="23"/>
      <c r="V531" s="52"/>
      <c r="W531" s="50" t="str">
        <f aca="true">IF(Q531="","",TODAY()-Q531)</f>
        <v/>
      </c>
      <c r="X531" s="51" t="str">
        <f aca="true">IF(F531="","",IF(OR(O531="Won",O531="Lost"),"Closed",IF(S531="","No date set",IF(S531&lt;TODAY(),"Overdue",IF(S531=TODAY(),"Due today","Upcoming")))))</f>
        <v/>
      </c>
    </row>
    <row r="532" customFormat="false" ht="15" hidden="false" customHeight="false" outlineLevel="0" collapsed="false">
      <c r="A532" s="16" t="s">
        <v>759</v>
      </c>
      <c r="B532" s="18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8"/>
      <c r="R532" s="16"/>
      <c r="S532" s="18"/>
      <c r="T532" s="24"/>
      <c r="U532" s="23"/>
      <c r="V532" s="52"/>
      <c r="W532" s="50" t="str">
        <f aca="true">IF(Q532="","",TODAY()-Q532)</f>
        <v/>
      </c>
      <c r="X532" s="51" t="str">
        <f aca="true">IF(F532="","",IF(OR(O532="Won",O532="Lost"),"Closed",IF(S532="","No date set",IF(S532&lt;TODAY(),"Overdue",IF(S532=TODAY(),"Due today","Upcoming")))))</f>
        <v/>
      </c>
    </row>
    <row r="533" customFormat="false" ht="15" hidden="false" customHeight="false" outlineLevel="0" collapsed="false">
      <c r="A533" s="16" t="s">
        <v>760</v>
      </c>
      <c r="B533" s="18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8"/>
      <c r="R533" s="16"/>
      <c r="S533" s="18"/>
      <c r="T533" s="24"/>
      <c r="U533" s="23"/>
      <c r="V533" s="52"/>
      <c r="W533" s="50" t="str">
        <f aca="true">IF(Q533="","",TODAY()-Q533)</f>
        <v/>
      </c>
      <c r="X533" s="51" t="str">
        <f aca="true">IF(F533="","",IF(OR(O533="Won",O533="Lost"),"Closed",IF(S533="","No date set",IF(S533&lt;TODAY(),"Overdue",IF(S533=TODAY(),"Due today","Upcoming")))))</f>
        <v/>
      </c>
    </row>
    <row r="534" customFormat="false" ht="15" hidden="false" customHeight="false" outlineLevel="0" collapsed="false">
      <c r="A534" s="16" t="s">
        <v>761</v>
      </c>
      <c r="B534" s="18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8"/>
      <c r="R534" s="16"/>
      <c r="S534" s="18"/>
      <c r="T534" s="24"/>
      <c r="U534" s="23"/>
      <c r="V534" s="52"/>
      <c r="W534" s="50" t="str">
        <f aca="true">IF(Q534="","",TODAY()-Q534)</f>
        <v/>
      </c>
      <c r="X534" s="51" t="str">
        <f aca="true">IF(F534="","",IF(OR(O534="Won",O534="Lost"),"Closed",IF(S534="","No date set",IF(S534&lt;TODAY(),"Overdue",IF(S534=TODAY(),"Due today","Upcoming")))))</f>
        <v/>
      </c>
    </row>
    <row r="535" customFormat="false" ht="15" hidden="false" customHeight="false" outlineLevel="0" collapsed="false">
      <c r="A535" s="16" t="s">
        <v>762</v>
      </c>
      <c r="B535" s="18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8"/>
      <c r="R535" s="16"/>
      <c r="S535" s="18"/>
      <c r="T535" s="24"/>
      <c r="U535" s="23"/>
      <c r="V535" s="52"/>
      <c r="W535" s="50" t="str">
        <f aca="true">IF(Q535="","",TODAY()-Q535)</f>
        <v/>
      </c>
      <c r="X535" s="51" t="str">
        <f aca="true">IF(F535="","",IF(OR(O535="Won",O535="Lost"),"Closed",IF(S535="","No date set",IF(S535&lt;TODAY(),"Overdue",IF(S535=TODAY(),"Due today","Upcoming")))))</f>
        <v/>
      </c>
    </row>
    <row r="536" customFormat="false" ht="15" hidden="false" customHeight="false" outlineLevel="0" collapsed="false">
      <c r="A536" s="16" t="s">
        <v>763</v>
      </c>
      <c r="B536" s="18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8"/>
      <c r="R536" s="16"/>
      <c r="S536" s="18"/>
      <c r="T536" s="24"/>
      <c r="U536" s="23"/>
      <c r="V536" s="52"/>
      <c r="W536" s="50" t="str">
        <f aca="true">IF(Q536="","",TODAY()-Q536)</f>
        <v/>
      </c>
      <c r="X536" s="51" t="str">
        <f aca="true">IF(F536="","",IF(OR(O536="Won",O536="Lost"),"Closed",IF(S536="","No date set",IF(S536&lt;TODAY(),"Overdue",IF(S536=TODAY(),"Due today","Upcoming")))))</f>
        <v/>
      </c>
    </row>
    <row r="537" customFormat="false" ht="15" hidden="false" customHeight="false" outlineLevel="0" collapsed="false">
      <c r="A537" s="16" t="s">
        <v>764</v>
      </c>
      <c r="B537" s="18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8"/>
      <c r="R537" s="16"/>
      <c r="S537" s="18"/>
      <c r="T537" s="24"/>
      <c r="U537" s="23"/>
      <c r="V537" s="52"/>
      <c r="W537" s="50" t="str">
        <f aca="true">IF(Q537="","",TODAY()-Q537)</f>
        <v/>
      </c>
      <c r="X537" s="51" t="str">
        <f aca="true">IF(F537="","",IF(OR(O537="Won",O537="Lost"),"Closed",IF(S537="","No date set",IF(S537&lt;TODAY(),"Overdue",IF(S537=TODAY(),"Due today","Upcoming")))))</f>
        <v/>
      </c>
    </row>
    <row r="538" customFormat="false" ht="15" hidden="false" customHeight="false" outlineLevel="0" collapsed="false">
      <c r="A538" s="16" t="s">
        <v>765</v>
      </c>
      <c r="B538" s="18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8"/>
      <c r="R538" s="16"/>
      <c r="S538" s="18"/>
      <c r="T538" s="24"/>
      <c r="U538" s="23"/>
      <c r="V538" s="52"/>
      <c r="W538" s="50" t="str">
        <f aca="true">IF(Q538="","",TODAY()-Q538)</f>
        <v/>
      </c>
      <c r="X538" s="51" t="str">
        <f aca="true">IF(F538="","",IF(OR(O538="Won",O538="Lost"),"Closed",IF(S538="","No date set",IF(S538&lt;TODAY(),"Overdue",IF(S538=TODAY(),"Due today","Upcoming")))))</f>
        <v/>
      </c>
    </row>
    <row r="539" customFormat="false" ht="15" hidden="false" customHeight="false" outlineLevel="0" collapsed="false">
      <c r="A539" s="16" t="s">
        <v>766</v>
      </c>
      <c r="B539" s="18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8"/>
      <c r="R539" s="16"/>
      <c r="S539" s="18"/>
      <c r="T539" s="24"/>
      <c r="U539" s="23"/>
      <c r="V539" s="52"/>
      <c r="W539" s="50" t="str">
        <f aca="true">IF(Q539="","",TODAY()-Q539)</f>
        <v/>
      </c>
      <c r="X539" s="51" t="str">
        <f aca="true">IF(F539="","",IF(OR(O539="Won",O539="Lost"),"Closed",IF(S539="","No date set",IF(S539&lt;TODAY(),"Overdue",IF(S539=TODAY(),"Due today","Upcoming")))))</f>
        <v/>
      </c>
    </row>
    <row r="540" customFormat="false" ht="15" hidden="false" customHeight="false" outlineLevel="0" collapsed="false">
      <c r="A540" s="16" t="s">
        <v>767</v>
      </c>
      <c r="B540" s="18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8"/>
      <c r="R540" s="16"/>
      <c r="S540" s="18"/>
      <c r="T540" s="24"/>
      <c r="U540" s="23"/>
      <c r="V540" s="52"/>
      <c r="W540" s="50" t="str">
        <f aca="true">IF(Q540="","",TODAY()-Q540)</f>
        <v/>
      </c>
      <c r="X540" s="51" t="str">
        <f aca="true">IF(F540="","",IF(OR(O540="Won",O540="Lost"),"Closed",IF(S540="","No date set",IF(S540&lt;TODAY(),"Overdue",IF(S540=TODAY(),"Due today","Upcoming")))))</f>
        <v/>
      </c>
    </row>
    <row r="541" customFormat="false" ht="15" hidden="false" customHeight="false" outlineLevel="0" collapsed="false">
      <c r="A541" s="16" t="s">
        <v>768</v>
      </c>
      <c r="B541" s="18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8"/>
      <c r="R541" s="16"/>
      <c r="S541" s="18"/>
      <c r="T541" s="24"/>
      <c r="U541" s="23"/>
      <c r="V541" s="52"/>
      <c r="W541" s="50" t="str">
        <f aca="true">IF(Q541="","",TODAY()-Q541)</f>
        <v/>
      </c>
      <c r="X541" s="51" t="str">
        <f aca="true">IF(F541="","",IF(OR(O541="Won",O541="Lost"),"Closed",IF(S541="","No date set",IF(S541&lt;TODAY(),"Overdue",IF(S541=TODAY(),"Due today","Upcoming")))))</f>
        <v/>
      </c>
    </row>
    <row r="542" customFormat="false" ht="15" hidden="false" customHeight="false" outlineLevel="0" collapsed="false">
      <c r="A542" s="16" t="s">
        <v>769</v>
      </c>
      <c r="B542" s="18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8"/>
      <c r="R542" s="16"/>
      <c r="S542" s="18"/>
      <c r="T542" s="24"/>
      <c r="U542" s="23"/>
      <c r="V542" s="52"/>
      <c r="W542" s="50" t="str">
        <f aca="true">IF(Q542="","",TODAY()-Q542)</f>
        <v/>
      </c>
      <c r="X542" s="51" t="str">
        <f aca="true">IF(F542="","",IF(OR(O542="Won",O542="Lost"),"Closed",IF(S542="","No date set",IF(S542&lt;TODAY(),"Overdue",IF(S542=TODAY(),"Due today","Upcoming")))))</f>
        <v/>
      </c>
    </row>
    <row r="543" customFormat="false" ht="15" hidden="false" customHeight="false" outlineLevel="0" collapsed="false">
      <c r="A543" s="16" t="s">
        <v>770</v>
      </c>
      <c r="B543" s="18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8"/>
      <c r="R543" s="16"/>
      <c r="S543" s="18"/>
      <c r="T543" s="24"/>
      <c r="U543" s="23"/>
      <c r="V543" s="52"/>
      <c r="W543" s="50" t="str">
        <f aca="true">IF(Q543="","",TODAY()-Q543)</f>
        <v/>
      </c>
      <c r="X543" s="51" t="str">
        <f aca="true">IF(F543="","",IF(OR(O543="Won",O543="Lost"),"Closed",IF(S543="","No date set",IF(S543&lt;TODAY(),"Overdue",IF(S543=TODAY(),"Due today","Upcoming")))))</f>
        <v/>
      </c>
    </row>
    <row r="544" customFormat="false" ht="15" hidden="false" customHeight="false" outlineLevel="0" collapsed="false">
      <c r="A544" s="16" t="s">
        <v>771</v>
      </c>
      <c r="B544" s="18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8"/>
      <c r="R544" s="16"/>
      <c r="S544" s="18"/>
      <c r="T544" s="24"/>
      <c r="U544" s="23"/>
      <c r="V544" s="52"/>
      <c r="W544" s="50" t="str">
        <f aca="true">IF(Q544="","",TODAY()-Q544)</f>
        <v/>
      </c>
      <c r="X544" s="51" t="str">
        <f aca="true">IF(F544="","",IF(OR(O544="Won",O544="Lost"),"Closed",IF(S544="","No date set",IF(S544&lt;TODAY(),"Overdue",IF(S544=TODAY(),"Due today","Upcoming")))))</f>
        <v/>
      </c>
    </row>
    <row r="545" customFormat="false" ht="15" hidden="false" customHeight="false" outlineLevel="0" collapsed="false">
      <c r="A545" s="16" t="s">
        <v>772</v>
      </c>
      <c r="B545" s="18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8"/>
      <c r="R545" s="16"/>
      <c r="S545" s="18"/>
      <c r="T545" s="24"/>
      <c r="U545" s="23"/>
      <c r="V545" s="52"/>
      <c r="W545" s="50" t="str">
        <f aca="true">IF(Q545="","",TODAY()-Q545)</f>
        <v/>
      </c>
      <c r="X545" s="51" t="str">
        <f aca="true">IF(F545="","",IF(OR(O545="Won",O545="Lost"),"Closed",IF(S545="","No date set",IF(S545&lt;TODAY(),"Overdue",IF(S545=TODAY(),"Due today","Upcoming")))))</f>
        <v/>
      </c>
    </row>
    <row r="546" customFormat="false" ht="15" hidden="false" customHeight="false" outlineLevel="0" collapsed="false">
      <c r="A546" s="16" t="s">
        <v>773</v>
      </c>
      <c r="B546" s="18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8"/>
      <c r="R546" s="16"/>
      <c r="S546" s="18"/>
      <c r="T546" s="24"/>
      <c r="U546" s="23"/>
      <c r="V546" s="52"/>
      <c r="W546" s="50" t="str">
        <f aca="true">IF(Q546="","",TODAY()-Q546)</f>
        <v/>
      </c>
      <c r="X546" s="51" t="str">
        <f aca="true">IF(F546="","",IF(OR(O546="Won",O546="Lost"),"Closed",IF(S546="","No date set",IF(S546&lt;TODAY(),"Overdue",IF(S546=TODAY(),"Due today","Upcoming")))))</f>
        <v/>
      </c>
    </row>
    <row r="547" customFormat="false" ht="15" hidden="false" customHeight="false" outlineLevel="0" collapsed="false">
      <c r="A547" s="16" t="s">
        <v>774</v>
      </c>
      <c r="B547" s="18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8"/>
      <c r="R547" s="16"/>
      <c r="S547" s="18"/>
      <c r="T547" s="24"/>
      <c r="U547" s="23"/>
      <c r="V547" s="52"/>
      <c r="W547" s="50" t="str">
        <f aca="true">IF(Q547="","",TODAY()-Q547)</f>
        <v/>
      </c>
      <c r="X547" s="51" t="str">
        <f aca="true">IF(F547="","",IF(OR(O547="Won",O547="Lost"),"Closed",IF(S547="","No date set",IF(S547&lt;TODAY(),"Overdue",IF(S547=TODAY(),"Due today","Upcoming")))))</f>
        <v/>
      </c>
    </row>
    <row r="548" customFormat="false" ht="15" hidden="false" customHeight="false" outlineLevel="0" collapsed="false">
      <c r="A548" s="16" t="s">
        <v>775</v>
      </c>
      <c r="B548" s="18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8"/>
      <c r="R548" s="16"/>
      <c r="S548" s="18"/>
      <c r="T548" s="24"/>
      <c r="U548" s="23"/>
      <c r="V548" s="52"/>
      <c r="W548" s="50" t="str">
        <f aca="true">IF(Q548="","",TODAY()-Q548)</f>
        <v/>
      </c>
      <c r="X548" s="51" t="str">
        <f aca="true">IF(F548="","",IF(OR(O548="Won",O548="Lost"),"Closed",IF(S548="","No date set",IF(S548&lt;TODAY(),"Overdue",IF(S548=TODAY(),"Due today","Upcoming")))))</f>
        <v/>
      </c>
    </row>
    <row r="549" customFormat="false" ht="15" hidden="false" customHeight="false" outlineLevel="0" collapsed="false">
      <c r="A549" s="16" t="s">
        <v>776</v>
      </c>
      <c r="B549" s="18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8"/>
      <c r="R549" s="16"/>
      <c r="S549" s="18"/>
      <c r="T549" s="24"/>
      <c r="U549" s="23"/>
      <c r="V549" s="52"/>
      <c r="W549" s="50" t="str">
        <f aca="true">IF(Q549="","",TODAY()-Q549)</f>
        <v/>
      </c>
      <c r="X549" s="51" t="str">
        <f aca="true">IF(F549="","",IF(OR(O549="Won",O549="Lost"),"Closed",IF(S549="","No date set",IF(S549&lt;TODAY(),"Overdue",IF(S549=TODAY(),"Due today","Upcoming")))))</f>
        <v/>
      </c>
    </row>
    <row r="550" customFormat="false" ht="15" hidden="false" customHeight="false" outlineLevel="0" collapsed="false">
      <c r="A550" s="16" t="s">
        <v>777</v>
      </c>
      <c r="B550" s="18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8"/>
      <c r="R550" s="16"/>
      <c r="S550" s="18"/>
      <c r="T550" s="24"/>
      <c r="U550" s="23"/>
      <c r="V550" s="52"/>
      <c r="W550" s="50" t="str">
        <f aca="true">IF(Q550="","",TODAY()-Q550)</f>
        <v/>
      </c>
      <c r="X550" s="51" t="str">
        <f aca="true">IF(F550="","",IF(OR(O550="Won",O550="Lost"),"Closed",IF(S550="","No date set",IF(S550&lt;TODAY(),"Overdue",IF(S550=TODAY(),"Due today","Upcoming")))))</f>
        <v/>
      </c>
    </row>
    <row r="551" customFormat="false" ht="15" hidden="false" customHeight="false" outlineLevel="0" collapsed="false">
      <c r="A551" s="16" t="s">
        <v>778</v>
      </c>
      <c r="B551" s="18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8"/>
      <c r="R551" s="16"/>
      <c r="S551" s="18"/>
      <c r="T551" s="24"/>
      <c r="U551" s="23"/>
      <c r="V551" s="52"/>
      <c r="W551" s="50" t="str">
        <f aca="true">IF(Q551="","",TODAY()-Q551)</f>
        <v/>
      </c>
      <c r="X551" s="51" t="str">
        <f aca="true">IF(F551="","",IF(OR(O551="Won",O551="Lost"),"Closed",IF(S551="","No date set",IF(S551&lt;TODAY(),"Overdue",IF(S551=TODAY(),"Due today","Upcoming")))))</f>
        <v/>
      </c>
    </row>
    <row r="552" customFormat="false" ht="15" hidden="false" customHeight="false" outlineLevel="0" collapsed="false">
      <c r="A552" s="16" t="s">
        <v>779</v>
      </c>
      <c r="B552" s="18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8"/>
      <c r="R552" s="16"/>
      <c r="S552" s="18"/>
      <c r="T552" s="24"/>
      <c r="U552" s="23"/>
      <c r="V552" s="52"/>
      <c r="W552" s="50" t="str">
        <f aca="true">IF(Q552="","",TODAY()-Q552)</f>
        <v/>
      </c>
      <c r="X552" s="51" t="str">
        <f aca="true">IF(F552="","",IF(OR(O552="Won",O552="Lost"),"Closed",IF(S552="","No date set",IF(S552&lt;TODAY(),"Overdue",IF(S552=TODAY(),"Due today","Upcoming")))))</f>
        <v/>
      </c>
    </row>
    <row r="553" customFormat="false" ht="15" hidden="false" customHeight="false" outlineLevel="0" collapsed="false">
      <c r="A553" s="16" t="s">
        <v>780</v>
      </c>
      <c r="B553" s="18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8"/>
      <c r="R553" s="16"/>
      <c r="S553" s="18"/>
      <c r="T553" s="24"/>
      <c r="U553" s="23"/>
      <c r="V553" s="52"/>
      <c r="W553" s="50" t="str">
        <f aca="true">IF(Q553="","",TODAY()-Q553)</f>
        <v/>
      </c>
      <c r="X553" s="51" t="str">
        <f aca="true">IF(F553="","",IF(OR(O553="Won",O553="Lost"),"Closed",IF(S553="","No date set",IF(S553&lt;TODAY(),"Overdue",IF(S553=TODAY(),"Due today","Upcoming")))))</f>
        <v/>
      </c>
    </row>
    <row r="554" customFormat="false" ht="15" hidden="false" customHeight="false" outlineLevel="0" collapsed="false">
      <c r="A554" s="16" t="s">
        <v>781</v>
      </c>
      <c r="B554" s="18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8"/>
      <c r="R554" s="16"/>
      <c r="S554" s="18"/>
      <c r="T554" s="24"/>
      <c r="U554" s="23"/>
      <c r="V554" s="52"/>
      <c r="W554" s="50" t="str">
        <f aca="true">IF(Q554="","",TODAY()-Q554)</f>
        <v/>
      </c>
      <c r="X554" s="51" t="str">
        <f aca="true">IF(F554="","",IF(OR(O554="Won",O554="Lost"),"Closed",IF(S554="","No date set",IF(S554&lt;TODAY(),"Overdue",IF(S554=TODAY(),"Due today","Upcoming")))))</f>
        <v/>
      </c>
    </row>
    <row r="555" customFormat="false" ht="15" hidden="false" customHeight="false" outlineLevel="0" collapsed="false">
      <c r="A555" s="16" t="s">
        <v>782</v>
      </c>
      <c r="B555" s="18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8"/>
      <c r="R555" s="16"/>
      <c r="S555" s="18"/>
      <c r="T555" s="24"/>
      <c r="U555" s="23"/>
      <c r="V555" s="52"/>
      <c r="W555" s="50" t="str">
        <f aca="true">IF(Q555="","",TODAY()-Q555)</f>
        <v/>
      </c>
      <c r="X555" s="51" t="str">
        <f aca="true">IF(F555="","",IF(OR(O555="Won",O555="Lost"),"Closed",IF(S555="","No date set",IF(S555&lt;TODAY(),"Overdue",IF(S555=TODAY(),"Due today","Upcoming")))))</f>
        <v/>
      </c>
    </row>
    <row r="556" customFormat="false" ht="15" hidden="false" customHeight="false" outlineLevel="0" collapsed="false">
      <c r="A556" s="16" t="s">
        <v>783</v>
      </c>
      <c r="B556" s="18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8"/>
      <c r="R556" s="16"/>
      <c r="S556" s="18"/>
      <c r="T556" s="24"/>
      <c r="U556" s="23"/>
      <c r="V556" s="52"/>
      <c r="W556" s="50" t="str">
        <f aca="true">IF(Q556="","",TODAY()-Q556)</f>
        <v/>
      </c>
      <c r="X556" s="51" t="str">
        <f aca="true">IF(F556="","",IF(OR(O556="Won",O556="Lost"),"Closed",IF(S556="","No date set",IF(S556&lt;TODAY(),"Overdue",IF(S556=TODAY(),"Due today","Upcoming")))))</f>
        <v/>
      </c>
    </row>
    <row r="557" customFormat="false" ht="15" hidden="false" customHeight="false" outlineLevel="0" collapsed="false">
      <c r="A557" s="16" t="s">
        <v>784</v>
      </c>
      <c r="B557" s="18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8"/>
      <c r="R557" s="16"/>
      <c r="S557" s="18"/>
      <c r="T557" s="24"/>
      <c r="U557" s="23"/>
      <c r="V557" s="52"/>
      <c r="W557" s="50" t="str">
        <f aca="true">IF(Q557="","",TODAY()-Q557)</f>
        <v/>
      </c>
      <c r="X557" s="51" t="str">
        <f aca="true">IF(F557="","",IF(OR(O557="Won",O557="Lost"),"Closed",IF(S557="","No date set",IF(S557&lt;TODAY(),"Overdue",IF(S557=TODAY(),"Due today","Upcoming")))))</f>
        <v/>
      </c>
    </row>
    <row r="558" customFormat="false" ht="15" hidden="false" customHeight="false" outlineLevel="0" collapsed="false">
      <c r="A558" s="16" t="s">
        <v>785</v>
      </c>
      <c r="B558" s="18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8"/>
      <c r="R558" s="16"/>
      <c r="S558" s="18"/>
      <c r="T558" s="24"/>
      <c r="U558" s="23"/>
      <c r="V558" s="52"/>
      <c r="W558" s="50" t="str">
        <f aca="true">IF(Q558="","",TODAY()-Q558)</f>
        <v/>
      </c>
      <c r="X558" s="51" t="str">
        <f aca="true">IF(F558="","",IF(OR(O558="Won",O558="Lost"),"Closed",IF(S558="","No date set",IF(S558&lt;TODAY(),"Overdue",IF(S558=TODAY(),"Due today","Upcoming")))))</f>
        <v/>
      </c>
    </row>
    <row r="559" customFormat="false" ht="15" hidden="false" customHeight="false" outlineLevel="0" collapsed="false">
      <c r="A559" s="16" t="s">
        <v>786</v>
      </c>
      <c r="B559" s="18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8"/>
      <c r="R559" s="16"/>
      <c r="S559" s="18"/>
      <c r="T559" s="24"/>
      <c r="U559" s="23"/>
      <c r="V559" s="52"/>
      <c r="W559" s="50" t="str">
        <f aca="true">IF(Q559="","",TODAY()-Q559)</f>
        <v/>
      </c>
      <c r="X559" s="51" t="str">
        <f aca="true">IF(F559="","",IF(OR(O559="Won",O559="Lost"),"Closed",IF(S559="","No date set",IF(S559&lt;TODAY(),"Overdue",IF(S559=TODAY(),"Due today","Upcoming")))))</f>
        <v/>
      </c>
    </row>
    <row r="560" customFormat="false" ht="15" hidden="false" customHeight="false" outlineLevel="0" collapsed="false">
      <c r="A560" s="16" t="s">
        <v>787</v>
      </c>
      <c r="B560" s="18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8"/>
      <c r="R560" s="16"/>
      <c r="S560" s="18"/>
      <c r="T560" s="24"/>
      <c r="U560" s="23"/>
      <c r="V560" s="52"/>
      <c r="W560" s="50" t="str">
        <f aca="true">IF(Q560="","",TODAY()-Q560)</f>
        <v/>
      </c>
      <c r="X560" s="51" t="str">
        <f aca="true">IF(F560="","",IF(OR(O560="Won",O560="Lost"),"Closed",IF(S560="","No date set",IF(S560&lt;TODAY(),"Overdue",IF(S560=TODAY(),"Due today","Upcoming")))))</f>
        <v/>
      </c>
    </row>
    <row r="561" customFormat="false" ht="15" hidden="false" customHeight="false" outlineLevel="0" collapsed="false">
      <c r="A561" s="16" t="s">
        <v>788</v>
      </c>
      <c r="B561" s="18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8"/>
      <c r="R561" s="16"/>
      <c r="S561" s="18"/>
      <c r="T561" s="24"/>
      <c r="U561" s="23"/>
      <c r="V561" s="52"/>
      <c r="W561" s="50" t="str">
        <f aca="true">IF(Q561="","",TODAY()-Q561)</f>
        <v/>
      </c>
      <c r="X561" s="51" t="str">
        <f aca="true">IF(F561="","",IF(OR(O561="Won",O561="Lost"),"Closed",IF(S561="","No date set",IF(S561&lt;TODAY(),"Overdue",IF(S561=TODAY(),"Due today","Upcoming")))))</f>
        <v/>
      </c>
    </row>
    <row r="562" customFormat="false" ht="15" hidden="false" customHeight="false" outlineLevel="0" collapsed="false">
      <c r="A562" s="16" t="s">
        <v>789</v>
      </c>
      <c r="B562" s="18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8"/>
      <c r="R562" s="16"/>
      <c r="S562" s="18"/>
      <c r="T562" s="24"/>
      <c r="U562" s="23"/>
      <c r="V562" s="52"/>
      <c r="W562" s="50" t="str">
        <f aca="true">IF(Q562="","",TODAY()-Q562)</f>
        <v/>
      </c>
      <c r="X562" s="51" t="str">
        <f aca="true">IF(F562="","",IF(OR(O562="Won",O562="Lost"),"Closed",IF(S562="","No date set",IF(S562&lt;TODAY(),"Overdue",IF(S562=TODAY(),"Due today","Upcoming")))))</f>
        <v/>
      </c>
    </row>
    <row r="563" customFormat="false" ht="15" hidden="false" customHeight="false" outlineLevel="0" collapsed="false">
      <c r="A563" s="16" t="s">
        <v>790</v>
      </c>
      <c r="B563" s="18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8"/>
      <c r="R563" s="16"/>
      <c r="S563" s="18"/>
      <c r="T563" s="24"/>
      <c r="U563" s="23"/>
      <c r="V563" s="52"/>
      <c r="W563" s="50" t="str">
        <f aca="true">IF(Q563="","",TODAY()-Q563)</f>
        <v/>
      </c>
      <c r="X563" s="51" t="str">
        <f aca="true">IF(F563="","",IF(OR(O563="Won",O563="Lost"),"Closed",IF(S563="","No date set",IF(S563&lt;TODAY(),"Overdue",IF(S563=TODAY(),"Due today","Upcoming")))))</f>
        <v/>
      </c>
    </row>
    <row r="564" customFormat="false" ht="15" hidden="false" customHeight="false" outlineLevel="0" collapsed="false">
      <c r="A564" s="16" t="s">
        <v>791</v>
      </c>
      <c r="B564" s="18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8"/>
      <c r="R564" s="16"/>
      <c r="S564" s="18"/>
      <c r="T564" s="24"/>
      <c r="U564" s="23"/>
      <c r="V564" s="52"/>
      <c r="W564" s="50" t="str">
        <f aca="true">IF(Q564="","",TODAY()-Q564)</f>
        <v/>
      </c>
      <c r="X564" s="51" t="str">
        <f aca="true">IF(F564="","",IF(OR(O564="Won",O564="Lost"),"Closed",IF(S564="","No date set",IF(S564&lt;TODAY(),"Overdue",IF(S564=TODAY(),"Due today","Upcoming")))))</f>
        <v/>
      </c>
    </row>
    <row r="565" customFormat="false" ht="15" hidden="false" customHeight="false" outlineLevel="0" collapsed="false">
      <c r="A565" s="16" t="s">
        <v>792</v>
      </c>
      <c r="B565" s="18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8"/>
      <c r="R565" s="16"/>
      <c r="S565" s="18"/>
      <c r="T565" s="24"/>
      <c r="U565" s="23"/>
      <c r="V565" s="52"/>
      <c r="W565" s="50" t="str">
        <f aca="true">IF(Q565="","",TODAY()-Q565)</f>
        <v/>
      </c>
      <c r="X565" s="51" t="str">
        <f aca="true">IF(F565="","",IF(OR(O565="Won",O565="Lost"),"Closed",IF(S565="","No date set",IF(S565&lt;TODAY(),"Overdue",IF(S565=TODAY(),"Due today","Upcoming")))))</f>
        <v/>
      </c>
    </row>
    <row r="566" customFormat="false" ht="15" hidden="false" customHeight="false" outlineLevel="0" collapsed="false">
      <c r="A566" s="16" t="s">
        <v>793</v>
      </c>
      <c r="B566" s="18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8"/>
      <c r="R566" s="16"/>
      <c r="S566" s="18"/>
      <c r="T566" s="24"/>
      <c r="U566" s="23"/>
      <c r="V566" s="52"/>
      <c r="W566" s="50" t="str">
        <f aca="true">IF(Q566="","",TODAY()-Q566)</f>
        <v/>
      </c>
      <c r="X566" s="51" t="str">
        <f aca="true">IF(F566="","",IF(OR(O566="Won",O566="Lost"),"Closed",IF(S566="","No date set",IF(S566&lt;TODAY(),"Overdue",IF(S566=TODAY(),"Due today","Upcoming")))))</f>
        <v/>
      </c>
    </row>
    <row r="567" customFormat="false" ht="15" hidden="false" customHeight="false" outlineLevel="0" collapsed="false">
      <c r="A567" s="16" t="s">
        <v>794</v>
      </c>
      <c r="B567" s="18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8"/>
      <c r="R567" s="16"/>
      <c r="S567" s="18"/>
      <c r="T567" s="24"/>
      <c r="U567" s="23"/>
      <c r="V567" s="52"/>
      <c r="W567" s="50" t="str">
        <f aca="true">IF(Q567="","",TODAY()-Q567)</f>
        <v/>
      </c>
      <c r="X567" s="51" t="str">
        <f aca="true">IF(F567="","",IF(OR(O567="Won",O567="Lost"),"Closed",IF(S567="","No date set",IF(S567&lt;TODAY(),"Overdue",IF(S567=TODAY(),"Due today","Upcoming")))))</f>
        <v/>
      </c>
    </row>
    <row r="568" customFormat="false" ht="15" hidden="false" customHeight="false" outlineLevel="0" collapsed="false">
      <c r="A568" s="16" t="s">
        <v>795</v>
      </c>
      <c r="B568" s="18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8"/>
      <c r="R568" s="16"/>
      <c r="S568" s="18"/>
      <c r="T568" s="24"/>
      <c r="U568" s="23"/>
      <c r="V568" s="52"/>
      <c r="W568" s="50" t="str">
        <f aca="true">IF(Q568="","",TODAY()-Q568)</f>
        <v/>
      </c>
      <c r="X568" s="51" t="str">
        <f aca="true">IF(F568="","",IF(OR(O568="Won",O568="Lost"),"Closed",IF(S568="","No date set",IF(S568&lt;TODAY(),"Overdue",IF(S568=TODAY(),"Due today","Upcoming")))))</f>
        <v/>
      </c>
    </row>
    <row r="569" customFormat="false" ht="15" hidden="false" customHeight="false" outlineLevel="0" collapsed="false">
      <c r="A569" s="16" t="s">
        <v>796</v>
      </c>
      <c r="B569" s="18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8"/>
      <c r="R569" s="16"/>
      <c r="S569" s="18"/>
      <c r="T569" s="24"/>
      <c r="U569" s="23"/>
      <c r="V569" s="52"/>
      <c r="W569" s="50" t="str">
        <f aca="true">IF(Q569="","",TODAY()-Q569)</f>
        <v/>
      </c>
      <c r="X569" s="51" t="str">
        <f aca="true">IF(F569="","",IF(OR(O569="Won",O569="Lost"),"Closed",IF(S569="","No date set",IF(S569&lt;TODAY(),"Overdue",IF(S569=TODAY(),"Due today","Upcoming")))))</f>
        <v/>
      </c>
    </row>
    <row r="570" customFormat="false" ht="15" hidden="false" customHeight="false" outlineLevel="0" collapsed="false">
      <c r="A570" s="16" t="s">
        <v>797</v>
      </c>
      <c r="B570" s="18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8"/>
      <c r="R570" s="16"/>
      <c r="S570" s="18"/>
      <c r="T570" s="24"/>
      <c r="U570" s="23"/>
      <c r="V570" s="52"/>
      <c r="W570" s="50" t="str">
        <f aca="true">IF(Q570="","",TODAY()-Q570)</f>
        <v/>
      </c>
      <c r="X570" s="51" t="str">
        <f aca="true">IF(F570="","",IF(OR(O570="Won",O570="Lost"),"Closed",IF(S570="","No date set",IF(S570&lt;TODAY(),"Overdue",IF(S570=TODAY(),"Due today","Upcoming")))))</f>
        <v/>
      </c>
    </row>
    <row r="571" customFormat="false" ht="15" hidden="false" customHeight="false" outlineLevel="0" collapsed="false">
      <c r="A571" s="16" t="s">
        <v>798</v>
      </c>
      <c r="B571" s="18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8"/>
      <c r="R571" s="16"/>
      <c r="S571" s="18"/>
      <c r="T571" s="24"/>
      <c r="U571" s="23"/>
      <c r="V571" s="52"/>
      <c r="W571" s="50" t="str">
        <f aca="true">IF(Q571="","",TODAY()-Q571)</f>
        <v/>
      </c>
      <c r="X571" s="51" t="str">
        <f aca="true">IF(F571="","",IF(OR(O571="Won",O571="Lost"),"Closed",IF(S571="","No date set",IF(S571&lt;TODAY(),"Overdue",IF(S571=TODAY(),"Due today","Upcoming")))))</f>
        <v/>
      </c>
    </row>
    <row r="572" customFormat="false" ht="15" hidden="false" customHeight="false" outlineLevel="0" collapsed="false">
      <c r="A572" s="16" t="s">
        <v>799</v>
      </c>
      <c r="B572" s="18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8"/>
      <c r="R572" s="16"/>
      <c r="S572" s="18"/>
      <c r="T572" s="24"/>
      <c r="U572" s="23"/>
      <c r="V572" s="52"/>
      <c r="W572" s="50" t="str">
        <f aca="true">IF(Q572="","",TODAY()-Q572)</f>
        <v/>
      </c>
      <c r="X572" s="51" t="str">
        <f aca="true">IF(F572="","",IF(OR(O572="Won",O572="Lost"),"Closed",IF(S572="","No date set",IF(S572&lt;TODAY(),"Overdue",IF(S572=TODAY(),"Due today","Upcoming")))))</f>
        <v/>
      </c>
    </row>
    <row r="573" customFormat="false" ht="15" hidden="false" customHeight="false" outlineLevel="0" collapsed="false">
      <c r="A573" s="16" t="s">
        <v>800</v>
      </c>
      <c r="B573" s="18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8"/>
      <c r="R573" s="16"/>
      <c r="S573" s="18"/>
      <c r="T573" s="24"/>
      <c r="U573" s="23"/>
      <c r="V573" s="52"/>
      <c r="W573" s="50" t="str">
        <f aca="true">IF(Q573="","",TODAY()-Q573)</f>
        <v/>
      </c>
      <c r="X573" s="51" t="str">
        <f aca="true">IF(F573="","",IF(OR(O573="Won",O573="Lost"),"Closed",IF(S573="","No date set",IF(S573&lt;TODAY(),"Overdue",IF(S573=TODAY(),"Due today","Upcoming")))))</f>
        <v/>
      </c>
    </row>
    <row r="574" customFormat="false" ht="15" hidden="false" customHeight="false" outlineLevel="0" collapsed="false">
      <c r="A574" s="16" t="s">
        <v>801</v>
      </c>
      <c r="B574" s="18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8"/>
      <c r="R574" s="16"/>
      <c r="S574" s="18"/>
      <c r="T574" s="24"/>
      <c r="U574" s="23"/>
      <c r="V574" s="52"/>
      <c r="W574" s="50" t="str">
        <f aca="true">IF(Q574="","",TODAY()-Q574)</f>
        <v/>
      </c>
      <c r="X574" s="51" t="str">
        <f aca="true">IF(F574="","",IF(OR(O574="Won",O574="Lost"),"Closed",IF(S574="","No date set",IF(S574&lt;TODAY(),"Overdue",IF(S574=TODAY(),"Due today","Upcoming")))))</f>
        <v/>
      </c>
    </row>
    <row r="575" customFormat="false" ht="15" hidden="false" customHeight="false" outlineLevel="0" collapsed="false">
      <c r="A575" s="16" t="s">
        <v>802</v>
      </c>
      <c r="B575" s="18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8"/>
      <c r="R575" s="16"/>
      <c r="S575" s="18"/>
      <c r="T575" s="24"/>
      <c r="U575" s="23"/>
      <c r="V575" s="52"/>
      <c r="W575" s="50" t="str">
        <f aca="true">IF(Q575="","",TODAY()-Q575)</f>
        <v/>
      </c>
      <c r="X575" s="51" t="str">
        <f aca="true">IF(F575="","",IF(OR(O575="Won",O575="Lost"),"Closed",IF(S575="","No date set",IF(S575&lt;TODAY(),"Overdue",IF(S575=TODAY(),"Due today","Upcoming")))))</f>
        <v/>
      </c>
    </row>
    <row r="576" customFormat="false" ht="15" hidden="false" customHeight="false" outlineLevel="0" collapsed="false">
      <c r="A576" s="16" t="s">
        <v>803</v>
      </c>
      <c r="B576" s="18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8"/>
      <c r="R576" s="16"/>
      <c r="S576" s="18"/>
      <c r="T576" s="24"/>
      <c r="U576" s="23"/>
      <c r="V576" s="52"/>
      <c r="W576" s="50" t="str">
        <f aca="true">IF(Q576="","",TODAY()-Q576)</f>
        <v/>
      </c>
      <c r="X576" s="51" t="str">
        <f aca="true">IF(F576="","",IF(OR(O576="Won",O576="Lost"),"Closed",IF(S576="","No date set",IF(S576&lt;TODAY(),"Overdue",IF(S576=TODAY(),"Due today","Upcoming")))))</f>
        <v/>
      </c>
    </row>
    <row r="577" customFormat="false" ht="15" hidden="false" customHeight="false" outlineLevel="0" collapsed="false">
      <c r="A577" s="16" t="s">
        <v>804</v>
      </c>
      <c r="B577" s="18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8"/>
      <c r="R577" s="16"/>
      <c r="S577" s="18"/>
      <c r="T577" s="24"/>
      <c r="U577" s="23"/>
      <c r="V577" s="52"/>
      <c r="W577" s="50" t="str">
        <f aca="true">IF(Q577="","",TODAY()-Q577)</f>
        <v/>
      </c>
      <c r="X577" s="51" t="str">
        <f aca="true">IF(F577="","",IF(OR(O577="Won",O577="Lost"),"Closed",IF(S577="","No date set",IF(S577&lt;TODAY(),"Overdue",IF(S577=TODAY(),"Due today","Upcoming")))))</f>
        <v/>
      </c>
    </row>
    <row r="578" customFormat="false" ht="15" hidden="false" customHeight="false" outlineLevel="0" collapsed="false">
      <c r="A578" s="16" t="s">
        <v>805</v>
      </c>
      <c r="B578" s="18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8"/>
      <c r="R578" s="16"/>
      <c r="S578" s="18"/>
      <c r="T578" s="24"/>
      <c r="U578" s="23"/>
      <c r="V578" s="52"/>
      <c r="W578" s="50" t="str">
        <f aca="true">IF(Q578="","",TODAY()-Q578)</f>
        <v/>
      </c>
      <c r="X578" s="51" t="str">
        <f aca="true">IF(F578="","",IF(OR(O578="Won",O578="Lost"),"Closed",IF(S578="","No date set",IF(S578&lt;TODAY(),"Overdue",IF(S578=TODAY(),"Due today","Upcoming")))))</f>
        <v/>
      </c>
    </row>
    <row r="579" customFormat="false" ht="15" hidden="false" customHeight="false" outlineLevel="0" collapsed="false">
      <c r="A579" s="16" t="s">
        <v>806</v>
      </c>
      <c r="B579" s="18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8"/>
      <c r="R579" s="16"/>
      <c r="S579" s="18"/>
      <c r="T579" s="24"/>
      <c r="U579" s="23"/>
      <c r="V579" s="52"/>
      <c r="W579" s="50" t="str">
        <f aca="true">IF(Q579="","",TODAY()-Q579)</f>
        <v/>
      </c>
      <c r="X579" s="51" t="str">
        <f aca="true">IF(F579="","",IF(OR(O579="Won",O579="Lost"),"Closed",IF(S579="","No date set",IF(S579&lt;TODAY(),"Overdue",IF(S579=TODAY(),"Due today","Upcoming")))))</f>
        <v/>
      </c>
    </row>
    <row r="580" customFormat="false" ht="15" hidden="false" customHeight="false" outlineLevel="0" collapsed="false">
      <c r="A580" s="16" t="s">
        <v>807</v>
      </c>
      <c r="B580" s="18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8"/>
      <c r="R580" s="16"/>
      <c r="S580" s="18"/>
      <c r="T580" s="24"/>
      <c r="U580" s="23"/>
      <c r="V580" s="52"/>
      <c r="W580" s="50" t="str">
        <f aca="true">IF(Q580="","",TODAY()-Q580)</f>
        <v/>
      </c>
      <c r="X580" s="51" t="str">
        <f aca="true">IF(F580="","",IF(OR(O580="Won",O580="Lost"),"Closed",IF(S580="","No date set",IF(S580&lt;TODAY(),"Overdue",IF(S580=TODAY(),"Due today","Upcoming")))))</f>
        <v/>
      </c>
    </row>
    <row r="581" customFormat="false" ht="15" hidden="false" customHeight="false" outlineLevel="0" collapsed="false">
      <c r="A581" s="16" t="s">
        <v>808</v>
      </c>
      <c r="B581" s="18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8"/>
      <c r="R581" s="16"/>
      <c r="S581" s="18"/>
      <c r="T581" s="24"/>
      <c r="U581" s="23"/>
      <c r="V581" s="52"/>
      <c r="W581" s="50" t="str">
        <f aca="true">IF(Q581="","",TODAY()-Q581)</f>
        <v/>
      </c>
      <c r="X581" s="51" t="str">
        <f aca="true">IF(F581="","",IF(OR(O581="Won",O581="Lost"),"Closed",IF(S581="","No date set",IF(S581&lt;TODAY(),"Overdue",IF(S581=TODAY(),"Due today","Upcoming")))))</f>
        <v/>
      </c>
    </row>
    <row r="582" customFormat="false" ht="15" hidden="false" customHeight="false" outlineLevel="0" collapsed="false">
      <c r="A582" s="16" t="s">
        <v>809</v>
      </c>
      <c r="B582" s="18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8"/>
      <c r="R582" s="16"/>
      <c r="S582" s="18"/>
      <c r="T582" s="24"/>
      <c r="U582" s="23"/>
      <c r="V582" s="52"/>
      <c r="W582" s="50" t="str">
        <f aca="true">IF(Q582="","",TODAY()-Q582)</f>
        <v/>
      </c>
      <c r="X582" s="51" t="str">
        <f aca="true">IF(F582="","",IF(OR(O582="Won",O582="Lost"),"Closed",IF(S582="","No date set",IF(S582&lt;TODAY(),"Overdue",IF(S582=TODAY(),"Due today","Upcoming")))))</f>
        <v/>
      </c>
    </row>
    <row r="583" customFormat="false" ht="15" hidden="false" customHeight="false" outlineLevel="0" collapsed="false">
      <c r="A583" s="16" t="s">
        <v>810</v>
      </c>
      <c r="B583" s="18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8"/>
      <c r="R583" s="16"/>
      <c r="S583" s="18"/>
      <c r="T583" s="24"/>
      <c r="U583" s="23"/>
      <c r="V583" s="52"/>
      <c r="W583" s="50" t="str">
        <f aca="true">IF(Q583="","",TODAY()-Q583)</f>
        <v/>
      </c>
      <c r="X583" s="51" t="str">
        <f aca="true">IF(F583="","",IF(OR(O583="Won",O583="Lost"),"Closed",IF(S583="","No date set",IF(S583&lt;TODAY(),"Overdue",IF(S583=TODAY(),"Due today","Upcoming")))))</f>
        <v/>
      </c>
    </row>
    <row r="584" customFormat="false" ht="15" hidden="false" customHeight="false" outlineLevel="0" collapsed="false">
      <c r="A584" s="16" t="s">
        <v>811</v>
      </c>
      <c r="B584" s="18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8"/>
      <c r="R584" s="16"/>
      <c r="S584" s="18"/>
      <c r="T584" s="24"/>
      <c r="U584" s="23"/>
      <c r="V584" s="52"/>
      <c r="W584" s="50" t="str">
        <f aca="true">IF(Q584="","",TODAY()-Q584)</f>
        <v/>
      </c>
      <c r="X584" s="51" t="str">
        <f aca="true">IF(F584="","",IF(OR(O584="Won",O584="Lost"),"Closed",IF(S584="","No date set",IF(S584&lt;TODAY(),"Overdue",IF(S584=TODAY(),"Due today","Upcoming")))))</f>
        <v/>
      </c>
    </row>
    <row r="585" customFormat="false" ht="15" hidden="false" customHeight="false" outlineLevel="0" collapsed="false">
      <c r="A585" s="16" t="s">
        <v>812</v>
      </c>
      <c r="B585" s="18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8"/>
      <c r="R585" s="16"/>
      <c r="S585" s="18"/>
      <c r="T585" s="24"/>
      <c r="U585" s="23"/>
      <c r="V585" s="52"/>
      <c r="W585" s="50" t="str">
        <f aca="true">IF(Q585="","",TODAY()-Q585)</f>
        <v/>
      </c>
      <c r="X585" s="51" t="str">
        <f aca="true">IF(F585="","",IF(OR(O585="Won",O585="Lost"),"Closed",IF(S585="","No date set",IF(S585&lt;TODAY(),"Overdue",IF(S585=TODAY(),"Due today","Upcoming")))))</f>
        <v/>
      </c>
    </row>
    <row r="586" customFormat="false" ht="15" hidden="false" customHeight="false" outlineLevel="0" collapsed="false">
      <c r="A586" s="16" t="s">
        <v>813</v>
      </c>
      <c r="B586" s="18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8"/>
      <c r="R586" s="16"/>
      <c r="S586" s="18"/>
      <c r="T586" s="24"/>
      <c r="U586" s="23"/>
      <c r="V586" s="52"/>
      <c r="W586" s="50" t="str">
        <f aca="true">IF(Q586="","",TODAY()-Q586)</f>
        <v/>
      </c>
      <c r="X586" s="51" t="str">
        <f aca="true">IF(F586="","",IF(OR(O586="Won",O586="Lost"),"Closed",IF(S586="","No date set",IF(S586&lt;TODAY(),"Overdue",IF(S586=TODAY(),"Due today","Upcoming")))))</f>
        <v/>
      </c>
    </row>
    <row r="587" customFormat="false" ht="15" hidden="false" customHeight="false" outlineLevel="0" collapsed="false">
      <c r="A587" s="16" t="s">
        <v>814</v>
      </c>
      <c r="B587" s="18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8"/>
      <c r="R587" s="16"/>
      <c r="S587" s="18"/>
      <c r="T587" s="24"/>
      <c r="U587" s="23"/>
      <c r="V587" s="52"/>
      <c r="W587" s="50" t="str">
        <f aca="true">IF(Q587="","",TODAY()-Q587)</f>
        <v/>
      </c>
      <c r="X587" s="51" t="str">
        <f aca="true">IF(F587="","",IF(OR(O587="Won",O587="Lost"),"Closed",IF(S587="","No date set",IF(S587&lt;TODAY(),"Overdue",IF(S587=TODAY(),"Due today","Upcoming")))))</f>
        <v/>
      </c>
    </row>
    <row r="588" customFormat="false" ht="15" hidden="false" customHeight="false" outlineLevel="0" collapsed="false">
      <c r="A588" s="16" t="s">
        <v>815</v>
      </c>
      <c r="B588" s="18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8"/>
      <c r="R588" s="16"/>
      <c r="S588" s="18"/>
      <c r="T588" s="24"/>
      <c r="U588" s="23"/>
      <c r="V588" s="52"/>
      <c r="W588" s="50" t="str">
        <f aca="true">IF(Q588="","",TODAY()-Q588)</f>
        <v/>
      </c>
      <c r="X588" s="51" t="str">
        <f aca="true">IF(F588="","",IF(OR(O588="Won",O588="Lost"),"Closed",IF(S588="","No date set",IF(S588&lt;TODAY(),"Overdue",IF(S588=TODAY(),"Due today","Upcoming")))))</f>
        <v/>
      </c>
    </row>
    <row r="589" customFormat="false" ht="15" hidden="false" customHeight="false" outlineLevel="0" collapsed="false">
      <c r="A589" s="16" t="s">
        <v>816</v>
      </c>
      <c r="B589" s="18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8"/>
      <c r="R589" s="16"/>
      <c r="S589" s="18"/>
      <c r="T589" s="24"/>
      <c r="U589" s="23"/>
      <c r="V589" s="52"/>
      <c r="W589" s="50" t="str">
        <f aca="true">IF(Q589="","",TODAY()-Q589)</f>
        <v/>
      </c>
      <c r="X589" s="51" t="str">
        <f aca="true">IF(F589="","",IF(OR(O589="Won",O589="Lost"),"Closed",IF(S589="","No date set",IF(S589&lt;TODAY(),"Overdue",IF(S589=TODAY(),"Due today","Upcoming")))))</f>
        <v/>
      </c>
    </row>
    <row r="590" customFormat="false" ht="15" hidden="false" customHeight="false" outlineLevel="0" collapsed="false">
      <c r="A590" s="16" t="s">
        <v>817</v>
      </c>
      <c r="B590" s="18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8"/>
      <c r="R590" s="16"/>
      <c r="S590" s="18"/>
      <c r="T590" s="24"/>
      <c r="U590" s="23"/>
      <c r="V590" s="52"/>
      <c r="W590" s="50" t="str">
        <f aca="true">IF(Q590="","",TODAY()-Q590)</f>
        <v/>
      </c>
      <c r="X590" s="51" t="str">
        <f aca="true">IF(F590="","",IF(OR(O590="Won",O590="Lost"),"Closed",IF(S590="","No date set",IF(S590&lt;TODAY(),"Overdue",IF(S590=TODAY(),"Due today","Upcoming")))))</f>
        <v/>
      </c>
    </row>
    <row r="591" customFormat="false" ht="15" hidden="false" customHeight="false" outlineLevel="0" collapsed="false">
      <c r="A591" s="16" t="s">
        <v>818</v>
      </c>
      <c r="B591" s="18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8"/>
      <c r="R591" s="16"/>
      <c r="S591" s="18"/>
      <c r="T591" s="24"/>
      <c r="U591" s="23"/>
      <c r="V591" s="52"/>
      <c r="W591" s="50" t="str">
        <f aca="true">IF(Q591="","",TODAY()-Q591)</f>
        <v/>
      </c>
      <c r="X591" s="51" t="str">
        <f aca="true">IF(F591="","",IF(OR(O591="Won",O591="Lost"),"Closed",IF(S591="","No date set",IF(S591&lt;TODAY(),"Overdue",IF(S591=TODAY(),"Due today","Upcoming")))))</f>
        <v/>
      </c>
    </row>
    <row r="592" customFormat="false" ht="15" hidden="false" customHeight="false" outlineLevel="0" collapsed="false">
      <c r="A592" s="16" t="s">
        <v>819</v>
      </c>
      <c r="B592" s="18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8"/>
      <c r="R592" s="16"/>
      <c r="S592" s="18"/>
      <c r="T592" s="24"/>
      <c r="U592" s="23"/>
      <c r="V592" s="52"/>
      <c r="W592" s="50" t="str">
        <f aca="true">IF(Q592="","",TODAY()-Q592)</f>
        <v/>
      </c>
      <c r="X592" s="51" t="str">
        <f aca="true">IF(F592="","",IF(OR(O592="Won",O592="Lost"),"Closed",IF(S592="","No date set",IF(S592&lt;TODAY(),"Overdue",IF(S592=TODAY(),"Due today","Upcoming")))))</f>
        <v/>
      </c>
    </row>
    <row r="593" customFormat="false" ht="15" hidden="false" customHeight="false" outlineLevel="0" collapsed="false">
      <c r="A593" s="16" t="s">
        <v>820</v>
      </c>
      <c r="B593" s="18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8"/>
      <c r="R593" s="16"/>
      <c r="S593" s="18"/>
      <c r="T593" s="24"/>
      <c r="U593" s="23"/>
      <c r="V593" s="52"/>
      <c r="W593" s="50" t="str">
        <f aca="true">IF(Q593="","",TODAY()-Q593)</f>
        <v/>
      </c>
      <c r="X593" s="51" t="str">
        <f aca="true">IF(F593="","",IF(OR(O593="Won",O593="Lost"),"Closed",IF(S593="","No date set",IF(S593&lt;TODAY(),"Overdue",IF(S593=TODAY(),"Due today","Upcoming")))))</f>
        <v/>
      </c>
    </row>
    <row r="594" customFormat="false" ht="15" hidden="false" customHeight="false" outlineLevel="0" collapsed="false">
      <c r="A594" s="16" t="s">
        <v>821</v>
      </c>
      <c r="B594" s="18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8"/>
      <c r="R594" s="16"/>
      <c r="S594" s="18"/>
      <c r="T594" s="24"/>
      <c r="U594" s="23"/>
      <c r="V594" s="52"/>
      <c r="W594" s="50" t="str">
        <f aca="true">IF(Q594="","",TODAY()-Q594)</f>
        <v/>
      </c>
      <c r="X594" s="51" t="str">
        <f aca="true">IF(F594="","",IF(OR(O594="Won",O594="Lost"),"Closed",IF(S594="","No date set",IF(S594&lt;TODAY(),"Overdue",IF(S594=TODAY(),"Due today","Upcoming")))))</f>
        <v/>
      </c>
    </row>
    <row r="595" customFormat="false" ht="15" hidden="false" customHeight="false" outlineLevel="0" collapsed="false">
      <c r="A595" s="16" t="s">
        <v>822</v>
      </c>
      <c r="B595" s="18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8"/>
      <c r="R595" s="16"/>
      <c r="S595" s="18"/>
      <c r="T595" s="24"/>
      <c r="U595" s="23"/>
      <c r="V595" s="52"/>
      <c r="W595" s="50" t="str">
        <f aca="true">IF(Q595="","",TODAY()-Q595)</f>
        <v/>
      </c>
      <c r="X595" s="51" t="str">
        <f aca="true">IF(F595="","",IF(OR(O595="Won",O595="Lost"),"Closed",IF(S595="","No date set",IF(S595&lt;TODAY(),"Overdue",IF(S595=TODAY(),"Due today","Upcoming")))))</f>
        <v/>
      </c>
    </row>
    <row r="596" customFormat="false" ht="15" hidden="false" customHeight="false" outlineLevel="0" collapsed="false">
      <c r="A596" s="16" t="s">
        <v>823</v>
      </c>
      <c r="B596" s="18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8"/>
      <c r="R596" s="16"/>
      <c r="S596" s="18"/>
      <c r="T596" s="24"/>
      <c r="U596" s="23"/>
      <c r="V596" s="52"/>
      <c r="W596" s="50" t="str">
        <f aca="true">IF(Q596="","",TODAY()-Q596)</f>
        <v/>
      </c>
      <c r="X596" s="51" t="str">
        <f aca="true">IF(F596="","",IF(OR(O596="Won",O596="Lost"),"Closed",IF(S596="","No date set",IF(S596&lt;TODAY(),"Overdue",IF(S596=TODAY(),"Due today","Upcoming")))))</f>
        <v/>
      </c>
    </row>
    <row r="597" customFormat="false" ht="15" hidden="false" customHeight="false" outlineLevel="0" collapsed="false">
      <c r="A597" s="16" t="s">
        <v>824</v>
      </c>
      <c r="B597" s="18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8"/>
      <c r="R597" s="16"/>
      <c r="S597" s="18"/>
      <c r="T597" s="24"/>
      <c r="U597" s="23"/>
      <c r="V597" s="52"/>
      <c r="W597" s="50" t="str">
        <f aca="true">IF(Q597="","",TODAY()-Q597)</f>
        <v/>
      </c>
      <c r="X597" s="51" t="str">
        <f aca="true">IF(F597="","",IF(OR(O597="Won",O597="Lost"),"Closed",IF(S597="","No date set",IF(S597&lt;TODAY(),"Overdue",IF(S597=TODAY(),"Due today","Upcoming")))))</f>
        <v/>
      </c>
    </row>
    <row r="598" customFormat="false" ht="15" hidden="false" customHeight="false" outlineLevel="0" collapsed="false">
      <c r="A598" s="16" t="s">
        <v>825</v>
      </c>
      <c r="B598" s="18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8"/>
      <c r="R598" s="16"/>
      <c r="S598" s="18"/>
      <c r="T598" s="24"/>
      <c r="U598" s="23"/>
      <c r="V598" s="52"/>
      <c r="W598" s="50" t="str">
        <f aca="true">IF(Q598="","",TODAY()-Q598)</f>
        <v/>
      </c>
      <c r="X598" s="51" t="str">
        <f aca="true">IF(F598="","",IF(OR(O598="Won",O598="Lost"),"Closed",IF(S598="","No date set",IF(S598&lt;TODAY(),"Overdue",IF(S598=TODAY(),"Due today","Upcoming")))))</f>
        <v/>
      </c>
    </row>
    <row r="599" customFormat="false" ht="15" hidden="false" customHeight="false" outlineLevel="0" collapsed="false">
      <c r="A599" s="16" t="s">
        <v>826</v>
      </c>
      <c r="B599" s="18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8"/>
      <c r="R599" s="16"/>
      <c r="S599" s="18"/>
      <c r="T599" s="24"/>
      <c r="U599" s="23"/>
      <c r="V599" s="52"/>
      <c r="W599" s="50" t="str">
        <f aca="true">IF(Q599="","",TODAY()-Q599)</f>
        <v/>
      </c>
      <c r="X599" s="51" t="str">
        <f aca="true">IF(F599="","",IF(OR(O599="Won",O599="Lost"),"Closed",IF(S599="","No date set",IF(S599&lt;TODAY(),"Overdue",IF(S599=TODAY(),"Due today","Upcoming")))))</f>
        <v/>
      </c>
    </row>
    <row r="600" customFormat="false" ht="15" hidden="false" customHeight="false" outlineLevel="0" collapsed="false">
      <c r="A600" s="16" t="s">
        <v>827</v>
      </c>
      <c r="B600" s="18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8"/>
      <c r="R600" s="16"/>
      <c r="S600" s="18"/>
      <c r="T600" s="24"/>
      <c r="U600" s="23"/>
      <c r="V600" s="52"/>
      <c r="W600" s="50" t="str">
        <f aca="true">IF(Q600="","",TODAY()-Q600)</f>
        <v/>
      </c>
      <c r="X600" s="51" t="str">
        <f aca="true">IF(F600="","",IF(OR(O600="Won",O600="Lost"),"Closed",IF(S600="","No date set",IF(S600&lt;TODAY(),"Overdue",IF(S600=TODAY(),"Due today","Upcoming")))))</f>
        <v/>
      </c>
    </row>
    <row r="601" customFormat="false" ht="15" hidden="false" customHeight="false" outlineLevel="0" collapsed="false">
      <c r="A601" s="16" t="s">
        <v>828</v>
      </c>
      <c r="B601" s="18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8"/>
      <c r="R601" s="16"/>
      <c r="S601" s="18"/>
      <c r="T601" s="24"/>
      <c r="U601" s="23"/>
      <c r="V601" s="52"/>
      <c r="W601" s="50" t="str">
        <f aca="true">IF(Q601="","",TODAY()-Q601)</f>
        <v/>
      </c>
      <c r="X601" s="51" t="str">
        <f aca="true">IF(F601="","",IF(OR(O601="Won",O601="Lost"),"Closed",IF(S601="","No date set",IF(S601&lt;TODAY(),"Overdue",IF(S601=TODAY(),"Due today","Upcoming")))))</f>
        <v/>
      </c>
    </row>
    <row r="602" customFormat="false" ht="15" hidden="false" customHeight="false" outlineLevel="0" collapsed="false">
      <c r="A602" s="16" t="s">
        <v>829</v>
      </c>
      <c r="B602" s="18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8"/>
      <c r="R602" s="16"/>
      <c r="S602" s="18"/>
      <c r="T602" s="24"/>
      <c r="U602" s="23"/>
      <c r="V602" s="52"/>
      <c r="W602" s="50" t="str">
        <f aca="true">IF(Q602="","",TODAY()-Q602)</f>
        <v/>
      </c>
      <c r="X602" s="51" t="str">
        <f aca="true">IF(F602="","",IF(OR(O602="Won",O602="Lost"),"Closed",IF(S602="","No date set",IF(S602&lt;TODAY(),"Overdue",IF(S602=TODAY(),"Due today","Upcoming")))))</f>
        <v/>
      </c>
    </row>
    <row r="603" customFormat="false" ht="15" hidden="false" customHeight="false" outlineLevel="0" collapsed="false">
      <c r="A603" s="16" t="s">
        <v>830</v>
      </c>
      <c r="B603" s="18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8"/>
      <c r="R603" s="16"/>
      <c r="S603" s="18"/>
      <c r="T603" s="24"/>
      <c r="U603" s="23"/>
      <c r="V603" s="52"/>
      <c r="W603" s="50" t="str">
        <f aca="true">IF(Q603="","",TODAY()-Q603)</f>
        <v/>
      </c>
      <c r="X603" s="51" t="str">
        <f aca="true">IF(F603="","",IF(OR(O603="Won",O603="Lost"),"Closed",IF(S603="","No date set",IF(S603&lt;TODAY(),"Overdue",IF(S603=TODAY(),"Due today","Upcoming")))))</f>
        <v/>
      </c>
    </row>
    <row r="604" customFormat="false" ht="15" hidden="false" customHeight="false" outlineLevel="0" collapsed="false">
      <c r="A604" s="16" t="s">
        <v>831</v>
      </c>
      <c r="B604" s="18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8"/>
      <c r="R604" s="16"/>
      <c r="S604" s="18"/>
      <c r="T604" s="24"/>
      <c r="U604" s="23"/>
      <c r="V604" s="52"/>
      <c r="W604" s="50" t="str">
        <f aca="true">IF(Q604="","",TODAY()-Q604)</f>
        <v/>
      </c>
      <c r="X604" s="51" t="str">
        <f aca="true">IF(F604="","",IF(OR(O604="Won",O604="Lost"),"Closed",IF(S604="","No date set",IF(S604&lt;TODAY(),"Overdue",IF(S604=TODAY(),"Due today","Upcoming")))))</f>
        <v/>
      </c>
    </row>
    <row r="605" customFormat="false" ht="15" hidden="false" customHeight="false" outlineLevel="0" collapsed="false">
      <c r="A605" s="16" t="s">
        <v>832</v>
      </c>
      <c r="B605" s="18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8"/>
      <c r="R605" s="16"/>
      <c r="S605" s="18"/>
      <c r="T605" s="24"/>
      <c r="U605" s="23"/>
      <c r="V605" s="52"/>
      <c r="W605" s="50" t="str">
        <f aca="true">IF(Q605="","",TODAY()-Q605)</f>
        <v/>
      </c>
      <c r="X605" s="51" t="str">
        <f aca="true">IF(F605="","",IF(OR(O605="Won",O605="Lost"),"Closed",IF(S605="","No date set",IF(S605&lt;TODAY(),"Overdue",IF(S605=TODAY(),"Due today","Upcoming")))))</f>
        <v/>
      </c>
    </row>
    <row r="606" customFormat="false" ht="15" hidden="false" customHeight="false" outlineLevel="0" collapsed="false">
      <c r="A606" s="16" t="s">
        <v>833</v>
      </c>
      <c r="B606" s="18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8"/>
      <c r="R606" s="16"/>
      <c r="S606" s="18"/>
      <c r="T606" s="24"/>
      <c r="U606" s="23"/>
      <c r="V606" s="52"/>
      <c r="W606" s="50" t="str">
        <f aca="true">IF(Q606="","",TODAY()-Q606)</f>
        <v/>
      </c>
      <c r="X606" s="51" t="str">
        <f aca="true">IF(F606="","",IF(OR(O606="Won",O606="Lost"),"Closed",IF(S606="","No date set",IF(S606&lt;TODAY(),"Overdue",IF(S606=TODAY(),"Due today","Upcoming")))))</f>
        <v/>
      </c>
    </row>
    <row r="607" customFormat="false" ht="15" hidden="false" customHeight="false" outlineLevel="0" collapsed="false">
      <c r="A607" s="16" t="s">
        <v>834</v>
      </c>
      <c r="B607" s="18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8"/>
      <c r="R607" s="16"/>
      <c r="S607" s="18"/>
      <c r="T607" s="24"/>
      <c r="U607" s="23"/>
      <c r="V607" s="52"/>
      <c r="W607" s="50" t="str">
        <f aca="true">IF(Q607="","",TODAY()-Q607)</f>
        <v/>
      </c>
      <c r="X607" s="51" t="str">
        <f aca="true">IF(F607="","",IF(OR(O607="Won",O607="Lost"),"Closed",IF(S607="","No date set",IF(S607&lt;TODAY(),"Overdue",IF(S607=TODAY(),"Due today","Upcoming")))))</f>
        <v/>
      </c>
    </row>
    <row r="608" customFormat="false" ht="15" hidden="false" customHeight="false" outlineLevel="0" collapsed="false">
      <c r="A608" s="16" t="s">
        <v>835</v>
      </c>
      <c r="B608" s="18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8"/>
      <c r="R608" s="16"/>
      <c r="S608" s="18"/>
      <c r="T608" s="24"/>
      <c r="U608" s="23"/>
      <c r="V608" s="52"/>
      <c r="W608" s="50" t="str">
        <f aca="true">IF(Q608="","",TODAY()-Q608)</f>
        <v/>
      </c>
      <c r="X608" s="51" t="str">
        <f aca="true">IF(F608="","",IF(OR(O608="Won",O608="Lost"),"Closed",IF(S608="","No date set",IF(S608&lt;TODAY(),"Overdue",IF(S608=TODAY(),"Due today","Upcoming")))))</f>
        <v/>
      </c>
    </row>
    <row r="609" customFormat="false" ht="15" hidden="false" customHeight="false" outlineLevel="0" collapsed="false">
      <c r="A609" s="16" t="s">
        <v>836</v>
      </c>
      <c r="B609" s="18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8"/>
      <c r="R609" s="16"/>
      <c r="S609" s="18"/>
      <c r="T609" s="24"/>
      <c r="U609" s="23"/>
      <c r="V609" s="52"/>
      <c r="W609" s="50" t="str">
        <f aca="true">IF(Q609="","",TODAY()-Q609)</f>
        <v/>
      </c>
      <c r="X609" s="51" t="str">
        <f aca="true">IF(F609="","",IF(OR(O609="Won",O609="Lost"),"Closed",IF(S609="","No date set",IF(S609&lt;TODAY(),"Overdue",IF(S609=TODAY(),"Due today","Upcoming")))))</f>
        <v/>
      </c>
    </row>
    <row r="610" customFormat="false" ht="15" hidden="false" customHeight="false" outlineLevel="0" collapsed="false">
      <c r="A610" s="16" t="s">
        <v>837</v>
      </c>
      <c r="B610" s="18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8"/>
      <c r="R610" s="16"/>
      <c r="S610" s="18"/>
      <c r="T610" s="24"/>
      <c r="U610" s="23"/>
      <c r="V610" s="52"/>
      <c r="W610" s="50" t="str">
        <f aca="true">IF(Q610="","",TODAY()-Q610)</f>
        <v/>
      </c>
      <c r="X610" s="51" t="str">
        <f aca="true">IF(F610="","",IF(OR(O610="Won",O610="Lost"),"Closed",IF(S610="","No date set",IF(S610&lt;TODAY(),"Overdue",IF(S610=TODAY(),"Due today","Upcoming")))))</f>
        <v/>
      </c>
    </row>
    <row r="611" customFormat="false" ht="15" hidden="false" customHeight="false" outlineLevel="0" collapsed="false">
      <c r="A611" s="16" t="s">
        <v>838</v>
      </c>
      <c r="B611" s="18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8"/>
      <c r="R611" s="16"/>
      <c r="S611" s="18"/>
      <c r="T611" s="24"/>
      <c r="U611" s="23"/>
      <c r="V611" s="52"/>
      <c r="W611" s="50" t="str">
        <f aca="true">IF(Q611="","",TODAY()-Q611)</f>
        <v/>
      </c>
      <c r="X611" s="51" t="str">
        <f aca="true">IF(F611="","",IF(OR(O611="Won",O611="Lost"),"Closed",IF(S611="","No date set",IF(S611&lt;TODAY(),"Overdue",IF(S611=TODAY(),"Due today","Upcoming")))))</f>
        <v/>
      </c>
    </row>
    <row r="612" customFormat="false" ht="15" hidden="false" customHeight="false" outlineLevel="0" collapsed="false">
      <c r="A612" s="16" t="s">
        <v>839</v>
      </c>
      <c r="B612" s="18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8"/>
      <c r="R612" s="16"/>
      <c r="S612" s="18"/>
      <c r="T612" s="24"/>
      <c r="U612" s="23"/>
      <c r="V612" s="52"/>
      <c r="W612" s="50" t="str">
        <f aca="true">IF(Q612="","",TODAY()-Q612)</f>
        <v/>
      </c>
      <c r="X612" s="51" t="str">
        <f aca="true">IF(F612="","",IF(OR(O612="Won",O612="Lost"),"Closed",IF(S612="","No date set",IF(S612&lt;TODAY(),"Overdue",IF(S612=TODAY(),"Due today","Upcoming")))))</f>
        <v/>
      </c>
    </row>
    <row r="613" customFormat="false" ht="15" hidden="false" customHeight="false" outlineLevel="0" collapsed="false">
      <c r="A613" s="16" t="s">
        <v>840</v>
      </c>
      <c r="B613" s="18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8"/>
      <c r="R613" s="16"/>
      <c r="S613" s="18"/>
      <c r="T613" s="24"/>
      <c r="U613" s="23"/>
      <c r="V613" s="52"/>
      <c r="W613" s="50" t="str">
        <f aca="true">IF(Q613="","",TODAY()-Q613)</f>
        <v/>
      </c>
      <c r="X613" s="51" t="str">
        <f aca="true">IF(F613="","",IF(OR(O613="Won",O613="Lost"),"Closed",IF(S613="","No date set",IF(S613&lt;TODAY(),"Overdue",IF(S613=TODAY(),"Due today","Upcoming")))))</f>
        <v/>
      </c>
    </row>
    <row r="614" customFormat="false" ht="15" hidden="false" customHeight="false" outlineLevel="0" collapsed="false">
      <c r="A614" s="16" t="s">
        <v>841</v>
      </c>
      <c r="B614" s="18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8"/>
      <c r="R614" s="16"/>
      <c r="S614" s="18"/>
      <c r="T614" s="24"/>
      <c r="U614" s="23"/>
      <c r="V614" s="52"/>
      <c r="W614" s="50" t="str">
        <f aca="true">IF(Q614="","",TODAY()-Q614)</f>
        <v/>
      </c>
      <c r="X614" s="51" t="str">
        <f aca="true">IF(F614="","",IF(OR(O614="Won",O614="Lost"),"Closed",IF(S614="","No date set",IF(S614&lt;TODAY(),"Overdue",IF(S614=TODAY(),"Due today","Upcoming")))))</f>
        <v/>
      </c>
    </row>
    <row r="615" customFormat="false" ht="15" hidden="false" customHeight="false" outlineLevel="0" collapsed="false">
      <c r="A615" s="16" t="s">
        <v>842</v>
      </c>
      <c r="B615" s="18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8"/>
      <c r="R615" s="16"/>
      <c r="S615" s="18"/>
      <c r="T615" s="24"/>
      <c r="U615" s="23"/>
      <c r="V615" s="52"/>
      <c r="W615" s="50" t="str">
        <f aca="true">IF(Q615="","",TODAY()-Q615)</f>
        <v/>
      </c>
      <c r="X615" s="51" t="str">
        <f aca="true">IF(F615="","",IF(OR(O615="Won",O615="Lost"),"Closed",IF(S615="","No date set",IF(S615&lt;TODAY(),"Overdue",IF(S615=TODAY(),"Due today","Upcoming")))))</f>
        <v/>
      </c>
    </row>
    <row r="616" customFormat="false" ht="15" hidden="false" customHeight="false" outlineLevel="0" collapsed="false">
      <c r="A616" s="16" t="s">
        <v>843</v>
      </c>
      <c r="B616" s="18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8"/>
      <c r="R616" s="16"/>
      <c r="S616" s="18"/>
      <c r="T616" s="24"/>
      <c r="U616" s="23"/>
      <c r="V616" s="52"/>
      <c r="W616" s="50" t="str">
        <f aca="true">IF(Q616="","",TODAY()-Q616)</f>
        <v/>
      </c>
      <c r="X616" s="51" t="str">
        <f aca="true">IF(F616="","",IF(OR(O616="Won",O616="Lost"),"Closed",IF(S616="","No date set",IF(S616&lt;TODAY(),"Overdue",IF(S616=TODAY(),"Due today","Upcoming")))))</f>
        <v/>
      </c>
    </row>
    <row r="617" customFormat="false" ht="15" hidden="false" customHeight="false" outlineLevel="0" collapsed="false">
      <c r="A617" s="16" t="s">
        <v>844</v>
      </c>
      <c r="B617" s="18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8"/>
      <c r="R617" s="16"/>
      <c r="S617" s="18"/>
      <c r="T617" s="24"/>
      <c r="U617" s="23"/>
      <c r="V617" s="52"/>
      <c r="W617" s="50" t="str">
        <f aca="true">IF(Q617="","",TODAY()-Q617)</f>
        <v/>
      </c>
      <c r="X617" s="51" t="str">
        <f aca="true">IF(F617="","",IF(OR(O617="Won",O617="Lost"),"Closed",IF(S617="","No date set",IF(S617&lt;TODAY(),"Overdue",IF(S617=TODAY(),"Due today","Upcoming")))))</f>
        <v/>
      </c>
    </row>
    <row r="618" customFormat="false" ht="15" hidden="false" customHeight="false" outlineLevel="0" collapsed="false">
      <c r="A618" s="16" t="s">
        <v>845</v>
      </c>
      <c r="B618" s="18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8"/>
      <c r="R618" s="16"/>
      <c r="S618" s="18"/>
      <c r="T618" s="24"/>
      <c r="U618" s="23"/>
      <c r="V618" s="52"/>
      <c r="W618" s="50" t="str">
        <f aca="true">IF(Q618="","",TODAY()-Q618)</f>
        <v/>
      </c>
      <c r="X618" s="51" t="str">
        <f aca="true">IF(F618="","",IF(OR(O618="Won",O618="Lost"),"Closed",IF(S618="","No date set",IF(S618&lt;TODAY(),"Overdue",IF(S618=TODAY(),"Due today","Upcoming")))))</f>
        <v/>
      </c>
    </row>
    <row r="619" customFormat="false" ht="15" hidden="false" customHeight="false" outlineLevel="0" collapsed="false">
      <c r="A619" s="16" t="s">
        <v>846</v>
      </c>
      <c r="B619" s="18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8"/>
      <c r="R619" s="16"/>
      <c r="S619" s="18"/>
      <c r="T619" s="24"/>
      <c r="U619" s="23"/>
      <c r="V619" s="52"/>
      <c r="W619" s="50" t="str">
        <f aca="true">IF(Q619="","",TODAY()-Q619)</f>
        <v/>
      </c>
      <c r="X619" s="51" t="str">
        <f aca="true">IF(F619="","",IF(OR(O619="Won",O619="Lost"),"Closed",IF(S619="","No date set",IF(S619&lt;TODAY(),"Overdue",IF(S619=TODAY(),"Due today","Upcoming")))))</f>
        <v/>
      </c>
    </row>
    <row r="620" customFormat="false" ht="15" hidden="false" customHeight="false" outlineLevel="0" collapsed="false">
      <c r="A620" s="16" t="s">
        <v>847</v>
      </c>
      <c r="B620" s="18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8"/>
      <c r="R620" s="16"/>
      <c r="S620" s="18"/>
      <c r="T620" s="24"/>
      <c r="U620" s="23"/>
      <c r="V620" s="52"/>
      <c r="W620" s="50" t="str">
        <f aca="true">IF(Q620="","",TODAY()-Q620)</f>
        <v/>
      </c>
      <c r="X620" s="51" t="str">
        <f aca="true">IF(F620="","",IF(OR(O620="Won",O620="Lost"),"Closed",IF(S620="","No date set",IF(S620&lt;TODAY(),"Overdue",IF(S620=TODAY(),"Due today","Upcoming")))))</f>
        <v/>
      </c>
    </row>
    <row r="621" customFormat="false" ht="15" hidden="false" customHeight="false" outlineLevel="0" collapsed="false">
      <c r="A621" s="16" t="s">
        <v>848</v>
      </c>
      <c r="B621" s="18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8"/>
      <c r="R621" s="16"/>
      <c r="S621" s="18"/>
      <c r="T621" s="24"/>
      <c r="U621" s="23"/>
      <c r="V621" s="52"/>
      <c r="W621" s="50" t="str">
        <f aca="true">IF(Q621="","",TODAY()-Q621)</f>
        <v/>
      </c>
      <c r="X621" s="51" t="str">
        <f aca="true">IF(F621="","",IF(OR(O621="Won",O621="Lost"),"Closed",IF(S621="","No date set",IF(S621&lt;TODAY(),"Overdue",IF(S621=TODAY(),"Due today","Upcoming")))))</f>
        <v/>
      </c>
    </row>
    <row r="622" customFormat="false" ht="15" hidden="false" customHeight="false" outlineLevel="0" collapsed="false">
      <c r="A622" s="16" t="s">
        <v>849</v>
      </c>
      <c r="B622" s="18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8"/>
      <c r="R622" s="16"/>
      <c r="S622" s="18"/>
      <c r="T622" s="24"/>
      <c r="U622" s="23"/>
      <c r="V622" s="52"/>
      <c r="W622" s="50" t="str">
        <f aca="true">IF(Q622="","",TODAY()-Q622)</f>
        <v/>
      </c>
      <c r="X622" s="51" t="str">
        <f aca="true">IF(F622="","",IF(OR(O622="Won",O622="Lost"),"Closed",IF(S622="","No date set",IF(S622&lt;TODAY(),"Overdue",IF(S622=TODAY(),"Due today","Upcoming")))))</f>
        <v/>
      </c>
    </row>
    <row r="623" customFormat="false" ht="15" hidden="false" customHeight="false" outlineLevel="0" collapsed="false">
      <c r="A623" s="16" t="s">
        <v>850</v>
      </c>
      <c r="B623" s="18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8"/>
      <c r="R623" s="16"/>
      <c r="S623" s="18"/>
      <c r="T623" s="24"/>
      <c r="U623" s="23"/>
      <c r="V623" s="52"/>
      <c r="W623" s="50" t="str">
        <f aca="true">IF(Q623="","",TODAY()-Q623)</f>
        <v/>
      </c>
      <c r="X623" s="51" t="str">
        <f aca="true">IF(F623="","",IF(OR(O623="Won",O623="Lost"),"Closed",IF(S623="","No date set",IF(S623&lt;TODAY(),"Overdue",IF(S623=TODAY(),"Due today","Upcoming")))))</f>
        <v/>
      </c>
    </row>
    <row r="624" customFormat="false" ht="15" hidden="false" customHeight="false" outlineLevel="0" collapsed="false">
      <c r="A624" s="16" t="s">
        <v>851</v>
      </c>
      <c r="B624" s="18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8"/>
      <c r="R624" s="16"/>
      <c r="S624" s="18"/>
      <c r="T624" s="24"/>
      <c r="U624" s="23"/>
      <c r="V624" s="52"/>
      <c r="W624" s="50" t="str">
        <f aca="true">IF(Q624="","",TODAY()-Q624)</f>
        <v/>
      </c>
      <c r="X624" s="51" t="str">
        <f aca="true">IF(F624="","",IF(OR(O624="Won",O624="Lost"),"Closed",IF(S624="","No date set",IF(S624&lt;TODAY(),"Overdue",IF(S624=TODAY(),"Due today","Upcoming")))))</f>
        <v/>
      </c>
    </row>
    <row r="625" customFormat="false" ht="15" hidden="false" customHeight="false" outlineLevel="0" collapsed="false">
      <c r="A625" s="16" t="s">
        <v>852</v>
      </c>
      <c r="B625" s="18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8"/>
      <c r="R625" s="16"/>
      <c r="S625" s="18"/>
      <c r="T625" s="24"/>
      <c r="U625" s="23"/>
      <c r="V625" s="52"/>
      <c r="W625" s="50" t="str">
        <f aca="true">IF(Q625="","",TODAY()-Q625)</f>
        <v/>
      </c>
      <c r="X625" s="51" t="str">
        <f aca="true">IF(F625="","",IF(OR(O625="Won",O625="Lost"),"Closed",IF(S625="","No date set",IF(S625&lt;TODAY(),"Overdue",IF(S625=TODAY(),"Due today","Upcoming")))))</f>
        <v/>
      </c>
    </row>
    <row r="626" customFormat="false" ht="15" hidden="false" customHeight="false" outlineLevel="0" collapsed="false">
      <c r="A626" s="16" t="s">
        <v>853</v>
      </c>
      <c r="B626" s="18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8"/>
      <c r="R626" s="16"/>
      <c r="S626" s="18"/>
      <c r="T626" s="24"/>
      <c r="U626" s="23"/>
      <c r="V626" s="52"/>
      <c r="W626" s="50" t="str">
        <f aca="true">IF(Q626="","",TODAY()-Q626)</f>
        <v/>
      </c>
      <c r="X626" s="51" t="str">
        <f aca="true">IF(F626="","",IF(OR(O626="Won",O626="Lost"),"Closed",IF(S626="","No date set",IF(S626&lt;TODAY(),"Overdue",IF(S626=TODAY(),"Due today","Upcoming")))))</f>
        <v/>
      </c>
    </row>
    <row r="627" customFormat="false" ht="15" hidden="false" customHeight="false" outlineLevel="0" collapsed="false">
      <c r="A627" s="16" t="s">
        <v>854</v>
      </c>
      <c r="B627" s="18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8"/>
      <c r="R627" s="16"/>
      <c r="S627" s="18"/>
      <c r="T627" s="24"/>
      <c r="U627" s="23"/>
      <c r="V627" s="52"/>
      <c r="W627" s="50" t="str">
        <f aca="true">IF(Q627="","",TODAY()-Q627)</f>
        <v/>
      </c>
      <c r="X627" s="51" t="str">
        <f aca="true">IF(F627="","",IF(OR(O627="Won",O627="Lost"),"Closed",IF(S627="","No date set",IF(S627&lt;TODAY(),"Overdue",IF(S627=TODAY(),"Due today","Upcoming")))))</f>
        <v/>
      </c>
    </row>
    <row r="628" customFormat="false" ht="15" hidden="false" customHeight="false" outlineLevel="0" collapsed="false">
      <c r="A628" s="16" t="s">
        <v>855</v>
      </c>
      <c r="B628" s="18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8"/>
      <c r="R628" s="16"/>
      <c r="S628" s="18"/>
      <c r="T628" s="24"/>
      <c r="U628" s="23"/>
      <c r="V628" s="52"/>
      <c r="W628" s="50" t="str">
        <f aca="true">IF(Q628="","",TODAY()-Q628)</f>
        <v/>
      </c>
      <c r="X628" s="51" t="str">
        <f aca="true">IF(F628="","",IF(OR(O628="Won",O628="Lost"),"Closed",IF(S628="","No date set",IF(S628&lt;TODAY(),"Overdue",IF(S628=TODAY(),"Due today","Upcoming")))))</f>
        <v/>
      </c>
    </row>
    <row r="629" customFormat="false" ht="15" hidden="false" customHeight="false" outlineLevel="0" collapsed="false">
      <c r="A629" s="16" t="s">
        <v>856</v>
      </c>
      <c r="B629" s="18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8"/>
      <c r="R629" s="16"/>
      <c r="S629" s="18"/>
      <c r="T629" s="24"/>
      <c r="U629" s="23"/>
      <c r="V629" s="52"/>
      <c r="W629" s="50" t="str">
        <f aca="true">IF(Q629="","",TODAY()-Q629)</f>
        <v/>
      </c>
      <c r="X629" s="51" t="str">
        <f aca="true">IF(F629="","",IF(OR(O629="Won",O629="Lost"),"Closed",IF(S629="","No date set",IF(S629&lt;TODAY(),"Overdue",IF(S629=TODAY(),"Due today","Upcoming")))))</f>
        <v/>
      </c>
    </row>
    <row r="630" customFormat="false" ht="15" hidden="false" customHeight="false" outlineLevel="0" collapsed="false">
      <c r="A630" s="16" t="s">
        <v>857</v>
      </c>
      <c r="B630" s="18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8"/>
      <c r="R630" s="16"/>
      <c r="S630" s="18"/>
      <c r="T630" s="24"/>
      <c r="U630" s="23"/>
      <c r="V630" s="52"/>
      <c r="W630" s="50" t="str">
        <f aca="true">IF(Q630="","",TODAY()-Q630)</f>
        <v/>
      </c>
      <c r="X630" s="51" t="str">
        <f aca="true">IF(F630="","",IF(OR(O630="Won",O630="Lost"),"Closed",IF(S630="","No date set",IF(S630&lt;TODAY(),"Overdue",IF(S630=TODAY(),"Due today","Upcoming")))))</f>
        <v/>
      </c>
    </row>
    <row r="631" customFormat="false" ht="15" hidden="false" customHeight="false" outlineLevel="0" collapsed="false">
      <c r="A631" s="16" t="s">
        <v>858</v>
      </c>
      <c r="B631" s="18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8"/>
      <c r="R631" s="16"/>
      <c r="S631" s="18"/>
      <c r="T631" s="24"/>
      <c r="U631" s="23"/>
      <c r="V631" s="52"/>
      <c r="W631" s="50" t="str">
        <f aca="true">IF(Q631="","",TODAY()-Q631)</f>
        <v/>
      </c>
      <c r="X631" s="51" t="str">
        <f aca="true">IF(F631="","",IF(OR(O631="Won",O631="Lost"),"Closed",IF(S631="","No date set",IF(S631&lt;TODAY(),"Overdue",IF(S631=TODAY(),"Due today","Upcoming")))))</f>
        <v/>
      </c>
    </row>
    <row r="632" customFormat="false" ht="15" hidden="false" customHeight="false" outlineLevel="0" collapsed="false">
      <c r="A632" s="16" t="s">
        <v>859</v>
      </c>
      <c r="B632" s="18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8"/>
      <c r="R632" s="16"/>
      <c r="S632" s="18"/>
      <c r="T632" s="24"/>
      <c r="U632" s="23"/>
      <c r="V632" s="52"/>
      <c r="W632" s="50" t="str">
        <f aca="true">IF(Q632="","",TODAY()-Q632)</f>
        <v/>
      </c>
      <c r="X632" s="51" t="str">
        <f aca="true">IF(F632="","",IF(OR(O632="Won",O632="Lost"),"Closed",IF(S632="","No date set",IF(S632&lt;TODAY(),"Overdue",IF(S632=TODAY(),"Due today","Upcoming")))))</f>
        <v/>
      </c>
    </row>
    <row r="633" customFormat="false" ht="15" hidden="false" customHeight="false" outlineLevel="0" collapsed="false">
      <c r="A633" s="16" t="s">
        <v>860</v>
      </c>
      <c r="B633" s="18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8"/>
      <c r="R633" s="16"/>
      <c r="S633" s="18"/>
      <c r="T633" s="24"/>
      <c r="U633" s="23"/>
      <c r="V633" s="52"/>
      <c r="W633" s="50" t="str">
        <f aca="true">IF(Q633="","",TODAY()-Q633)</f>
        <v/>
      </c>
      <c r="X633" s="51" t="str">
        <f aca="true">IF(F633="","",IF(OR(O633="Won",O633="Lost"),"Closed",IF(S633="","No date set",IF(S633&lt;TODAY(),"Overdue",IF(S633=TODAY(),"Due today","Upcoming")))))</f>
        <v/>
      </c>
    </row>
    <row r="634" customFormat="false" ht="15" hidden="false" customHeight="false" outlineLevel="0" collapsed="false">
      <c r="A634" s="16" t="s">
        <v>861</v>
      </c>
      <c r="B634" s="18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8"/>
      <c r="R634" s="16"/>
      <c r="S634" s="18"/>
      <c r="T634" s="24"/>
      <c r="U634" s="23"/>
      <c r="V634" s="52"/>
      <c r="W634" s="50" t="str">
        <f aca="true">IF(Q634="","",TODAY()-Q634)</f>
        <v/>
      </c>
      <c r="X634" s="51" t="str">
        <f aca="true">IF(F634="","",IF(OR(O634="Won",O634="Lost"),"Closed",IF(S634="","No date set",IF(S634&lt;TODAY(),"Overdue",IF(S634=TODAY(),"Due today","Upcoming")))))</f>
        <v/>
      </c>
    </row>
    <row r="635" customFormat="false" ht="15" hidden="false" customHeight="false" outlineLevel="0" collapsed="false">
      <c r="A635" s="16" t="s">
        <v>862</v>
      </c>
      <c r="B635" s="18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8"/>
      <c r="R635" s="16"/>
      <c r="S635" s="18"/>
      <c r="T635" s="24"/>
      <c r="U635" s="23"/>
      <c r="V635" s="52"/>
      <c r="W635" s="50" t="str">
        <f aca="true">IF(Q635="","",TODAY()-Q635)</f>
        <v/>
      </c>
      <c r="X635" s="51" t="str">
        <f aca="true">IF(F635="","",IF(OR(O635="Won",O635="Lost"),"Closed",IF(S635="","No date set",IF(S635&lt;TODAY(),"Overdue",IF(S635=TODAY(),"Due today","Upcoming")))))</f>
        <v/>
      </c>
    </row>
    <row r="636" customFormat="false" ht="15" hidden="false" customHeight="false" outlineLevel="0" collapsed="false">
      <c r="A636" s="16" t="s">
        <v>863</v>
      </c>
      <c r="B636" s="18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8"/>
      <c r="R636" s="16"/>
      <c r="S636" s="18"/>
      <c r="T636" s="24"/>
      <c r="U636" s="23"/>
      <c r="V636" s="52"/>
      <c r="W636" s="50" t="str">
        <f aca="true">IF(Q636="","",TODAY()-Q636)</f>
        <v/>
      </c>
      <c r="X636" s="51" t="str">
        <f aca="true">IF(F636="","",IF(OR(O636="Won",O636="Lost"),"Closed",IF(S636="","No date set",IF(S636&lt;TODAY(),"Overdue",IF(S636=TODAY(),"Due today","Upcoming")))))</f>
        <v/>
      </c>
    </row>
    <row r="637" customFormat="false" ht="15" hidden="false" customHeight="false" outlineLevel="0" collapsed="false">
      <c r="A637" s="16" t="s">
        <v>864</v>
      </c>
      <c r="B637" s="18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8"/>
      <c r="R637" s="16"/>
      <c r="S637" s="18"/>
      <c r="T637" s="24"/>
      <c r="U637" s="23"/>
      <c r="V637" s="52"/>
      <c r="W637" s="50" t="str">
        <f aca="true">IF(Q637="","",TODAY()-Q637)</f>
        <v/>
      </c>
      <c r="X637" s="51" t="str">
        <f aca="true">IF(F637="","",IF(OR(O637="Won",O637="Lost"),"Closed",IF(S637="","No date set",IF(S637&lt;TODAY(),"Overdue",IF(S637=TODAY(),"Due today","Upcoming")))))</f>
        <v/>
      </c>
    </row>
    <row r="638" customFormat="false" ht="15" hidden="false" customHeight="false" outlineLevel="0" collapsed="false">
      <c r="A638" s="16" t="s">
        <v>865</v>
      </c>
      <c r="B638" s="18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8"/>
      <c r="R638" s="16"/>
      <c r="S638" s="18"/>
      <c r="T638" s="24"/>
      <c r="U638" s="23"/>
      <c r="V638" s="52"/>
      <c r="W638" s="50" t="str">
        <f aca="true">IF(Q638="","",TODAY()-Q638)</f>
        <v/>
      </c>
      <c r="X638" s="51" t="str">
        <f aca="true">IF(F638="","",IF(OR(O638="Won",O638="Lost"),"Closed",IF(S638="","No date set",IF(S638&lt;TODAY(),"Overdue",IF(S638=TODAY(),"Due today","Upcoming")))))</f>
        <v/>
      </c>
    </row>
    <row r="639" customFormat="false" ht="15" hidden="false" customHeight="false" outlineLevel="0" collapsed="false">
      <c r="A639" s="16" t="s">
        <v>866</v>
      </c>
      <c r="B639" s="18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8"/>
      <c r="R639" s="16"/>
      <c r="S639" s="18"/>
      <c r="T639" s="24"/>
      <c r="U639" s="23"/>
      <c r="V639" s="52"/>
      <c r="W639" s="50" t="str">
        <f aca="true">IF(Q639="","",TODAY()-Q639)</f>
        <v/>
      </c>
      <c r="X639" s="51" t="str">
        <f aca="true">IF(F639="","",IF(OR(O639="Won",O639="Lost"),"Closed",IF(S639="","No date set",IF(S639&lt;TODAY(),"Overdue",IF(S639=TODAY(),"Due today","Upcoming")))))</f>
        <v/>
      </c>
    </row>
    <row r="640" customFormat="false" ht="15" hidden="false" customHeight="false" outlineLevel="0" collapsed="false">
      <c r="A640" s="16" t="s">
        <v>867</v>
      </c>
      <c r="B640" s="18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8"/>
      <c r="R640" s="16"/>
      <c r="S640" s="18"/>
      <c r="T640" s="24"/>
      <c r="U640" s="23"/>
      <c r="V640" s="52"/>
      <c r="W640" s="50" t="str">
        <f aca="true">IF(Q640="","",TODAY()-Q640)</f>
        <v/>
      </c>
      <c r="X640" s="51" t="str">
        <f aca="true">IF(F640="","",IF(OR(O640="Won",O640="Lost"),"Closed",IF(S640="","No date set",IF(S640&lt;TODAY(),"Overdue",IF(S640=TODAY(),"Due today","Upcoming")))))</f>
        <v/>
      </c>
    </row>
    <row r="641" customFormat="false" ht="15" hidden="false" customHeight="false" outlineLevel="0" collapsed="false">
      <c r="A641" s="16" t="s">
        <v>868</v>
      </c>
      <c r="B641" s="18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8"/>
      <c r="R641" s="16"/>
      <c r="S641" s="18"/>
      <c r="T641" s="24"/>
      <c r="U641" s="23"/>
      <c r="V641" s="52"/>
      <c r="W641" s="50" t="str">
        <f aca="true">IF(Q641="","",TODAY()-Q641)</f>
        <v/>
      </c>
      <c r="X641" s="51" t="str">
        <f aca="true">IF(F641="","",IF(OR(O641="Won",O641="Lost"),"Closed",IF(S641="","No date set",IF(S641&lt;TODAY(),"Overdue",IF(S641=TODAY(),"Due today","Upcoming")))))</f>
        <v/>
      </c>
    </row>
    <row r="642" customFormat="false" ht="15" hidden="false" customHeight="false" outlineLevel="0" collapsed="false">
      <c r="A642" s="16" t="s">
        <v>869</v>
      </c>
      <c r="B642" s="18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8"/>
      <c r="R642" s="16"/>
      <c r="S642" s="18"/>
      <c r="T642" s="24"/>
      <c r="U642" s="23"/>
      <c r="V642" s="52"/>
      <c r="W642" s="50" t="str">
        <f aca="true">IF(Q642="","",TODAY()-Q642)</f>
        <v/>
      </c>
      <c r="X642" s="51" t="str">
        <f aca="true">IF(F642="","",IF(OR(O642="Won",O642="Lost"),"Closed",IF(S642="","No date set",IF(S642&lt;TODAY(),"Overdue",IF(S642=TODAY(),"Due today","Upcoming")))))</f>
        <v/>
      </c>
    </row>
    <row r="643" customFormat="false" ht="15" hidden="false" customHeight="false" outlineLevel="0" collapsed="false">
      <c r="A643" s="16" t="s">
        <v>870</v>
      </c>
      <c r="B643" s="18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8"/>
      <c r="R643" s="16"/>
      <c r="S643" s="18"/>
      <c r="T643" s="24"/>
      <c r="U643" s="23"/>
      <c r="V643" s="52"/>
      <c r="W643" s="50" t="str">
        <f aca="true">IF(Q643="","",TODAY()-Q643)</f>
        <v/>
      </c>
      <c r="X643" s="51" t="str">
        <f aca="true">IF(F643="","",IF(OR(O643="Won",O643="Lost"),"Closed",IF(S643="","No date set",IF(S643&lt;TODAY(),"Overdue",IF(S643=TODAY(),"Due today","Upcoming")))))</f>
        <v/>
      </c>
    </row>
    <row r="644" customFormat="false" ht="15" hidden="false" customHeight="false" outlineLevel="0" collapsed="false">
      <c r="A644" s="16" t="s">
        <v>871</v>
      </c>
      <c r="B644" s="18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8"/>
      <c r="R644" s="16"/>
      <c r="S644" s="18"/>
      <c r="T644" s="24"/>
      <c r="U644" s="23"/>
      <c r="V644" s="52"/>
      <c r="W644" s="50" t="str">
        <f aca="true">IF(Q644="","",TODAY()-Q644)</f>
        <v/>
      </c>
      <c r="X644" s="51" t="str">
        <f aca="true">IF(F644="","",IF(OR(O644="Won",O644="Lost"),"Closed",IF(S644="","No date set",IF(S644&lt;TODAY(),"Overdue",IF(S644=TODAY(),"Due today","Upcoming")))))</f>
        <v/>
      </c>
    </row>
    <row r="645" customFormat="false" ht="15" hidden="false" customHeight="false" outlineLevel="0" collapsed="false">
      <c r="A645" s="16" t="s">
        <v>872</v>
      </c>
      <c r="B645" s="18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8"/>
      <c r="R645" s="16"/>
      <c r="S645" s="18"/>
      <c r="T645" s="24"/>
      <c r="U645" s="23"/>
      <c r="V645" s="52"/>
      <c r="W645" s="50" t="str">
        <f aca="true">IF(Q645="","",TODAY()-Q645)</f>
        <v/>
      </c>
      <c r="X645" s="51" t="str">
        <f aca="true">IF(F645="","",IF(OR(O645="Won",O645="Lost"),"Closed",IF(S645="","No date set",IF(S645&lt;TODAY(),"Overdue",IF(S645=TODAY(),"Due today","Upcoming")))))</f>
        <v/>
      </c>
    </row>
    <row r="646" customFormat="false" ht="15" hidden="false" customHeight="false" outlineLevel="0" collapsed="false">
      <c r="A646" s="16" t="s">
        <v>873</v>
      </c>
      <c r="B646" s="18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8"/>
      <c r="R646" s="16"/>
      <c r="S646" s="18"/>
      <c r="T646" s="24"/>
      <c r="U646" s="23"/>
      <c r="V646" s="52"/>
      <c r="W646" s="50" t="str">
        <f aca="true">IF(Q646="","",TODAY()-Q646)</f>
        <v/>
      </c>
      <c r="X646" s="51" t="str">
        <f aca="true">IF(F646="","",IF(OR(O646="Won",O646="Lost"),"Closed",IF(S646="","No date set",IF(S646&lt;TODAY(),"Overdue",IF(S646=TODAY(),"Due today","Upcoming")))))</f>
        <v/>
      </c>
    </row>
    <row r="647" customFormat="false" ht="15" hidden="false" customHeight="false" outlineLevel="0" collapsed="false">
      <c r="A647" s="16" t="s">
        <v>874</v>
      </c>
      <c r="B647" s="18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8"/>
      <c r="R647" s="16"/>
      <c r="S647" s="18"/>
      <c r="T647" s="24"/>
      <c r="U647" s="23"/>
      <c r="V647" s="52"/>
      <c r="W647" s="50" t="str">
        <f aca="true">IF(Q647="","",TODAY()-Q647)</f>
        <v/>
      </c>
      <c r="X647" s="51" t="str">
        <f aca="true">IF(F647="","",IF(OR(O647="Won",O647="Lost"),"Closed",IF(S647="","No date set",IF(S647&lt;TODAY(),"Overdue",IF(S647=TODAY(),"Due today","Upcoming")))))</f>
        <v/>
      </c>
    </row>
    <row r="648" customFormat="false" ht="15" hidden="false" customHeight="false" outlineLevel="0" collapsed="false">
      <c r="A648" s="16" t="s">
        <v>875</v>
      </c>
      <c r="B648" s="18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8"/>
      <c r="R648" s="16"/>
      <c r="S648" s="18"/>
      <c r="T648" s="24"/>
      <c r="U648" s="23"/>
      <c r="V648" s="52"/>
      <c r="W648" s="50" t="str">
        <f aca="true">IF(Q648="","",TODAY()-Q648)</f>
        <v/>
      </c>
      <c r="X648" s="51" t="str">
        <f aca="true">IF(F648="","",IF(OR(O648="Won",O648="Lost"),"Closed",IF(S648="","No date set",IF(S648&lt;TODAY(),"Overdue",IF(S648=TODAY(),"Due today","Upcoming")))))</f>
        <v/>
      </c>
    </row>
    <row r="649" customFormat="false" ht="15" hidden="false" customHeight="false" outlineLevel="0" collapsed="false">
      <c r="A649" s="16" t="s">
        <v>876</v>
      </c>
      <c r="B649" s="18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8"/>
      <c r="R649" s="16"/>
      <c r="S649" s="18"/>
      <c r="T649" s="24"/>
      <c r="U649" s="23"/>
      <c r="V649" s="52"/>
      <c r="W649" s="50" t="str">
        <f aca="true">IF(Q649="","",TODAY()-Q649)</f>
        <v/>
      </c>
      <c r="X649" s="51" t="str">
        <f aca="true">IF(F649="","",IF(OR(O649="Won",O649="Lost"),"Closed",IF(S649="","No date set",IF(S649&lt;TODAY(),"Overdue",IF(S649=TODAY(),"Due today","Upcoming")))))</f>
        <v/>
      </c>
    </row>
    <row r="650" customFormat="false" ht="15" hidden="false" customHeight="false" outlineLevel="0" collapsed="false">
      <c r="A650" s="16" t="s">
        <v>877</v>
      </c>
      <c r="B650" s="18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8"/>
      <c r="R650" s="16"/>
      <c r="S650" s="18"/>
      <c r="T650" s="24"/>
      <c r="U650" s="23"/>
      <c r="V650" s="52"/>
      <c r="W650" s="50" t="str">
        <f aca="true">IF(Q650="","",TODAY()-Q650)</f>
        <v/>
      </c>
      <c r="X650" s="51" t="str">
        <f aca="true">IF(F650="","",IF(OR(O650="Won",O650="Lost"),"Closed",IF(S650="","No date set",IF(S650&lt;TODAY(),"Overdue",IF(S650=TODAY(),"Due today","Upcoming")))))</f>
        <v/>
      </c>
    </row>
    <row r="651" customFormat="false" ht="15" hidden="false" customHeight="false" outlineLevel="0" collapsed="false">
      <c r="A651" s="16" t="s">
        <v>878</v>
      </c>
      <c r="B651" s="18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8"/>
      <c r="R651" s="16"/>
      <c r="S651" s="18"/>
      <c r="T651" s="24"/>
      <c r="U651" s="23"/>
      <c r="V651" s="52"/>
      <c r="W651" s="50" t="str">
        <f aca="true">IF(Q651="","",TODAY()-Q651)</f>
        <v/>
      </c>
      <c r="X651" s="51" t="str">
        <f aca="true">IF(F651="","",IF(OR(O651="Won",O651="Lost"),"Closed",IF(S651="","No date set",IF(S651&lt;TODAY(),"Overdue",IF(S651=TODAY(),"Due today","Upcoming")))))</f>
        <v/>
      </c>
    </row>
    <row r="652" customFormat="false" ht="15" hidden="false" customHeight="false" outlineLevel="0" collapsed="false">
      <c r="A652" s="16" t="s">
        <v>879</v>
      </c>
      <c r="B652" s="18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8"/>
      <c r="R652" s="16"/>
      <c r="S652" s="18"/>
      <c r="T652" s="24"/>
      <c r="U652" s="23"/>
      <c r="V652" s="52"/>
      <c r="W652" s="50" t="str">
        <f aca="true">IF(Q652="","",TODAY()-Q652)</f>
        <v/>
      </c>
      <c r="X652" s="51" t="str">
        <f aca="true">IF(F652="","",IF(OR(O652="Won",O652="Lost"),"Closed",IF(S652="","No date set",IF(S652&lt;TODAY(),"Overdue",IF(S652=TODAY(),"Due today","Upcoming")))))</f>
        <v/>
      </c>
    </row>
    <row r="653" customFormat="false" ht="15" hidden="false" customHeight="false" outlineLevel="0" collapsed="false">
      <c r="A653" s="16" t="s">
        <v>880</v>
      </c>
      <c r="B653" s="18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8"/>
      <c r="R653" s="16"/>
      <c r="S653" s="18"/>
      <c r="T653" s="24"/>
      <c r="U653" s="23"/>
      <c r="V653" s="52"/>
      <c r="W653" s="50" t="str">
        <f aca="true">IF(Q653="","",TODAY()-Q653)</f>
        <v/>
      </c>
      <c r="X653" s="51" t="str">
        <f aca="true">IF(F653="","",IF(OR(O653="Won",O653="Lost"),"Closed",IF(S653="","No date set",IF(S653&lt;TODAY(),"Overdue",IF(S653=TODAY(),"Due today","Upcoming")))))</f>
        <v/>
      </c>
    </row>
    <row r="654" customFormat="false" ht="15" hidden="false" customHeight="false" outlineLevel="0" collapsed="false">
      <c r="A654" s="16" t="s">
        <v>881</v>
      </c>
      <c r="B654" s="18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8"/>
      <c r="R654" s="16"/>
      <c r="S654" s="18"/>
      <c r="T654" s="24"/>
      <c r="U654" s="23"/>
      <c r="V654" s="52"/>
      <c r="W654" s="50" t="str">
        <f aca="true">IF(Q654="","",TODAY()-Q654)</f>
        <v/>
      </c>
      <c r="X654" s="51" t="str">
        <f aca="true">IF(F654="","",IF(OR(O654="Won",O654="Lost"),"Closed",IF(S654="","No date set",IF(S654&lt;TODAY(),"Overdue",IF(S654=TODAY(),"Due today","Upcoming")))))</f>
        <v/>
      </c>
    </row>
    <row r="655" customFormat="false" ht="15" hidden="false" customHeight="false" outlineLevel="0" collapsed="false">
      <c r="A655" s="16" t="s">
        <v>882</v>
      </c>
      <c r="B655" s="18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8"/>
      <c r="R655" s="16"/>
      <c r="S655" s="18"/>
      <c r="T655" s="24"/>
      <c r="U655" s="23"/>
      <c r="V655" s="52"/>
      <c r="W655" s="50" t="str">
        <f aca="true">IF(Q655="","",TODAY()-Q655)</f>
        <v/>
      </c>
      <c r="X655" s="51" t="str">
        <f aca="true">IF(F655="","",IF(OR(O655="Won",O655="Lost"),"Closed",IF(S655="","No date set",IF(S655&lt;TODAY(),"Overdue",IF(S655=TODAY(),"Due today","Upcoming")))))</f>
        <v/>
      </c>
    </row>
    <row r="656" customFormat="false" ht="15" hidden="false" customHeight="false" outlineLevel="0" collapsed="false">
      <c r="A656" s="16" t="s">
        <v>883</v>
      </c>
      <c r="B656" s="18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8"/>
      <c r="R656" s="16"/>
      <c r="S656" s="18"/>
      <c r="T656" s="24"/>
      <c r="U656" s="23"/>
      <c r="V656" s="52"/>
      <c r="W656" s="50" t="str">
        <f aca="true">IF(Q656="","",TODAY()-Q656)</f>
        <v/>
      </c>
      <c r="X656" s="51" t="str">
        <f aca="true">IF(F656="","",IF(OR(O656="Won",O656="Lost"),"Closed",IF(S656="","No date set",IF(S656&lt;TODAY(),"Overdue",IF(S656=TODAY(),"Due today","Upcoming")))))</f>
        <v/>
      </c>
    </row>
    <row r="657" customFormat="false" ht="15" hidden="false" customHeight="false" outlineLevel="0" collapsed="false">
      <c r="A657" s="16" t="s">
        <v>884</v>
      </c>
      <c r="B657" s="18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8"/>
      <c r="R657" s="16"/>
      <c r="S657" s="18"/>
      <c r="T657" s="24"/>
      <c r="U657" s="23"/>
      <c r="V657" s="52"/>
      <c r="W657" s="50" t="str">
        <f aca="true">IF(Q657="","",TODAY()-Q657)</f>
        <v/>
      </c>
      <c r="X657" s="51" t="str">
        <f aca="true">IF(F657="","",IF(OR(O657="Won",O657="Lost"),"Closed",IF(S657="","No date set",IF(S657&lt;TODAY(),"Overdue",IF(S657=TODAY(),"Due today","Upcoming")))))</f>
        <v/>
      </c>
    </row>
    <row r="658" customFormat="false" ht="15" hidden="false" customHeight="false" outlineLevel="0" collapsed="false">
      <c r="A658" s="16" t="s">
        <v>885</v>
      </c>
      <c r="B658" s="18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8"/>
      <c r="R658" s="16"/>
      <c r="S658" s="18"/>
      <c r="T658" s="24"/>
      <c r="U658" s="23"/>
      <c r="V658" s="52"/>
      <c r="W658" s="50" t="str">
        <f aca="true">IF(Q658="","",TODAY()-Q658)</f>
        <v/>
      </c>
      <c r="X658" s="51" t="str">
        <f aca="true">IF(F658="","",IF(OR(O658="Won",O658="Lost"),"Closed",IF(S658="","No date set",IF(S658&lt;TODAY(),"Overdue",IF(S658=TODAY(),"Due today","Upcoming")))))</f>
        <v/>
      </c>
    </row>
    <row r="659" customFormat="false" ht="15" hidden="false" customHeight="false" outlineLevel="0" collapsed="false">
      <c r="A659" s="16" t="s">
        <v>886</v>
      </c>
      <c r="B659" s="18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8"/>
      <c r="R659" s="16"/>
      <c r="S659" s="18"/>
      <c r="T659" s="24"/>
      <c r="U659" s="23"/>
      <c r="V659" s="52"/>
      <c r="W659" s="50" t="str">
        <f aca="true">IF(Q659="","",TODAY()-Q659)</f>
        <v/>
      </c>
      <c r="X659" s="51" t="str">
        <f aca="true">IF(F659="","",IF(OR(O659="Won",O659="Lost"),"Closed",IF(S659="","No date set",IF(S659&lt;TODAY(),"Overdue",IF(S659=TODAY(),"Due today","Upcoming")))))</f>
        <v/>
      </c>
    </row>
    <row r="660" customFormat="false" ht="15" hidden="false" customHeight="false" outlineLevel="0" collapsed="false">
      <c r="A660" s="16" t="s">
        <v>887</v>
      </c>
      <c r="B660" s="18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8"/>
      <c r="R660" s="16"/>
      <c r="S660" s="18"/>
      <c r="T660" s="24"/>
      <c r="U660" s="23"/>
      <c r="V660" s="52"/>
      <c r="W660" s="50" t="str">
        <f aca="true">IF(Q660="","",TODAY()-Q660)</f>
        <v/>
      </c>
      <c r="X660" s="51" t="str">
        <f aca="true">IF(F660="","",IF(OR(O660="Won",O660="Lost"),"Closed",IF(S660="","No date set",IF(S660&lt;TODAY(),"Overdue",IF(S660=TODAY(),"Due today","Upcoming")))))</f>
        <v/>
      </c>
    </row>
    <row r="661" customFormat="false" ht="15" hidden="false" customHeight="false" outlineLevel="0" collapsed="false">
      <c r="A661" s="16" t="s">
        <v>888</v>
      </c>
      <c r="B661" s="18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8"/>
      <c r="R661" s="16"/>
      <c r="S661" s="18"/>
      <c r="T661" s="24"/>
      <c r="U661" s="23"/>
      <c r="V661" s="52"/>
      <c r="W661" s="50" t="str">
        <f aca="true">IF(Q661="","",TODAY()-Q661)</f>
        <v/>
      </c>
      <c r="X661" s="51" t="str">
        <f aca="true">IF(F661="","",IF(OR(O661="Won",O661="Lost"),"Closed",IF(S661="","No date set",IF(S661&lt;TODAY(),"Overdue",IF(S661=TODAY(),"Due today","Upcoming")))))</f>
        <v/>
      </c>
    </row>
    <row r="662" customFormat="false" ht="15" hidden="false" customHeight="false" outlineLevel="0" collapsed="false">
      <c r="A662" s="16" t="s">
        <v>889</v>
      </c>
      <c r="B662" s="18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8"/>
      <c r="R662" s="16"/>
      <c r="S662" s="18"/>
      <c r="T662" s="24"/>
      <c r="U662" s="23"/>
      <c r="V662" s="52"/>
      <c r="W662" s="50" t="str">
        <f aca="true">IF(Q662="","",TODAY()-Q662)</f>
        <v/>
      </c>
      <c r="X662" s="51" t="str">
        <f aca="true">IF(F662="","",IF(OR(O662="Won",O662="Lost"),"Closed",IF(S662="","No date set",IF(S662&lt;TODAY(),"Overdue",IF(S662=TODAY(),"Due today","Upcoming")))))</f>
        <v/>
      </c>
    </row>
    <row r="663" customFormat="false" ht="15" hidden="false" customHeight="false" outlineLevel="0" collapsed="false">
      <c r="A663" s="16" t="s">
        <v>890</v>
      </c>
      <c r="B663" s="18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8"/>
      <c r="R663" s="16"/>
      <c r="S663" s="18"/>
      <c r="T663" s="24"/>
      <c r="U663" s="23"/>
      <c r="V663" s="52"/>
      <c r="W663" s="50" t="str">
        <f aca="true">IF(Q663="","",TODAY()-Q663)</f>
        <v/>
      </c>
      <c r="X663" s="51" t="str">
        <f aca="true">IF(F663="","",IF(OR(O663="Won",O663="Lost"),"Closed",IF(S663="","No date set",IF(S663&lt;TODAY(),"Overdue",IF(S663=TODAY(),"Due today","Upcoming")))))</f>
        <v/>
      </c>
    </row>
    <row r="664" customFormat="false" ht="15" hidden="false" customHeight="false" outlineLevel="0" collapsed="false">
      <c r="A664" s="16" t="s">
        <v>891</v>
      </c>
      <c r="B664" s="18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8"/>
      <c r="R664" s="16"/>
      <c r="S664" s="18"/>
      <c r="T664" s="24"/>
      <c r="U664" s="23"/>
      <c r="V664" s="52"/>
      <c r="W664" s="50" t="str">
        <f aca="true">IF(Q664="","",TODAY()-Q664)</f>
        <v/>
      </c>
      <c r="X664" s="51" t="str">
        <f aca="true">IF(F664="","",IF(OR(O664="Won",O664="Lost"),"Closed",IF(S664="","No date set",IF(S664&lt;TODAY(),"Overdue",IF(S664=TODAY(),"Due today","Upcoming")))))</f>
        <v/>
      </c>
    </row>
    <row r="665" customFormat="false" ht="15" hidden="false" customHeight="false" outlineLevel="0" collapsed="false">
      <c r="A665" s="16" t="s">
        <v>892</v>
      </c>
      <c r="B665" s="18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8"/>
      <c r="R665" s="16"/>
      <c r="S665" s="18"/>
      <c r="T665" s="24"/>
      <c r="U665" s="23"/>
      <c r="V665" s="52"/>
      <c r="W665" s="50" t="str">
        <f aca="true">IF(Q665="","",TODAY()-Q665)</f>
        <v/>
      </c>
      <c r="X665" s="51" t="str">
        <f aca="true">IF(F665="","",IF(OR(O665="Won",O665="Lost"),"Closed",IF(S665="","No date set",IF(S665&lt;TODAY(),"Overdue",IF(S665=TODAY(),"Due today","Upcoming")))))</f>
        <v/>
      </c>
    </row>
    <row r="666" customFormat="false" ht="15" hidden="false" customHeight="false" outlineLevel="0" collapsed="false">
      <c r="A666" s="16" t="s">
        <v>893</v>
      </c>
      <c r="B666" s="18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8"/>
      <c r="R666" s="16"/>
      <c r="S666" s="18"/>
      <c r="T666" s="24"/>
      <c r="U666" s="23"/>
      <c r="V666" s="52"/>
      <c r="W666" s="50" t="str">
        <f aca="true">IF(Q666="","",TODAY()-Q666)</f>
        <v/>
      </c>
      <c r="X666" s="51" t="str">
        <f aca="true">IF(F666="","",IF(OR(O666="Won",O666="Lost"),"Closed",IF(S666="","No date set",IF(S666&lt;TODAY(),"Overdue",IF(S666=TODAY(),"Due today","Upcoming")))))</f>
        <v/>
      </c>
    </row>
    <row r="667" customFormat="false" ht="15" hidden="false" customHeight="false" outlineLevel="0" collapsed="false">
      <c r="A667" s="16" t="s">
        <v>894</v>
      </c>
      <c r="B667" s="18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8"/>
      <c r="R667" s="16"/>
      <c r="S667" s="18"/>
      <c r="T667" s="24"/>
      <c r="U667" s="23"/>
      <c r="V667" s="52"/>
      <c r="W667" s="50" t="str">
        <f aca="true">IF(Q667="","",TODAY()-Q667)</f>
        <v/>
      </c>
      <c r="X667" s="51" t="str">
        <f aca="true">IF(F667="","",IF(OR(O667="Won",O667="Lost"),"Closed",IF(S667="","No date set",IF(S667&lt;TODAY(),"Overdue",IF(S667=TODAY(),"Due today","Upcoming")))))</f>
        <v/>
      </c>
    </row>
    <row r="668" customFormat="false" ht="15" hidden="false" customHeight="false" outlineLevel="0" collapsed="false">
      <c r="A668" s="16" t="s">
        <v>895</v>
      </c>
      <c r="B668" s="18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8"/>
      <c r="R668" s="16"/>
      <c r="S668" s="18"/>
      <c r="T668" s="24"/>
      <c r="U668" s="23"/>
      <c r="V668" s="52"/>
      <c r="W668" s="50" t="str">
        <f aca="true">IF(Q668="","",TODAY()-Q668)</f>
        <v/>
      </c>
      <c r="X668" s="51" t="str">
        <f aca="true">IF(F668="","",IF(OR(O668="Won",O668="Lost"),"Closed",IF(S668="","No date set",IF(S668&lt;TODAY(),"Overdue",IF(S668=TODAY(),"Due today","Upcoming")))))</f>
        <v/>
      </c>
    </row>
    <row r="669" customFormat="false" ht="15" hidden="false" customHeight="false" outlineLevel="0" collapsed="false">
      <c r="A669" s="16" t="s">
        <v>896</v>
      </c>
      <c r="B669" s="18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8"/>
      <c r="R669" s="16"/>
      <c r="S669" s="18"/>
      <c r="T669" s="24"/>
      <c r="U669" s="23"/>
      <c r="V669" s="52"/>
      <c r="W669" s="50" t="str">
        <f aca="true">IF(Q669="","",TODAY()-Q669)</f>
        <v/>
      </c>
      <c r="X669" s="51" t="str">
        <f aca="true">IF(F669="","",IF(OR(O669="Won",O669="Lost"),"Closed",IF(S669="","No date set",IF(S669&lt;TODAY(),"Overdue",IF(S669=TODAY(),"Due today","Upcoming")))))</f>
        <v/>
      </c>
    </row>
    <row r="670" customFormat="false" ht="15" hidden="false" customHeight="false" outlineLevel="0" collapsed="false">
      <c r="A670" s="16" t="s">
        <v>897</v>
      </c>
      <c r="B670" s="18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8"/>
      <c r="R670" s="16"/>
      <c r="S670" s="18"/>
      <c r="T670" s="24"/>
      <c r="U670" s="23"/>
      <c r="V670" s="52"/>
      <c r="W670" s="50" t="str">
        <f aca="true">IF(Q670="","",TODAY()-Q670)</f>
        <v/>
      </c>
      <c r="X670" s="51" t="str">
        <f aca="true">IF(F670="","",IF(OR(O670="Won",O670="Lost"),"Closed",IF(S670="","No date set",IF(S670&lt;TODAY(),"Overdue",IF(S670=TODAY(),"Due today","Upcoming")))))</f>
        <v/>
      </c>
    </row>
    <row r="671" customFormat="false" ht="15" hidden="false" customHeight="false" outlineLevel="0" collapsed="false">
      <c r="A671" s="16" t="s">
        <v>898</v>
      </c>
      <c r="B671" s="18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8"/>
      <c r="R671" s="16"/>
      <c r="S671" s="18"/>
      <c r="T671" s="24"/>
      <c r="U671" s="23"/>
      <c r="V671" s="52"/>
      <c r="W671" s="50" t="str">
        <f aca="true">IF(Q671="","",TODAY()-Q671)</f>
        <v/>
      </c>
      <c r="X671" s="51" t="str">
        <f aca="true">IF(F671="","",IF(OR(O671="Won",O671="Lost"),"Closed",IF(S671="","No date set",IF(S671&lt;TODAY(),"Overdue",IF(S671=TODAY(),"Due today","Upcoming")))))</f>
        <v/>
      </c>
    </row>
    <row r="672" customFormat="false" ht="15" hidden="false" customHeight="false" outlineLevel="0" collapsed="false">
      <c r="A672" s="16" t="s">
        <v>899</v>
      </c>
      <c r="B672" s="18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8"/>
      <c r="R672" s="16"/>
      <c r="S672" s="18"/>
      <c r="T672" s="24"/>
      <c r="U672" s="23"/>
      <c r="V672" s="52"/>
      <c r="W672" s="50" t="str">
        <f aca="true">IF(Q672="","",TODAY()-Q672)</f>
        <v/>
      </c>
      <c r="X672" s="51" t="str">
        <f aca="true">IF(F672="","",IF(OR(O672="Won",O672="Lost"),"Closed",IF(S672="","No date set",IF(S672&lt;TODAY(),"Overdue",IF(S672=TODAY(),"Due today","Upcoming")))))</f>
        <v/>
      </c>
    </row>
    <row r="673" customFormat="false" ht="15" hidden="false" customHeight="false" outlineLevel="0" collapsed="false">
      <c r="A673" s="16" t="s">
        <v>900</v>
      </c>
      <c r="B673" s="18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8"/>
      <c r="R673" s="16"/>
      <c r="S673" s="18"/>
      <c r="T673" s="24"/>
      <c r="U673" s="23"/>
      <c r="V673" s="52"/>
      <c r="W673" s="50" t="str">
        <f aca="true">IF(Q673="","",TODAY()-Q673)</f>
        <v/>
      </c>
      <c r="X673" s="51" t="str">
        <f aca="true">IF(F673="","",IF(OR(O673="Won",O673="Lost"),"Closed",IF(S673="","No date set",IF(S673&lt;TODAY(),"Overdue",IF(S673=TODAY(),"Due today","Upcoming")))))</f>
        <v/>
      </c>
    </row>
    <row r="674" customFormat="false" ht="15" hidden="false" customHeight="false" outlineLevel="0" collapsed="false">
      <c r="A674" s="16" t="s">
        <v>901</v>
      </c>
      <c r="B674" s="18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8"/>
      <c r="R674" s="16"/>
      <c r="S674" s="18"/>
      <c r="T674" s="24"/>
      <c r="U674" s="23"/>
      <c r="V674" s="52"/>
      <c r="W674" s="50" t="str">
        <f aca="true">IF(Q674="","",TODAY()-Q674)</f>
        <v/>
      </c>
      <c r="X674" s="51" t="str">
        <f aca="true">IF(F674="","",IF(OR(O674="Won",O674="Lost"),"Closed",IF(S674="","No date set",IF(S674&lt;TODAY(),"Overdue",IF(S674=TODAY(),"Due today","Upcoming")))))</f>
        <v/>
      </c>
    </row>
    <row r="675" customFormat="false" ht="15" hidden="false" customHeight="false" outlineLevel="0" collapsed="false">
      <c r="A675" s="16" t="s">
        <v>902</v>
      </c>
      <c r="B675" s="18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8"/>
      <c r="R675" s="16"/>
      <c r="S675" s="18"/>
      <c r="T675" s="24"/>
      <c r="U675" s="23"/>
      <c r="V675" s="52"/>
      <c r="W675" s="50" t="str">
        <f aca="true">IF(Q675="","",TODAY()-Q675)</f>
        <v/>
      </c>
      <c r="X675" s="51" t="str">
        <f aca="true">IF(F675="","",IF(OR(O675="Won",O675="Lost"),"Closed",IF(S675="","No date set",IF(S675&lt;TODAY(),"Overdue",IF(S675=TODAY(),"Due today","Upcoming")))))</f>
        <v/>
      </c>
    </row>
    <row r="676" customFormat="false" ht="15" hidden="false" customHeight="false" outlineLevel="0" collapsed="false">
      <c r="A676" s="16" t="s">
        <v>903</v>
      </c>
      <c r="B676" s="18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8"/>
      <c r="R676" s="16"/>
      <c r="S676" s="18"/>
      <c r="T676" s="24"/>
      <c r="U676" s="23"/>
      <c r="V676" s="52"/>
      <c r="W676" s="50" t="str">
        <f aca="true">IF(Q676="","",TODAY()-Q676)</f>
        <v/>
      </c>
      <c r="X676" s="51" t="str">
        <f aca="true">IF(F676="","",IF(OR(O676="Won",O676="Lost"),"Closed",IF(S676="","No date set",IF(S676&lt;TODAY(),"Overdue",IF(S676=TODAY(),"Due today","Upcoming")))))</f>
        <v/>
      </c>
    </row>
    <row r="677" customFormat="false" ht="15" hidden="false" customHeight="false" outlineLevel="0" collapsed="false">
      <c r="A677" s="16" t="s">
        <v>904</v>
      </c>
      <c r="B677" s="18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8"/>
      <c r="R677" s="16"/>
      <c r="S677" s="18"/>
      <c r="T677" s="24"/>
      <c r="U677" s="23"/>
      <c r="V677" s="52"/>
      <c r="W677" s="50" t="str">
        <f aca="true">IF(Q677="","",TODAY()-Q677)</f>
        <v/>
      </c>
      <c r="X677" s="51" t="str">
        <f aca="true">IF(F677="","",IF(OR(O677="Won",O677="Lost"),"Closed",IF(S677="","No date set",IF(S677&lt;TODAY(),"Overdue",IF(S677=TODAY(),"Due today","Upcoming")))))</f>
        <v/>
      </c>
    </row>
    <row r="678" customFormat="false" ht="15" hidden="false" customHeight="false" outlineLevel="0" collapsed="false">
      <c r="A678" s="16" t="s">
        <v>905</v>
      </c>
      <c r="B678" s="18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8"/>
      <c r="R678" s="16"/>
      <c r="S678" s="18"/>
      <c r="T678" s="24"/>
      <c r="U678" s="23"/>
      <c r="V678" s="52"/>
      <c r="W678" s="50" t="str">
        <f aca="true">IF(Q678="","",TODAY()-Q678)</f>
        <v/>
      </c>
      <c r="X678" s="51" t="str">
        <f aca="true">IF(F678="","",IF(OR(O678="Won",O678="Lost"),"Closed",IF(S678="","No date set",IF(S678&lt;TODAY(),"Overdue",IF(S678=TODAY(),"Due today","Upcoming")))))</f>
        <v/>
      </c>
    </row>
    <row r="679" customFormat="false" ht="15" hidden="false" customHeight="false" outlineLevel="0" collapsed="false">
      <c r="A679" s="16" t="s">
        <v>906</v>
      </c>
      <c r="B679" s="18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8"/>
      <c r="R679" s="16"/>
      <c r="S679" s="18"/>
      <c r="T679" s="24"/>
      <c r="U679" s="23"/>
      <c r="V679" s="52"/>
      <c r="W679" s="50" t="str">
        <f aca="true">IF(Q679="","",TODAY()-Q679)</f>
        <v/>
      </c>
      <c r="X679" s="51" t="str">
        <f aca="true">IF(F679="","",IF(OR(O679="Won",O679="Lost"),"Closed",IF(S679="","No date set",IF(S679&lt;TODAY(),"Overdue",IF(S679=TODAY(),"Due today","Upcoming")))))</f>
        <v/>
      </c>
    </row>
    <row r="680" customFormat="false" ht="15" hidden="false" customHeight="false" outlineLevel="0" collapsed="false">
      <c r="A680" s="16" t="s">
        <v>907</v>
      </c>
      <c r="B680" s="18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8"/>
      <c r="R680" s="16"/>
      <c r="S680" s="18"/>
      <c r="T680" s="24"/>
      <c r="U680" s="23"/>
      <c r="V680" s="52"/>
      <c r="W680" s="50" t="str">
        <f aca="true">IF(Q680="","",TODAY()-Q680)</f>
        <v/>
      </c>
      <c r="X680" s="51" t="str">
        <f aca="true">IF(F680="","",IF(OR(O680="Won",O680="Lost"),"Closed",IF(S680="","No date set",IF(S680&lt;TODAY(),"Overdue",IF(S680=TODAY(),"Due today","Upcoming")))))</f>
        <v/>
      </c>
    </row>
    <row r="681" customFormat="false" ht="15" hidden="false" customHeight="false" outlineLevel="0" collapsed="false">
      <c r="A681" s="16" t="s">
        <v>908</v>
      </c>
      <c r="B681" s="18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8"/>
      <c r="R681" s="16"/>
      <c r="S681" s="18"/>
      <c r="T681" s="24"/>
      <c r="U681" s="23"/>
      <c r="V681" s="52"/>
      <c r="W681" s="50" t="str">
        <f aca="true">IF(Q681="","",TODAY()-Q681)</f>
        <v/>
      </c>
      <c r="X681" s="51" t="str">
        <f aca="true">IF(F681="","",IF(OR(O681="Won",O681="Lost"),"Closed",IF(S681="","No date set",IF(S681&lt;TODAY(),"Overdue",IF(S681=TODAY(),"Due today","Upcoming")))))</f>
        <v/>
      </c>
    </row>
    <row r="682" customFormat="false" ht="15" hidden="false" customHeight="false" outlineLevel="0" collapsed="false">
      <c r="A682" s="16" t="s">
        <v>909</v>
      </c>
      <c r="B682" s="18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8"/>
      <c r="R682" s="16"/>
      <c r="S682" s="18"/>
      <c r="T682" s="24"/>
      <c r="U682" s="23"/>
      <c r="V682" s="52"/>
      <c r="W682" s="50" t="str">
        <f aca="true">IF(Q682="","",TODAY()-Q682)</f>
        <v/>
      </c>
      <c r="X682" s="51" t="str">
        <f aca="true">IF(F682="","",IF(OR(O682="Won",O682="Lost"),"Closed",IF(S682="","No date set",IF(S682&lt;TODAY(),"Overdue",IF(S682=TODAY(),"Due today","Upcoming")))))</f>
        <v/>
      </c>
    </row>
    <row r="683" customFormat="false" ht="15" hidden="false" customHeight="false" outlineLevel="0" collapsed="false">
      <c r="A683" s="16" t="s">
        <v>910</v>
      </c>
      <c r="B683" s="18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8"/>
      <c r="R683" s="16"/>
      <c r="S683" s="18"/>
      <c r="T683" s="24"/>
      <c r="U683" s="23"/>
      <c r="V683" s="52"/>
      <c r="W683" s="50" t="str">
        <f aca="true">IF(Q683="","",TODAY()-Q683)</f>
        <v/>
      </c>
      <c r="X683" s="51" t="str">
        <f aca="true">IF(F683="","",IF(OR(O683="Won",O683="Lost"),"Closed",IF(S683="","No date set",IF(S683&lt;TODAY(),"Overdue",IF(S683=TODAY(),"Due today","Upcoming")))))</f>
        <v/>
      </c>
    </row>
    <row r="684" customFormat="false" ht="15" hidden="false" customHeight="false" outlineLevel="0" collapsed="false">
      <c r="A684" s="16" t="s">
        <v>911</v>
      </c>
      <c r="B684" s="18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8"/>
      <c r="R684" s="16"/>
      <c r="S684" s="18"/>
      <c r="T684" s="24"/>
      <c r="U684" s="23"/>
      <c r="V684" s="52"/>
      <c r="W684" s="50" t="str">
        <f aca="true">IF(Q684="","",TODAY()-Q684)</f>
        <v/>
      </c>
      <c r="X684" s="51" t="str">
        <f aca="true">IF(F684="","",IF(OR(O684="Won",O684="Lost"),"Closed",IF(S684="","No date set",IF(S684&lt;TODAY(),"Overdue",IF(S684=TODAY(),"Due today","Upcoming")))))</f>
        <v/>
      </c>
    </row>
    <row r="685" customFormat="false" ht="15" hidden="false" customHeight="false" outlineLevel="0" collapsed="false">
      <c r="A685" s="16" t="s">
        <v>912</v>
      </c>
      <c r="B685" s="18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8"/>
      <c r="R685" s="16"/>
      <c r="S685" s="18"/>
      <c r="T685" s="24"/>
      <c r="U685" s="23"/>
      <c r="V685" s="52"/>
      <c r="W685" s="50" t="str">
        <f aca="true">IF(Q685="","",TODAY()-Q685)</f>
        <v/>
      </c>
      <c r="X685" s="51" t="str">
        <f aca="true">IF(F685="","",IF(OR(O685="Won",O685="Lost"),"Closed",IF(S685="","No date set",IF(S685&lt;TODAY(),"Overdue",IF(S685=TODAY(),"Due today","Upcoming")))))</f>
        <v/>
      </c>
    </row>
    <row r="686" customFormat="false" ht="15" hidden="false" customHeight="false" outlineLevel="0" collapsed="false">
      <c r="A686" s="16" t="s">
        <v>913</v>
      </c>
      <c r="B686" s="18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8"/>
      <c r="R686" s="16"/>
      <c r="S686" s="18"/>
      <c r="T686" s="24"/>
      <c r="U686" s="23"/>
      <c r="V686" s="52"/>
      <c r="W686" s="50" t="str">
        <f aca="true">IF(Q686="","",TODAY()-Q686)</f>
        <v/>
      </c>
      <c r="X686" s="51" t="str">
        <f aca="true">IF(F686="","",IF(OR(O686="Won",O686="Lost"),"Closed",IF(S686="","No date set",IF(S686&lt;TODAY(),"Overdue",IF(S686=TODAY(),"Due today","Upcoming")))))</f>
        <v/>
      </c>
    </row>
    <row r="687" customFormat="false" ht="15" hidden="false" customHeight="false" outlineLevel="0" collapsed="false">
      <c r="A687" s="16" t="s">
        <v>914</v>
      </c>
      <c r="B687" s="18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8"/>
      <c r="R687" s="16"/>
      <c r="S687" s="18"/>
      <c r="T687" s="24"/>
      <c r="U687" s="23"/>
      <c r="V687" s="52"/>
      <c r="W687" s="50" t="str">
        <f aca="true">IF(Q687="","",TODAY()-Q687)</f>
        <v/>
      </c>
      <c r="X687" s="51" t="str">
        <f aca="true">IF(F687="","",IF(OR(O687="Won",O687="Lost"),"Closed",IF(S687="","No date set",IF(S687&lt;TODAY(),"Overdue",IF(S687=TODAY(),"Due today","Upcoming")))))</f>
        <v/>
      </c>
    </row>
    <row r="688" customFormat="false" ht="15" hidden="false" customHeight="false" outlineLevel="0" collapsed="false">
      <c r="A688" s="16" t="s">
        <v>915</v>
      </c>
      <c r="B688" s="18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8"/>
      <c r="R688" s="16"/>
      <c r="S688" s="18"/>
      <c r="T688" s="24"/>
      <c r="U688" s="23"/>
      <c r="V688" s="52"/>
      <c r="W688" s="50" t="str">
        <f aca="true">IF(Q688="","",TODAY()-Q688)</f>
        <v/>
      </c>
      <c r="X688" s="51" t="str">
        <f aca="true">IF(F688="","",IF(OR(O688="Won",O688="Lost"),"Closed",IF(S688="","No date set",IF(S688&lt;TODAY(),"Overdue",IF(S688=TODAY(),"Due today","Upcoming")))))</f>
        <v/>
      </c>
    </row>
    <row r="689" customFormat="false" ht="15" hidden="false" customHeight="false" outlineLevel="0" collapsed="false">
      <c r="A689" s="16" t="s">
        <v>916</v>
      </c>
      <c r="B689" s="18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8"/>
      <c r="R689" s="16"/>
      <c r="S689" s="18"/>
      <c r="T689" s="24"/>
      <c r="U689" s="23"/>
      <c r="V689" s="52"/>
      <c r="W689" s="50" t="str">
        <f aca="true">IF(Q689="","",TODAY()-Q689)</f>
        <v/>
      </c>
      <c r="X689" s="51" t="str">
        <f aca="true">IF(F689="","",IF(OR(O689="Won",O689="Lost"),"Closed",IF(S689="","No date set",IF(S689&lt;TODAY(),"Overdue",IF(S689=TODAY(),"Due today","Upcoming")))))</f>
        <v/>
      </c>
    </row>
    <row r="690" customFormat="false" ht="15" hidden="false" customHeight="false" outlineLevel="0" collapsed="false">
      <c r="A690" s="16" t="s">
        <v>917</v>
      </c>
      <c r="B690" s="18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8"/>
      <c r="R690" s="16"/>
      <c r="S690" s="18"/>
      <c r="T690" s="24"/>
      <c r="U690" s="23"/>
      <c r="V690" s="52"/>
      <c r="W690" s="50" t="str">
        <f aca="true">IF(Q690="","",TODAY()-Q690)</f>
        <v/>
      </c>
      <c r="X690" s="51" t="str">
        <f aca="true">IF(F690="","",IF(OR(O690="Won",O690="Lost"),"Closed",IF(S690="","No date set",IF(S690&lt;TODAY(),"Overdue",IF(S690=TODAY(),"Due today","Upcoming")))))</f>
        <v/>
      </c>
    </row>
    <row r="691" customFormat="false" ht="15" hidden="false" customHeight="false" outlineLevel="0" collapsed="false">
      <c r="A691" s="16" t="s">
        <v>918</v>
      </c>
      <c r="B691" s="18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8"/>
      <c r="R691" s="16"/>
      <c r="S691" s="18"/>
      <c r="T691" s="24"/>
      <c r="U691" s="23"/>
      <c r="V691" s="52"/>
      <c r="W691" s="50" t="str">
        <f aca="true">IF(Q691="","",TODAY()-Q691)</f>
        <v/>
      </c>
      <c r="X691" s="51" t="str">
        <f aca="true">IF(F691="","",IF(OR(O691="Won",O691="Lost"),"Closed",IF(S691="","No date set",IF(S691&lt;TODAY(),"Overdue",IF(S691=TODAY(),"Due today","Upcoming")))))</f>
        <v/>
      </c>
    </row>
    <row r="692" customFormat="false" ht="15" hidden="false" customHeight="false" outlineLevel="0" collapsed="false">
      <c r="A692" s="16" t="s">
        <v>919</v>
      </c>
      <c r="B692" s="18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8"/>
      <c r="R692" s="16"/>
      <c r="S692" s="18"/>
      <c r="T692" s="24"/>
      <c r="U692" s="23"/>
      <c r="V692" s="52"/>
      <c r="W692" s="50" t="str">
        <f aca="true">IF(Q692="","",TODAY()-Q692)</f>
        <v/>
      </c>
      <c r="X692" s="51" t="str">
        <f aca="true">IF(F692="","",IF(OR(O692="Won",O692="Lost"),"Closed",IF(S692="","No date set",IF(S692&lt;TODAY(),"Overdue",IF(S692=TODAY(),"Due today","Upcoming")))))</f>
        <v/>
      </c>
    </row>
    <row r="693" customFormat="false" ht="15" hidden="false" customHeight="false" outlineLevel="0" collapsed="false">
      <c r="A693" s="16" t="s">
        <v>920</v>
      </c>
      <c r="B693" s="18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8"/>
      <c r="R693" s="16"/>
      <c r="S693" s="18"/>
      <c r="T693" s="24"/>
      <c r="U693" s="23"/>
      <c r="V693" s="52"/>
      <c r="W693" s="50" t="str">
        <f aca="true">IF(Q693="","",TODAY()-Q693)</f>
        <v/>
      </c>
      <c r="X693" s="51" t="str">
        <f aca="true">IF(F693="","",IF(OR(O693="Won",O693="Lost"),"Closed",IF(S693="","No date set",IF(S693&lt;TODAY(),"Overdue",IF(S693=TODAY(),"Due today","Upcoming")))))</f>
        <v/>
      </c>
    </row>
    <row r="694" customFormat="false" ht="15" hidden="false" customHeight="false" outlineLevel="0" collapsed="false">
      <c r="A694" s="16" t="s">
        <v>921</v>
      </c>
      <c r="B694" s="18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8"/>
      <c r="R694" s="16"/>
      <c r="S694" s="18"/>
      <c r="T694" s="24"/>
      <c r="U694" s="23"/>
      <c r="V694" s="52"/>
      <c r="W694" s="50" t="str">
        <f aca="true">IF(Q694="","",TODAY()-Q694)</f>
        <v/>
      </c>
      <c r="X694" s="51" t="str">
        <f aca="true">IF(F694="","",IF(OR(O694="Won",O694="Lost"),"Closed",IF(S694="","No date set",IF(S694&lt;TODAY(),"Overdue",IF(S694=TODAY(),"Due today","Upcoming")))))</f>
        <v/>
      </c>
    </row>
    <row r="695" customFormat="false" ht="15" hidden="false" customHeight="false" outlineLevel="0" collapsed="false">
      <c r="A695" s="16" t="s">
        <v>922</v>
      </c>
      <c r="B695" s="18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8"/>
      <c r="R695" s="16"/>
      <c r="S695" s="18"/>
      <c r="T695" s="24"/>
      <c r="U695" s="23"/>
      <c r="V695" s="52"/>
      <c r="W695" s="50" t="str">
        <f aca="true">IF(Q695="","",TODAY()-Q695)</f>
        <v/>
      </c>
      <c r="X695" s="51" t="str">
        <f aca="true">IF(F695="","",IF(OR(O695="Won",O695="Lost"),"Closed",IF(S695="","No date set",IF(S695&lt;TODAY(),"Overdue",IF(S695=TODAY(),"Due today","Upcoming")))))</f>
        <v/>
      </c>
    </row>
    <row r="696" customFormat="false" ht="15" hidden="false" customHeight="false" outlineLevel="0" collapsed="false">
      <c r="A696" s="16" t="s">
        <v>923</v>
      </c>
      <c r="B696" s="18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8"/>
      <c r="R696" s="16"/>
      <c r="S696" s="18"/>
      <c r="T696" s="24"/>
      <c r="U696" s="23"/>
      <c r="V696" s="52"/>
      <c r="W696" s="50" t="str">
        <f aca="true">IF(Q696="","",TODAY()-Q696)</f>
        <v/>
      </c>
      <c r="X696" s="51" t="str">
        <f aca="true">IF(F696="","",IF(OR(O696="Won",O696="Lost"),"Closed",IF(S696="","No date set",IF(S696&lt;TODAY(),"Overdue",IF(S696=TODAY(),"Due today","Upcoming")))))</f>
        <v/>
      </c>
    </row>
    <row r="697" customFormat="false" ht="15" hidden="false" customHeight="false" outlineLevel="0" collapsed="false">
      <c r="A697" s="16" t="s">
        <v>924</v>
      </c>
      <c r="B697" s="18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8"/>
      <c r="R697" s="16"/>
      <c r="S697" s="18"/>
      <c r="T697" s="24"/>
      <c r="U697" s="23"/>
      <c r="V697" s="52"/>
      <c r="W697" s="50" t="str">
        <f aca="true">IF(Q697="","",TODAY()-Q697)</f>
        <v/>
      </c>
      <c r="X697" s="51" t="str">
        <f aca="true">IF(F697="","",IF(OR(O697="Won",O697="Lost"),"Closed",IF(S697="","No date set",IF(S697&lt;TODAY(),"Overdue",IF(S697=TODAY(),"Due today","Upcoming")))))</f>
        <v/>
      </c>
    </row>
    <row r="698" customFormat="false" ht="15" hidden="false" customHeight="false" outlineLevel="0" collapsed="false">
      <c r="A698" s="16" t="s">
        <v>925</v>
      </c>
      <c r="B698" s="18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8"/>
      <c r="R698" s="16"/>
      <c r="S698" s="18"/>
      <c r="T698" s="24"/>
      <c r="U698" s="23"/>
      <c r="V698" s="52"/>
      <c r="W698" s="50" t="str">
        <f aca="true">IF(Q698="","",TODAY()-Q698)</f>
        <v/>
      </c>
      <c r="X698" s="51" t="str">
        <f aca="true">IF(F698="","",IF(OR(O698="Won",O698="Lost"),"Closed",IF(S698="","No date set",IF(S698&lt;TODAY(),"Overdue",IF(S698=TODAY(),"Due today","Upcoming")))))</f>
        <v/>
      </c>
    </row>
    <row r="699" customFormat="false" ht="15" hidden="false" customHeight="false" outlineLevel="0" collapsed="false">
      <c r="A699" s="16" t="s">
        <v>926</v>
      </c>
      <c r="B699" s="18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8"/>
      <c r="R699" s="16"/>
      <c r="S699" s="18"/>
      <c r="T699" s="24"/>
      <c r="U699" s="23"/>
      <c r="V699" s="52"/>
      <c r="W699" s="50" t="str">
        <f aca="true">IF(Q699="","",TODAY()-Q699)</f>
        <v/>
      </c>
      <c r="X699" s="51" t="str">
        <f aca="true">IF(F699="","",IF(OR(O699="Won",O699="Lost"),"Closed",IF(S699="","No date set",IF(S699&lt;TODAY(),"Overdue",IF(S699=TODAY(),"Due today","Upcoming")))))</f>
        <v/>
      </c>
    </row>
    <row r="700" customFormat="false" ht="15" hidden="false" customHeight="false" outlineLevel="0" collapsed="false">
      <c r="A700" s="16" t="s">
        <v>927</v>
      </c>
      <c r="B700" s="18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8"/>
      <c r="R700" s="16"/>
      <c r="S700" s="18"/>
      <c r="T700" s="24"/>
      <c r="U700" s="23"/>
      <c r="V700" s="52"/>
      <c r="W700" s="50" t="str">
        <f aca="true">IF(Q700="","",TODAY()-Q700)</f>
        <v/>
      </c>
      <c r="X700" s="51" t="str">
        <f aca="true">IF(F700="","",IF(OR(O700="Won",O700="Lost"),"Closed",IF(S700="","No date set",IF(S700&lt;TODAY(),"Overdue",IF(S700=TODAY(),"Due today","Upcoming")))))</f>
        <v/>
      </c>
    </row>
    <row r="701" customFormat="false" ht="15" hidden="false" customHeight="false" outlineLevel="0" collapsed="false">
      <c r="A701" s="16" t="s">
        <v>928</v>
      </c>
      <c r="B701" s="18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8"/>
      <c r="R701" s="16"/>
      <c r="S701" s="18"/>
      <c r="T701" s="24"/>
      <c r="U701" s="23"/>
      <c r="V701" s="52"/>
      <c r="W701" s="50" t="str">
        <f aca="true">IF(Q701="","",TODAY()-Q701)</f>
        <v/>
      </c>
      <c r="X701" s="51" t="str">
        <f aca="true">IF(F701="","",IF(OR(O701="Won",O701="Lost"),"Closed",IF(S701="","No date set",IF(S701&lt;TODAY(),"Overdue",IF(S701=TODAY(),"Due today","Upcoming")))))</f>
        <v/>
      </c>
    </row>
    <row r="702" customFormat="false" ht="15" hidden="false" customHeight="false" outlineLevel="0" collapsed="false">
      <c r="A702" s="16" t="s">
        <v>929</v>
      </c>
      <c r="B702" s="18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8"/>
      <c r="R702" s="16"/>
      <c r="S702" s="18"/>
      <c r="T702" s="24"/>
      <c r="U702" s="23"/>
      <c r="V702" s="52"/>
      <c r="W702" s="50" t="str">
        <f aca="true">IF(Q702="","",TODAY()-Q702)</f>
        <v/>
      </c>
      <c r="X702" s="51" t="str">
        <f aca="true">IF(F702="","",IF(OR(O702="Won",O702="Lost"),"Closed",IF(S702="","No date set",IF(S702&lt;TODAY(),"Overdue",IF(S702=TODAY(),"Due today","Upcoming")))))</f>
        <v/>
      </c>
    </row>
    <row r="703" customFormat="false" ht="15" hidden="false" customHeight="false" outlineLevel="0" collapsed="false">
      <c r="A703" s="16" t="s">
        <v>930</v>
      </c>
      <c r="B703" s="18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8"/>
      <c r="R703" s="16"/>
      <c r="S703" s="18"/>
      <c r="T703" s="24"/>
      <c r="U703" s="23"/>
      <c r="V703" s="52"/>
      <c r="W703" s="50" t="str">
        <f aca="true">IF(Q703="","",TODAY()-Q703)</f>
        <v/>
      </c>
      <c r="X703" s="51" t="str">
        <f aca="true">IF(F703="","",IF(OR(O703="Won",O703="Lost"),"Closed",IF(S703="","No date set",IF(S703&lt;TODAY(),"Overdue",IF(S703=TODAY(),"Due today","Upcoming")))))</f>
        <v/>
      </c>
    </row>
    <row r="704" customFormat="false" ht="15" hidden="false" customHeight="false" outlineLevel="0" collapsed="false">
      <c r="A704" s="16" t="s">
        <v>931</v>
      </c>
      <c r="B704" s="18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8"/>
      <c r="R704" s="16"/>
      <c r="S704" s="18"/>
      <c r="T704" s="24"/>
      <c r="U704" s="23"/>
      <c r="V704" s="52"/>
      <c r="W704" s="50" t="str">
        <f aca="true">IF(Q704="","",TODAY()-Q704)</f>
        <v/>
      </c>
      <c r="X704" s="51" t="str">
        <f aca="true">IF(F704="","",IF(OR(O704="Won",O704="Lost"),"Closed",IF(S704="","No date set",IF(S704&lt;TODAY(),"Overdue",IF(S704=TODAY(),"Due today","Upcoming")))))</f>
        <v/>
      </c>
    </row>
    <row r="705" customFormat="false" ht="15" hidden="false" customHeight="false" outlineLevel="0" collapsed="false">
      <c r="A705" s="16" t="s">
        <v>932</v>
      </c>
      <c r="B705" s="18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8"/>
      <c r="R705" s="16"/>
      <c r="S705" s="18"/>
      <c r="T705" s="24"/>
      <c r="U705" s="23"/>
      <c r="V705" s="52"/>
      <c r="W705" s="50" t="str">
        <f aca="true">IF(Q705="","",TODAY()-Q705)</f>
        <v/>
      </c>
      <c r="X705" s="51" t="str">
        <f aca="true">IF(F705="","",IF(OR(O705="Won",O705="Lost"),"Closed",IF(S705="","No date set",IF(S705&lt;TODAY(),"Overdue",IF(S705=TODAY(),"Due today","Upcoming")))))</f>
        <v/>
      </c>
    </row>
    <row r="706" customFormat="false" ht="15" hidden="false" customHeight="false" outlineLevel="0" collapsed="false">
      <c r="A706" s="16" t="s">
        <v>933</v>
      </c>
      <c r="B706" s="18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8"/>
      <c r="R706" s="16"/>
      <c r="S706" s="18"/>
      <c r="T706" s="24"/>
      <c r="U706" s="23"/>
      <c r="V706" s="52"/>
      <c r="W706" s="50" t="str">
        <f aca="true">IF(Q706="","",TODAY()-Q706)</f>
        <v/>
      </c>
      <c r="X706" s="51" t="str">
        <f aca="true">IF(F706="","",IF(OR(O706="Won",O706="Lost"),"Closed",IF(S706="","No date set",IF(S706&lt;TODAY(),"Overdue",IF(S706=TODAY(),"Due today","Upcoming")))))</f>
        <v/>
      </c>
    </row>
    <row r="707" customFormat="false" ht="15" hidden="false" customHeight="false" outlineLevel="0" collapsed="false">
      <c r="A707" s="16" t="s">
        <v>934</v>
      </c>
      <c r="B707" s="18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8"/>
      <c r="R707" s="16"/>
      <c r="S707" s="18"/>
      <c r="T707" s="24"/>
      <c r="U707" s="23"/>
      <c r="V707" s="52"/>
      <c r="W707" s="50" t="str">
        <f aca="true">IF(Q707="","",TODAY()-Q707)</f>
        <v/>
      </c>
      <c r="X707" s="51" t="str">
        <f aca="true">IF(F707="","",IF(OR(O707="Won",O707="Lost"),"Closed",IF(S707="","No date set",IF(S707&lt;TODAY(),"Overdue",IF(S707=TODAY(),"Due today","Upcoming")))))</f>
        <v/>
      </c>
    </row>
    <row r="708" customFormat="false" ht="15" hidden="false" customHeight="false" outlineLevel="0" collapsed="false">
      <c r="A708" s="16" t="s">
        <v>935</v>
      </c>
      <c r="B708" s="18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8"/>
      <c r="R708" s="16"/>
      <c r="S708" s="18"/>
      <c r="T708" s="24"/>
      <c r="U708" s="23"/>
      <c r="V708" s="52"/>
      <c r="W708" s="50" t="str">
        <f aca="true">IF(Q708="","",TODAY()-Q708)</f>
        <v/>
      </c>
      <c r="X708" s="51" t="str">
        <f aca="true">IF(F708="","",IF(OR(O708="Won",O708="Lost"),"Closed",IF(S708="","No date set",IF(S708&lt;TODAY(),"Overdue",IF(S708=TODAY(),"Due today","Upcoming")))))</f>
        <v/>
      </c>
    </row>
    <row r="709" customFormat="false" ht="15" hidden="false" customHeight="false" outlineLevel="0" collapsed="false">
      <c r="A709" s="16" t="s">
        <v>936</v>
      </c>
      <c r="B709" s="18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8"/>
      <c r="R709" s="16"/>
      <c r="S709" s="18"/>
      <c r="T709" s="24"/>
      <c r="U709" s="23"/>
      <c r="V709" s="52"/>
      <c r="W709" s="50" t="str">
        <f aca="true">IF(Q709="","",TODAY()-Q709)</f>
        <v/>
      </c>
      <c r="X709" s="51" t="str">
        <f aca="true">IF(F709="","",IF(OR(O709="Won",O709="Lost"),"Closed",IF(S709="","No date set",IF(S709&lt;TODAY(),"Overdue",IF(S709=TODAY(),"Due today","Upcoming")))))</f>
        <v/>
      </c>
    </row>
    <row r="710" customFormat="false" ht="15" hidden="false" customHeight="false" outlineLevel="0" collapsed="false">
      <c r="A710" s="16" t="s">
        <v>937</v>
      </c>
      <c r="B710" s="18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8"/>
      <c r="R710" s="16"/>
      <c r="S710" s="18"/>
      <c r="T710" s="24"/>
      <c r="U710" s="23"/>
      <c r="V710" s="52"/>
      <c r="W710" s="50" t="str">
        <f aca="true">IF(Q710="","",TODAY()-Q710)</f>
        <v/>
      </c>
      <c r="X710" s="51" t="str">
        <f aca="true">IF(F710="","",IF(OR(O710="Won",O710="Lost"),"Closed",IF(S710="","No date set",IF(S710&lt;TODAY(),"Overdue",IF(S710=TODAY(),"Due today","Upcoming")))))</f>
        <v/>
      </c>
    </row>
    <row r="711" customFormat="false" ht="15" hidden="false" customHeight="false" outlineLevel="0" collapsed="false">
      <c r="A711" s="16" t="s">
        <v>938</v>
      </c>
      <c r="B711" s="18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8"/>
      <c r="R711" s="16"/>
      <c r="S711" s="18"/>
      <c r="T711" s="24"/>
      <c r="U711" s="23"/>
      <c r="V711" s="52"/>
      <c r="W711" s="50" t="str">
        <f aca="true">IF(Q711="","",TODAY()-Q711)</f>
        <v/>
      </c>
      <c r="X711" s="51" t="str">
        <f aca="true">IF(F711="","",IF(OR(O711="Won",O711="Lost"),"Closed",IF(S711="","No date set",IF(S711&lt;TODAY(),"Overdue",IF(S711=TODAY(),"Due today","Upcoming")))))</f>
        <v/>
      </c>
    </row>
    <row r="712" customFormat="false" ht="15" hidden="false" customHeight="false" outlineLevel="0" collapsed="false">
      <c r="A712" s="16" t="s">
        <v>939</v>
      </c>
      <c r="B712" s="18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8"/>
      <c r="R712" s="16"/>
      <c r="S712" s="18"/>
      <c r="T712" s="24"/>
      <c r="U712" s="23"/>
      <c r="V712" s="52"/>
      <c r="W712" s="50" t="str">
        <f aca="true">IF(Q712="","",TODAY()-Q712)</f>
        <v/>
      </c>
      <c r="X712" s="51" t="str">
        <f aca="true">IF(F712="","",IF(OR(O712="Won",O712="Lost"),"Closed",IF(S712="","No date set",IF(S712&lt;TODAY(),"Overdue",IF(S712=TODAY(),"Due today","Upcoming")))))</f>
        <v/>
      </c>
    </row>
    <row r="713" customFormat="false" ht="15" hidden="false" customHeight="false" outlineLevel="0" collapsed="false">
      <c r="A713" s="16" t="s">
        <v>940</v>
      </c>
      <c r="B713" s="18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8"/>
      <c r="R713" s="16"/>
      <c r="S713" s="18"/>
      <c r="T713" s="24"/>
      <c r="U713" s="23"/>
      <c r="V713" s="52"/>
      <c r="W713" s="50" t="str">
        <f aca="true">IF(Q713="","",TODAY()-Q713)</f>
        <v/>
      </c>
      <c r="X713" s="51" t="str">
        <f aca="true">IF(F713="","",IF(OR(O713="Won",O713="Lost"),"Closed",IF(S713="","No date set",IF(S713&lt;TODAY(),"Overdue",IF(S713=TODAY(),"Due today","Upcoming")))))</f>
        <v/>
      </c>
    </row>
    <row r="714" customFormat="false" ht="15" hidden="false" customHeight="false" outlineLevel="0" collapsed="false">
      <c r="A714" s="16" t="s">
        <v>941</v>
      </c>
      <c r="B714" s="18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8"/>
      <c r="R714" s="16"/>
      <c r="S714" s="18"/>
      <c r="T714" s="24"/>
      <c r="U714" s="23"/>
      <c r="V714" s="52"/>
      <c r="W714" s="50" t="str">
        <f aca="true">IF(Q714="","",TODAY()-Q714)</f>
        <v/>
      </c>
      <c r="X714" s="51" t="str">
        <f aca="true">IF(F714="","",IF(OR(O714="Won",O714="Lost"),"Closed",IF(S714="","No date set",IF(S714&lt;TODAY(),"Overdue",IF(S714=TODAY(),"Due today","Upcoming")))))</f>
        <v/>
      </c>
    </row>
    <row r="715" customFormat="false" ht="15" hidden="false" customHeight="false" outlineLevel="0" collapsed="false">
      <c r="A715" s="16" t="s">
        <v>942</v>
      </c>
      <c r="B715" s="18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8"/>
      <c r="R715" s="16"/>
      <c r="S715" s="18"/>
      <c r="T715" s="24"/>
      <c r="U715" s="23"/>
      <c r="V715" s="52"/>
      <c r="W715" s="50" t="str">
        <f aca="true">IF(Q715="","",TODAY()-Q715)</f>
        <v/>
      </c>
      <c r="X715" s="51" t="str">
        <f aca="true">IF(F715="","",IF(OR(O715="Won",O715="Lost"),"Closed",IF(S715="","No date set",IF(S715&lt;TODAY(),"Overdue",IF(S715=TODAY(),"Due today","Upcoming")))))</f>
        <v/>
      </c>
    </row>
    <row r="716" customFormat="false" ht="15" hidden="false" customHeight="false" outlineLevel="0" collapsed="false">
      <c r="A716" s="16" t="s">
        <v>943</v>
      </c>
      <c r="B716" s="18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8"/>
      <c r="R716" s="16"/>
      <c r="S716" s="18"/>
      <c r="T716" s="24"/>
      <c r="U716" s="23"/>
      <c r="V716" s="52"/>
      <c r="W716" s="50" t="str">
        <f aca="true">IF(Q716="","",TODAY()-Q716)</f>
        <v/>
      </c>
      <c r="X716" s="51" t="str">
        <f aca="true">IF(F716="","",IF(OR(O716="Won",O716="Lost"),"Closed",IF(S716="","No date set",IF(S716&lt;TODAY(),"Overdue",IF(S716=TODAY(),"Due today","Upcoming")))))</f>
        <v/>
      </c>
    </row>
    <row r="717" customFormat="false" ht="15" hidden="false" customHeight="false" outlineLevel="0" collapsed="false">
      <c r="A717" s="16" t="s">
        <v>944</v>
      </c>
      <c r="B717" s="18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8"/>
      <c r="R717" s="16"/>
      <c r="S717" s="18"/>
      <c r="T717" s="24"/>
      <c r="U717" s="23"/>
      <c r="V717" s="52"/>
      <c r="W717" s="50" t="str">
        <f aca="true">IF(Q717="","",TODAY()-Q717)</f>
        <v/>
      </c>
      <c r="X717" s="51" t="str">
        <f aca="true">IF(F717="","",IF(OR(O717="Won",O717="Lost"),"Closed",IF(S717="","No date set",IF(S717&lt;TODAY(),"Overdue",IF(S717=TODAY(),"Due today","Upcoming")))))</f>
        <v/>
      </c>
    </row>
    <row r="718" customFormat="false" ht="15" hidden="false" customHeight="false" outlineLevel="0" collapsed="false">
      <c r="A718" s="16" t="s">
        <v>945</v>
      </c>
      <c r="B718" s="18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8"/>
      <c r="R718" s="16"/>
      <c r="S718" s="18"/>
      <c r="T718" s="24"/>
      <c r="U718" s="23"/>
      <c r="V718" s="52"/>
      <c r="W718" s="50" t="str">
        <f aca="true">IF(Q718="","",TODAY()-Q718)</f>
        <v/>
      </c>
      <c r="X718" s="51" t="str">
        <f aca="true">IF(F718="","",IF(OR(O718="Won",O718="Lost"),"Closed",IF(S718="","No date set",IF(S718&lt;TODAY(),"Overdue",IF(S718=TODAY(),"Due today","Upcoming")))))</f>
        <v/>
      </c>
    </row>
    <row r="719" customFormat="false" ht="15" hidden="false" customHeight="false" outlineLevel="0" collapsed="false">
      <c r="A719" s="16" t="s">
        <v>946</v>
      </c>
      <c r="B719" s="18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8"/>
      <c r="R719" s="16"/>
      <c r="S719" s="18"/>
      <c r="T719" s="24"/>
      <c r="U719" s="23"/>
      <c r="V719" s="52"/>
      <c r="W719" s="50" t="str">
        <f aca="true">IF(Q719="","",TODAY()-Q719)</f>
        <v/>
      </c>
      <c r="X719" s="51" t="str">
        <f aca="true">IF(F719="","",IF(OR(O719="Won",O719="Lost"),"Closed",IF(S719="","No date set",IF(S719&lt;TODAY(),"Overdue",IF(S719=TODAY(),"Due today","Upcoming")))))</f>
        <v/>
      </c>
    </row>
    <row r="720" customFormat="false" ht="15" hidden="false" customHeight="false" outlineLevel="0" collapsed="false">
      <c r="A720" s="16" t="s">
        <v>947</v>
      </c>
      <c r="B720" s="18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8"/>
      <c r="R720" s="16"/>
      <c r="S720" s="18"/>
      <c r="T720" s="24"/>
      <c r="U720" s="23"/>
      <c r="V720" s="52"/>
      <c r="W720" s="50" t="str">
        <f aca="true">IF(Q720="","",TODAY()-Q720)</f>
        <v/>
      </c>
      <c r="X720" s="51" t="str">
        <f aca="true">IF(F720="","",IF(OR(O720="Won",O720="Lost"),"Closed",IF(S720="","No date set",IF(S720&lt;TODAY(),"Overdue",IF(S720=TODAY(),"Due today","Upcoming")))))</f>
        <v/>
      </c>
    </row>
    <row r="721" customFormat="false" ht="15" hidden="false" customHeight="false" outlineLevel="0" collapsed="false">
      <c r="A721" s="16" t="s">
        <v>948</v>
      </c>
      <c r="B721" s="18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8"/>
      <c r="R721" s="16"/>
      <c r="S721" s="18"/>
      <c r="T721" s="24"/>
      <c r="U721" s="23"/>
      <c r="V721" s="52"/>
      <c r="W721" s="50" t="str">
        <f aca="true">IF(Q721="","",TODAY()-Q721)</f>
        <v/>
      </c>
      <c r="X721" s="51" t="str">
        <f aca="true">IF(F721="","",IF(OR(O721="Won",O721="Lost"),"Closed",IF(S721="","No date set",IF(S721&lt;TODAY(),"Overdue",IF(S721=TODAY(),"Due today","Upcoming")))))</f>
        <v/>
      </c>
    </row>
    <row r="722" customFormat="false" ht="15" hidden="false" customHeight="false" outlineLevel="0" collapsed="false">
      <c r="A722" s="16" t="s">
        <v>949</v>
      </c>
      <c r="B722" s="18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8"/>
      <c r="R722" s="16"/>
      <c r="S722" s="18"/>
      <c r="T722" s="24"/>
      <c r="U722" s="23"/>
      <c r="V722" s="52"/>
      <c r="W722" s="50" t="str">
        <f aca="true">IF(Q722="","",TODAY()-Q722)</f>
        <v/>
      </c>
      <c r="X722" s="51" t="str">
        <f aca="true">IF(F722="","",IF(OR(O722="Won",O722="Lost"),"Closed",IF(S722="","No date set",IF(S722&lt;TODAY(),"Overdue",IF(S722=TODAY(),"Due today","Upcoming")))))</f>
        <v/>
      </c>
    </row>
    <row r="723" customFormat="false" ht="15" hidden="false" customHeight="false" outlineLevel="0" collapsed="false">
      <c r="A723" s="16" t="s">
        <v>950</v>
      </c>
      <c r="B723" s="18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8"/>
      <c r="R723" s="16"/>
      <c r="S723" s="18"/>
      <c r="T723" s="24"/>
      <c r="U723" s="23"/>
      <c r="V723" s="52"/>
      <c r="W723" s="50" t="str">
        <f aca="true">IF(Q723="","",TODAY()-Q723)</f>
        <v/>
      </c>
      <c r="X723" s="51" t="str">
        <f aca="true">IF(F723="","",IF(OR(O723="Won",O723="Lost"),"Closed",IF(S723="","No date set",IF(S723&lt;TODAY(),"Overdue",IF(S723=TODAY(),"Due today","Upcoming")))))</f>
        <v/>
      </c>
    </row>
    <row r="724" customFormat="false" ht="15" hidden="false" customHeight="false" outlineLevel="0" collapsed="false">
      <c r="A724" s="16" t="s">
        <v>951</v>
      </c>
      <c r="B724" s="18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8"/>
      <c r="R724" s="16"/>
      <c r="S724" s="18"/>
      <c r="T724" s="24"/>
      <c r="U724" s="23"/>
      <c r="V724" s="52"/>
      <c r="W724" s="50" t="str">
        <f aca="true">IF(Q724="","",TODAY()-Q724)</f>
        <v/>
      </c>
      <c r="X724" s="51" t="str">
        <f aca="true">IF(F724="","",IF(OR(O724="Won",O724="Lost"),"Closed",IF(S724="","No date set",IF(S724&lt;TODAY(),"Overdue",IF(S724=TODAY(),"Due today","Upcoming")))))</f>
        <v/>
      </c>
    </row>
    <row r="725" customFormat="false" ht="15" hidden="false" customHeight="false" outlineLevel="0" collapsed="false">
      <c r="A725" s="16" t="s">
        <v>952</v>
      </c>
      <c r="B725" s="18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8"/>
      <c r="R725" s="16"/>
      <c r="S725" s="18"/>
      <c r="T725" s="24"/>
      <c r="U725" s="23"/>
      <c r="V725" s="52"/>
      <c r="W725" s="50" t="str">
        <f aca="true">IF(Q725="","",TODAY()-Q725)</f>
        <v/>
      </c>
      <c r="X725" s="51" t="str">
        <f aca="true">IF(F725="","",IF(OR(O725="Won",O725="Lost"),"Closed",IF(S725="","No date set",IF(S725&lt;TODAY(),"Overdue",IF(S725=TODAY(),"Due today","Upcoming")))))</f>
        <v/>
      </c>
    </row>
    <row r="726" customFormat="false" ht="15" hidden="false" customHeight="false" outlineLevel="0" collapsed="false">
      <c r="A726" s="16" t="s">
        <v>953</v>
      </c>
      <c r="B726" s="18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8"/>
      <c r="R726" s="16"/>
      <c r="S726" s="18"/>
      <c r="T726" s="24"/>
      <c r="U726" s="23"/>
      <c r="V726" s="52"/>
      <c r="W726" s="50" t="str">
        <f aca="true">IF(Q726="","",TODAY()-Q726)</f>
        <v/>
      </c>
      <c r="X726" s="51" t="str">
        <f aca="true">IF(F726="","",IF(OR(O726="Won",O726="Lost"),"Closed",IF(S726="","No date set",IF(S726&lt;TODAY(),"Overdue",IF(S726=TODAY(),"Due today","Upcoming")))))</f>
        <v/>
      </c>
    </row>
    <row r="727" customFormat="false" ht="15" hidden="false" customHeight="false" outlineLevel="0" collapsed="false">
      <c r="A727" s="16" t="s">
        <v>954</v>
      </c>
      <c r="B727" s="18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8"/>
      <c r="R727" s="16"/>
      <c r="S727" s="18"/>
      <c r="T727" s="24"/>
      <c r="U727" s="23"/>
      <c r="V727" s="52"/>
      <c r="W727" s="50" t="str">
        <f aca="true">IF(Q727="","",TODAY()-Q727)</f>
        <v/>
      </c>
      <c r="X727" s="51" t="str">
        <f aca="true">IF(F727="","",IF(OR(O727="Won",O727="Lost"),"Closed",IF(S727="","No date set",IF(S727&lt;TODAY(),"Overdue",IF(S727=TODAY(),"Due today","Upcoming")))))</f>
        <v/>
      </c>
    </row>
    <row r="728" customFormat="false" ht="15" hidden="false" customHeight="false" outlineLevel="0" collapsed="false">
      <c r="A728" s="16" t="s">
        <v>955</v>
      </c>
      <c r="B728" s="18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8"/>
      <c r="R728" s="16"/>
      <c r="S728" s="18"/>
      <c r="T728" s="24"/>
      <c r="U728" s="23"/>
      <c r="V728" s="52"/>
      <c r="W728" s="50" t="str">
        <f aca="true">IF(Q728="","",TODAY()-Q728)</f>
        <v/>
      </c>
      <c r="X728" s="51" t="str">
        <f aca="true">IF(F728="","",IF(OR(O728="Won",O728="Lost"),"Closed",IF(S728="","No date set",IF(S728&lt;TODAY(),"Overdue",IF(S728=TODAY(),"Due today","Upcoming")))))</f>
        <v/>
      </c>
    </row>
    <row r="729" customFormat="false" ht="15" hidden="false" customHeight="false" outlineLevel="0" collapsed="false">
      <c r="A729" s="16" t="s">
        <v>956</v>
      </c>
      <c r="B729" s="18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8"/>
      <c r="R729" s="16"/>
      <c r="S729" s="18"/>
      <c r="T729" s="24"/>
      <c r="U729" s="23"/>
      <c r="V729" s="52"/>
      <c r="W729" s="50" t="str">
        <f aca="true">IF(Q729="","",TODAY()-Q729)</f>
        <v/>
      </c>
      <c r="X729" s="51" t="str">
        <f aca="true">IF(F729="","",IF(OR(O729="Won",O729="Lost"),"Closed",IF(S729="","No date set",IF(S729&lt;TODAY(),"Overdue",IF(S729=TODAY(),"Due today","Upcoming")))))</f>
        <v/>
      </c>
    </row>
    <row r="730" customFormat="false" ht="15" hidden="false" customHeight="false" outlineLevel="0" collapsed="false">
      <c r="A730" s="16" t="s">
        <v>957</v>
      </c>
      <c r="B730" s="18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8"/>
      <c r="R730" s="16"/>
      <c r="S730" s="18"/>
      <c r="T730" s="24"/>
      <c r="U730" s="23"/>
      <c r="V730" s="52"/>
      <c r="W730" s="50" t="str">
        <f aca="true">IF(Q730="","",TODAY()-Q730)</f>
        <v/>
      </c>
      <c r="X730" s="51" t="str">
        <f aca="true">IF(F730="","",IF(OR(O730="Won",O730="Lost"),"Closed",IF(S730="","No date set",IF(S730&lt;TODAY(),"Overdue",IF(S730=TODAY(),"Due today","Upcoming")))))</f>
        <v/>
      </c>
    </row>
    <row r="731" customFormat="false" ht="15" hidden="false" customHeight="false" outlineLevel="0" collapsed="false">
      <c r="A731" s="16" t="s">
        <v>958</v>
      </c>
      <c r="B731" s="18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8"/>
      <c r="R731" s="16"/>
      <c r="S731" s="18"/>
      <c r="T731" s="24"/>
      <c r="U731" s="23"/>
      <c r="V731" s="52"/>
      <c r="W731" s="50" t="str">
        <f aca="true">IF(Q731="","",TODAY()-Q731)</f>
        <v/>
      </c>
      <c r="X731" s="51" t="str">
        <f aca="true">IF(F731="","",IF(OR(O731="Won",O731="Lost"),"Closed",IF(S731="","No date set",IF(S731&lt;TODAY(),"Overdue",IF(S731=TODAY(),"Due today","Upcoming")))))</f>
        <v/>
      </c>
    </row>
    <row r="732" customFormat="false" ht="15" hidden="false" customHeight="false" outlineLevel="0" collapsed="false">
      <c r="A732" s="16" t="s">
        <v>959</v>
      </c>
      <c r="B732" s="18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8"/>
      <c r="R732" s="16"/>
      <c r="S732" s="18"/>
      <c r="T732" s="24"/>
      <c r="U732" s="23"/>
      <c r="V732" s="52"/>
      <c r="W732" s="50" t="str">
        <f aca="true">IF(Q732="","",TODAY()-Q732)</f>
        <v/>
      </c>
      <c r="X732" s="51" t="str">
        <f aca="true">IF(F732="","",IF(OR(O732="Won",O732="Lost"),"Closed",IF(S732="","No date set",IF(S732&lt;TODAY(),"Overdue",IF(S732=TODAY(),"Due today","Upcoming")))))</f>
        <v/>
      </c>
    </row>
    <row r="733" customFormat="false" ht="15" hidden="false" customHeight="false" outlineLevel="0" collapsed="false">
      <c r="A733" s="16" t="s">
        <v>960</v>
      </c>
      <c r="B733" s="18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8"/>
      <c r="R733" s="16"/>
      <c r="S733" s="18"/>
      <c r="T733" s="24"/>
      <c r="U733" s="23"/>
      <c r="V733" s="52"/>
      <c r="W733" s="50" t="str">
        <f aca="true">IF(Q733="","",TODAY()-Q733)</f>
        <v/>
      </c>
      <c r="X733" s="51" t="str">
        <f aca="true">IF(F733="","",IF(OR(O733="Won",O733="Lost"),"Closed",IF(S733="","No date set",IF(S733&lt;TODAY(),"Overdue",IF(S733=TODAY(),"Due today","Upcoming")))))</f>
        <v/>
      </c>
    </row>
    <row r="734" customFormat="false" ht="15" hidden="false" customHeight="false" outlineLevel="0" collapsed="false">
      <c r="A734" s="16" t="s">
        <v>961</v>
      </c>
      <c r="B734" s="18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8"/>
      <c r="R734" s="16"/>
      <c r="S734" s="18"/>
      <c r="T734" s="24"/>
      <c r="U734" s="23"/>
      <c r="V734" s="52"/>
      <c r="W734" s="50" t="str">
        <f aca="true">IF(Q734="","",TODAY()-Q734)</f>
        <v/>
      </c>
      <c r="X734" s="51" t="str">
        <f aca="true">IF(F734="","",IF(OR(O734="Won",O734="Lost"),"Closed",IF(S734="","No date set",IF(S734&lt;TODAY(),"Overdue",IF(S734=TODAY(),"Due today","Upcoming")))))</f>
        <v/>
      </c>
    </row>
    <row r="735" customFormat="false" ht="15" hidden="false" customHeight="false" outlineLevel="0" collapsed="false">
      <c r="A735" s="16" t="s">
        <v>962</v>
      </c>
      <c r="B735" s="18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8"/>
      <c r="R735" s="16"/>
      <c r="S735" s="18"/>
      <c r="T735" s="24"/>
      <c r="U735" s="23"/>
      <c r="V735" s="52"/>
      <c r="W735" s="50" t="str">
        <f aca="true">IF(Q735="","",TODAY()-Q735)</f>
        <v/>
      </c>
      <c r="X735" s="51" t="str">
        <f aca="true">IF(F735="","",IF(OR(O735="Won",O735="Lost"),"Closed",IF(S735="","No date set",IF(S735&lt;TODAY(),"Overdue",IF(S735=TODAY(),"Due today","Upcoming")))))</f>
        <v/>
      </c>
    </row>
    <row r="736" customFormat="false" ht="15" hidden="false" customHeight="false" outlineLevel="0" collapsed="false">
      <c r="A736" s="16" t="s">
        <v>963</v>
      </c>
      <c r="B736" s="18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8"/>
      <c r="R736" s="16"/>
      <c r="S736" s="18"/>
      <c r="T736" s="24"/>
      <c r="U736" s="23"/>
      <c r="V736" s="52"/>
      <c r="W736" s="50" t="str">
        <f aca="true">IF(Q736="","",TODAY()-Q736)</f>
        <v/>
      </c>
      <c r="X736" s="51" t="str">
        <f aca="true">IF(F736="","",IF(OR(O736="Won",O736="Lost"),"Closed",IF(S736="","No date set",IF(S736&lt;TODAY(),"Overdue",IF(S736=TODAY(),"Due today","Upcoming")))))</f>
        <v/>
      </c>
    </row>
    <row r="737" customFormat="false" ht="15" hidden="false" customHeight="false" outlineLevel="0" collapsed="false">
      <c r="A737" s="16" t="s">
        <v>964</v>
      </c>
      <c r="B737" s="18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8"/>
      <c r="R737" s="16"/>
      <c r="S737" s="18"/>
      <c r="T737" s="24"/>
      <c r="U737" s="23"/>
      <c r="V737" s="52"/>
      <c r="W737" s="50" t="str">
        <f aca="true">IF(Q737="","",TODAY()-Q737)</f>
        <v/>
      </c>
      <c r="X737" s="51" t="str">
        <f aca="true">IF(F737="","",IF(OR(O737="Won",O737="Lost"),"Closed",IF(S737="","No date set",IF(S737&lt;TODAY(),"Overdue",IF(S737=TODAY(),"Due today","Upcoming")))))</f>
        <v/>
      </c>
    </row>
    <row r="738" customFormat="false" ht="15" hidden="false" customHeight="false" outlineLevel="0" collapsed="false">
      <c r="A738" s="16" t="s">
        <v>965</v>
      </c>
      <c r="B738" s="18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8"/>
      <c r="R738" s="16"/>
      <c r="S738" s="18"/>
      <c r="T738" s="24"/>
      <c r="U738" s="23"/>
      <c r="V738" s="52"/>
      <c r="W738" s="50" t="str">
        <f aca="true">IF(Q738="","",TODAY()-Q738)</f>
        <v/>
      </c>
      <c r="X738" s="51" t="str">
        <f aca="true">IF(F738="","",IF(OR(O738="Won",O738="Lost"),"Closed",IF(S738="","No date set",IF(S738&lt;TODAY(),"Overdue",IF(S738=TODAY(),"Due today","Upcoming")))))</f>
        <v/>
      </c>
    </row>
    <row r="739" customFormat="false" ht="15" hidden="false" customHeight="false" outlineLevel="0" collapsed="false">
      <c r="A739" s="16" t="s">
        <v>966</v>
      </c>
      <c r="B739" s="18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8"/>
      <c r="R739" s="16"/>
      <c r="S739" s="18"/>
      <c r="T739" s="24"/>
      <c r="U739" s="23"/>
      <c r="V739" s="52"/>
      <c r="W739" s="50" t="str">
        <f aca="true">IF(Q739="","",TODAY()-Q739)</f>
        <v/>
      </c>
      <c r="X739" s="51" t="str">
        <f aca="true">IF(F739="","",IF(OR(O739="Won",O739="Lost"),"Closed",IF(S739="","No date set",IF(S739&lt;TODAY(),"Overdue",IF(S739=TODAY(),"Due today","Upcoming")))))</f>
        <v/>
      </c>
    </row>
    <row r="740" customFormat="false" ht="15" hidden="false" customHeight="false" outlineLevel="0" collapsed="false">
      <c r="A740" s="16" t="s">
        <v>967</v>
      </c>
      <c r="B740" s="18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8"/>
      <c r="R740" s="16"/>
      <c r="S740" s="18"/>
      <c r="T740" s="24"/>
      <c r="U740" s="23"/>
      <c r="V740" s="52"/>
      <c r="W740" s="50" t="str">
        <f aca="true">IF(Q740="","",TODAY()-Q740)</f>
        <v/>
      </c>
      <c r="X740" s="51" t="str">
        <f aca="true">IF(F740="","",IF(OR(O740="Won",O740="Lost"),"Closed",IF(S740="","No date set",IF(S740&lt;TODAY(),"Overdue",IF(S740=TODAY(),"Due today","Upcoming")))))</f>
        <v/>
      </c>
    </row>
    <row r="741" customFormat="false" ht="15" hidden="false" customHeight="false" outlineLevel="0" collapsed="false">
      <c r="A741" s="16" t="s">
        <v>968</v>
      </c>
      <c r="B741" s="18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8"/>
      <c r="R741" s="16"/>
      <c r="S741" s="18"/>
      <c r="T741" s="24"/>
      <c r="U741" s="23"/>
      <c r="V741" s="52"/>
      <c r="W741" s="50" t="str">
        <f aca="true">IF(Q741="","",TODAY()-Q741)</f>
        <v/>
      </c>
      <c r="X741" s="51" t="str">
        <f aca="true">IF(F741="","",IF(OR(O741="Won",O741="Lost"),"Closed",IF(S741="","No date set",IF(S741&lt;TODAY(),"Overdue",IF(S741=TODAY(),"Due today","Upcoming")))))</f>
        <v/>
      </c>
    </row>
    <row r="742" customFormat="false" ht="15" hidden="false" customHeight="false" outlineLevel="0" collapsed="false">
      <c r="A742" s="16" t="s">
        <v>969</v>
      </c>
      <c r="B742" s="18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8"/>
      <c r="R742" s="16"/>
      <c r="S742" s="18"/>
      <c r="T742" s="24"/>
      <c r="U742" s="23"/>
      <c r="V742" s="52"/>
      <c r="W742" s="50" t="str">
        <f aca="true">IF(Q742="","",TODAY()-Q742)</f>
        <v/>
      </c>
      <c r="X742" s="51" t="str">
        <f aca="true">IF(F742="","",IF(OR(O742="Won",O742="Lost"),"Closed",IF(S742="","No date set",IF(S742&lt;TODAY(),"Overdue",IF(S742=TODAY(),"Due today","Upcoming")))))</f>
        <v/>
      </c>
    </row>
    <row r="743" customFormat="false" ht="15" hidden="false" customHeight="false" outlineLevel="0" collapsed="false">
      <c r="A743" s="16" t="s">
        <v>970</v>
      </c>
      <c r="B743" s="18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8"/>
      <c r="R743" s="16"/>
      <c r="S743" s="18"/>
      <c r="T743" s="24"/>
      <c r="U743" s="23"/>
      <c r="V743" s="52"/>
      <c r="W743" s="50" t="str">
        <f aca="true">IF(Q743="","",TODAY()-Q743)</f>
        <v/>
      </c>
      <c r="X743" s="51" t="str">
        <f aca="true">IF(F743="","",IF(OR(O743="Won",O743="Lost"),"Closed",IF(S743="","No date set",IF(S743&lt;TODAY(),"Overdue",IF(S743=TODAY(),"Due today","Upcoming")))))</f>
        <v/>
      </c>
    </row>
    <row r="744" customFormat="false" ht="15" hidden="false" customHeight="false" outlineLevel="0" collapsed="false">
      <c r="A744" s="16" t="s">
        <v>971</v>
      </c>
      <c r="B744" s="18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8"/>
      <c r="R744" s="16"/>
      <c r="S744" s="18"/>
      <c r="T744" s="24"/>
      <c r="U744" s="23"/>
      <c r="V744" s="52"/>
      <c r="W744" s="50" t="str">
        <f aca="true">IF(Q744="","",TODAY()-Q744)</f>
        <v/>
      </c>
      <c r="X744" s="51" t="str">
        <f aca="true">IF(F744="","",IF(OR(O744="Won",O744="Lost"),"Closed",IF(S744="","No date set",IF(S744&lt;TODAY(),"Overdue",IF(S744=TODAY(),"Due today","Upcoming")))))</f>
        <v/>
      </c>
    </row>
    <row r="745" customFormat="false" ht="15" hidden="false" customHeight="false" outlineLevel="0" collapsed="false">
      <c r="A745" s="16" t="s">
        <v>972</v>
      </c>
      <c r="B745" s="18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8"/>
      <c r="R745" s="16"/>
      <c r="S745" s="18"/>
      <c r="T745" s="24"/>
      <c r="U745" s="23"/>
      <c r="V745" s="52"/>
      <c r="W745" s="50" t="str">
        <f aca="true">IF(Q745="","",TODAY()-Q745)</f>
        <v/>
      </c>
      <c r="X745" s="51" t="str">
        <f aca="true">IF(F745="","",IF(OR(O745="Won",O745="Lost"),"Closed",IF(S745="","No date set",IF(S745&lt;TODAY(),"Overdue",IF(S745=TODAY(),"Due today","Upcoming")))))</f>
        <v/>
      </c>
    </row>
    <row r="746" customFormat="false" ht="15" hidden="false" customHeight="false" outlineLevel="0" collapsed="false">
      <c r="A746" s="16" t="s">
        <v>973</v>
      </c>
      <c r="B746" s="18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8"/>
      <c r="R746" s="16"/>
      <c r="S746" s="18"/>
      <c r="T746" s="24"/>
      <c r="U746" s="23"/>
      <c r="V746" s="52"/>
      <c r="W746" s="50" t="str">
        <f aca="true">IF(Q746="","",TODAY()-Q746)</f>
        <v/>
      </c>
      <c r="X746" s="51" t="str">
        <f aca="true">IF(F746="","",IF(OR(O746="Won",O746="Lost"),"Closed",IF(S746="","No date set",IF(S746&lt;TODAY(),"Overdue",IF(S746=TODAY(),"Due today","Upcoming")))))</f>
        <v/>
      </c>
    </row>
    <row r="747" customFormat="false" ht="15" hidden="false" customHeight="false" outlineLevel="0" collapsed="false">
      <c r="A747" s="16" t="s">
        <v>974</v>
      </c>
      <c r="B747" s="18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8"/>
      <c r="R747" s="16"/>
      <c r="S747" s="18"/>
      <c r="T747" s="24"/>
      <c r="U747" s="23"/>
      <c r="V747" s="52"/>
      <c r="W747" s="50" t="str">
        <f aca="true">IF(Q747="","",TODAY()-Q747)</f>
        <v/>
      </c>
      <c r="X747" s="51" t="str">
        <f aca="true">IF(F747="","",IF(OR(O747="Won",O747="Lost"),"Closed",IF(S747="","No date set",IF(S747&lt;TODAY(),"Overdue",IF(S747=TODAY(),"Due today","Upcoming")))))</f>
        <v/>
      </c>
    </row>
    <row r="748" customFormat="false" ht="15" hidden="false" customHeight="false" outlineLevel="0" collapsed="false">
      <c r="A748" s="16" t="s">
        <v>975</v>
      </c>
      <c r="B748" s="18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8"/>
      <c r="R748" s="16"/>
      <c r="S748" s="18"/>
      <c r="T748" s="24"/>
      <c r="U748" s="23"/>
      <c r="V748" s="52"/>
      <c r="W748" s="50" t="str">
        <f aca="true">IF(Q748="","",TODAY()-Q748)</f>
        <v/>
      </c>
      <c r="X748" s="51" t="str">
        <f aca="true">IF(F748="","",IF(OR(O748="Won",O748="Lost"),"Closed",IF(S748="","No date set",IF(S748&lt;TODAY(),"Overdue",IF(S748=TODAY(),"Due today","Upcoming")))))</f>
        <v/>
      </c>
    </row>
    <row r="749" customFormat="false" ht="15" hidden="false" customHeight="false" outlineLevel="0" collapsed="false">
      <c r="A749" s="16" t="s">
        <v>976</v>
      </c>
      <c r="B749" s="18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8"/>
      <c r="R749" s="16"/>
      <c r="S749" s="18"/>
      <c r="T749" s="24"/>
      <c r="U749" s="23"/>
      <c r="V749" s="52"/>
      <c r="W749" s="50" t="str">
        <f aca="true">IF(Q749="","",TODAY()-Q749)</f>
        <v/>
      </c>
      <c r="X749" s="51" t="str">
        <f aca="true">IF(F749="","",IF(OR(O749="Won",O749="Lost"),"Closed",IF(S749="","No date set",IF(S749&lt;TODAY(),"Overdue",IF(S749=TODAY(),"Due today","Upcoming")))))</f>
        <v/>
      </c>
    </row>
    <row r="750" customFormat="false" ht="15" hidden="false" customHeight="false" outlineLevel="0" collapsed="false">
      <c r="A750" s="16" t="s">
        <v>977</v>
      </c>
      <c r="B750" s="18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8"/>
      <c r="R750" s="16"/>
      <c r="S750" s="18"/>
      <c r="T750" s="24"/>
      <c r="U750" s="23"/>
      <c r="V750" s="52"/>
      <c r="W750" s="50" t="str">
        <f aca="true">IF(Q750="","",TODAY()-Q750)</f>
        <v/>
      </c>
      <c r="X750" s="51" t="str">
        <f aca="true">IF(F750="","",IF(OR(O750="Won",O750="Lost"),"Closed",IF(S750="","No date set",IF(S750&lt;TODAY(),"Overdue",IF(S750=TODAY(),"Due today","Upcoming")))))</f>
        <v/>
      </c>
    </row>
    <row r="751" customFormat="false" ht="15" hidden="false" customHeight="false" outlineLevel="0" collapsed="false">
      <c r="A751" s="16" t="s">
        <v>978</v>
      </c>
      <c r="B751" s="18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8"/>
      <c r="R751" s="16"/>
      <c r="S751" s="18"/>
      <c r="T751" s="24"/>
      <c r="U751" s="23"/>
      <c r="V751" s="52"/>
      <c r="W751" s="50" t="str">
        <f aca="true">IF(Q751="","",TODAY()-Q751)</f>
        <v/>
      </c>
      <c r="X751" s="51" t="str">
        <f aca="true">IF(F751="","",IF(OR(O751="Won",O751="Lost"),"Closed",IF(S751="","No date set",IF(S751&lt;TODAY(),"Overdue",IF(S751=TODAY(),"Due today","Upcoming")))))</f>
        <v/>
      </c>
    </row>
    <row r="752" customFormat="false" ht="15" hidden="false" customHeight="false" outlineLevel="0" collapsed="false">
      <c r="A752" s="16" t="s">
        <v>979</v>
      </c>
      <c r="B752" s="18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8"/>
      <c r="R752" s="16"/>
      <c r="S752" s="18"/>
      <c r="T752" s="24"/>
      <c r="U752" s="23"/>
      <c r="V752" s="52"/>
      <c r="W752" s="50" t="str">
        <f aca="true">IF(Q752="","",TODAY()-Q752)</f>
        <v/>
      </c>
      <c r="X752" s="51" t="str">
        <f aca="true">IF(F752="","",IF(OR(O752="Won",O752="Lost"),"Closed",IF(S752="","No date set",IF(S752&lt;TODAY(),"Overdue",IF(S752=TODAY(),"Due today","Upcoming")))))</f>
        <v/>
      </c>
    </row>
    <row r="753" customFormat="false" ht="15" hidden="false" customHeight="false" outlineLevel="0" collapsed="false">
      <c r="A753" s="16" t="s">
        <v>980</v>
      </c>
      <c r="B753" s="18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8"/>
      <c r="R753" s="16"/>
      <c r="S753" s="18"/>
      <c r="T753" s="24"/>
      <c r="U753" s="23"/>
      <c r="V753" s="52"/>
      <c r="W753" s="50" t="str">
        <f aca="true">IF(Q753="","",TODAY()-Q753)</f>
        <v/>
      </c>
      <c r="X753" s="51" t="str">
        <f aca="true">IF(F753="","",IF(OR(O753="Won",O753="Lost"),"Closed",IF(S753="","No date set",IF(S753&lt;TODAY(),"Overdue",IF(S753=TODAY(),"Due today","Upcoming")))))</f>
        <v/>
      </c>
    </row>
    <row r="754" customFormat="false" ht="15" hidden="false" customHeight="false" outlineLevel="0" collapsed="false">
      <c r="A754" s="16" t="s">
        <v>981</v>
      </c>
      <c r="B754" s="18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8"/>
      <c r="R754" s="16"/>
      <c r="S754" s="18"/>
      <c r="T754" s="24"/>
      <c r="U754" s="23"/>
      <c r="V754" s="52"/>
      <c r="W754" s="50" t="str">
        <f aca="true">IF(Q754="","",TODAY()-Q754)</f>
        <v/>
      </c>
      <c r="X754" s="51" t="str">
        <f aca="true">IF(F754="","",IF(OR(O754="Won",O754="Lost"),"Closed",IF(S754="","No date set",IF(S754&lt;TODAY(),"Overdue",IF(S754=TODAY(),"Due today","Upcoming")))))</f>
        <v/>
      </c>
    </row>
    <row r="755" customFormat="false" ht="15" hidden="false" customHeight="false" outlineLevel="0" collapsed="false">
      <c r="A755" s="16" t="s">
        <v>982</v>
      </c>
      <c r="B755" s="18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8"/>
      <c r="R755" s="16"/>
      <c r="S755" s="18"/>
      <c r="T755" s="24"/>
      <c r="U755" s="23"/>
      <c r="V755" s="52"/>
      <c r="W755" s="50" t="str">
        <f aca="true">IF(Q755="","",TODAY()-Q755)</f>
        <v/>
      </c>
      <c r="X755" s="51" t="str">
        <f aca="true">IF(F755="","",IF(OR(O755="Won",O755="Lost"),"Closed",IF(S755="","No date set",IF(S755&lt;TODAY(),"Overdue",IF(S755=TODAY(),"Due today","Upcoming")))))</f>
        <v/>
      </c>
    </row>
    <row r="756" customFormat="false" ht="15" hidden="false" customHeight="false" outlineLevel="0" collapsed="false">
      <c r="A756" s="16" t="s">
        <v>983</v>
      </c>
      <c r="B756" s="18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8"/>
      <c r="R756" s="16"/>
      <c r="S756" s="18"/>
      <c r="T756" s="24"/>
      <c r="U756" s="23"/>
      <c r="V756" s="52"/>
      <c r="W756" s="50" t="str">
        <f aca="true">IF(Q756="","",TODAY()-Q756)</f>
        <v/>
      </c>
      <c r="X756" s="51" t="str">
        <f aca="true">IF(F756="","",IF(OR(O756="Won",O756="Lost"),"Closed",IF(S756="","No date set",IF(S756&lt;TODAY(),"Overdue",IF(S756=TODAY(),"Due today","Upcoming")))))</f>
        <v/>
      </c>
    </row>
    <row r="757" customFormat="false" ht="15" hidden="false" customHeight="false" outlineLevel="0" collapsed="false">
      <c r="A757" s="16" t="s">
        <v>984</v>
      </c>
      <c r="B757" s="18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8"/>
      <c r="R757" s="16"/>
      <c r="S757" s="18"/>
      <c r="T757" s="24"/>
      <c r="U757" s="23"/>
      <c r="V757" s="52"/>
      <c r="W757" s="50" t="str">
        <f aca="true">IF(Q757="","",TODAY()-Q757)</f>
        <v/>
      </c>
      <c r="X757" s="51" t="str">
        <f aca="true">IF(F757="","",IF(OR(O757="Won",O757="Lost"),"Closed",IF(S757="","No date set",IF(S757&lt;TODAY(),"Overdue",IF(S757=TODAY(),"Due today","Upcoming")))))</f>
        <v/>
      </c>
    </row>
    <row r="758" customFormat="false" ht="15" hidden="false" customHeight="false" outlineLevel="0" collapsed="false">
      <c r="A758" s="16" t="s">
        <v>985</v>
      </c>
      <c r="B758" s="18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8"/>
      <c r="R758" s="16"/>
      <c r="S758" s="18"/>
      <c r="T758" s="24"/>
      <c r="U758" s="23"/>
      <c r="V758" s="52"/>
      <c r="W758" s="50" t="str">
        <f aca="true">IF(Q758="","",TODAY()-Q758)</f>
        <v/>
      </c>
      <c r="X758" s="51" t="str">
        <f aca="true">IF(F758="","",IF(OR(O758="Won",O758="Lost"),"Closed",IF(S758="","No date set",IF(S758&lt;TODAY(),"Overdue",IF(S758=TODAY(),"Due today","Upcoming")))))</f>
        <v/>
      </c>
    </row>
    <row r="759" customFormat="false" ht="15" hidden="false" customHeight="false" outlineLevel="0" collapsed="false">
      <c r="A759" s="16" t="s">
        <v>986</v>
      </c>
      <c r="B759" s="18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8"/>
      <c r="R759" s="16"/>
      <c r="S759" s="18"/>
      <c r="T759" s="24"/>
      <c r="U759" s="23"/>
      <c r="V759" s="52"/>
      <c r="W759" s="50" t="str">
        <f aca="true">IF(Q759="","",TODAY()-Q759)</f>
        <v/>
      </c>
      <c r="X759" s="51" t="str">
        <f aca="true">IF(F759="","",IF(OR(O759="Won",O759="Lost"),"Closed",IF(S759="","No date set",IF(S759&lt;TODAY(),"Overdue",IF(S759=TODAY(),"Due today","Upcoming")))))</f>
        <v/>
      </c>
    </row>
    <row r="760" customFormat="false" ht="15" hidden="false" customHeight="false" outlineLevel="0" collapsed="false">
      <c r="A760" s="16" t="s">
        <v>987</v>
      </c>
      <c r="B760" s="18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8"/>
      <c r="R760" s="16"/>
      <c r="S760" s="18"/>
      <c r="T760" s="24"/>
      <c r="U760" s="23"/>
      <c r="V760" s="52"/>
      <c r="W760" s="50" t="str">
        <f aca="true">IF(Q760="","",TODAY()-Q760)</f>
        <v/>
      </c>
      <c r="X760" s="51" t="str">
        <f aca="true">IF(F760="","",IF(OR(O760="Won",O760="Lost"),"Closed",IF(S760="","No date set",IF(S760&lt;TODAY(),"Overdue",IF(S760=TODAY(),"Due today","Upcoming")))))</f>
        <v/>
      </c>
    </row>
    <row r="761" customFormat="false" ht="15" hidden="false" customHeight="false" outlineLevel="0" collapsed="false">
      <c r="A761" s="16" t="s">
        <v>988</v>
      </c>
      <c r="B761" s="18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8"/>
      <c r="R761" s="16"/>
      <c r="S761" s="18"/>
      <c r="T761" s="24"/>
      <c r="U761" s="23"/>
      <c r="V761" s="52"/>
      <c r="W761" s="50" t="str">
        <f aca="true">IF(Q761="","",TODAY()-Q761)</f>
        <v/>
      </c>
      <c r="X761" s="51" t="str">
        <f aca="true">IF(F761="","",IF(OR(O761="Won",O761="Lost"),"Closed",IF(S761="","No date set",IF(S761&lt;TODAY(),"Overdue",IF(S761=TODAY(),"Due today","Upcoming")))))</f>
        <v/>
      </c>
    </row>
    <row r="762" customFormat="false" ht="15" hidden="false" customHeight="false" outlineLevel="0" collapsed="false">
      <c r="A762" s="16" t="s">
        <v>989</v>
      </c>
      <c r="B762" s="18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8"/>
      <c r="R762" s="16"/>
      <c r="S762" s="18"/>
      <c r="T762" s="24"/>
      <c r="U762" s="23"/>
      <c r="V762" s="52"/>
      <c r="W762" s="50" t="str">
        <f aca="true">IF(Q762="","",TODAY()-Q762)</f>
        <v/>
      </c>
      <c r="X762" s="51" t="str">
        <f aca="true">IF(F762="","",IF(OR(O762="Won",O762="Lost"),"Closed",IF(S762="","No date set",IF(S762&lt;TODAY(),"Overdue",IF(S762=TODAY(),"Due today","Upcoming")))))</f>
        <v/>
      </c>
    </row>
    <row r="763" customFormat="false" ht="15" hidden="false" customHeight="false" outlineLevel="0" collapsed="false">
      <c r="A763" s="16" t="s">
        <v>990</v>
      </c>
      <c r="B763" s="18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8"/>
      <c r="R763" s="16"/>
      <c r="S763" s="18"/>
      <c r="T763" s="24"/>
      <c r="U763" s="23"/>
      <c r="V763" s="52"/>
      <c r="W763" s="50" t="str">
        <f aca="true">IF(Q763="","",TODAY()-Q763)</f>
        <v/>
      </c>
      <c r="X763" s="51" t="str">
        <f aca="true">IF(F763="","",IF(OR(O763="Won",O763="Lost"),"Closed",IF(S763="","No date set",IF(S763&lt;TODAY(),"Overdue",IF(S763=TODAY(),"Due today","Upcoming")))))</f>
        <v/>
      </c>
    </row>
    <row r="764" customFormat="false" ht="15" hidden="false" customHeight="false" outlineLevel="0" collapsed="false">
      <c r="A764" s="16" t="s">
        <v>991</v>
      </c>
      <c r="B764" s="18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8"/>
      <c r="R764" s="16"/>
      <c r="S764" s="18"/>
      <c r="T764" s="24"/>
      <c r="U764" s="23"/>
      <c r="V764" s="52"/>
      <c r="W764" s="50" t="str">
        <f aca="true">IF(Q764="","",TODAY()-Q764)</f>
        <v/>
      </c>
      <c r="X764" s="51" t="str">
        <f aca="true">IF(F764="","",IF(OR(O764="Won",O764="Lost"),"Closed",IF(S764="","No date set",IF(S764&lt;TODAY(),"Overdue",IF(S764=TODAY(),"Due today","Upcoming")))))</f>
        <v/>
      </c>
    </row>
    <row r="765" customFormat="false" ht="15" hidden="false" customHeight="false" outlineLevel="0" collapsed="false">
      <c r="A765" s="16" t="s">
        <v>992</v>
      </c>
      <c r="B765" s="18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8"/>
      <c r="R765" s="16"/>
      <c r="S765" s="18"/>
      <c r="T765" s="24"/>
      <c r="U765" s="23"/>
      <c r="V765" s="52"/>
      <c r="W765" s="50" t="str">
        <f aca="true">IF(Q765="","",TODAY()-Q765)</f>
        <v/>
      </c>
      <c r="X765" s="51" t="str">
        <f aca="true">IF(F765="","",IF(OR(O765="Won",O765="Lost"),"Closed",IF(S765="","No date set",IF(S765&lt;TODAY(),"Overdue",IF(S765=TODAY(),"Due today","Upcoming")))))</f>
        <v/>
      </c>
    </row>
    <row r="766" customFormat="false" ht="15" hidden="false" customHeight="false" outlineLevel="0" collapsed="false">
      <c r="A766" s="16" t="s">
        <v>993</v>
      </c>
      <c r="B766" s="18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8"/>
      <c r="R766" s="16"/>
      <c r="S766" s="18"/>
      <c r="T766" s="24"/>
      <c r="U766" s="23"/>
      <c r="V766" s="52"/>
      <c r="W766" s="50" t="str">
        <f aca="true">IF(Q766="","",TODAY()-Q766)</f>
        <v/>
      </c>
      <c r="X766" s="51" t="str">
        <f aca="true">IF(F766="","",IF(OR(O766="Won",O766="Lost"),"Closed",IF(S766="","No date set",IF(S766&lt;TODAY(),"Overdue",IF(S766=TODAY(),"Due today","Upcoming")))))</f>
        <v/>
      </c>
    </row>
    <row r="767" customFormat="false" ht="15" hidden="false" customHeight="false" outlineLevel="0" collapsed="false">
      <c r="A767" s="16" t="s">
        <v>994</v>
      </c>
      <c r="B767" s="18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8"/>
      <c r="R767" s="16"/>
      <c r="S767" s="18"/>
      <c r="T767" s="24"/>
      <c r="U767" s="23"/>
      <c r="V767" s="52"/>
      <c r="W767" s="50" t="str">
        <f aca="true">IF(Q767="","",TODAY()-Q767)</f>
        <v/>
      </c>
      <c r="X767" s="51" t="str">
        <f aca="true">IF(F767="","",IF(OR(O767="Won",O767="Lost"),"Closed",IF(S767="","No date set",IF(S767&lt;TODAY(),"Overdue",IF(S767=TODAY(),"Due today","Upcoming")))))</f>
        <v/>
      </c>
    </row>
    <row r="768" customFormat="false" ht="15" hidden="false" customHeight="false" outlineLevel="0" collapsed="false">
      <c r="A768" s="16" t="s">
        <v>995</v>
      </c>
      <c r="B768" s="18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8"/>
      <c r="R768" s="16"/>
      <c r="S768" s="18"/>
      <c r="T768" s="24"/>
      <c r="U768" s="23"/>
      <c r="V768" s="52"/>
      <c r="W768" s="50" t="str">
        <f aca="true">IF(Q768="","",TODAY()-Q768)</f>
        <v/>
      </c>
      <c r="X768" s="51" t="str">
        <f aca="true">IF(F768="","",IF(OR(O768="Won",O768="Lost"),"Closed",IF(S768="","No date set",IF(S768&lt;TODAY(),"Overdue",IF(S768=TODAY(),"Due today","Upcoming")))))</f>
        <v/>
      </c>
    </row>
    <row r="769" customFormat="false" ht="15" hidden="false" customHeight="false" outlineLevel="0" collapsed="false">
      <c r="A769" s="16" t="s">
        <v>996</v>
      </c>
      <c r="B769" s="18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8"/>
      <c r="R769" s="16"/>
      <c r="S769" s="18"/>
      <c r="T769" s="24"/>
      <c r="U769" s="23"/>
      <c r="V769" s="52"/>
      <c r="W769" s="50" t="str">
        <f aca="true">IF(Q769="","",TODAY()-Q769)</f>
        <v/>
      </c>
      <c r="X769" s="51" t="str">
        <f aca="true">IF(F769="","",IF(OR(O769="Won",O769="Lost"),"Closed",IF(S769="","No date set",IF(S769&lt;TODAY(),"Overdue",IF(S769=TODAY(),"Due today","Upcoming")))))</f>
        <v/>
      </c>
    </row>
    <row r="770" customFormat="false" ht="15" hidden="false" customHeight="false" outlineLevel="0" collapsed="false">
      <c r="A770" s="16" t="s">
        <v>997</v>
      </c>
      <c r="B770" s="18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8"/>
      <c r="R770" s="16"/>
      <c r="S770" s="18"/>
      <c r="T770" s="24"/>
      <c r="U770" s="23"/>
      <c r="V770" s="52"/>
      <c r="W770" s="50" t="str">
        <f aca="true">IF(Q770="","",TODAY()-Q770)</f>
        <v/>
      </c>
      <c r="X770" s="51" t="str">
        <f aca="true">IF(F770="","",IF(OR(O770="Won",O770="Lost"),"Closed",IF(S770="","No date set",IF(S770&lt;TODAY(),"Overdue",IF(S770=TODAY(),"Due today","Upcoming")))))</f>
        <v/>
      </c>
    </row>
    <row r="771" customFormat="false" ht="15" hidden="false" customHeight="false" outlineLevel="0" collapsed="false">
      <c r="A771" s="16" t="s">
        <v>998</v>
      </c>
      <c r="B771" s="18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8"/>
      <c r="R771" s="16"/>
      <c r="S771" s="18"/>
      <c r="T771" s="24"/>
      <c r="U771" s="23"/>
      <c r="V771" s="52"/>
      <c r="W771" s="50" t="str">
        <f aca="true">IF(Q771="","",TODAY()-Q771)</f>
        <v/>
      </c>
      <c r="X771" s="51" t="str">
        <f aca="true">IF(F771="","",IF(OR(O771="Won",O771="Lost"),"Closed",IF(S771="","No date set",IF(S771&lt;TODAY(),"Overdue",IF(S771=TODAY(),"Due today","Upcoming")))))</f>
        <v/>
      </c>
    </row>
    <row r="772" customFormat="false" ht="15" hidden="false" customHeight="false" outlineLevel="0" collapsed="false">
      <c r="A772" s="16" t="s">
        <v>999</v>
      </c>
      <c r="B772" s="18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8"/>
      <c r="R772" s="16"/>
      <c r="S772" s="18"/>
      <c r="T772" s="24"/>
      <c r="U772" s="23"/>
      <c r="V772" s="52"/>
      <c r="W772" s="50" t="str">
        <f aca="true">IF(Q772="","",TODAY()-Q772)</f>
        <v/>
      </c>
      <c r="X772" s="51" t="str">
        <f aca="true">IF(F772="","",IF(OR(O772="Won",O772="Lost"),"Closed",IF(S772="","No date set",IF(S772&lt;TODAY(),"Overdue",IF(S772=TODAY(),"Due today","Upcoming")))))</f>
        <v/>
      </c>
    </row>
    <row r="773" customFormat="false" ht="15" hidden="false" customHeight="false" outlineLevel="0" collapsed="false">
      <c r="A773" s="16" t="s">
        <v>1000</v>
      </c>
      <c r="B773" s="18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8"/>
      <c r="R773" s="16"/>
      <c r="S773" s="18"/>
      <c r="T773" s="24"/>
      <c r="U773" s="23"/>
      <c r="V773" s="52"/>
      <c r="W773" s="50" t="str">
        <f aca="true">IF(Q773="","",TODAY()-Q773)</f>
        <v/>
      </c>
      <c r="X773" s="51" t="str">
        <f aca="true">IF(F773="","",IF(OR(O773="Won",O773="Lost"),"Closed",IF(S773="","No date set",IF(S773&lt;TODAY(),"Overdue",IF(S773=TODAY(),"Due today","Upcoming")))))</f>
        <v/>
      </c>
    </row>
    <row r="774" customFormat="false" ht="15" hidden="false" customHeight="false" outlineLevel="0" collapsed="false">
      <c r="A774" s="16" t="s">
        <v>1001</v>
      </c>
      <c r="B774" s="18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8"/>
      <c r="R774" s="16"/>
      <c r="S774" s="18"/>
      <c r="T774" s="24"/>
      <c r="U774" s="23"/>
      <c r="V774" s="52"/>
      <c r="W774" s="50" t="str">
        <f aca="true">IF(Q774="","",TODAY()-Q774)</f>
        <v/>
      </c>
      <c r="X774" s="51" t="str">
        <f aca="true">IF(F774="","",IF(OR(O774="Won",O774="Lost"),"Closed",IF(S774="","No date set",IF(S774&lt;TODAY(),"Overdue",IF(S774=TODAY(),"Due today","Upcoming")))))</f>
        <v/>
      </c>
    </row>
    <row r="775" customFormat="false" ht="15" hidden="false" customHeight="false" outlineLevel="0" collapsed="false">
      <c r="A775" s="16" t="s">
        <v>1002</v>
      </c>
      <c r="B775" s="18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8"/>
      <c r="R775" s="16"/>
      <c r="S775" s="18"/>
      <c r="T775" s="24"/>
      <c r="U775" s="23"/>
      <c r="V775" s="52"/>
      <c r="W775" s="50" t="str">
        <f aca="true">IF(Q775="","",TODAY()-Q775)</f>
        <v/>
      </c>
      <c r="X775" s="51" t="str">
        <f aca="true">IF(F775="","",IF(OR(O775="Won",O775="Lost"),"Closed",IF(S775="","No date set",IF(S775&lt;TODAY(),"Overdue",IF(S775=TODAY(),"Due today","Upcoming")))))</f>
        <v/>
      </c>
    </row>
    <row r="776" customFormat="false" ht="15" hidden="false" customHeight="false" outlineLevel="0" collapsed="false">
      <c r="A776" s="16" t="s">
        <v>1003</v>
      </c>
      <c r="B776" s="18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8"/>
      <c r="R776" s="16"/>
      <c r="S776" s="18"/>
      <c r="T776" s="24"/>
      <c r="U776" s="23"/>
      <c r="V776" s="52"/>
      <c r="W776" s="50" t="str">
        <f aca="true">IF(Q776="","",TODAY()-Q776)</f>
        <v/>
      </c>
      <c r="X776" s="51" t="str">
        <f aca="true">IF(F776="","",IF(OR(O776="Won",O776="Lost"),"Closed",IF(S776="","No date set",IF(S776&lt;TODAY(),"Overdue",IF(S776=TODAY(),"Due today","Upcoming")))))</f>
        <v/>
      </c>
    </row>
    <row r="777" customFormat="false" ht="15" hidden="false" customHeight="false" outlineLevel="0" collapsed="false">
      <c r="A777" s="16" t="s">
        <v>1004</v>
      </c>
      <c r="B777" s="18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8"/>
      <c r="R777" s="16"/>
      <c r="S777" s="18"/>
      <c r="T777" s="24"/>
      <c r="U777" s="23"/>
      <c r="V777" s="52"/>
      <c r="W777" s="50" t="str">
        <f aca="true">IF(Q777="","",TODAY()-Q777)</f>
        <v/>
      </c>
      <c r="X777" s="51" t="str">
        <f aca="true">IF(F777="","",IF(OR(O777="Won",O777="Lost"),"Closed",IF(S777="","No date set",IF(S777&lt;TODAY(),"Overdue",IF(S777=TODAY(),"Due today","Upcoming")))))</f>
        <v/>
      </c>
    </row>
    <row r="778" customFormat="false" ht="15" hidden="false" customHeight="false" outlineLevel="0" collapsed="false">
      <c r="A778" s="16" t="s">
        <v>1005</v>
      </c>
      <c r="B778" s="18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8"/>
      <c r="R778" s="16"/>
      <c r="S778" s="18"/>
      <c r="T778" s="24"/>
      <c r="U778" s="23"/>
      <c r="V778" s="52"/>
      <c r="W778" s="50" t="str">
        <f aca="true">IF(Q778="","",TODAY()-Q778)</f>
        <v/>
      </c>
      <c r="X778" s="51" t="str">
        <f aca="true">IF(F778="","",IF(OR(O778="Won",O778="Lost"),"Closed",IF(S778="","No date set",IF(S778&lt;TODAY(),"Overdue",IF(S778=TODAY(),"Due today","Upcoming")))))</f>
        <v/>
      </c>
    </row>
    <row r="779" customFormat="false" ht="15" hidden="false" customHeight="false" outlineLevel="0" collapsed="false">
      <c r="A779" s="16" t="s">
        <v>1006</v>
      </c>
      <c r="B779" s="18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8"/>
      <c r="R779" s="16"/>
      <c r="S779" s="18"/>
      <c r="T779" s="24"/>
      <c r="U779" s="23"/>
      <c r="V779" s="52"/>
      <c r="W779" s="50" t="str">
        <f aca="true">IF(Q779="","",TODAY()-Q779)</f>
        <v/>
      </c>
      <c r="X779" s="51" t="str">
        <f aca="true">IF(F779="","",IF(OR(O779="Won",O779="Lost"),"Closed",IF(S779="","No date set",IF(S779&lt;TODAY(),"Overdue",IF(S779=TODAY(),"Due today","Upcoming")))))</f>
        <v/>
      </c>
    </row>
    <row r="780" customFormat="false" ht="15" hidden="false" customHeight="false" outlineLevel="0" collapsed="false">
      <c r="A780" s="16" t="s">
        <v>1007</v>
      </c>
      <c r="B780" s="18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8"/>
      <c r="R780" s="16"/>
      <c r="S780" s="18"/>
      <c r="T780" s="24"/>
      <c r="U780" s="23"/>
      <c r="V780" s="52"/>
      <c r="W780" s="50" t="str">
        <f aca="true">IF(Q780="","",TODAY()-Q780)</f>
        <v/>
      </c>
      <c r="X780" s="51" t="str">
        <f aca="true">IF(F780="","",IF(OR(O780="Won",O780="Lost"),"Closed",IF(S780="","No date set",IF(S780&lt;TODAY(),"Overdue",IF(S780=TODAY(),"Due today","Upcoming")))))</f>
        <v/>
      </c>
    </row>
    <row r="781" customFormat="false" ht="15" hidden="false" customHeight="false" outlineLevel="0" collapsed="false">
      <c r="A781" s="16" t="s">
        <v>1008</v>
      </c>
      <c r="B781" s="18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8"/>
      <c r="R781" s="16"/>
      <c r="S781" s="18"/>
      <c r="T781" s="24"/>
      <c r="U781" s="23"/>
      <c r="V781" s="52"/>
      <c r="W781" s="50" t="str">
        <f aca="true">IF(Q781="","",TODAY()-Q781)</f>
        <v/>
      </c>
      <c r="X781" s="51" t="str">
        <f aca="true">IF(F781="","",IF(OR(O781="Won",O781="Lost"),"Closed",IF(S781="","No date set",IF(S781&lt;TODAY(),"Overdue",IF(S781=TODAY(),"Due today","Upcoming")))))</f>
        <v/>
      </c>
    </row>
    <row r="782" customFormat="false" ht="15" hidden="false" customHeight="false" outlineLevel="0" collapsed="false">
      <c r="A782" s="16" t="s">
        <v>1009</v>
      </c>
      <c r="B782" s="18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8"/>
      <c r="R782" s="16"/>
      <c r="S782" s="18"/>
      <c r="T782" s="24"/>
      <c r="U782" s="23"/>
      <c r="V782" s="52"/>
      <c r="W782" s="50" t="str">
        <f aca="true">IF(Q782="","",TODAY()-Q782)</f>
        <v/>
      </c>
      <c r="X782" s="51" t="str">
        <f aca="true">IF(F782="","",IF(OR(O782="Won",O782="Lost"),"Closed",IF(S782="","No date set",IF(S782&lt;TODAY(),"Overdue",IF(S782=TODAY(),"Due today","Upcoming")))))</f>
        <v/>
      </c>
    </row>
    <row r="783" customFormat="false" ht="15" hidden="false" customHeight="false" outlineLevel="0" collapsed="false">
      <c r="A783" s="16" t="s">
        <v>1010</v>
      </c>
      <c r="B783" s="18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8"/>
      <c r="R783" s="16"/>
      <c r="S783" s="18"/>
      <c r="T783" s="24"/>
      <c r="U783" s="23"/>
      <c r="V783" s="52"/>
      <c r="W783" s="50" t="str">
        <f aca="true">IF(Q783="","",TODAY()-Q783)</f>
        <v/>
      </c>
      <c r="X783" s="51" t="str">
        <f aca="true">IF(F783="","",IF(OR(O783="Won",O783="Lost"),"Closed",IF(S783="","No date set",IF(S783&lt;TODAY(),"Overdue",IF(S783=TODAY(),"Due today","Upcoming")))))</f>
        <v/>
      </c>
    </row>
    <row r="784" customFormat="false" ht="15" hidden="false" customHeight="false" outlineLevel="0" collapsed="false">
      <c r="A784" s="16" t="s">
        <v>1011</v>
      </c>
      <c r="B784" s="18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8"/>
      <c r="R784" s="16"/>
      <c r="S784" s="18"/>
      <c r="T784" s="24"/>
      <c r="U784" s="23"/>
      <c r="V784" s="52"/>
      <c r="W784" s="50" t="str">
        <f aca="true">IF(Q784="","",TODAY()-Q784)</f>
        <v/>
      </c>
      <c r="X784" s="51" t="str">
        <f aca="true">IF(F784="","",IF(OR(O784="Won",O784="Lost"),"Closed",IF(S784="","No date set",IF(S784&lt;TODAY(),"Overdue",IF(S784=TODAY(),"Due today","Upcoming")))))</f>
        <v/>
      </c>
    </row>
    <row r="785" customFormat="false" ht="15" hidden="false" customHeight="false" outlineLevel="0" collapsed="false">
      <c r="A785" s="16" t="s">
        <v>1012</v>
      </c>
      <c r="B785" s="18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8"/>
      <c r="R785" s="16"/>
      <c r="S785" s="18"/>
      <c r="T785" s="24"/>
      <c r="U785" s="23"/>
      <c r="V785" s="52"/>
      <c r="W785" s="50" t="str">
        <f aca="true">IF(Q785="","",TODAY()-Q785)</f>
        <v/>
      </c>
      <c r="X785" s="51" t="str">
        <f aca="true">IF(F785="","",IF(OR(O785="Won",O785="Lost"),"Closed",IF(S785="","No date set",IF(S785&lt;TODAY(),"Overdue",IF(S785=TODAY(),"Due today","Upcoming")))))</f>
        <v/>
      </c>
    </row>
    <row r="786" customFormat="false" ht="15" hidden="false" customHeight="false" outlineLevel="0" collapsed="false">
      <c r="A786" s="16" t="s">
        <v>1013</v>
      </c>
      <c r="B786" s="18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8"/>
      <c r="R786" s="16"/>
      <c r="S786" s="18"/>
      <c r="T786" s="24"/>
      <c r="U786" s="23"/>
      <c r="V786" s="52"/>
      <c r="W786" s="50" t="str">
        <f aca="true">IF(Q786="","",TODAY()-Q786)</f>
        <v/>
      </c>
      <c r="X786" s="51" t="str">
        <f aca="true">IF(F786="","",IF(OR(O786="Won",O786="Lost"),"Closed",IF(S786="","No date set",IF(S786&lt;TODAY(),"Overdue",IF(S786=TODAY(),"Due today","Upcoming")))))</f>
        <v/>
      </c>
    </row>
    <row r="787" customFormat="false" ht="15" hidden="false" customHeight="false" outlineLevel="0" collapsed="false">
      <c r="A787" s="16" t="s">
        <v>1014</v>
      </c>
      <c r="B787" s="18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8"/>
      <c r="R787" s="16"/>
      <c r="S787" s="18"/>
      <c r="T787" s="24"/>
      <c r="U787" s="23"/>
      <c r="V787" s="52"/>
      <c r="W787" s="50" t="str">
        <f aca="true">IF(Q787="","",TODAY()-Q787)</f>
        <v/>
      </c>
      <c r="X787" s="51" t="str">
        <f aca="true">IF(F787="","",IF(OR(O787="Won",O787="Lost"),"Closed",IF(S787="","No date set",IF(S787&lt;TODAY(),"Overdue",IF(S787=TODAY(),"Due today","Upcoming")))))</f>
        <v/>
      </c>
    </row>
    <row r="788" customFormat="false" ht="15" hidden="false" customHeight="false" outlineLevel="0" collapsed="false">
      <c r="A788" s="16" t="s">
        <v>1015</v>
      </c>
      <c r="B788" s="18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8"/>
      <c r="R788" s="16"/>
      <c r="S788" s="18"/>
      <c r="T788" s="24"/>
      <c r="U788" s="23"/>
      <c r="V788" s="52"/>
      <c r="W788" s="50" t="str">
        <f aca="true">IF(Q788="","",TODAY()-Q788)</f>
        <v/>
      </c>
      <c r="X788" s="51" t="str">
        <f aca="true">IF(F788="","",IF(OR(O788="Won",O788="Lost"),"Closed",IF(S788="","No date set",IF(S788&lt;TODAY(),"Overdue",IF(S788=TODAY(),"Due today","Upcoming")))))</f>
        <v/>
      </c>
    </row>
    <row r="789" customFormat="false" ht="15" hidden="false" customHeight="false" outlineLevel="0" collapsed="false">
      <c r="A789" s="16" t="s">
        <v>1016</v>
      </c>
      <c r="B789" s="18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8"/>
      <c r="R789" s="16"/>
      <c r="S789" s="18"/>
      <c r="T789" s="24"/>
      <c r="U789" s="23"/>
      <c r="V789" s="52"/>
      <c r="W789" s="50" t="str">
        <f aca="true">IF(Q789="","",TODAY()-Q789)</f>
        <v/>
      </c>
      <c r="X789" s="51" t="str">
        <f aca="true">IF(F789="","",IF(OR(O789="Won",O789="Lost"),"Closed",IF(S789="","No date set",IF(S789&lt;TODAY(),"Overdue",IF(S789=TODAY(),"Due today","Upcoming")))))</f>
        <v/>
      </c>
    </row>
    <row r="790" customFormat="false" ht="15" hidden="false" customHeight="false" outlineLevel="0" collapsed="false">
      <c r="A790" s="16" t="s">
        <v>1017</v>
      </c>
      <c r="B790" s="18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8"/>
      <c r="R790" s="16"/>
      <c r="S790" s="18"/>
      <c r="T790" s="24"/>
      <c r="U790" s="23"/>
      <c r="V790" s="52"/>
      <c r="W790" s="50" t="str">
        <f aca="true">IF(Q790="","",TODAY()-Q790)</f>
        <v/>
      </c>
      <c r="X790" s="51" t="str">
        <f aca="true">IF(F790="","",IF(OR(O790="Won",O790="Lost"),"Closed",IF(S790="","No date set",IF(S790&lt;TODAY(),"Overdue",IF(S790=TODAY(),"Due today","Upcoming")))))</f>
        <v/>
      </c>
    </row>
    <row r="791" customFormat="false" ht="15" hidden="false" customHeight="false" outlineLevel="0" collapsed="false">
      <c r="A791" s="16" t="s">
        <v>1018</v>
      </c>
      <c r="B791" s="18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8"/>
      <c r="R791" s="16"/>
      <c r="S791" s="18"/>
      <c r="T791" s="24"/>
      <c r="U791" s="23"/>
      <c r="V791" s="52"/>
      <c r="W791" s="50" t="str">
        <f aca="true">IF(Q791="","",TODAY()-Q791)</f>
        <v/>
      </c>
      <c r="X791" s="51" t="str">
        <f aca="true">IF(F791="","",IF(OR(O791="Won",O791="Lost"),"Closed",IF(S791="","No date set",IF(S791&lt;TODAY(),"Overdue",IF(S791=TODAY(),"Due today","Upcoming")))))</f>
        <v/>
      </c>
    </row>
    <row r="792" customFormat="false" ht="15" hidden="false" customHeight="false" outlineLevel="0" collapsed="false">
      <c r="A792" s="16" t="s">
        <v>1019</v>
      </c>
      <c r="B792" s="18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8"/>
      <c r="R792" s="16"/>
      <c r="S792" s="18"/>
      <c r="T792" s="24"/>
      <c r="U792" s="23"/>
      <c r="V792" s="52"/>
      <c r="W792" s="50" t="str">
        <f aca="true">IF(Q792="","",TODAY()-Q792)</f>
        <v/>
      </c>
      <c r="X792" s="51" t="str">
        <f aca="true">IF(F792="","",IF(OR(O792="Won",O792="Lost"),"Closed",IF(S792="","No date set",IF(S792&lt;TODAY(),"Overdue",IF(S792=TODAY(),"Due today","Upcoming")))))</f>
        <v/>
      </c>
    </row>
    <row r="793" customFormat="false" ht="15" hidden="false" customHeight="false" outlineLevel="0" collapsed="false">
      <c r="A793" s="16" t="s">
        <v>1020</v>
      </c>
      <c r="B793" s="18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8"/>
      <c r="R793" s="16"/>
      <c r="S793" s="18"/>
      <c r="T793" s="24"/>
      <c r="U793" s="23"/>
      <c r="V793" s="52"/>
      <c r="W793" s="50" t="str">
        <f aca="true">IF(Q793="","",TODAY()-Q793)</f>
        <v/>
      </c>
      <c r="X793" s="51" t="str">
        <f aca="true">IF(F793="","",IF(OR(O793="Won",O793="Lost"),"Closed",IF(S793="","No date set",IF(S793&lt;TODAY(),"Overdue",IF(S793=TODAY(),"Due today","Upcoming")))))</f>
        <v/>
      </c>
    </row>
    <row r="794" customFormat="false" ht="15" hidden="false" customHeight="false" outlineLevel="0" collapsed="false">
      <c r="A794" s="16" t="s">
        <v>1021</v>
      </c>
      <c r="B794" s="18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8"/>
      <c r="R794" s="16"/>
      <c r="S794" s="18"/>
      <c r="T794" s="24"/>
      <c r="U794" s="23"/>
      <c r="V794" s="52"/>
      <c r="W794" s="50" t="str">
        <f aca="true">IF(Q794="","",TODAY()-Q794)</f>
        <v/>
      </c>
      <c r="X794" s="51" t="str">
        <f aca="true">IF(F794="","",IF(OR(O794="Won",O794="Lost"),"Closed",IF(S794="","No date set",IF(S794&lt;TODAY(),"Overdue",IF(S794=TODAY(),"Due today","Upcoming")))))</f>
        <v/>
      </c>
    </row>
    <row r="795" customFormat="false" ht="15" hidden="false" customHeight="false" outlineLevel="0" collapsed="false">
      <c r="A795" s="16" t="s">
        <v>1022</v>
      </c>
      <c r="B795" s="18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8"/>
      <c r="R795" s="16"/>
      <c r="S795" s="18"/>
      <c r="T795" s="24"/>
      <c r="U795" s="23"/>
      <c r="V795" s="52"/>
      <c r="W795" s="50" t="str">
        <f aca="true">IF(Q795="","",TODAY()-Q795)</f>
        <v/>
      </c>
      <c r="X795" s="51" t="str">
        <f aca="true">IF(F795="","",IF(OR(O795="Won",O795="Lost"),"Closed",IF(S795="","No date set",IF(S795&lt;TODAY(),"Overdue",IF(S795=TODAY(),"Due today","Upcoming")))))</f>
        <v/>
      </c>
    </row>
    <row r="796" customFormat="false" ht="15" hidden="false" customHeight="false" outlineLevel="0" collapsed="false">
      <c r="A796" s="16" t="s">
        <v>1023</v>
      </c>
      <c r="B796" s="18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8"/>
      <c r="R796" s="16"/>
      <c r="S796" s="18"/>
      <c r="T796" s="24"/>
      <c r="U796" s="23"/>
      <c r="V796" s="52"/>
      <c r="W796" s="50" t="str">
        <f aca="true">IF(Q796="","",TODAY()-Q796)</f>
        <v/>
      </c>
      <c r="X796" s="51" t="str">
        <f aca="true">IF(F796="","",IF(OR(O796="Won",O796="Lost"),"Closed",IF(S796="","No date set",IF(S796&lt;TODAY(),"Overdue",IF(S796=TODAY(),"Due today","Upcoming")))))</f>
        <v/>
      </c>
    </row>
    <row r="797" customFormat="false" ht="15" hidden="false" customHeight="false" outlineLevel="0" collapsed="false">
      <c r="A797" s="16" t="s">
        <v>1024</v>
      </c>
      <c r="B797" s="18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8"/>
      <c r="R797" s="16"/>
      <c r="S797" s="18"/>
      <c r="T797" s="24"/>
      <c r="U797" s="23"/>
      <c r="V797" s="52"/>
      <c r="W797" s="50" t="str">
        <f aca="true">IF(Q797="","",TODAY()-Q797)</f>
        <v/>
      </c>
      <c r="X797" s="51" t="str">
        <f aca="true">IF(F797="","",IF(OR(O797="Won",O797="Lost"),"Closed",IF(S797="","No date set",IF(S797&lt;TODAY(),"Overdue",IF(S797=TODAY(),"Due today","Upcoming")))))</f>
        <v/>
      </c>
    </row>
    <row r="798" customFormat="false" ht="15" hidden="false" customHeight="false" outlineLevel="0" collapsed="false">
      <c r="A798" s="16" t="s">
        <v>1025</v>
      </c>
      <c r="B798" s="18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8"/>
      <c r="R798" s="16"/>
      <c r="S798" s="18"/>
      <c r="T798" s="24"/>
      <c r="U798" s="23"/>
      <c r="V798" s="52"/>
      <c r="W798" s="50" t="str">
        <f aca="true">IF(Q798="","",TODAY()-Q798)</f>
        <v/>
      </c>
      <c r="X798" s="51" t="str">
        <f aca="true">IF(F798="","",IF(OR(O798="Won",O798="Lost"),"Closed",IF(S798="","No date set",IF(S798&lt;TODAY(),"Overdue",IF(S798=TODAY(),"Due today","Upcoming")))))</f>
        <v/>
      </c>
    </row>
    <row r="799" customFormat="false" ht="15" hidden="false" customHeight="false" outlineLevel="0" collapsed="false">
      <c r="A799" s="16" t="s">
        <v>1026</v>
      </c>
      <c r="B799" s="18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8"/>
      <c r="R799" s="16"/>
      <c r="S799" s="18"/>
      <c r="T799" s="24"/>
      <c r="U799" s="23"/>
      <c r="V799" s="52"/>
      <c r="W799" s="50" t="str">
        <f aca="true">IF(Q799="","",TODAY()-Q799)</f>
        <v/>
      </c>
      <c r="X799" s="51" t="str">
        <f aca="true">IF(F799="","",IF(OR(O799="Won",O799="Lost"),"Closed",IF(S799="","No date set",IF(S799&lt;TODAY(),"Overdue",IF(S799=TODAY(),"Due today","Upcoming")))))</f>
        <v/>
      </c>
    </row>
    <row r="800" customFormat="false" ht="15" hidden="false" customHeight="false" outlineLevel="0" collapsed="false">
      <c r="A800" s="16" t="s">
        <v>1027</v>
      </c>
      <c r="B800" s="18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8"/>
      <c r="R800" s="16"/>
      <c r="S800" s="18"/>
      <c r="T800" s="24"/>
      <c r="U800" s="23"/>
      <c r="V800" s="52"/>
      <c r="W800" s="50" t="str">
        <f aca="true">IF(Q800="","",TODAY()-Q800)</f>
        <v/>
      </c>
      <c r="X800" s="51" t="str">
        <f aca="true">IF(F800="","",IF(OR(O800="Won",O800="Lost"),"Closed",IF(S800="","No date set",IF(S800&lt;TODAY(),"Overdue",IF(S800=TODAY(),"Due today","Upcoming")))))</f>
        <v/>
      </c>
    </row>
    <row r="801" customFormat="false" ht="15" hidden="false" customHeight="false" outlineLevel="0" collapsed="false">
      <c r="A801" s="16" t="s">
        <v>1028</v>
      </c>
      <c r="B801" s="18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8"/>
      <c r="R801" s="16"/>
      <c r="S801" s="18"/>
      <c r="T801" s="24"/>
      <c r="U801" s="23"/>
      <c r="V801" s="52"/>
      <c r="W801" s="50" t="str">
        <f aca="true">IF(Q801="","",TODAY()-Q801)</f>
        <v/>
      </c>
      <c r="X801" s="51" t="str">
        <f aca="true">IF(F801="","",IF(OR(O801="Won",O801="Lost"),"Closed",IF(S801="","No date set",IF(S801&lt;TODAY(),"Overdue",IF(S801=TODAY(),"Due today","Upcoming")))))</f>
        <v/>
      </c>
    </row>
    <row r="802" customFormat="false" ht="15" hidden="false" customHeight="false" outlineLevel="0" collapsed="false">
      <c r="A802" s="16" t="s">
        <v>1029</v>
      </c>
      <c r="B802" s="18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8"/>
      <c r="R802" s="16"/>
      <c r="S802" s="18"/>
      <c r="T802" s="24"/>
      <c r="U802" s="23"/>
      <c r="V802" s="52"/>
      <c r="W802" s="50" t="str">
        <f aca="true">IF(Q802="","",TODAY()-Q802)</f>
        <v/>
      </c>
      <c r="X802" s="51" t="str">
        <f aca="true">IF(F802="","",IF(OR(O802="Won",O802="Lost"),"Closed",IF(S802="","No date set",IF(S802&lt;TODAY(),"Overdue",IF(S802=TODAY(),"Due today","Upcoming")))))</f>
        <v/>
      </c>
    </row>
    <row r="803" customFormat="false" ht="15" hidden="false" customHeight="false" outlineLevel="0" collapsed="false">
      <c r="A803" s="16" t="s">
        <v>1030</v>
      </c>
      <c r="B803" s="18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8"/>
      <c r="R803" s="16"/>
      <c r="S803" s="18"/>
      <c r="T803" s="24"/>
      <c r="U803" s="23"/>
      <c r="V803" s="52"/>
      <c r="W803" s="50" t="str">
        <f aca="true">IF(Q803="","",TODAY()-Q803)</f>
        <v/>
      </c>
      <c r="X803" s="51" t="str">
        <f aca="true">IF(F803="","",IF(OR(O803="Won",O803="Lost"),"Closed",IF(S803="","No date set",IF(S803&lt;TODAY(),"Overdue",IF(S803=TODAY(),"Due today","Upcoming")))))</f>
        <v/>
      </c>
    </row>
    <row r="804" customFormat="false" ht="15" hidden="false" customHeight="false" outlineLevel="0" collapsed="false">
      <c r="A804" s="16" t="s">
        <v>1031</v>
      </c>
      <c r="B804" s="18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8"/>
      <c r="R804" s="16"/>
      <c r="S804" s="18"/>
      <c r="T804" s="24"/>
      <c r="U804" s="23"/>
      <c r="V804" s="52"/>
      <c r="W804" s="50" t="str">
        <f aca="true">IF(Q804="","",TODAY()-Q804)</f>
        <v/>
      </c>
      <c r="X804" s="51" t="str">
        <f aca="true">IF(F804="","",IF(OR(O804="Won",O804="Lost"),"Closed",IF(S804="","No date set",IF(S804&lt;TODAY(),"Overdue",IF(S804=TODAY(),"Due today","Upcoming")))))</f>
        <v/>
      </c>
    </row>
    <row r="805" customFormat="false" ht="15" hidden="false" customHeight="false" outlineLevel="0" collapsed="false">
      <c r="A805" s="16" t="s">
        <v>1032</v>
      </c>
      <c r="B805" s="18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8"/>
      <c r="R805" s="16"/>
      <c r="S805" s="18"/>
      <c r="T805" s="24"/>
      <c r="U805" s="23"/>
      <c r="V805" s="52"/>
      <c r="W805" s="50" t="str">
        <f aca="true">IF(Q805="","",TODAY()-Q805)</f>
        <v/>
      </c>
      <c r="X805" s="51" t="str">
        <f aca="true">IF(F805="","",IF(OR(O805="Won",O805="Lost"),"Closed",IF(S805="","No date set",IF(S805&lt;TODAY(),"Overdue",IF(S805=TODAY(),"Due today","Upcoming")))))</f>
        <v/>
      </c>
    </row>
    <row r="806" customFormat="false" ht="15" hidden="false" customHeight="false" outlineLevel="0" collapsed="false">
      <c r="A806" s="16" t="s">
        <v>1033</v>
      </c>
      <c r="B806" s="18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8"/>
      <c r="R806" s="16"/>
      <c r="S806" s="18"/>
      <c r="T806" s="24"/>
      <c r="U806" s="23"/>
      <c r="V806" s="52"/>
      <c r="W806" s="50" t="str">
        <f aca="true">IF(Q806="","",TODAY()-Q806)</f>
        <v/>
      </c>
      <c r="X806" s="51" t="str">
        <f aca="true">IF(F806="","",IF(OR(O806="Won",O806="Lost"),"Closed",IF(S806="","No date set",IF(S806&lt;TODAY(),"Overdue",IF(S806=TODAY(),"Due today","Upcoming")))))</f>
        <v/>
      </c>
    </row>
    <row r="807" customFormat="false" ht="15" hidden="false" customHeight="false" outlineLevel="0" collapsed="false">
      <c r="A807" s="16" t="s">
        <v>1034</v>
      </c>
      <c r="B807" s="18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8"/>
      <c r="R807" s="16"/>
      <c r="S807" s="18"/>
      <c r="T807" s="24"/>
      <c r="U807" s="23"/>
      <c r="V807" s="52"/>
      <c r="W807" s="50" t="str">
        <f aca="true">IF(Q807="","",TODAY()-Q807)</f>
        <v/>
      </c>
      <c r="X807" s="51" t="str">
        <f aca="true">IF(F807="","",IF(OR(O807="Won",O807="Lost"),"Closed",IF(S807="","No date set",IF(S807&lt;TODAY(),"Overdue",IF(S807=TODAY(),"Due today","Upcoming")))))</f>
        <v/>
      </c>
    </row>
    <row r="808" customFormat="false" ht="15" hidden="false" customHeight="false" outlineLevel="0" collapsed="false">
      <c r="A808" s="16" t="s">
        <v>1035</v>
      </c>
      <c r="B808" s="18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8"/>
      <c r="R808" s="16"/>
      <c r="S808" s="18"/>
      <c r="T808" s="24"/>
      <c r="U808" s="23"/>
      <c r="V808" s="52"/>
      <c r="W808" s="50" t="str">
        <f aca="true">IF(Q808="","",TODAY()-Q808)</f>
        <v/>
      </c>
      <c r="X808" s="51" t="str">
        <f aca="true">IF(F808="","",IF(OR(O808="Won",O808="Lost"),"Closed",IF(S808="","No date set",IF(S808&lt;TODAY(),"Overdue",IF(S808=TODAY(),"Due today","Upcoming")))))</f>
        <v/>
      </c>
    </row>
    <row r="809" customFormat="false" ht="15" hidden="false" customHeight="false" outlineLevel="0" collapsed="false">
      <c r="A809" s="16" t="s">
        <v>1036</v>
      </c>
      <c r="B809" s="18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8"/>
      <c r="R809" s="16"/>
      <c r="S809" s="18"/>
      <c r="T809" s="24"/>
      <c r="U809" s="23"/>
      <c r="V809" s="52"/>
      <c r="W809" s="50" t="str">
        <f aca="true">IF(Q809="","",TODAY()-Q809)</f>
        <v/>
      </c>
      <c r="X809" s="51" t="str">
        <f aca="true">IF(F809="","",IF(OR(O809="Won",O809="Lost"),"Closed",IF(S809="","No date set",IF(S809&lt;TODAY(),"Overdue",IF(S809=TODAY(),"Due today","Upcoming")))))</f>
        <v/>
      </c>
    </row>
    <row r="810" customFormat="false" ht="15" hidden="false" customHeight="false" outlineLevel="0" collapsed="false">
      <c r="A810" s="16" t="s">
        <v>1037</v>
      </c>
      <c r="B810" s="18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8"/>
      <c r="R810" s="16"/>
      <c r="S810" s="18"/>
      <c r="T810" s="24"/>
      <c r="U810" s="23"/>
      <c r="V810" s="52"/>
      <c r="W810" s="50" t="str">
        <f aca="true">IF(Q810="","",TODAY()-Q810)</f>
        <v/>
      </c>
      <c r="X810" s="51" t="str">
        <f aca="true">IF(F810="","",IF(OR(O810="Won",O810="Lost"),"Closed",IF(S810="","No date set",IF(S810&lt;TODAY(),"Overdue",IF(S810=TODAY(),"Due today","Upcoming")))))</f>
        <v/>
      </c>
    </row>
    <row r="811" customFormat="false" ht="15" hidden="false" customHeight="false" outlineLevel="0" collapsed="false">
      <c r="A811" s="16" t="s">
        <v>1038</v>
      </c>
      <c r="B811" s="18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8"/>
      <c r="R811" s="16"/>
      <c r="S811" s="18"/>
      <c r="T811" s="24"/>
      <c r="U811" s="23"/>
      <c r="V811" s="52"/>
      <c r="W811" s="50" t="str">
        <f aca="true">IF(Q811="","",TODAY()-Q811)</f>
        <v/>
      </c>
      <c r="X811" s="51" t="str">
        <f aca="true">IF(F811="","",IF(OR(O811="Won",O811="Lost"),"Closed",IF(S811="","No date set",IF(S811&lt;TODAY(),"Overdue",IF(S811=TODAY(),"Due today","Upcoming")))))</f>
        <v/>
      </c>
    </row>
    <row r="812" customFormat="false" ht="15" hidden="false" customHeight="false" outlineLevel="0" collapsed="false">
      <c r="A812" s="16" t="s">
        <v>1039</v>
      </c>
      <c r="B812" s="18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8"/>
      <c r="R812" s="16"/>
      <c r="S812" s="18"/>
      <c r="T812" s="24"/>
      <c r="U812" s="23"/>
      <c r="V812" s="52"/>
      <c r="W812" s="50" t="str">
        <f aca="true">IF(Q812="","",TODAY()-Q812)</f>
        <v/>
      </c>
      <c r="X812" s="51" t="str">
        <f aca="true">IF(F812="","",IF(OR(O812="Won",O812="Lost"),"Closed",IF(S812="","No date set",IF(S812&lt;TODAY(),"Overdue",IF(S812=TODAY(),"Due today","Upcoming")))))</f>
        <v/>
      </c>
    </row>
    <row r="813" customFormat="false" ht="15" hidden="false" customHeight="false" outlineLevel="0" collapsed="false">
      <c r="A813" s="16" t="s">
        <v>1040</v>
      </c>
      <c r="B813" s="18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8"/>
      <c r="R813" s="16"/>
      <c r="S813" s="18"/>
      <c r="T813" s="24"/>
      <c r="U813" s="23"/>
      <c r="V813" s="52"/>
      <c r="W813" s="50" t="str">
        <f aca="true">IF(Q813="","",TODAY()-Q813)</f>
        <v/>
      </c>
      <c r="X813" s="51" t="str">
        <f aca="true">IF(F813="","",IF(OR(O813="Won",O813="Lost"),"Closed",IF(S813="","No date set",IF(S813&lt;TODAY(),"Overdue",IF(S813=TODAY(),"Due today","Upcoming")))))</f>
        <v/>
      </c>
    </row>
    <row r="814" customFormat="false" ht="15" hidden="false" customHeight="false" outlineLevel="0" collapsed="false">
      <c r="A814" s="16" t="s">
        <v>1041</v>
      </c>
      <c r="B814" s="18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8"/>
      <c r="R814" s="16"/>
      <c r="S814" s="18"/>
      <c r="T814" s="24"/>
      <c r="U814" s="23"/>
      <c r="V814" s="52"/>
      <c r="W814" s="50" t="str">
        <f aca="true">IF(Q814="","",TODAY()-Q814)</f>
        <v/>
      </c>
      <c r="X814" s="51" t="str">
        <f aca="true">IF(F814="","",IF(OR(O814="Won",O814="Lost"),"Closed",IF(S814="","No date set",IF(S814&lt;TODAY(),"Overdue",IF(S814=TODAY(),"Due today","Upcoming")))))</f>
        <v/>
      </c>
    </row>
    <row r="815" customFormat="false" ht="15" hidden="false" customHeight="false" outlineLevel="0" collapsed="false">
      <c r="A815" s="16" t="s">
        <v>1042</v>
      </c>
      <c r="B815" s="18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8"/>
      <c r="R815" s="16"/>
      <c r="S815" s="18"/>
      <c r="T815" s="24"/>
      <c r="U815" s="23"/>
      <c r="V815" s="52"/>
      <c r="W815" s="50" t="str">
        <f aca="true">IF(Q815="","",TODAY()-Q815)</f>
        <v/>
      </c>
      <c r="X815" s="51" t="str">
        <f aca="true">IF(F815="","",IF(OR(O815="Won",O815="Lost"),"Closed",IF(S815="","No date set",IF(S815&lt;TODAY(),"Overdue",IF(S815=TODAY(),"Due today","Upcoming")))))</f>
        <v/>
      </c>
    </row>
    <row r="816" customFormat="false" ht="15" hidden="false" customHeight="false" outlineLevel="0" collapsed="false">
      <c r="A816" s="16" t="s">
        <v>1043</v>
      </c>
      <c r="B816" s="18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8"/>
      <c r="R816" s="16"/>
      <c r="S816" s="18"/>
      <c r="T816" s="24"/>
      <c r="U816" s="23"/>
      <c r="V816" s="52"/>
      <c r="W816" s="50" t="str">
        <f aca="true">IF(Q816="","",TODAY()-Q816)</f>
        <v/>
      </c>
      <c r="X816" s="51" t="str">
        <f aca="true">IF(F816="","",IF(OR(O816="Won",O816="Lost"),"Closed",IF(S816="","No date set",IF(S816&lt;TODAY(),"Overdue",IF(S816=TODAY(),"Due today","Upcoming")))))</f>
        <v/>
      </c>
    </row>
    <row r="817" customFormat="false" ht="15" hidden="false" customHeight="false" outlineLevel="0" collapsed="false">
      <c r="A817" s="16" t="s">
        <v>1044</v>
      </c>
      <c r="B817" s="18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8"/>
      <c r="R817" s="16"/>
      <c r="S817" s="18"/>
      <c r="T817" s="24"/>
      <c r="U817" s="23"/>
      <c r="V817" s="52"/>
      <c r="W817" s="50" t="str">
        <f aca="true">IF(Q817="","",TODAY()-Q817)</f>
        <v/>
      </c>
      <c r="X817" s="51" t="str">
        <f aca="true">IF(F817="","",IF(OR(O817="Won",O817="Lost"),"Closed",IF(S817="","No date set",IF(S817&lt;TODAY(),"Overdue",IF(S817=TODAY(),"Due today","Upcoming")))))</f>
        <v/>
      </c>
    </row>
    <row r="818" customFormat="false" ht="15" hidden="false" customHeight="false" outlineLevel="0" collapsed="false">
      <c r="A818" s="16" t="s">
        <v>1045</v>
      </c>
      <c r="B818" s="18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8"/>
      <c r="R818" s="16"/>
      <c r="S818" s="18"/>
      <c r="T818" s="24"/>
      <c r="U818" s="23"/>
      <c r="V818" s="52"/>
      <c r="W818" s="50" t="str">
        <f aca="true">IF(Q818="","",TODAY()-Q818)</f>
        <v/>
      </c>
      <c r="X818" s="51" t="str">
        <f aca="true">IF(F818="","",IF(OR(O818="Won",O818="Lost"),"Closed",IF(S818="","No date set",IF(S818&lt;TODAY(),"Overdue",IF(S818=TODAY(),"Due today","Upcoming")))))</f>
        <v/>
      </c>
    </row>
    <row r="819" customFormat="false" ht="15" hidden="false" customHeight="false" outlineLevel="0" collapsed="false">
      <c r="A819" s="16" t="s">
        <v>1046</v>
      </c>
      <c r="B819" s="18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8"/>
      <c r="R819" s="16"/>
      <c r="S819" s="18"/>
      <c r="T819" s="24"/>
      <c r="U819" s="23"/>
      <c r="V819" s="52"/>
      <c r="W819" s="50" t="str">
        <f aca="true">IF(Q819="","",TODAY()-Q819)</f>
        <v/>
      </c>
      <c r="X819" s="51" t="str">
        <f aca="true">IF(F819="","",IF(OR(O819="Won",O819="Lost"),"Closed",IF(S819="","No date set",IF(S819&lt;TODAY(),"Overdue",IF(S819=TODAY(),"Due today","Upcoming")))))</f>
        <v/>
      </c>
    </row>
    <row r="820" customFormat="false" ht="15" hidden="false" customHeight="false" outlineLevel="0" collapsed="false">
      <c r="A820" s="16" t="s">
        <v>1047</v>
      </c>
      <c r="B820" s="18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8"/>
      <c r="R820" s="16"/>
      <c r="S820" s="18"/>
      <c r="T820" s="24"/>
      <c r="U820" s="23"/>
      <c r="V820" s="52"/>
      <c r="W820" s="50" t="str">
        <f aca="true">IF(Q820="","",TODAY()-Q820)</f>
        <v/>
      </c>
      <c r="X820" s="51" t="str">
        <f aca="true">IF(F820="","",IF(OR(O820="Won",O820="Lost"),"Closed",IF(S820="","No date set",IF(S820&lt;TODAY(),"Overdue",IF(S820=TODAY(),"Due today","Upcoming")))))</f>
        <v/>
      </c>
    </row>
    <row r="821" customFormat="false" ht="15" hidden="false" customHeight="false" outlineLevel="0" collapsed="false">
      <c r="A821" s="16" t="s">
        <v>1048</v>
      </c>
      <c r="B821" s="18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8"/>
      <c r="R821" s="16"/>
      <c r="S821" s="18"/>
      <c r="T821" s="24"/>
      <c r="U821" s="23"/>
      <c r="V821" s="52"/>
      <c r="W821" s="50" t="str">
        <f aca="true">IF(Q821="","",TODAY()-Q821)</f>
        <v/>
      </c>
      <c r="X821" s="51" t="str">
        <f aca="true">IF(F821="","",IF(OR(O821="Won",O821="Lost"),"Closed",IF(S821="","No date set",IF(S821&lt;TODAY(),"Overdue",IF(S821=TODAY(),"Due today","Upcoming")))))</f>
        <v/>
      </c>
    </row>
    <row r="822" customFormat="false" ht="15" hidden="false" customHeight="false" outlineLevel="0" collapsed="false">
      <c r="A822" s="16" t="s">
        <v>1049</v>
      </c>
      <c r="B822" s="18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8"/>
      <c r="R822" s="16"/>
      <c r="S822" s="18"/>
      <c r="T822" s="24"/>
      <c r="U822" s="23"/>
      <c r="V822" s="52"/>
      <c r="W822" s="50" t="str">
        <f aca="true">IF(Q822="","",TODAY()-Q822)</f>
        <v/>
      </c>
      <c r="X822" s="51" t="str">
        <f aca="true">IF(F822="","",IF(OR(O822="Won",O822="Lost"),"Closed",IF(S822="","No date set",IF(S822&lt;TODAY(),"Overdue",IF(S822=TODAY(),"Due today","Upcoming")))))</f>
        <v/>
      </c>
    </row>
    <row r="823" customFormat="false" ht="15" hidden="false" customHeight="false" outlineLevel="0" collapsed="false">
      <c r="A823" s="16" t="s">
        <v>1050</v>
      </c>
      <c r="B823" s="18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8"/>
      <c r="R823" s="16"/>
      <c r="S823" s="18"/>
      <c r="T823" s="24"/>
      <c r="U823" s="23"/>
      <c r="V823" s="52"/>
      <c r="W823" s="50" t="str">
        <f aca="true">IF(Q823="","",TODAY()-Q823)</f>
        <v/>
      </c>
      <c r="X823" s="51" t="str">
        <f aca="true">IF(F823="","",IF(OR(O823="Won",O823="Lost"),"Closed",IF(S823="","No date set",IF(S823&lt;TODAY(),"Overdue",IF(S823=TODAY(),"Due today","Upcoming")))))</f>
        <v/>
      </c>
    </row>
    <row r="824" customFormat="false" ht="15" hidden="false" customHeight="false" outlineLevel="0" collapsed="false">
      <c r="A824" s="16" t="s">
        <v>1051</v>
      </c>
      <c r="B824" s="18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8"/>
      <c r="R824" s="16"/>
      <c r="S824" s="18"/>
      <c r="T824" s="24"/>
      <c r="U824" s="23"/>
      <c r="V824" s="52"/>
      <c r="W824" s="50" t="str">
        <f aca="true">IF(Q824="","",TODAY()-Q824)</f>
        <v/>
      </c>
      <c r="X824" s="51" t="str">
        <f aca="true">IF(F824="","",IF(OR(O824="Won",O824="Lost"),"Closed",IF(S824="","No date set",IF(S824&lt;TODAY(),"Overdue",IF(S824=TODAY(),"Due today","Upcoming")))))</f>
        <v/>
      </c>
    </row>
    <row r="825" customFormat="false" ht="15" hidden="false" customHeight="false" outlineLevel="0" collapsed="false">
      <c r="A825" s="16" t="s">
        <v>1052</v>
      </c>
      <c r="B825" s="18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8"/>
      <c r="R825" s="16"/>
      <c r="S825" s="18"/>
      <c r="T825" s="24"/>
      <c r="U825" s="23"/>
      <c r="V825" s="52"/>
      <c r="W825" s="50" t="str">
        <f aca="true">IF(Q825="","",TODAY()-Q825)</f>
        <v/>
      </c>
      <c r="X825" s="51" t="str">
        <f aca="true">IF(F825="","",IF(OR(O825="Won",O825="Lost"),"Closed",IF(S825="","No date set",IF(S825&lt;TODAY(),"Overdue",IF(S825=TODAY(),"Due today","Upcoming")))))</f>
        <v/>
      </c>
    </row>
    <row r="826" customFormat="false" ht="15" hidden="false" customHeight="false" outlineLevel="0" collapsed="false">
      <c r="A826" s="16" t="s">
        <v>1053</v>
      </c>
      <c r="B826" s="18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8"/>
      <c r="R826" s="16"/>
      <c r="S826" s="18"/>
      <c r="T826" s="24"/>
      <c r="U826" s="23"/>
      <c r="V826" s="52"/>
      <c r="W826" s="50" t="str">
        <f aca="true">IF(Q826="","",TODAY()-Q826)</f>
        <v/>
      </c>
      <c r="X826" s="51" t="str">
        <f aca="true">IF(F826="","",IF(OR(O826="Won",O826="Lost"),"Closed",IF(S826="","No date set",IF(S826&lt;TODAY(),"Overdue",IF(S826=TODAY(),"Due today","Upcoming")))))</f>
        <v/>
      </c>
    </row>
    <row r="827" customFormat="false" ht="15" hidden="false" customHeight="false" outlineLevel="0" collapsed="false">
      <c r="A827" s="16" t="s">
        <v>1054</v>
      </c>
      <c r="B827" s="18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8"/>
      <c r="R827" s="16"/>
      <c r="S827" s="18"/>
      <c r="T827" s="24"/>
      <c r="U827" s="23"/>
      <c r="V827" s="52"/>
      <c r="W827" s="50" t="str">
        <f aca="true">IF(Q827="","",TODAY()-Q827)</f>
        <v/>
      </c>
      <c r="X827" s="51" t="str">
        <f aca="true">IF(F827="","",IF(OR(O827="Won",O827="Lost"),"Closed",IF(S827="","No date set",IF(S827&lt;TODAY(),"Overdue",IF(S827=TODAY(),"Due today","Upcoming")))))</f>
        <v/>
      </c>
    </row>
    <row r="828" customFormat="false" ht="15" hidden="false" customHeight="false" outlineLevel="0" collapsed="false">
      <c r="A828" s="16" t="s">
        <v>1055</v>
      </c>
      <c r="B828" s="18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8"/>
      <c r="R828" s="16"/>
      <c r="S828" s="18"/>
      <c r="T828" s="24"/>
      <c r="U828" s="23"/>
      <c r="V828" s="52"/>
      <c r="W828" s="50" t="str">
        <f aca="true">IF(Q828="","",TODAY()-Q828)</f>
        <v/>
      </c>
      <c r="X828" s="51" t="str">
        <f aca="true">IF(F828="","",IF(OR(O828="Won",O828="Lost"),"Closed",IF(S828="","No date set",IF(S828&lt;TODAY(),"Overdue",IF(S828=TODAY(),"Due today","Upcoming")))))</f>
        <v/>
      </c>
    </row>
    <row r="829" customFormat="false" ht="15" hidden="false" customHeight="false" outlineLevel="0" collapsed="false">
      <c r="A829" s="16" t="s">
        <v>1056</v>
      </c>
      <c r="B829" s="18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8"/>
      <c r="R829" s="16"/>
      <c r="S829" s="18"/>
      <c r="T829" s="24"/>
      <c r="U829" s="23"/>
      <c r="V829" s="52"/>
      <c r="W829" s="50" t="str">
        <f aca="true">IF(Q829="","",TODAY()-Q829)</f>
        <v/>
      </c>
      <c r="X829" s="51" t="str">
        <f aca="true">IF(F829="","",IF(OR(O829="Won",O829="Lost"),"Closed",IF(S829="","No date set",IF(S829&lt;TODAY(),"Overdue",IF(S829=TODAY(),"Due today","Upcoming")))))</f>
        <v/>
      </c>
    </row>
    <row r="830" customFormat="false" ht="15" hidden="false" customHeight="false" outlineLevel="0" collapsed="false">
      <c r="A830" s="16" t="s">
        <v>1057</v>
      </c>
      <c r="B830" s="18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8"/>
      <c r="R830" s="16"/>
      <c r="S830" s="18"/>
      <c r="T830" s="24"/>
      <c r="U830" s="23"/>
      <c r="V830" s="52"/>
      <c r="W830" s="50" t="str">
        <f aca="true">IF(Q830="","",TODAY()-Q830)</f>
        <v/>
      </c>
      <c r="X830" s="51" t="str">
        <f aca="true">IF(F830="","",IF(OR(O830="Won",O830="Lost"),"Closed",IF(S830="","No date set",IF(S830&lt;TODAY(),"Overdue",IF(S830=TODAY(),"Due today","Upcoming")))))</f>
        <v/>
      </c>
    </row>
    <row r="831" customFormat="false" ht="15" hidden="false" customHeight="false" outlineLevel="0" collapsed="false">
      <c r="A831" s="16" t="s">
        <v>1058</v>
      </c>
      <c r="B831" s="18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8"/>
      <c r="R831" s="16"/>
      <c r="S831" s="18"/>
      <c r="T831" s="24"/>
      <c r="U831" s="23"/>
      <c r="V831" s="52"/>
      <c r="W831" s="50" t="str">
        <f aca="true">IF(Q831="","",TODAY()-Q831)</f>
        <v/>
      </c>
      <c r="X831" s="51" t="str">
        <f aca="true">IF(F831="","",IF(OR(O831="Won",O831="Lost"),"Closed",IF(S831="","No date set",IF(S831&lt;TODAY(),"Overdue",IF(S831=TODAY(),"Due today","Upcoming")))))</f>
        <v/>
      </c>
    </row>
    <row r="832" customFormat="false" ht="15" hidden="false" customHeight="false" outlineLevel="0" collapsed="false">
      <c r="A832" s="16" t="s">
        <v>1059</v>
      </c>
      <c r="B832" s="18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8"/>
      <c r="R832" s="16"/>
      <c r="S832" s="18"/>
      <c r="T832" s="24"/>
      <c r="U832" s="23"/>
      <c r="V832" s="52"/>
      <c r="W832" s="50" t="str">
        <f aca="true">IF(Q832="","",TODAY()-Q832)</f>
        <v/>
      </c>
      <c r="X832" s="51" t="str">
        <f aca="true">IF(F832="","",IF(OR(O832="Won",O832="Lost"),"Closed",IF(S832="","No date set",IF(S832&lt;TODAY(),"Overdue",IF(S832=TODAY(),"Due today","Upcoming")))))</f>
        <v/>
      </c>
    </row>
    <row r="833" customFormat="false" ht="15" hidden="false" customHeight="false" outlineLevel="0" collapsed="false">
      <c r="A833" s="16" t="s">
        <v>1060</v>
      </c>
      <c r="B833" s="18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8"/>
      <c r="R833" s="16"/>
      <c r="S833" s="18"/>
      <c r="T833" s="24"/>
      <c r="U833" s="23"/>
      <c r="V833" s="52"/>
      <c r="W833" s="50" t="str">
        <f aca="true">IF(Q833="","",TODAY()-Q833)</f>
        <v/>
      </c>
      <c r="X833" s="51" t="str">
        <f aca="true">IF(F833="","",IF(OR(O833="Won",O833="Lost"),"Closed",IF(S833="","No date set",IF(S833&lt;TODAY(),"Overdue",IF(S833=TODAY(),"Due today","Upcoming")))))</f>
        <v/>
      </c>
    </row>
    <row r="834" customFormat="false" ht="15" hidden="false" customHeight="false" outlineLevel="0" collapsed="false">
      <c r="A834" s="16" t="s">
        <v>1061</v>
      </c>
      <c r="B834" s="18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8"/>
      <c r="R834" s="16"/>
      <c r="S834" s="18"/>
      <c r="T834" s="24"/>
      <c r="U834" s="23"/>
      <c r="V834" s="52"/>
      <c r="W834" s="50" t="str">
        <f aca="true">IF(Q834="","",TODAY()-Q834)</f>
        <v/>
      </c>
      <c r="X834" s="51" t="str">
        <f aca="true">IF(F834="","",IF(OR(O834="Won",O834="Lost"),"Closed",IF(S834="","No date set",IF(S834&lt;TODAY(),"Overdue",IF(S834=TODAY(),"Due today","Upcoming")))))</f>
        <v/>
      </c>
    </row>
    <row r="835" customFormat="false" ht="15" hidden="false" customHeight="false" outlineLevel="0" collapsed="false">
      <c r="A835" s="16" t="s">
        <v>1062</v>
      </c>
      <c r="B835" s="18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8"/>
      <c r="R835" s="16"/>
      <c r="S835" s="18"/>
      <c r="T835" s="24"/>
      <c r="U835" s="23"/>
      <c r="V835" s="52"/>
      <c r="W835" s="50" t="str">
        <f aca="true">IF(Q835="","",TODAY()-Q835)</f>
        <v/>
      </c>
      <c r="X835" s="51" t="str">
        <f aca="true">IF(F835="","",IF(OR(O835="Won",O835="Lost"),"Closed",IF(S835="","No date set",IF(S835&lt;TODAY(),"Overdue",IF(S835=TODAY(),"Due today","Upcoming")))))</f>
        <v/>
      </c>
    </row>
    <row r="836" customFormat="false" ht="15" hidden="false" customHeight="false" outlineLevel="0" collapsed="false">
      <c r="A836" s="16" t="s">
        <v>1063</v>
      </c>
      <c r="B836" s="18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8"/>
      <c r="R836" s="16"/>
      <c r="S836" s="18"/>
      <c r="T836" s="24"/>
      <c r="U836" s="23"/>
      <c r="V836" s="52"/>
      <c r="W836" s="50" t="str">
        <f aca="true">IF(Q836="","",TODAY()-Q836)</f>
        <v/>
      </c>
      <c r="X836" s="51" t="str">
        <f aca="true">IF(F836="","",IF(OR(O836="Won",O836="Lost"),"Closed",IF(S836="","No date set",IF(S836&lt;TODAY(),"Overdue",IF(S836=TODAY(),"Due today","Upcoming")))))</f>
        <v/>
      </c>
    </row>
    <row r="837" customFormat="false" ht="15" hidden="false" customHeight="false" outlineLevel="0" collapsed="false">
      <c r="A837" s="16" t="s">
        <v>1064</v>
      </c>
      <c r="B837" s="18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8"/>
      <c r="R837" s="16"/>
      <c r="S837" s="18"/>
      <c r="T837" s="24"/>
      <c r="U837" s="23"/>
      <c r="V837" s="52"/>
      <c r="W837" s="50" t="str">
        <f aca="true">IF(Q837="","",TODAY()-Q837)</f>
        <v/>
      </c>
      <c r="X837" s="51" t="str">
        <f aca="true">IF(F837="","",IF(OR(O837="Won",O837="Lost"),"Closed",IF(S837="","No date set",IF(S837&lt;TODAY(),"Overdue",IF(S837=TODAY(),"Due today","Upcoming")))))</f>
        <v/>
      </c>
    </row>
    <row r="838" customFormat="false" ht="15" hidden="false" customHeight="false" outlineLevel="0" collapsed="false">
      <c r="A838" s="16" t="s">
        <v>1065</v>
      </c>
      <c r="B838" s="18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8"/>
      <c r="R838" s="16"/>
      <c r="S838" s="18"/>
      <c r="T838" s="24"/>
      <c r="U838" s="23"/>
      <c r="V838" s="52"/>
      <c r="W838" s="50" t="str">
        <f aca="true">IF(Q838="","",TODAY()-Q838)</f>
        <v/>
      </c>
      <c r="X838" s="51" t="str">
        <f aca="true">IF(F838="","",IF(OR(O838="Won",O838="Lost"),"Closed",IF(S838="","No date set",IF(S838&lt;TODAY(),"Overdue",IF(S838=TODAY(),"Due today","Upcoming")))))</f>
        <v/>
      </c>
    </row>
    <row r="839" customFormat="false" ht="15" hidden="false" customHeight="false" outlineLevel="0" collapsed="false">
      <c r="A839" s="16" t="s">
        <v>1066</v>
      </c>
      <c r="B839" s="18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8"/>
      <c r="R839" s="16"/>
      <c r="S839" s="18"/>
      <c r="T839" s="24"/>
      <c r="U839" s="23"/>
      <c r="V839" s="52"/>
      <c r="W839" s="50" t="str">
        <f aca="true">IF(Q839="","",TODAY()-Q839)</f>
        <v/>
      </c>
      <c r="X839" s="51" t="str">
        <f aca="true">IF(F839="","",IF(OR(O839="Won",O839="Lost"),"Closed",IF(S839="","No date set",IF(S839&lt;TODAY(),"Overdue",IF(S839=TODAY(),"Due today","Upcoming")))))</f>
        <v/>
      </c>
    </row>
    <row r="840" customFormat="false" ht="15" hidden="false" customHeight="false" outlineLevel="0" collapsed="false">
      <c r="A840" s="16" t="s">
        <v>1067</v>
      </c>
      <c r="B840" s="18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8"/>
      <c r="R840" s="16"/>
      <c r="S840" s="18"/>
      <c r="T840" s="24"/>
      <c r="U840" s="23"/>
      <c r="V840" s="52"/>
      <c r="W840" s="50" t="str">
        <f aca="true">IF(Q840="","",TODAY()-Q840)</f>
        <v/>
      </c>
      <c r="X840" s="51" t="str">
        <f aca="true">IF(F840="","",IF(OR(O840="Won",O840="Lost"),"Closed",IF(S840="","No date set",IF(S840&lt;TODAY(),"Overdue",IF(S840=TODAY(),"Due today","Upcoming")))))</f>
        <v/>
      </c>
    </row>
    <row r="841" customFormat="false" ht="15" hidden="false" customHeight="false" outlineLevel="0" collapsed="false">
      <c r="A841" s="16" t="s">
        <v>1068</v>
      </c>
      <c r="B841" s="18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8"/>
      <c r="R841" s="16"/>
      <c r="S841" s="18"/>
      <c r="T841" s="24"/>
      <c r="U841" s="23"/>
      <c r="V841" s="52"/>
      <c r="W841" s="50" t="str">
        <f aca="true">IF(Q841="","",TODAY()-Q841)</f>
        <v/>
      </c>
      <c r="X841" s="51" t="str">
        <f aca="true">IF(F841="","",IF(OR(O841="Won",O841="Lost"),"Closed",IF(S841="","No date set",IF(S841&lt;TODAY(),"Overdue",IF(S841=TODAY(),"Due today","Upcoming")))))</f>
        <v/>
      </c>
    </row>
    <row r="842" customFormat="false" ht="15" hidden="false" customHeight="false" outlineLevel="0" collapsed="false">
      <c r="A842" s="16" t="s">
        <v>1069</v>
      </c>
      <c r="B842" s="18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8"/>
      <c r="R842" s="16"/>
      <c r="S842" s="18"/>
      <c r="T842" s="24"/>
      <c r="U842" s="23"/>
      <c r="V842" s="52"/>
      <c r="W842" s="50" t="str">
        <f aca="true">IF(Q842="","",TODAY()-Q842)</f>
        <v/>
      </c>
      <c r="X842" s="51" t="str">
        <f aca="true">IF(F842="","",IF(OR(O842="Won",O842="Lost"),"Closed",IF(S842="","No date set",IF(S842&lt;TODAY(),"Overdue",IF(S842=TODAY(),"Due today","Upcoming")))))</f>
        <v/>
      </c>
    </row>
    <row r="843" customFormat="false" ht="15" hidden="false" customHeight="false" outlineLevel="0" collapsed="false">
      <c r="A843" s="16" t="s">
        <v>1070</v>
      </c>
      <c r="B843" s="18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8"/>
      <c r="R843" s="16"/>
      <c r="S843" s="18"/>
      <c r="T843" s="24"/>
      <c r="U843" s="23"/>
      <c r="V843" s="52"/>
      <c r="W843" s="50" t="str">
        <f aca="true">IF(Q843="","",TODAY()-Q843)</f>
        <v/>
      </c>
      <c r="X843" s="51" t="str">
        <f aca="true">IF(F843="","",IF(OR(O843="Won",O843="Lost"),"Closed",IF(S843="","No date set",IF(S843&lt;TODAY(),"Overdue",IF(S843=TODAY(),"Due today","Upcoming")))))</f>
        <v/>
      </c>
    </row>
    <row r="844" customFormat="false" ht="15" hidden="false" customHeight="false" outlineLevel="0" collapsed="false">
      <c r="A844" s="16" t="s">
        <v>1071</v>
      </c>
      <c r="B844" s="18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8"/>
      <c r="R844" s="16"/>
      <c r="S844" s="18"/>
      <c r="T844" s="24"/>
      <c r="U844" s="23"/>
      <c r="V844" s="52"/>
      <c r="W844" s="50" t="str">
        <f aca="true">IF(Q844="","",TODAY()-Q844)</f>
        <v/>
      </c>
      <c r="X844" s="51" t="str">
        <f aca="true">IF(F844="","",IF(OR(O844="Won",O844="Lost"),"Closed",IF(S844="","No date set",IF(S844&lt;TODAY(),"Overdue",IF(S844=TODAY(),"Due today","Upcoming")))))</f>
        <v/>
      </c>
    </row>
    <row r="845" customFormat="false" ht="15" hidden="false" customHeight="false" outlineLevel="0" collapsed="false">
      <c r="A845" s="16" t="s">
        <v>1072</v>
      </c>
      <c r="B845" s="18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8"/>
      <c r="R845" s="16"/>
      <c r="S845" s="18"/>
      <c r="T845" s="24"/>
      <c r="U845" s="23"/>
      <c r="V845" s="52"/>
      <c r="W845" s="50" t="str">
        <f aca="true">IF(Q845="","",TODAY()-Q845)</f>
        <v/>
      </c>
      <c r="X845" s="51" t="str">
        <f aca="true">IF(F845="","",IF(OR(O845="Won",O845="Lost"),"Closed",IF(S845="","No date set",IF(S845&lt;TODAY(),"Overdue",IF(S845=TODAY(),"Due today","Upcoming")))))</f>
        <v/>
      </c>
    </row>
    <row r="846" customFormat="false" ht="15" hidden="false" customHeight="false" outlineLevel="0" collapsed="false">
      <c r="A846" s="16" t="s">
        <v>1073</v>
      </c>
      <c r="B846" s="18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8"/>
      <c r="R846" s="16"/>
      <c r="S846" s="18"/>
      <c r="T846" s="24"/>
      <c r="U846" s="23"/>
      <c r="V846" s="52"/>
      <c r="W846" s="50" t="str">
        <f aca="true">IF(Q846="","",TODAY()-Q846)</f>
        <v/>
      </c>
      <c r="X846" s="51" t="str">
        <f aca="true">IF(F846="","",IF(OR(O846="Won",O846="Lost"),"Closed",IF(S846="","No date set",IF(S846&lt;TODAY(),"Overdue",IF(S846=TODAY(),"Due today","Upcoming")))))</f>
        <v/>
      </c>
    </row>
    <row r="847" customFormat="false" ht="15" hidden="false" customHeight="false" outlineLevel="0" collapsed="false">
      <c r="A847" s="16" t="s">
        <v>1074</v>
      </c>
      <c r="B847" s="18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8"/>
      <c r="R847" s="16"/>
      <c r="S847" s="18"/>
      <c r="T847" s="24"/>
      <c r="U847" s="23"/>
      <c r="V847" s="52"/>
      <c r="W847" s="50" t="str">
        <f aca="true">IF(Q847="","",TODAY()-Q847)</f>
        <v/>
      </c>
      <c r="X847" s="51" t="str">
        <f aca="true">IF(F847="","",IF(OR(O847="Won",O847="Lost"),"Closed",IF(S847="","No date set",IF(S847&lt;TODAY(),"Overdue",IF(S847=TODAY(),"Due today","Upcoming")))))</f>
        <v/>
      </c>
    </row>
    <row r="848" customFormat="false" ht="15" hidden="false" customHeight="false" outlineLevel="0" collapsed="false">
      <c r="A848" s="16" t="s">
        <v>1075</v>
      </c>
      <c r="B848" s="18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8"/>
      <c r="R848" s="16"/>
      <c r="S848" s="18"/>
      <c r="T848" s="24"/>
      <c r="U848" s="23"/>
      <c r="V848" s="52"/>
      <c r="W848" s="50" t="str">
        <f aca="true">IF(Q848="","",TODAY()-Q848)</f>
        <v/>
      </c>
      <c r="X848" s="51" t="str">
        <f aca="true">IF(F848="","",IF(OR(O848="Won",O848="Lost"),"Closed",IF(S848="","No date set",IF(S848&lt;TODAY(),"Overdue",IF(S848=TODAY(),"Due today","Upcoming")))))</f>
        <v/>
      </c>
    </row>
    <row r="849" customFormat="false" ht="15" hidden="false" customHeight="false" outlineLevel="0" collapsed="false">
      <c r="A849" s="16" t="s">
        <v>1076</v>
      </c>
      <c r="B849" s="18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8"/>
      <c r="R849" s="16"/>
      <c r="S849" s="18"/>
      <c r="T849" s="24"/>
      <c r="U849" s="23"/>
      <c r="V849" s="52"/>
      <c r="W849" s="50" t="str">
        <f aca="true">IF(Q849="","",TODAY()-Q849)</f>
        <v/>
      </c>
      <c r="X849" s="51" t="str">
        <f aca="true">IF(F849="","",IF(OR(O849="Won",O849="Lost"),"Closed",IF(S849="","No date set",IF(S849&lt;TODAY(),"Overdue",IF(S849=TODAY(),"Due today","Upcoming")))))</f>
        <v/>
      </c>
    </row>
    <row r="850" customFormat="false" ht="15" hidden="false" customHeight="false" outlineLevel="0" collapsed="false">
      <c r="A850" s="16" t="s">
        <v>1077</v>
      </c>
      <c r="B850" s="18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8"/>
      <c r="R850" s="16"/>
      <c r="S850" s="18"/>
      <c r="T850" s="24"/>
      <c r="U850" s="23"/>
      <c r="V850" s="52"/>
      <c r="W850" s="50" t="str">
        <f aca="true">IF(Q850="","",TODAY()-Q850)</f>
        <v/>
      </c>
      <c r="X850" s="51" t="str">
        <f aca="true">IF(F850="","",IF(OR(O850="Won",O850="Lost"),"Closed",IF(S850="","No date set",IF(S850&lt;TODAY(),"Overdue",IF(S850=TODAY(),"Due today","Upcoming")))))</f>
        <v/>
      </c>
    </row>
    <row r="851" customFormat="false" ht="15" hidden="false" customHeight="false" outlineLevel="0" collapsed="false">
      <c r="A851" s="16" t="s">
        <v>1078</v>
      </c>
      <c r="B851" s="18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8"/>
      <c r="R851" s="16"/>
      <c r="S851" s="18"/>
      <c r="T851" s="24"/>
      <c r="U851" s="23"/>
      <c r="V851" s="52"/>
      <c r="W851" s="50" t="str">
        <f aca="true">IF(Q851="","",TODAY()-Q851)</f>
        <v/>
      </c>
      <c r="X851" s="51" t="str">
        <f aca="true">IF(F851="","",IF(OR(O851="Won",O851="Lost"),"Closed",IF(S851="","No date set",IF(S851&lt;TODAY(),"Overdue",IF(S851=TODAY(),"Due today","Upcoming")))))</f>
        <v/>
      </c>
    </row>
    <row r="852" customFormat="false" ht="15" hidden="false" customHeight="false" outlineLevel="0" collapsed="false">
      <c r="A852" s="16" t="s">
        <v>1079</v>
      </c>
      <c r="B852" s="18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8"/>
      <c r="R852" s="16"/>
      <c r="S852" s="18"/>
      <c r="T852" s="24"/>
      <c r="U852" s="23"/>
      <c r="V852" s="52"/>
      <c r="W852" s="50" t="str">
        <f aca="true">IF(Q852="","",TODAY()-Q852)</f>
        <v/>
      </c>
      <c r="X852" s="51" t="str">
        <f aca="true">IF(F852="","",IF(OR(O852="Won",O852="Lost"),"Closed",IF(S852="","No date set",IF(S852&lt;TODAY(),"Overdue",IF(S852=TODAY(),"Due today","Upcoming")))))</f>
        <v/>
      </c>
    </row>
    <row r="853" customFormat="false" ht="15" hidden="false" customHeight="false" outlineLevel="0" collapsed="false">
      <c r="A853" s="16" t="s">
        <v>1080</v>
      </c>
      <c r="B853" s="18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8"/>
      <c r="R853" s="16"/>
      <c r="S853" s="18"/>
      <c r="T853" s="24"/>
      <c r="U853" s="23"/>
      <c r="V853" s="52"/>
      <c r="W853" s="50" t="str">
        <f aca="true">IF(Q853="","",TODAY()-Q853)</f>
        <v/>
      </c>
      <c r="X853" s="51" t="str">
        <f aca="true">IF(F853="","",IF(OR(O853="Won",O853="Lost"),"Closed",IF(S853="","No date set",IF(S853&lt;TODAY(),"Overdue",IF(S853=TODAY(),"Due today","Upcoming")))))</f>
        <v/>
      </c>
    </row>
    <row r="854" customFormat="false" ht="15" hidden="false" customHeight="false" outlineLevel="0" collapsed="false">
      <c r="A854" s="16" t="s">
        <v>1081</v>
      </c>
      <c r="B854" s="18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8"/>
      <c r="R854" s="16"/>
      <c r="S854" s="18"/>
      <c r="T854" s="24"/>
      <c r="U854" s="23"/>
      <c r="V854" s="52"/>
      <c r="W854" s="50" t="str">
        <f aca="true">IF(Q854="","",TODAY()-Q854)</f>
        <v/>
      </c>
      <c r="X854" s="51" t="str">
        <f aca="true">IF(F854="","",IF(OR(O854="Won",O854="Lost"),"Closed",IF(S854="","No date set",IF(S854&lt;TODAY(),"Overdue",IF(S854=TODAY(),"Due today","Upcoming")))))</f>
        <v/>
      </c>
    </row>
    <row r="855" customFormat="false" ht="15" hidden="false" customHeight="false" outlineLevel="0" collapsed="false">
      <c r="A855" s="16" t="s">
        <v>1082</v>
      </c>
      <c r="B855" s="18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8"/>
      <c r="R855" s="16"/>
      <c r="S855" s="18"/>
      <c r="T855" s="24"/>
      <c r="U855" s="23"/>
      <c r="V855" s="52"/>
      <c r="W855" s="50" t="str">
        <f aca="true">IF(Q855="","",TODAY()-Q855)</f>
        <v/>
      </c>
      <c r="X855" s="51" t="str">
        <f aca="true">IF(F855="","",IF(OR(O855="Won",O855="Lost"),"Closed",IF(S855="","No date set",IF(S855&lt;TODAY(),"Overdue",IF(S855=TODAY(),"Due today","Upcoming")))))</f>
        <v/>
      </c>
    </row>
    <row r="856" customFormat="false" ht="15" hidden="false" customHeight="false" outlineLevel="0" collapsed="false">
      <c r="A856" s="16" t="s">
        <v>1083</v>
      </c>
      <c r="B856" s="18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8"/>
      <c r="R856" s="16"/>
      <c r="S856" s="18"/>
      <c r="T856" s="24"/>
      <c r="U856" s="23"/>
      <c r="V856" s="52"/>
      <c r="W856" s="50" t="str">
        <f aca="true">IF(Q856="","",TODAY()-Q856)</f>
        <v/>
      </c>
      <c r="X856" s="51" t="str">
        <f aca="true">IF(F856="","",IF(OR(O856="Won",O856="Lost"),"Closed",IF(S856="","No date set",IF(S856&lt;TODAY(),"Overdue",IF(S856=TODAY(),"Due today","Upcoming")))))</f>
        <v/>
      </c>
    </row>
    <row r="857" customFormat="false" ht="15" hidden="false" customHeight="false" outlineLevel="0" collapsed="false">
      <c r="A857" s="16" t="s">
        <v>1084</v>
      </c>
      <c r="B857" s="18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8"/>
      <c r="R857" s="16"/>
      <c r="S857" s="18"/>
      <c r="T857" s="24"/>
      <c r="U857" s="23"/>
      <c r="V857" s="52"/>
      <c r="W857" s="50" t="str">
        <f aca="true">IF(Q857="","",TODAY()-Q857)</f>
        <v/>
      </c>
      <c r="X857" s="51" t="str">
        <f aca="true">IF(F857="","",IF(OR(O857="Won",O857="Lost"),"Closed",IF(S857="","No date set",IF(S857&lt;TODAY(),"Overdue",IF(S857=TODAY(),"Due today","Upcoming")))))</f>
        <v/>
      </c>
    </row>
    <row r="858" customFormat="false" ht="15" hidden="false" customHeight="false" outlineLevel="0" collapsed="false">
      <c r="A858" s="16" t="s">
        <v>1085</v>
      </c>
      <c r="B858" s="18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8"/>
      <c r="R858" s="16"/>
      <c r="S858" s="18"/>
      <c r="T858" s="24"/>
      <c r="U858" s="23"/>
      <c r="V858" s="52"/>
      <c r="W858" s="50" t="str">
        <f aca="true">IF(Q858="","",TODAY()-Q858)</f>
        <v/>
      </c>
      <c r="X858" s="51" t="str">
        <f aca="true">IF(F858="","",IF(OR(O858="Won",O858="Lost"),"Closed",IF(S858="","No date set",IF(S858&lt;TODAY(),"Overdue",IF(S858=TODAY(),"Due today","Upcoming")))))</f>
        <v/>
      </c>
    </row>
    <row r="859" customFormat="false" ht="15" hidden="false" customHeight="false" outlineLevel="0" collapsed="false">
      <c r="A859" s="16" t="s">
        <v>1086</v>
      </c>
      <c r="B859" s="18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8"/>
      <c r="R859" s="16"/>
      <c r="S859" s="18"/>
      <c r="T859" s="24"/>
      <c r="U859" s="23"/>
      <c r="V859" s="52"/>
      <c r="W859" s="50" t="str">
        <f aca="true">IF(Q859="","",TODAY()-Q859)</f>
        <v/>
      </c>
      <c r="X859" s="51" t="str">
        <f aca="true">IF(F859="","",IF(OR(O859="Won",O859="Lost"),"Closed",IF(S859="","No date set",IF(S859&lt;TODAY(),"Overdue",IF(S859=TODAY(),"Due today","Upcoming")))))</f>
        <v/>
      </c>
    </row>
    <row r="860" customFormat="false" ht="15" hidden="false" customHeight="false" outlineLevel="0" collapsed="false">
      <c r="A860" s="16" t="s">
        <v>1087</v>
      </c>
      <c r="B860" s="18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8"/>
      <c r="R860" s="16"/>
      <c r="S860" s="18"/>
      <c r="T860" s="24"/>
      <c r="U860" s="23"/>
      <c r="V860" s="52"/>
      <c r="W860" s="50" t="str">
        <f aca="true">IF(Q860="","",TODAY()-Q860)</f>
        <v/>
      </c>
      <c r="X860" s="51" t="str">
        <f aca="true">IF(F860="","",IF(OR(O860="Won",O860="Lost"),"Closed",IF(S860="","No date set",IF(S860&lt;TODAY(),"Overdue",IF(S860=TODAY(),"Due today","Upcoming")))))</f>
        <v/>
      </c>
    </row>
    <row r="861" customFormat="false" ht="15" hidden="false" customHeight="false" outlineLevel="0" collapsed="false">
      <c r="A861" s="16" t="s">
        <v>1088</v>
      </c>
      <c r="B861" s="18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8"/>
      <c r="R861" s="16"/>
      <c r="S861" s="18"/>
      <c r="T861" s="24"/>
      <c r="U861" s="23"/>
      <c r="V861" s="52"/>
      <c r="W861" s="50" t="str">
        <f aca="true">IF(Q861="","",TODAY()-Q861)</f>
        <v/>
      </c>
      <c r="X861" s="51" t="str">
        <f aca="true">IF(F861="","",IF(OR(O861="Won",O861="Lost"),"Closed",IF(S861="","No date set",IF(S861&lt;TODAY(),"Overdue",IF(S861=TODAY(),"Due today","Upcoming")))))</f>
        <v/>
      </c>
    </row>
    <row r="862" customFormat="false" ht="15" hidden="false" customHeight="false" outlineLevel="0" collapsed="false">
      <c r="A862" s="16" t="s">
        <v>1089</v>
      </c>
      <c r="B862" s="18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8"/>
      <c r="R862" s="16"/>
      <c r="S862" s="18"/>
      <c r="T862" s="24"/>
      <c r="U862" s="23"/>
      <c r="V862" s="52"/>
      <c r="W862" s="50" t="str">
        <f aca="true">IF(Q862="","",TODAY()-Q862)</f>
        <v/>
      </c>
      <c r="X862" s="51" t="str">
        <f aca="true">IF(F862="","",IF(OR(O862="Won",O862="Lost"),"Closed",IF(S862="","No date set",IF(S862&lt;TODAY(),"Overdue",IF(S862=TODAY(),"Due today","Upcoming")))))</f>
        <v/>
      </c>
    </row>
    <row r="863" customFormat="false" ht="15" hidden="false" customHeight="false" outlineLevel="0" collapsed="false">
      <c r="A863" s="16" t="s">
        <v>1090</v>
      </c>
      <c r="B863" s="18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8"/>
      <c r="R863" s="16"/>
      <c r="S863" s="18"/>
      <c r="T863" s="24"/>
      <c r="U863" s="23"/>
      <c r="V863" s="52"/>
      <c r="W863" s="50" t="str">
        <f aca="true">IF(Q863="","",TODAY()-Q863)</f>
        <v/>
      </c>
      <c r="X863" s="51" t="str">
        <f aca="true">IF(F863="","",IF(OR(O863="Won",O863="Lost"),"Closed",IF(S863="","No date set",IF(S863&lt;TODAY(),"Overdue",IF(S863=TODAY(),"Due today","Upcoming")))))</f>
        <v/>
      </c>
    </row>
    <row r="864" customFormat="false" ht="15" hidden="false" customHeight="false" outlineLevel="0" collapsed="false">
      <c r="A864" s="16" t="s">
        <v>1091</v>
      </c>
      <c r="B864" s="18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8"/>
      <c r="R864" s="16"/>
      <c r="S864" s="18"/>
      <c r="T864" s="24"/>
      <c r="U864" s="23"/>
      <c r="V864" s="52"/>
      <c r="W864" s="50" t="str">
        <f aca="true">IF(Q864="","",TODAY()-Q864)</f>
        <v/>
      </c>
      <c r="X864" s="51" t="str">
        <f aca="true">IF(F864="","",IF(OR(O864="Won",O864="Lost"),"Closed",IF(S864="","No date set",IF(S864&lt;TODAY(),"Overdue",IF(S864=TODAY(),"Due today","Upcoming")))))</f>
        <v/>
      </c>
    </row>
    <row r="865" customFormat="false" ht="15" hidden="false" customHeight="false" outlineLevel="0" collapsed="false">
      <c r="A865" s="16" t="s">
        <v>1092</v>
      </c>
      <c r="B865" s="18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8"/>
      <c r="R865" s="16"/>
      <c r="S865" s="18"/>
      <c r="T865" s="24"/>
      <c r="U865" s="23"/>
      <c r="V865" s="52"/>
      <c r="W865" s="50" t="str">
        <f aca="true">IF(Q865="","",TODAY()-Q865)</f>
        <v/>
      </c>
      <c r="X865" s="51" t="str">
        <f aca="true">IF(F865="","",IF(OR(O865="Won",O865="Lost"),"Closed",IF(S865="","No date set",IF(S865&lt;TODAY(),"Overdue",IF(S865=TODAY(),"Due today","Upcoming")))))</f>
        <v/>
      </c>
    </row>
    <row r="866" customFormat="false" ht="15" hidden="false" customHeight="false" outlineLevel="0" collapsed="false">
      <c r="A866" s="16" t="s">
        <v>1093</v>
      </c>
      <c r="B866" s="18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8"/>
      <c r="R866" s="16"/>
      <c r="S866" s="18"/>
      <c r="T866" s="24"/>
      <c r="U866" s="23"/>
      <c r="V866" s="52"/>
      <c r="W866" s="50" t="str">
        <f aca="true">IF(Q866="","",TODAY()-Q866)</f>
        <v/>
      </c>
      <c r="X866" s="51" t="str">
        <f aca="true">IF(F866="","",IF(OR(O866="Won",O866="Lost"),"Closed",IF(S866="","No date set",IF(S866&lt;TODAY(),"Overdue",IF(S866=TODAY(),"Due today","Upcoming")))))</f>
        <v/>
      </c>
    </row>
    <row r="867" customFormat="false" ht="15" hidden="false" customHeight="false" outlineLevel="0" collapsed="false">
      <c r="A867" s="16" t="s">
        <v>1094</v>
      </c>
      <c r="B867" s="18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8"/>
      <c r="R867" s="16"/>
      <c r="S867" s="18"/>
      <c r="T867" s="24"/>
      <c r="U867" s="23"/>
      <c r="V867" s="52"/>
      <c r="W867" s="50" t="str">
        <f aca="true">IF(Q867="","",TODAY()-Q867)</f>
        <v/>
      </c>
      <c r="X867" s="51" t="str">
        <f aca="true">IF(F867="","",IF(OR(O867="Won",O867="Lost"),"Closed",IF(S867="","No date set",IF(S867&lt;TODAY(),"Overdue",IF(S867=TODAY(),"Due today","Upcoming")))))</f>
        <v/>
      </c>
    </row>
    <row r="868" customFormat="false" ht="15" hidden="false" customHeight="false" outlineLevel="0" collapsed="false">
      <c r="A868" s="16" t="s">
        <v>1095</v>
      </c>
      <c r="B868" s="18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8"/>
      <c r="R868" s="16"/>
      <c r="S868" s="18"/>
      <c r="T868" s="24"/>
      <c r="U868" s="23"/>
      <c r="V868" s="52"/>
      <c r="W868" s="50" t="str">
        <f aca="true">IF(Q868="","",TODAY()-Q868)</f>
        <v/>
      </c>
      <c r="X868" s="51" t="str">
        <f aca="true">IF(F868="","",IF(OR(O868="Won",O868="Lost"),"Closed",IF(S868="","No date set",IF(S868&lt;TODAY(),"Overdue",IF(S868=TODAY(),"Due today","Upcoming")))))</f>
        <v/>
      </c>
    </row>
    <row r="869" customFormat="false" ht="15" hidden="false" customHeight="false" outlineLevel="0" collapsed="false">
      <c r="A869" s="16" t="s">
        <v>1096</v>
      </c>
      <c r="B869" s="18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8"/>
      <c r="R869" s="16"/>
      <c r="S869" s="18"/>
      <c r="T869" s="24"/>
      <c r="U869" s="23"/>
      <c r="V869" s="52"/>
      <c r="W869" s="50" t="str">
        <f aca="true">IF(Q869="","",TODAY()-Q869)</f>
        <v/>
      </c>
      <c r="X869" s="51" t="str">
        <f aca="true">IF(F869="","",IF(OR(O869="Won",O869="Lost"),"Closed",IF(S869="","No date set",IF(S869&lt;TODAY(),"Overdue",IF(S869=TODAY(),"Due today","Upcoming")))))</f>
        <v/>
      </c>
    </row>
    <row r="870" customFormat="false" ht="15" hidden="false" customHeight="false" outlineLevel="0" collapsed="false">
      <c r="A870" s="16" t="s">
        <v>1097</v>
      </c>
      <c r="B870" s="18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8"/>
      <c r="R870" s="16"/>
      <c r="S870" s="18"/>
      <c r="T870" s="24"/>
      <c r="U870" s="23"/>
      <c r="V870" s="52"/>
      <c r="W870" s="50" t="str">
        <f aca="true">IF(Q870="","",TODAY()-Q870)</f>
        <v/>
      </c>
      <c r="X870" s="51" t="str">
        <f aca="true">IF(F870="","",IF(OR(O870="Won",O870="Lost"),"Closed",IF(S870="","No date set",IF(S870&lt;TODAY(),"Overdue",IF(S870=TODAY(),"Due today","Upcoming")))))</f>
        <v/>
      </c>
    </row>
    <row r="871" customFormat="false" ht="15" hidden="false" customHeight="false" outlineLevel="0" collapsed="false">
      <c r="A871" s="16" t="s">
        <v>1098</v>
      </c>
      <c r="B871" s="18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8"/>
      <c r="R871" s="16"/>
      <c r="S871" s="18"/>
      <c r="T871" s="24"/>
      <c r="U871" s="23"/>
      <c r="V871" s="52"/>
      <c r="W871" s="50" t="str">
        <f aca="true">IF(Q871="","",TODAY()-Q871)</f>
        <v/>
      </c>
      <c r="X871" s="51" t="str">
        <f aca="true">IF(F871="","",IF(OR(O871="Won",O871="Lost"),"Closed",IF(S871="","No date set",IF(S871&lt;TODAY(),"Overdue",IF(S871=TODAY(),"Due today","Upcoming")))))</f>
        <v/>
      </c>
    </row>
    <row r="872" customFormat="false" ht="15" hidden="false" customHeight="false" outlineLevel="0" collapsed="false">
      <c r="A872" s="16" t="s">
        <v>1099</v>
      </c>
      <c r="B872" s="18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8"/>
      <c r="R872" s="16"/>
      <c r="S872" s="18"/>
      <c r="T872" s="24"/>
      <c r="U872" s="23"/>
      <c r="V872" s="52"/>
      <c r="W872" s="50" t="str">
        <f aca="true">IF(Q872="","",TODAY()-Q872)</f>
        <v/>
      </c>
      <c r="X872" s="51" t="str">
        <f aca="true">IF(F872="","",IF(OR(O872="Won",O872="Lost"),"Closed",IF(S872="","No date set",IF(S872&lt;TODAY(),"Overdue",IF(S872=TODAY(),"Due today","Upcoming")))))</f>
        <v/>
      </c>
    </row>
    <row r="873" customFormat="false" ht="15" hidden="false" customHeight="false" outlineLevel="0" collapsed="false">
      <c r="A873" s="16" t="s">
        <v>1100</v>
      </c>
      <c r="B873" s="18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8"/>
      <c r="R873" s="16"/>
      <c r="S873" s="18"/>
      <c r="T873" s="24"/>
      <c r="U873" s="23"/>
      <c r="V873" s="52"/>
      <c r="W873" s="50" t="str">
        <f aca="true">IF(Q873="","",TODAY()-Q873)</f>
        <v/>
      </c>
      <c r="X873" s="51" t="str">
        <f aca="true">IF(F873="","",IF(OR(O873="Won",O873="Lost"),"Closed",IF(S873="","No date set",IF(S873&lt;TODAY(),"Overdue",IF(S873=TODAY(),"Due today","Upcoming")))))</f>
        <v/>
      </c>
    </row>
    <row r="874" customFormat="false" ht="15" hidden="false" customHeight="false" outlineLevel="0" collapsed="false">
      <c r="A874" s="16" t="s">
        <v>1101</v>
      </c>
      <c r="B874" s="18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8"/>
      <c r="R874" s="16"/>
      <c r="S874" s="18"/>
      <c r="T874" s="24"/>
      <c r="U874" s="23"/>
      <c r="V874" s="52"/>
      <c r="W874" s="50" t="str">
        <f aca="true">IF(Q874="","",TODAY()-Q874)</f>
        <v/>
      </c>
      <c r="X874" s="51" t="str">
        <f aca="true">IF(F874="","",IF(OR(O874="Won",O874="Lost"),"Closed",IF(S874="","No date set",IF(S874&lt;TODAY(),"Overdue",IF(S874=TODAY(),"Due today","Upcoming")))))</f>
        <v/>
      </c>
    </row>
    <row r="875" customFormat="false" ht="15" hidden="false" customHeight="false" outlineLevel="0" collapsed="false">
      <c r="A875" s="16" t="s">
        <v>1102</v>
      </c>
      <c r="B875" s="18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8"/>
      <c r="R875" s="16"/>
      <c r="S875" s="18"/>
      <c r="T875" s="24"/>
      <c r="U875" s="23"/>
      <c r="V875" s="52"/>
      <c r="W875" s="50" t="str">
        <f aca="true">IF(Q875="","",TODAY()-Q875)</f>
        <v/>
      </c>
      <c r="X875" s="51" t="str">
        <f aca="true">IF(F875="","",IF(OR(O875="Won",O875="Lost"),"Closed",IF(S875="","No date set",IF(S875&lt;TODAY(),"Overdue",IF(S875=TODAY(),"Due today","Upcoming")))))</f>
        <v/>
      </c>
    </row>
    <row r="876" customFormat="false" ht="15" hidden="false" customHeight="false" outlineLevel="0" collapsed="false">
      <c r="A876" s="16" t="s">
        <v>1103</v>
      </c>
      <c r="B876" s="18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8"/>
      <c r="R876" s="16"/>
      <c r="S876" s="18"/>
      <c r="T876" s="24"/>
      <c r="U876" s="23"/>
      <c r="V876" s="52"/>
      <c r="W876" s="50" t="str">
        <f aca="true">IF(Q876="","",TODAY()-Q876)</f>
        <v/>
      </c>
      <c r="X876" s="51" t="str">
        <f aca="true">IF(F876="","",IF(OR(O876="Won",O876="Lost"),"Closed",IF(S876="","No date set",IF(S876&lt;TODAY(),"Overdue",IF(S876=TODAY(),"Due today","Upcoming")))))</f>
        <v/>
      </c>
    </row>
    <row r="877" customFormat="false" ht="15" hidden="false" customHeight="false" outlineLevel="0" collapsed="false">
      <c r="A877" s="16" t="s">
        <v>1104</v>
      </c>
      <c r="B877" s="18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8"/>
      <c r="R877" s="16"/>
      <c r="S877" s="18"/>
      <c r="T877" s="24"/>
      <c r="U877" s="23"/>
      <c r="V877" s="52"/>
      <c r="W877" s="50" t="str">
        <f aca="true">IF(Q877="","",TODAY()-Q877)</f>
        <v/>
      </c>
      <c r="X877" s="51" t="str">
        <f aca="true">IF(F877="","",IF(OR(O877="Won",O877="Lost"),"Closed",IF(S877="","No date set",IF(S877&lt;TODAY(),"Overdue",IF(S877=TODAY(),"Due today","Upcoming")))))</f>
        <v/>
      </c>
    </row>
    <row r="878" customFormat="false" ht="15" hidden="false" customHeight="false" outlineLevel="0" collapsed="false">
      <c r="A878" s="16" t="s">
        <v>1105</v>
      </c>
      <c r="B878" s="18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8"/>
      <c r="R878" s="16"/>
      <c r="S878" s="18"/>
      <c r="T878" s="24"/>
      <c r="U878" s="23"/>
      <c r="V878" s="52"/>
      <c r="W878" s="50" t="str">
        <f aca="true">IF(Q878="","",TODAY()-Q878)</f>
        <v/>
      </c>
      <c r="X878" s="51" t="str">
        <f aca="true">IF(F878="","",IF(OR(O878="Won",O878="Lost"),"Closed",IF(S878="","No date set",IF(S878&lt;TODAY(),"Overdue",IF(S878=TODAY(),"Due today","Upcoming")))))</f>
        <v/>
      </c>
    </row>
    <row r="879" customFormat="false" ht="15" hidden="false" customHeight="false" outlineLevel="0" collapsed="false">
      <c r="A879" s="16" t="s">
        <v>1106</v>
      </c>
      <c r="B879" s="18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8"/>
      <c r="R879" s="16"/>
      <c r="S879" s="18"/>
      <c r="T879" s="24"/>
      <c r="U879" s="23"/>
      <c r="V879" s="52"/>
      <c r="W879" s="50" t="str">
        <f aca="true">IF(Q879="","",TODAY()-Q879)</f>
        <v/>
      </c>
      <c r="X879" s="51" t="str">
        <f aca="true">IF(F879="","",IF(OR(O879="Won",O879="Lost"),"Closed",IF(S879="","No date set",IF(S879&lt;TODAY(),"Overdue",IF(S879=TODAY(),"Due today","Upcoming")))))</f>
        <v/>
      </c>
    </row>
    <row r="880" customFormat="false" ht="15" hidden="false" customHeight="false" outlineLevel="0" collapsed="false">
      <c r="A880" s="16" t="s">
        <v>1107</v>
      </c>
      <c r="B880" s="18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8"/>
      <c r="R880" s="16"/>
      <c r="S880" s="18"/>
      <c r="T880" s="24"/>
      <c r="U880" s="23"/>
      <c r="V880" s="52"/>
      <c r="W880" s="50" t="str">
        <f aca="true">IF(Q880="","",TODAY()-Q880)</f>
        <v/>
      </c>
      <c r="X880" s="51" t="str">
        <f aca="true">IF(F880="","",IF(OR(O880="Won",O880="Lost"),"Closed",IF(S880="","No date set",IF(S880&lt;TODAY(),"Overdue",IF(S880=TODAY(),"Due today","Upcoming")))))</f>
        <v/>
      </c>
    </row>
    <row r="881" customFormat="false" ht="15" hidden="false" customHeight="false" outlineLevel="0" collapsed="false">
      <c r="A881" s="16" t="s">
        <v>1108</v>
      </c>
      <c r="B881" s="18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8"/>
      <c r="R881" s="16"/>
      <c r="S881" s="18"/>
      <c r="T881" s="24"/>
      <c r="U881" s="23"/>
      <c r="V881" s="52"/>
      <c r="W881" s="50" t="str">
        <f aca="true">IF(Q881="","",TODAY()-Q881)</f>
        <v/>
      </c>
      <c r="X881" s="51" t="str">
        <f aca="true">IF(F881="","",IF(OR(O881="Won",O881="Lost"),"Closed",IF(S881="","No date set",IF(S881&lt;TODAY(),"Overdue",IF(S881=TODAY(),"Due today","Upcoming")))))</f>
        <v/>
      </c>
    </row>
    <row r="882" customFormat="false" ht="15" hidden="false" customHeight="false" outlineLevel="0" collapsed="false">
      <c r="A882" s="16" t="s">
        <v>1109</v>
      </c>
      <c r="B882" s="18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8"/>
      <c r="R882" s="16"/>
      <c r="S882" s="18"/>
      <c r="T882" s="24"/>
      <c r="U882" s="23"/>
      <c r="V882" s="52"/>
      <c r="W882" s="50" t="str">
        <f aca="true">IF(Q882="","",TODAY()-Q882)</f>
        <v/>
      </c>
      <c r="X882" s="51" t="str">
        <f aca="true">IF(F882="","",IF(OR(O882="Won",O882="Lost"),"Closed",IF(S882="","No date set",IF(S882&lt;TODAY(),"Overdue",IF(S882=TODAY(),"Due today","Upcoming")))))</f>
        <v/>
      </c>
    </row>
    <row r="883" customFormat="false" ht="15" hidden="false" customHeight="false" outlineLevel="0" collapsed="false">
      <c r="A883" s="16" t="s">
        <v>1110</v>
      </c>
      <c r="B883" s="18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8"/>
      <c r="R883" s="16"/>
      <c r="S883" s="18"/>
      <c r="T883" s="24"/>
      <c r="U883" s="23"/>
      <c r="V883" s="52"/>
      <c r="W883" s="50" t="str">
        <f aca="true">IF(Q883="","",TODAY()-Q883)</f>
        <v/>
      </c>
      <c r="X883" s="51" t="str">
        <f aca="true">IF(F883="","",IF(OR(O883="Won",O883="Lost"),"Closed",IF(S883="","No date set",IF(S883&lt;TODAY(),"Overdue",IF(S883=TODAY(),"Due today","Upcoming")))))</f>
        <v/>
      </c>
    </row>
    <row r="884" customFormat="false" ht="15" hidden="false" customHeight="false" outlineLevel="0" collapsed="false">
      <c r="A884" s="16" t="s">
        <v>1111</v>
      </c>
      <c r="B884" s="18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8"/>
      <c r="R884" s="16"/>
      <c r="S884" s="18"/>
      <c r="T884" s="24"/>
      <c r="U884" s="23"/>
      <c r="V884" s="52"/>
      <c r="W884" s="50" t="str">
        <f aca="true">IF(Q884="","",TODAY()-Q884)</f>
        <v/>
      </c>
      <c r="X884" s="51" t="str">
        <f aca="true">IF(F884="","",IF(OR(O884="Won",O884="Lost"),"Closed",IF(S884="","No date set",IF(S884&lt;TODAY(),"Overdue",IF(S884=TODAY(),"Due today","Upcoming")))))</f>
        <v/>
      </c>
    </row>
    <row r="885" customFormat="false" ht="15" hidden="false" customHeight="false" outlineLevel="0" collapsed="false">
      <c r="A885" s="16" t="s">
        <v>1112</v>
      </c>
      <c r="B885" s="18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8"/>
      <c r="R885" s="16"/>
      <c r="S885" s="18"/>
      <c r="T885" s="24"/>
      <c r="U885" s="23"/>
      <c r="V885" s="52"/>
      <c r="W885" s="50" t="str">
        <f aca="true">IF(Q885="","",TODAY()-Q885)</f>
        <v/>
      </c>
      <c r="X885" s="51" t="str">
        <f aca="true">IF(F885="","",IF(OR(O885="Won",O885="Lost"),"Closed",IF(S885="","No date set",IF(S885&lt;TODAY(),"Overdue",IF(S885=TODAY(),"Due today","Upcoming")))))</f>
        <v/>
      </c>
    </row>
    <row r="886" customFormat="false" ht="15" hidden="false" customHeight="false" outlineLevel="0" collapsed="false">
      <c r="A886" s="16" t="s">
        <v>1113</v>
      </c>
      <c r="B886" s="18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8"/>
      <c r="R886" s="16"/>
      <c r="S886" s="18"/>
      <c r="T886" s="24"/>
      <c r="U886" s="23"/>
      <c r="V886" s="52"/>
      <c r="W886" s="50" t="str">
        <f aca="true">IF(Q886="","",TODAY()-Q886)</f>
        <v/>
      </c>
      <c r="X886" s="51" t="str">
        <f aca="true">IF(F886="","",IF(OR(O886="Won",O886="Lost"),"Closed",IF(S886="","No date set",IF(S886&lt;TODAY(),"Overdue",IF(S886=TODAY(),"Due today","Upcoming")))))</f>
        <v/>
      </c>
    </row>
    <row r="887" customFormat="false" ht="15" hidden="false" customHeight="false" outlineLevel="0" collapsed="false">
      <c r="A887" s="16" t="s">
        <v>1114</v>
      </c>
      <c r="B887" s="18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8"/>
      <c r="R887" s="16"/>
      <c r="S887" s="18"/>
      <c r="T887" s="24"/>
      <c r="U887" s="23"/>
      <c r="V887" s="52"/>
      <c r="W887" s="50" t="str">
        <f aca="true">IF(Q887="","",TODAY()-Q887)</f>
        <v/>
      </c>
      <c r="X887" s="51" t="str">
        <f aca="true">IF(F887="","",IF(OR(O887="Won",O887="Lost"),"Closed",IF(S887="","No date set",IF(S887&lt;TODAY(),"Overdue",IF(S887=TODAY(),"Due today","Upcoming")))))</f>
        <v/>
      </c>
    </row>
    <row r="888" customFormat="false" ht="15" hidden="false" customHeight="false" outlineLevel="0" collapsed="false">
      <c r="A888" s="16" t="s">
        <v>1115</v>
      </c>
      <c r="B888" s="18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8"/>
      <c r="R888" s="16"/>
      <c r="S888" s="18"/>
      <c r="T888" s="24"/>
      <c r="U888" s="23"/>
      <c r="V888" s="52"/>
      <c r="W888" s="50" t="str">
        <f aca="true">IF(Q888="","",TODAY()-Q888)</f>
        <v/>
      </c>
      <c r="X888" s="51" t="str">
        <f aca="true">IF(F888="","",IF(OR(O888="Won",O888="Lost"),"Closed",IF(S888="","No date set",IF(S888&lt;TODAY(),"Overdue",IF(S888=TODAY(),"Due today","Upcoming")))))</f>
        <v/>
      </c>
    </row>
    <row r="889" customFormat="false" ht="15" hidden="false" customHeight="false" outlineLevel="0" collapsed="false">
      <c r="A889" s="16" t="s">
        <v>1116</v>
      </c>
      <c r="B889" s="18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8"/>
      <c r="R889" s="16"/>
      <c r="S889" s="18"/>
      <c r="T889" s="24"/>
      <c r="U889" s="23"/>
      <c r="V889" s="52"/>
      <c r="W889" s="50" t="str">
        <f aca="true">IF(Q889="","",TODAY()-Q889)</f>
        <v/>
      </c>
      <c r="X889" s="51" t="str">
        <f aca="true">IF(F889="","",IF(OR(O889="Won",O889="Lost"),"Closed",IF(S889="","No date set",IF(S889&lt;TODAY(),"Overdue",IF(S889=TODAY(),"Due today","Upcoming")))))</f>
        <v/>
      </c>
    </row>
    <row r="890" customFormat="false" ht="15" hidden="false" customHeight="false" outlineLevel="0" collapsed="false">
      <c r="A890" s="16" t="s">
        <v>1117</v>
      </c>
      <c r="B890" s="18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8"/>
      <c r="R890" s="16"/>
      <c r="S890" s="18"/>
      <c r="T890" s="24"/>
      <c r="U890" s="23"/>
      <c r="V890" s="52"/>
      <c r="W890" s="50" t="str">
        <f aca="true">IF(Q890="","",TODAY()-Q890)</f>
        <v/>
      </c>
      <c r="X890" s="51" t="str">
        <f aca="true">IF(F890="","",IF(OR(O890="Won",O890="Lost"),"Closed",IF(S890="","No date set",IF(S890&lt;TODAY(),"Overdue",IF(S890=TODAY(),"Due today","Upcoming")))))</f>
        <v/>
      </c>
    </row>
    <row r="891" customFormat="false" ht="15" hidden="false" customHeight="false" outlineLevel="0" collapsed="false">
      <c r="A891" s="16" t="s">
        <v>1118</v>
      </c>
      <c r="B891" s="18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8"/>
      <c r="R891" s="16"/>
      <c r="S891" s="18"/>
      <c r="T891" s="24"/>
      <c r="U891" s="23"/>
      <c r="V891" s="52"/>
      <c r="W891" s="50" t="str">
        <f aca="true">IF(Q891="","",TODAY()-Q891)</f>
        <v/>
      </c>
      <c r="X891" s="51" t="str">
        <f aca="true">IF(F891="","",IF(OR(O891="Won",O891="Lost"),"Closed",IF(S891="","No date set",IF(S891&lt;TODAY(),"Overdue",IF(S891=TODAY(),"Due today","Upcoming")))))</f>
        <v/>
      </c>
    </row>
    <row r="892" customFormat="false" ht="15" hidden="false" customHeight="false" outlineLevel="0" collapsed="false">
      <c r="A892" s="16" t="s">
        <v>1119</v>
      </c>
      <c r="B892" s="18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8"/>
      <c r="R892" s="16"/>
      <c r="S892" s="18"/>
      <c r="T892" s="24"/>
      <c r="U892" s="23"/>
      <c r="V892" s="52"/>
      <c r="W892" s="50" t="str">
        <f aca="true">IF(Q892="","",TODAY()-Q892)</f>
        <v/>
      </c>
      <c r="X892" s="51" t="str">
        <f aca="true">IF(F892="","",IF(OR(O892="Won",O892="Lost"),"Closed",IF(S892="","No date set",IF(S892&lt;TODAY(),"Overdue",IF(S892=TODAY(),"Due today","Upcoming")))))</f>
        <v/>
      </c>
    </row>
    <row r="893" customFormat="false" ht="15" hidden="false" customHeight="false" outlineLevel="0" collapsed="false">
      <c r="A893" s="16" t="s">
        <v>1120</v>
      </c>
      <c r="B893" s="18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8"/>
      <c r="R893" s="16"/>
      <c r="S893" s="18"/>
      <c r="T893" s="24"/>
      <c r="U893" s="23"/>
      <c r="V893" s="52"/>
      <c r="W893" s="50" t="str">
        <f aca="true">IF(Q893="","",TODAY()-Q893)</f>
        <v/>
      </c>
      <c r="X893" s="51" t="str">
        <f aca="true">IF(F893="","",IF(OR(O893="Won",O893="Lost"),"Closed",IF(S893="","No date set",IF(S893&lt;TODAY(),"Overdue",IF(S893=TODAY(),"Due today","Upcoming")))))</f>
        <v/>
      </c>
    </row>
    <row r="894" customFormat="false" ht="15" hidden="false" customHeight="false" outlineLevel="0" collapsed="false">
      <c r="A894" s="16" t="s">
        <v>1121</v>
      </c>
      <c r="B894" s="18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8"/>
      <c r="R894" s="16"/>
      <c r="S894" s="18"/>
      <c r="T894" s="24"/>
      <c r="U894" s="23"/>
      <c r="V894" s="52"/>
      <c r="W894" s="50" t="str">
        <f aca="true">IF(Q894="","",TODAY()-Q894)</f>
        <v/>
      </c>
      <c r="X894" s="51" t="str">
        <f aca="true">IF(F894="","",IF(OR(O894="Won",O894="Lost"),"Closed",IF(S894="","No date set",IF(S894&lt;TODAY(),"Overdue",IF(S894=TODAY(),"Due today","Upcoming")))))</f>
        <v/>
      </c>
    </row>
    <row r="895" customFormat="false" ht="15" hidden="false" customHeight="false" outlineLevel="0" collapsed="false">
      <c r="A895" s="16" t="s">
        <v>1122</v>
      </c>
      <c r="B895" s="18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8"/>
      <c r="R895" s="16"/>
      <c r="S895" s="18"/>
      <c r="T895" s="24"/>
      <c r="U895" s="23"/>
      <c r="V895" s="52"/>
      <c r="W895" s="50" t="str">
        <f aca="true">IF(Q895="","",TODAY()-Q895)</f>
        <v/>
      </c>
      <c r="X895" s="51" t="str">
        <f aca="true">IF(F895="","",IF(OR(O895="Won",O895="Lost"),"Closed",IF(S895="","No date set",IF(S895&lt;TODAY(),"Overdue",IF(S895=TODAY(),"Due today","Upcoming")))))</f>
        <v/>
      </c>
    </row>
    <row r="896" customFormat="false" ht="15" hidden="false" customHeight="false" outlineLevel="0" collapsed="false">
      <c r="A896" s="16" t="s">
        <v>1123</v>
      </c>
      <c r="B896" s="18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8"/>
      <c r="R896" s="16"/>
      <c r="S896" s="18"/>
      <c r="T896" s="24"/>
      <c r="U896" s="23"/>
      <c r="V896" s="52"/>
      <c r="W896" s="50" t="str">
        <f aca="true">IF(Q896="","",TODAY()-Q896)</f>
        <v/>
      </c>
      <c r="X896" s="51" t="str">
        <f aca="true">IF(F896="","",IF(OR(O896="Won",O896="Lost"),"Closed",IF(S896="","No date set",IF(S896&lt;TODAY(),"Overdue",IF(S896=TODAY(),"Due today","Upcoming")))))</f>
        <v/>
      </c>
    </row>
    <row r="897" customFormat="false" ht="15" hidden="false" customHeight="false" outlineLevel="0" collapsed="false">
      <c r="A897" s="16" t="s">
        <v>1124</v>
      </c>
      <c r="B897" s="18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8"/>
      <c r="R897" s="16"/>
      <c r="S897" s="18"/>
      <c r="T897" s="24"/>
      <c r="U897" s="23"/>
      <c r="V897" s="52"/>
      <c r="W897" s="50" t="str">
        <f aca="true">IF(Q897="","",TODAY()-Q897)</f>
        <v/>
      </c>
      <c r="X897" s="51" t="str">
        <f aca="true">IF(F897="","",IF(OR(O897="Won",O897="Lost"),"Closed",IF(S897="","No date set",IF(S897&lt;TODAY(),"Overdue",IF(S897=TODAY(),"Due today","Upcoming")))))</f>
        <v/>
      </c>
    </row>
    <row r="898" customFormat="false" ht="15" hidden="false" customHeight="false" outlineLevel="0" collapsed="false">
      <c r="A898" s="16" t="s">
        <v>1125</v>
      </c>
      <c r="B898" s="18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8"/>
      <c r="R898" s="16"/>
      <c r="S898" s="18"/>
      <c r="T898" s="24"/>
      <c r="U898" s="23"/>
      <c r="V898" s="52"/>
      <c r="W898" s="50" t="str">
        <f aca="true">IF(Q898="","",TODAY()-Q898)</f>
        <v/>
      </c>
      <c r="X898" s="51" t="str">
        <f aca="true">IF(F898="","",IF(OR(O898="Won",O898="Lost"),"Closed",IF(S898="","No date set",IF(S898&lt;TODAY(),"Overdue",IF(S898=TODAY(),"Due today","Upcoming")))))</f>
        <v/>
      </c>
    </row>
    <row r="899" customFormat="false" ht="15" hidden="false" customHeight="false" outlineLevel="0" collapsed="false">
      <c r="A899" s="16" t="s">
        <v>1126</v>
      </c>
      <c r="B899" s="18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8"/>
      <c r="R899" s="16"/>
      <c r="S899" s="18"/>
      <c r="T899" s="24"/>
      <c r="U899" s="23"/>
      <c r="V899" s="52"/>
      <c r="W899" s="50" t="str">
        <f aca="true">IF(Q899="","",TODAY()-Q899)</f>
        <v/>
      </c>
      <c r="X899" s="51" t="str">
        <f aca="true">IF(F899="","",IF(OR(O899="Won",O899="Lost"),"Closed",IF(S899="","No date set",IF(S899&lt;TODAY(),"Overdue",IF(S899=TODAY(),"Due today","Upcoming")))))</f>
        <v/>
      </c>
    </row>
    <row r="900" customFormat="false" ht="15" hidden="false" customHeight="false" outlineLevel="0" collapsed="false">
      <c r="A900" s="16" t="s">
        <v>1127</v>
      </c>
      <c r="B900" s="18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8"/>
      <c r="R900" s="16"/>
      <c r="S900" s="18"/>
      <c r="T900" s="24"/>
      <c r="U900" s="23"/>
      <c r="V900" s="52"/>
      <c r="W900" s="50" t="str">
        <f aca="true">IF(Q900="","",TODAY()-Q900)</f>
        <v/>
      </c>
      <c r="X900" s="51" t="str">
        <f aca="true">IF(F900="","",IF(OR(O900="Won",O900="Lost"),"Closed",IF(S900="","No date set",IF(S900&lt;TODAY(),"Overdue",IF(S900=TODAY(),"Due today","Upcoming")))))</f>
        <v/>
      </c>
    </row>
    <row r="901" customFormat="false" ht="15" hidden="false" customHeight="false" outlineLevel="0" collapsed="false">
      <c r="A901" s="16" t="s">
        <v>1128</v>
      </c>
      <c r="B901" s="18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8"/>
      <c r="R901" s="16"/>
      <c r="S901" s="18"/>
      <c r="T901" s="24"/>
      <c r="U901" s="23"/>
      <c r="V901" s="52"/>
      <c r="W901" s="50" t="str">
        <f aca="true">IF(Q901="","",TODAY()-Q901)</f>
        <v/>
      </c>
      <c r="X901" s="51" t="str">
        <f aca="true">IF(F901="","",IF(OR(O901="Won",O901="Lost"),"Closed",IF(S901="","No date set",IF(S901&lt;TODAY(),"Overdue",IF(S901=TODAY(),"Due today","Upcoming")))))</f>
        <v/>
      </c>
    </row>
    <row r="902" customFormat="false" ht="15" hidden="false" customHeight="false" outlineLevel="0" collapsed="false">
      <c r="A902" s="16" t="s">
        <v>1129</v>
      </c>
      <c r="B902" s="18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8"/>
      <c r="R902" s="16"/>
      <c r="S902" s="18"/>
      <c r="T902" s="24"/>
      <c r="U902" s="23"/>
      <c r="V902" s="52"/>
      <c r="W902" s="50" t="str">
        <f aca="true">IF(Q902="","",TODAY()-Q902)</f>
        <v/>
      </c>
      <c r="X902" s="51" t="str">
        <f aca="true">IF(F902="","",IF(OR(O902="Won",O902="Lost"),"Closed",IF(S902="","No date set",IF(S902&lt;TODAY(),"Overdue",IF(S902=TODAY(),"Due today","Upcoming")))))</f>
        <v/>
      </c>
    </row>
    <row r="903" customFormat="false" ht="15" hidden="false" customHeight="false" outlineLevel="0" collapsed="false">
      <c r="A903" s="16" t="s">
        <v>1130</v>
      </c>
      <c r="B903" s="18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8"/>
      <c r="R903" s="16"/>
      <c r="S903" s="18"/>
      <c r="T903" s="24"/>
      <c r="U903" s="23"/>
      <c r="V903" s="52"/>
      <c r="W903" s="50" t="str">
        <f aca="true">IF(Q903="","",TODAY()-Q903)</f>
        <v/>
      </c>
      <c r="X903" s="51" t="str">
        <f aca="true">IF(F903="","",IF(OR(O903="Won",O903="Lost"),"Closed",IF(S903="","No date set",IF(S903&lt;TODAY(),"Overdue",IF(S903=TODAY(),"Due today","Upcoming")))))</f>
        <v/>
      </c>
    </row>
    <row r="904" customFormat="false" ht="15" hidden="false" customHeight="false" outlineLevel="0" collapsed="false">
      <c r="A904" s="16" t="s">
        <v>1131</v>
      </c>
      <c r="B904" s="18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8"/>
      <c r="R904" s="16"/>
      <c r="S904" s="18"/>
      <c r="T904" s="24"/>
      <c r="U904" s="23"/>
      <c r="V904" s="52"/>
      <c r="W904" s="50" t="str">
        <f aca="true">IF(Q904="","",TODAY()-Q904)</f>
        <v/>
      </c>
      <c r="X904" s="51" t="str">
        <f aca="true">IF(F904="","",IF(OR(O904="Won",O904="Lost"),"Closed",IF(S904="","No date set",IF(S904&lt;TODAY(),"Overdue",IF(S904=TODAY(),"Due today","Upcoming")))))</f>
        <v/>
      </c>
    </row>
    <row r="905" customFormat="false" ht="15" hidden="false" customHeight="false" outlineLevel="0" collapsed="false">
      <c r="A905" s="16" t="s">
        <v>1132</v>
      </c>
      <c r="B905" s="18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8"/>
      <c r="R905" s="16"/>
      <c r="S905" s="18"/>
      <c r="T905" s="24"/>
      <c r="U905" s="23"/>
      <c r="V905" s="52"/>
      <c r="W905" s="50" t="str">
        <f aca="true">IF(Q905="","",TODAY()-Q905)</f>
        <v/>
      </c>
      <c r="X905" s="51" t="str">
        <f aca="true">IF(F905="","",IF(OR(O905="Won",O905="Lost"),"Closed",IF(S905="","No date set",IF(S905&lt;TODAY(),"Overdue",IF(S905=TODAY(),"Due today","Upcoming")))))</f>
        <v/>
      </c>
    </row>
    <row r="906" customFormat="false" ht="15" hidden="false" customHeight="false" outlineLevel="0" collapsed="false">
      <c r="A906" s="16" t="s">
        <v>1133</v>
      </c>
      <c r="B906" s="18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8"/>
      <c r="R906" s="16"/>
      <c r="S906" s="18"/>
      <c r="T906" s="24"/>
      <c r="U906" s="23"/>
      <c r="V906" s="52"/>
      <c r="W906" s="50" t="str">
        <f aca="true">IF(Q906="","",TODAY()-Q906)</f>
        <v/>
      </c>
      <c r="X906" s="51" t="str">
        <f aca="true">IF(F906="","",IF(OR(O906="Won",O906="Lost"),"Closed",IF(S906="","No date set",IF(S906&lt;TODAY(),"Overdue",IF(S906=TODAY(),"Due today","Upcoming")))))</f>
        <v/>
      </c>
    </row>
    <row r="907" customFormat="false" ht="15" hidden="false" customHeight="false" outlineLevel="0" collapsed="false">
      <c r="A907" s="16" t="s">
        <v>1134</v>
      </c>
      <c r="B907" s="18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8"/>
      <c r="R907" s="16"/>
      <c r="S907" s="18"/>
      <c r="T907" s="24"/>
      <c r="U907" s="23"/>
      <c r="V907" s="52"/>
      <c r="W907" s="50" t="str">
        <f aca="true">IF(Q907="","",TODAY()-Q907)</f>
        <v/>
      </c>
      <c r="X907" s="51" t="str">
        <f aca="true">IF(F907="","",IF(OR(O907="Won",O907="Lost"),"Closed",IF(S907="","No date set",IF(S907&lt;TODAY(),"Overdue",IF(S907=TODAY(),"Due today","Upcoming")))))</f>
        <v/>
      </c>
    </row>
    <row r="908" customFormat="false" ht="15" hidden="false" customHeight="false" outlineLevel="0" collapsed="false">
      <c r="A908" s="16" t="s">
        <v>1135</v>
      </c>
      <c r="B908" s="18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8"/>
      <c r="R908" s="16"/>
      <c r="S908" s="18"/>
      <c r="T908" s="24"/>
      <c r="U908" s="23"/>
      <c r="V908" s="52"/>
      <c r="W908" s="50" t="str">
        <f aca="true">IF(Q908="","",TODAY()-Q908)</f>
        <v/>
      </c>
      <c r="X908" s="51" t="str">
        <f aca="true">IF(F908="","",IF(OR(O908="Won",O908="Lost"),"Closed",IF(S908="","No date set",IF(S908&lt;TODAY(),"Overdue",IF(S908=TODAY(),"Due today","Upcoming")))))</f>
        <v/>
      </c>
    </row>
    <row r="909" customFormat="false" ht="15" hidden="false" customHeight="false" outlineLevel="0" collapsed="false">
      <c r="A909" s="16" t="s">
        <v>1136</v>
      </c>
      <c r="B909" s="18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8"/>
      <c r="R909" s="16"/>
      <c r="S909" s="18"/>
      <c r="T909" s="24"/>
      <c r="U909" s="23"/>
      <c r="V909" s="52"/>
      <c r="W909" s="50" t="str">
        <f aca="true">IF(Q909="","",TODAY()-Q909)</f>
        <v/>
      </c>
      <c r="X909" s="51" t="str">
        <f aca="true">IF(F909="","",IF(OR(O909="Won",O909="Lost"),"Closed",IF(S909="","No date set",IF(S909&lt;TODAY(),"Overdue",IF(S909=TODAY(),"Due today","Upcoming")))))</f>
        <v/>
      </c>
    </row>
    <row r="910" customFormat="false" ht="15" hidden="false" customHeight="false" outlineLevel="0" collapsed="false">
      <c r="A910" s="16" t="s">
        <v>1137</v>
      </c>
      <c r="B910" s="18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8"/>
      <c r="R910" s="16"/>
      <c r="S910" s="18"/>
      <c r="T910" s="24"/>
      <c r="U910" s="23"/>
      <c r="V910" s="52"/>
      <c r="W910" s="50" t="str">
        <f aca="true">IF(Q910="","",TODAY()-Q910)</f>
        <v/>
      </c>
      <c r="X910" s="51" t="str">
        <f aca="true">IF(F910="","",IF(OR(O910="Won",O910="Lost"),"Closed",IF(S910="","No date set",IF(S910&lt;TODAY(),"Overdue",IF(S910=TODAY(),"Due today","Upcoming")))))</f>
        <v/>
      </c>
    </row>
    <row r="911" customFormat="false" ht="15" hidden="false" customHeight="false" outlineLevel="0" collapsed="false">
      <c r="A911" s="16" t="s">
        <v>1138</v>
      </c>
      <c r="B911" s="18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8"/>
      <c r="R911" s="16"/>
      <c r="S911" s="18"/>
      <c r="T911" s="24"/>
      <c r="U911" s="23"/>
      <c r="V911" s="52"/>
      <c r="W911" s="50" t="str">
        <f aca="true">IF(Q911="","",TODAY()-Q911)</f>
        <v/>
      </c>
      <c r="X911" s="51" t="str">
        <f aca="true">IF(F911="","",IF(OR(O911="Won",O911="Lost"),"Closed",IF(S911="","No date set",IF(S911&lt;TODAY(),"Overdue",IF(S911=TODAY(),"Due today","Upcoming")))))</f>
        <v/>
      </c>
    </row>
    <row r="912" customFormat="false" ht="15" hidden="false" customHeight="false" outlineLevel="0" collapsed="false">
      <c r="A912" s="16" t="s">
        <v>1139</v>
      </c>
      <c r="B912" s="18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8"/>
      <c r="R912" s="16"/>
      <c r="S912" s="18"/>
      <c r="T912" s="24"/>
      <c r="U912" s="23"/>
      <c r="V912" s="52"/>
      <c r="W912" s="50" t="str">
        <f aca="true">IF(Q912="","",TODAY()-Q912)</f>
        <v/>
      </c>
      <c r="X912" s="51" t="str">
        <f aca="true">IF(F912="","",IF(OR(O912="Won",O912="Lost"),"Closed",IF(S912="","No date set",IF(S912&lt;TODAY(),"Overdue",IF(S912=TODAY(),"Due today","Upcoming")))))</f>
        <v/>
      </c>
    </row>
    <row r="913" customFormat="false" ht="15" hidden="false" customHeight="false" outlineLevel="0" collapsed="false">
      <c r="A913" s="16" t="s">
        <v>1140</v>
      </c>
      <c r="B913" s="18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8"/>
      <c r="R913" s="16"/>
      <c r="S913" s="18"/>
      <c r="T913" s="24"/>
      <c r="U913" s="23"/>
      <c r="V913" s="52"/>
      <c r="W913" s="50" t="str">
        <f aca="true">IF(Q913="","",TODAY()-Q913)</f>
        <v/>
      </c>
      <c r="X913" s="51" t="str">
        <f aca="true">IF(F913="","",IF(OR(O913="Won",O913="Lost"),"Closed",IF(S913="","No date set",IF(S913&lt;TODAY(),"Overdue",IF(S913=TODAY(),"Due today","Upcoming")))))</f>
        <v/>
      </c>
    </row>
    <row r="914" customFormat="false" ht="15" hidden="false" customHeight="false" outlineLevel="0" collapsed="false">
      <c r="A914" s="16" t="s">
        <v>1141</v>
      </c>
      <c r="B914" s="18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8"/>
      <c r="R914" s="16"/>
      <c r="S914" s="18"/>
      <c r="T914" s="24"/>
      <c r="U914" s="23"/>
      <c r="V914" s="52"/>
      <c r="W914" s="50" t="str">
        <f aca="true">IF(Q914="","",TODAY()-Q914)</f>
        <v/>
      </c>
      <c r="X914" s="51" t="str">
        <f aca="true">IF(F914="","",IF(OR(O914="Won",O914="Lost"),"Closed",IF(S914="","No date set",IF(S914&lt;TODAY(),"Overdue",IF(S914=TODAY(),"Due today","Upcoming")))))</f>
        <v/>
      </c>
    </row>
    <row r="915" customFormat="false" ht="15" hidden="false" customHeight="false" outlineLevel="0" collapsed="false">
      <c r="A915" s="16" t="s">
        <v>1142</v>
      </c>
      <c r="B915" s="18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8"/>
      <c r="R915" s="16"/>
      <c r="S915" s="18"/>
      <c r="T915" s="24"/>
      <c r="U915" s="23"/>
      <c r="V915" s="52"/>
      <c r="W915" s="50" t="str">
        <f aca="true">IF(Q915="","",TODAY()-Q915)</f>
        <v/>
      </c>
      <c r="X915" s="51" t="str">
        <f aca="true">IF(F915="","",IF(OR(O915="Won",O915="Lost"),"Closed",IF(S915="","No date set",IF(S915&lt;TODAY(),"Overdue",IF(S915=TODAY(),"Due today","Upcoming")))))</f>
        <v/>
      </c>
    </row>
    <row r="916" customFormat="false" ht="15" hidden="false" customHeight="false" outlineLevel="0" collapsed="false">
      <c r="A916" s="16" t="s">
        <v>1143</v>
      </c>
      <c r="B916" s="18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8"/>
      <c r="R916" s="16"/>
      <c r="S916" s="18"/>
      <c r="T916" s="24"/>
      <c r="U916" s="23"/>
      <c r="V916" s="52"/>
      <c r="W916" s="50" t="str">
        <f aca="true">IF(Q916="","",TODAY()-Q916)</f>
        <v/>
      </c>
      <c r="X916" s="51" t="str">
        <f aca="true">IF(F916="","",IF(OR(O916="Won",O916="Lost"),"Closed",IF(S916="","No date set",IF(S916&lt;TODAY(),"Overdue",IF(S916=TODAY(),"Due today","Upcoming")))))</f>
        <v/>
      </c>
    </row>
    <row r="917" customFormat="false" ht="15" hidden="false" customHeight="false" outlineLevel="0" collapsed="false">
      <c r="A917" s="16" t="s">
        <v>1144</v>
      </c>
      <c r="B917" s="18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8"/>
      <c r="R917" s="16"/>
      <c r="S917" s="18"/>
      <c r="T917" s="24"/>
      <c r="U917" s="23"/>
      <c r="V917" s="52"/>
      <c r="W917" s="50" t="str">
        <f aca="true">IF(Q917="","",TODAY()-Q917)</f>
        <v/>
      </c>
      <c r="X917" s="51" t="str">
        <f aca="true">IF(F917="","",IF(OR(O917="Won",O917="Lost"),"Closed",IF(S917="","No date set",IF(S917&lt;TODAY(),"Overdue",IF(S917=TODAY(),"Due today","Upcoming")))))</f>
        <v/>
      </c>
    </row>
    <row r="918" customFormat="false" ht="15" hidden="false" customHeight="false" outlineLevel="0" collapsed="false">
      <c r="A918" s="16" t="s">
        <v>1145</v>
      </c>
      <c r="B918" s="18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8"/>
      <c r="R918" s="16"/>
      <c r="S918" s="18"/>
      <c r="T918" s="24"/>
      <c r="U918" s="23"/>
      <c r="V918" s="52"/>
      <c r="W918" s="50" t="str">
        <f aca="true">IF(Q918="","",TODAY()-Q918)</f>
        <v/>
      </c>
      <c r="X918" s="51" t="str">
        <f aca="true">IF(F918="","",IF(OR(O918="Won",O918="Lost"),"Closed",IF(S918="","No date set",IF(S918&lt;TODAY(),"Overdue",IF(S918=TODAY(),"Due today","Upcoming")))))</f>
        <v/>
      </c>
    </row>
    <row r="919" customFormat="false" ht="15" hidden="false" customHeight="false" outlineLevel="0" collapsed="false">
      <c r="A919" s="16" t="s">
        <v>1146</v>
      </c>
      <c r="B919" s="18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8"/>
      <c r="R919" s="16"/>
      <c r="S919" s="18"/>
      <c r="T919" s="24"/>
      <c r="U919" s="23"/>
      <c r="V919" s="52"/>
      <c r="W919" s="50" t="str">
        <f aca="true">IF(Q919="","",TODAY()-Q919)</f>
        <v/>
      </c>
      <c r="X919" s="51" t="str">
        <f aca="true">IF(F919="","",IF(OR(O919="Won",O919="Lost"),"Closed",IF(S919="","No date set",IF(S919&lt;TODAY(),"Overdue",IF(S919=TODAY(),"Due today","Upcoming")))))</f>
        <v/>
      </c>
    </row>
    <row r="920" customFormat="false" ht="15" hidden="false" customHeight="false" outlineLevel="0" collapsed="false">
      <c r="A920" s="16" t="s">
        <v>1147</v>
      </c>
      <c r="B920" s="18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8"/>
      <c r="R920" s="16"/>
      <c r="S920" s="18"/>
      <c r="T920" s="24"/>
      <c r="U920" s="23"/>
      <c r="V920" s="52"/>
      <c r="W920" s="50" t="str">
        <f aca="true">IF(Q920="","",TODAY()-Q920)</f>
        <v/>
      </c>
      <c r="X920" s="51" t="str">
        <f aca="true">IF(F920="","",IF(OR(O920="Won",O920="Lost"),"Closed",IF(S920="","No date set",IF(S920&lt;TODAY(),"Overdue",IF(S920=TODAY(),"Due today","Upcoming")))))</f>
        <v/>
      </c>
    </row>
    <row r="921" customFormat="false" ht="15" hidden="false" customHeight="false" outlineLevel="0" collapsed="false">
      <c r="A921" s="16" t="s">
        <v>1148</v>
      </c>
      <c r="B921" s="18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8"/>
      <c r="R921" s="16"/>
      <c r="S921" s="18"/>
      <c r="T921" s="24"/>
      <c r="U921" s="23"/>
      <c r="V921" s="52"/>
      <c r="W921" s="50" t="str">
        <f aca="true">IF(Q921="","",TODAY()-Q921)</f>
        <v/>
      </c>
      <c r="X921" s="51" t="str">
        <f aca="true">IF(F921="","",IF(OR(O921="Won",O921="Lost"),"Closed",IF(S921="","No date set",IF(S921&lt;TODAY(),"Overdue",IF(S921=TODAY(),"Due today","Upcoming")))))</f>
        <v/>
      </c>
    </row>
    <row r="922" customFormat="false" ht="15" hidden="false" customHeight="false" outlineLevel="0" collapsed="false">
      <c r="A922" s="16" t="s">
        <v>1149</v>
      </c>
      <c r="B922" s="18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8"/>
      <c r="R922" s="16"/>
      <c r="S922" s="18"/>
      <c r="T922" s="24"/>
      <c r="U922" s="23"/>
      <c r="V922" s="52"/>
      <c r="W922" s="50" t="str">
        <f aca="true">IF(Q922="","",TODAY()-Q922)</f>
        <v/>
      </c>
      <c r="X922" s="51" t="str">
        <f aca="true">IF(F922="","",IF(OR(O922="Won",O922="Lost"),"Closed",IF(S922="","No date set",IF(S922&lt;TODAY(),"Overdue",IF(S922=TODAY(),"Due today","Upcoming")))))</f>
        <v/>
      </c>
    </row>
    <row r="923" customFormat="false" ht="15" hidden="false" customHeight="false" outlineLevel="0" collapsed="false">
      <c r="A923" s="16" t="s">
        <v>1150</v>
      </c>
      <c r="B923" s="18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8"/>
      <c r="R923" s="16"/>
      <c r="S923" s="18"/>
      <c r="T923" s="24"/>
      <c r="U923" s="23"/>
      <c r="V923" s="52"/>
      <c r="W923" s="50" t="str">
        <f aca="true">IF(Q923="","",TODAY()-Q923)</f>
        <v/>
      </c>
      <c r="X923" s="51" t="str">
        <f aca="true">IF(F923="","",IF(OR(O923="Won",O923="Lost"),"Closed",IF(S923="","No date set",IF(S923&lt;TODAY(),"Overdue",IF(S923=TODAY(),"Due today","Upcoming")))))</f>
        <v/>
      </c>
    </row>
    <row r="924" customFormat="false" ht="15" hidden="false" customHeight="false" outlineLevel="0" collapsed="false">
      <c r="A924" s="16" t="s">
        <v>1151</v>
      </c>
      <c r="B924" s="18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8"/>
      <c r="R924" s="16"/>
      <c r="S924" s="18"/>
      <c r="T924" s="24"/>
      <c r="U924" s="23"/>
      <c r="V924" s="52"/>
      <c r="W924" s="50" t="str">
        <f aca="true">IF(Q924="","",TODAY()-Q924)</f>
        <v/>
      </c>
      <c r="X924" s="51" t="str">
        <f aca="true">IF(F924="","",IF(OR(O924="Won",O924="Lost"),"Closed",IF(S924="","No date set",IF(S924&lt;TODAY(),"Overdue",IF(S924=TODAY(),"Due today","Upcoming")))))</f>
        <v/>
      </c>
    </row>
    <row r="925" customFormat="false" ht="15" hidden="false" customHeight="false" outlineLevel="0" collapsed="false">
      <c r="A925" s="16" t="s">
        <v>1152</v>
      </c>
      <c r="B925" s="18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8"/>
      <c r="R925" s="16"/>
      <c r="S925" s="18"/>
      <c r="T925" s="24"/>
      <c r="U925" s="23"/>
      <c r="V925" s="52"/>
      <c r="W925" s="50" t="str">
        <f aca="true">IF(Q925="","",TODAY()-Q925)</f>
        <v/>
      </c>
      <c r="X925" s="51" t="str">
        <f aca="true">IF(F925="","",IF(OR(O925="Won",O925="Lost"),"Closed",IF(S925="","No date set",IF(S925&lt;TODAY(),"Overdue",IF(S925=TODAY(),"Due today","Upcoming")))))</f>
        <v/>
      </c>
    </row>
    <row r="926" customFormat="false" ht="15" hidden="false" customHeight="false" outlineLevel="0" collapsed="false">
      <c r="A926" s="16" t="s">
        <v>1153</v>
      </c>
      <c r="B926" s="18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8"/>
      <c r="R926" s="16"/>
      <c r="S926" s="18"/>
      <c r="T926" s="24"/>
      <c r="U926" s="23"/>
      <c r="V926" s="52"/>
      <c r="W926" s="50" t="str">
        <f aca="true">IF(Q926="","",TODAY()-Q926)</f>
        <v/>
      </c>
      <c r="X926" s="51" t="str">
        <f aca="true">IF(F926="","",IF(OR(O926="Won",O926="Lost"),"Closed",IF(S926="","No date set",IF(S926&lt;TODAY(),"Overdue",IF(S926=TODAY(),"Due today","Upcoming")))))</f>
        <v/>
      </c>
    </row>
    <row r="927" customFormat="false" ht="15" hidden="false" customHeight="false" outlineLevel="0" collapsed="false">
      <c r="A927" s="16" t="s">
        <v>1154</v>
      </c>
      <c r="B927" s="18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8"/>
      <c r="R927" s="16"/>
      <c r="S927" s="18"/>
      <c r="T927" s="24"/>
      <c r="U927" s="23"/>
      <c r="V927" s="52"/>
      <c r="W927" s="50" t="str">
        <f aca="true">IF(Q927="","",TODAY()-Q927)</f>
        <v/>
      </c>
      <c r="X927" s="51" t="str">
        <f aca="true">IF(F927="","",IF(OR(O927="Won",O927="Lost"),"Closed",IF(S927="","No date set",IF(S927&lt;TODAY(),"Overdue",IF(S927=TODAY(),"Due today","Upcoming")))))</f>
        <v/>
      </c>
    </row>
    <row r="928" customFormat="false" ht="15" hidden="false" customHeight="false" outlineLevel="0" collapsed="false">
      <c r="A928" s="16" t="s">
        <v>1155</v>
      </c>
      <c r="B928" s="18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8"/>
      <c r="R928" s="16"/>
      <c r="S928" s="18"/>
      <c r="T928" s="24"/>
      <c r="U928" s="23"/>
      <c r="V928" s="52"/>
      <c r="W928" s="50" t="str">
        <f aca="true">IF(Q928="","",TODAY()-Q928)</f>
        <v/>
      </c>
      <c r="X928" s="51" t="str">
        <f aca="true">IF(F928="","",IF(OR(O928="Won",O928="Lost"),"Closed",IF(S928="","No date set",IF(S928&lt;TODAY(),"Overdue",IF(S928=TODAY(),"Due today","Upcoming")))))</f>
        <v/>
      </c>
    </row>
    <row r="929" customFormat="false" ht="15" hidden="false" customHeight="false" outlineLevel="0" collapsed="false">
      <c r="A929" s="16" t="s">
        <v>1156</v>
      </c>
      <c r="B929" s="18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8"/>
      <c r="R929" s="16"/>
      <c r="S929" s="18"/>
      <c r="T929" s="24"/>
      <c r="U929" s="23"/>
      <c r="V929" s="52"/>
      <c r="W929" s="50" t="str">
        <f aca="true">IF(Q929="","",TODAY()-Q929)</f>
        <v/>
      </c>
      <c r="X929" s="51" t="str">
        <f aca="true">IF(F929="","",IF(OR(O929="Won",O929="Lost"),"Closed",IF(S929="","No date set",IF(S929&lt;TODAY(),"Overdue",IF(S929=TODAY(),"Due today","Upcoming")))))</f>
        <v/>
      </c>
    </row>
    <row r="930" customFormat="false" ht="15" hidden="false" customHeight="false" outlineLevel="0" collapsed="false">
      <c r="A930" s="16" t="s">
        <v>1157</v>
      </c>
      <c r="B930" s="18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8"/>
      <c r="R930" s="16"/>
      <c r="S930" s="18"/>
      <c r="T930" s="24"/>
      <c r="U930" s="23"/>
      <c r="V930" s="52"/>
      <c r="W930" s="50" t="str">
        <f aca="true">IF(Q930="","",TODAY()-Q930)</f>
        <v/>
      </c>
      <c r="X930" s="51" t="str">
        <f aca="true">IF(F930="","",IF(OR(O930="Won",O930="Lost"),"Closed",IF(S930="","No date set",IF(S930&lt;TODAY(),"Overdue",IF(S930=TODAY(),"Due today","Upcoming")))))</f>
        <v/>
      </c>
    </row>
    <row r="931" customFormat="false" ht="15" hidden="false" customHeight="false" outlineLevel="0" collapsed="false">
      <c r="A931" s="16" t="s">
        <v>1158</v>
      </c>
      <c r="B931" s="18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8"/>
      <c r="R931" s="16"/>
      <c r="S931" s="18"/>
      <c r="T931" s="24"/>
      <c r="U931" s="23"/>
      <c r="V931" s="52"/>
      <c r="W931" s="50" t="str">
        <f aca="true">IF(Q931="","",TODAY()-Q931)</f>
        <v/>
      </c>
      <c r="X931" s="51" t="str">
        <f aca="true">IF(F931="","",IF(OR(O931="Won",O931="Lost"),"Closed",IF(S931="","No date set",IF(S931&lt;TODAY(),"Overdue",IF(S931=TODAY(),"Due today","Upcoming")))))</f>
        <v/>
      </c>
    </row>
    <row r="932" customFormat="false" ht="15" hidden="false" customHeight="false" outlineLevel="0" collapsed="false">
      <c r="A932" s="16" t="s">
        <v>1159</v>
      </c>
      <c r="B932" s="18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8"/>
      <c r="R932" s="16"/>
      <c r="S932" s="18"/>
      <c r="T932" s="24"/>
      <c r="U932" s="23"/>
      <c r="V932" s="52"/>
      <c r="W932" s="50" t="str">
        <f aca="true">IF(Q932="","",TODAY()-Q932)</f>
        <v/>
      </c>
      <c r="X932" s="51" t="str">
        <f aca="true">IF(F932="","",IF(OR(O932="Won",O932="Lost"),"Closed",IF(S932="","No date set",IF(S932&lt;TODAY(),"Overdue",IF(S932=TODAY(),"Due today","Upcoming")))))</f>
        <v/>
      </c>
    </row>
    <row r="933" customFormat="false" ht="15" hidden="false" customHeight="false" outlineLevel="0" collapsed="false">
      <c r="A933" s="16" t="s">
        <v>1160</v>
      </c>
      <c r="B933" s="18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8"/>
      <c r="R933" s="16"/>
      <c r="S933" s="18"/>
      <c r="T933" s="24"/>
      <c r="U933" s="23"/>
      <c r="V933" s="52"/>
      <c r="W933" s="50" t="str">
        <f aca="true">IF(Q933="","",TODAY()-Q933)</f>
        <v/>
      </c>
      <c r="X933" s="51" t="str">
        <f aca="true">IF(F933="","",IF(OR(O933="Won",O933="Lost"),"Closed",IF(S933="","No date set",IF(S933&lt;TODAY(),"Overdue",IF(S933=TODAY(),"Due today","Upcoming")))))</f>
        <v/>
      </c>
    </row>
    <row r="934" customFormat="false" ht="15" hidden="false" customHeight="false" outlineLevel="0" collapsed="false">
      <c r="A934" s="16" t="s">
        <v>1161</v>
      </c>
      <c r="B934" s="18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8"/>
      <c r="R934" s="16"/>
      <c r="S934" s="18"/>
      <c r="T934" s="24"/>
      <c r="U934" s="23"/>
      <c r="V934" s="52"/>
      <c r="W934" s="50" t="str">
        <f aca="true">IF(Q934="","",TODAY()-Q934)</f>
        <v/>
      </c>
      <c r="X934" s="51" t="str">
        <f aca="true">IF(F934="","",IF(OR(O934="Won",O934="Lost"),"Closed",IF(S934="","No date set",IF(S934&lt;TODAY(),"Overdue",IF(S934=TODAY(),"Due today","Upcoming")))))</f>
        <v/>
      </c>
    </row>
    <row r="935" customFormat="false" ht="15" hidden="false" customHeight="false" outlineLevel="0" collapsed="false">
      <c r="A935" s="16" t="s">
        <v>1162</v>
      </c>
      <c r="B935" s="18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8"/>
      <c r="R935" s="16"/>
      <c r="S935" s="18"/>
      <c r="T935" s="24"/>
      <c r="U935" s="23"/>
      <c r="V935" s="52"/>
      <c r="W935" s="50" t="str">
        <f aca="true">IF(Q935="","",TODAY()-Q935)</f>
        <v/>
      </c>
      <c r="X935" s="51" t="str">
        <f aca="true">IF(F935="","",IF(OR(O935="Won",O935="Lost"),"Closed",IF(S935="","No date set",IF(S935&lt;TODAY(),"Overdue",IF(S935=TODAY(),"Due today","Upcoming")))))</f>
        <v/>
      </c>
    </row>
    <row r="936" customFormat="false" ht="15" hidden="false" customHeight="false" outlineLevel="0" collapsed="false">
      <c r="A936" s="16" t="s">
        <v>1163</v>
      </c>
      <c r="B936" s="18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8"/>
      <c r="R936" s="16"/>
      <c r="S936" s="18"/>
      <c r="T936" s="24"/>
      <c r="U936" s="23"/>
      <c r="V936" s="52"/>
      <c r="W936" s="50" t="str">
        <f aca="true">IF(Q936="","",TODAY()-Q936)</f>
        <v/>
      </c>
      <c r="X936" s="51" t="str">
        <f aca="true">IF(F936="","",IF(OR(O936="Won",O936="Lost"),"Closed",IF(S936="","No date set",IF(S936&lt;TODAY(),"Overdue",IF(S936=TODAY(),"Due today","Upcoming")))))</f>
        <v/>
      </c>
    </row>
    <row r="937" customFormat="false" ht="15" hidden="false" customHeight="false" outlineLevel="0" collapsed="false">
      <c r="A937" s="16" t="s">
        <v>1164</v>
      </c>
      <c r="B937" s="18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8"/>
      <c r="R937" s="16"/>
      <c r="S937" s="18"/>
      <c r="T937" s="24"/>
      <c r="U937" s="23"/>
      <c r="V937" s="52"/>
      <c r="W937" s="50" t="str">
        <f aca="true">IF(Q937="","",TODAY()-Q937)</f>
        <v/>
      </c>
      <c r="X937" s="51" t="str">
        <f aca="true">IF(F937="","",IF(OR(O937="Won",O937="Lost"),"Closed",IF(S937="","No date set",IF(S937&lt;TODAY(),"Overdue",IF(S937=TODAY(),"Due today","Upcoming")))))</f>
        <v/>
      </c>
    </row>
    <row r="938" customFormat="false" ht="15" hidden="false" customHeight="false" outlineLevel="0" collapsed="false">
      <c r="A938" s="16" t="s">
        <v>1165</v>
      </c>
      <c r="B938" s="18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8"/>
      <c r="R938" s="16"/>
      <c r="S938" s="18"/>
      <c r="T938" s="24"/>
      <c r="U938" s="23"/>
      <c r="V938" s="52"/>
      <c r="W938" s="50" t="str">
        <f aca="true">IF(Q938="","",TODAY()-Q938)</f>
        <v/>
      </c>
      <c r="X938" s="51" t="str">
        <f aca="true">IF(F938="","",IF(OR(O938="Won",O938="Lost"),"Closed",IF(S938="","No date set",IF(S938&lt;TODAY(),"Overdue",IF(S938=TODAY(),"Due today","Upcoming")))))</f>
        <v/>
      </c>
    </row>
    <row r="939" customFormat="false" ht="15" hidden="false" customHeight="false" outlineLevel="0" collapsed="false">
      <c r="A939" s="16" t="s">
        <v>1166</v>
      </c>
      <c r="B939" s="18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8"/>
      <c r="R939" s="16"/>
      <c r="S939" s="18"/>
      <c r="T939" s="24"/>
      <c r="U939" s="23"/>
      <c r="V939" s="52"/>
      <c r="W939" s="50" t="str">
        <f aca="true">IF(Q939="","",TODAY()-Q939)</f>
        <v/>
      </c>
      <c r="X939" s="51" t="str">
        <f aca="true">IF(F939="","",IF(OR(O939="Won",O939="Lost"),"Closed",IF(S939="","No date set",IF(S939&lt;TODAY(),"Overdue",IF(S939=TODAY(),"Due today","Upcoming")))))</f>
        <v/>
      </c>
    </row>
    <row r="940" customFormat="false" ht="15" hidden="false" customHeight="false" outlineLevel="0" collapsed="false">
      <c r="A940" s="16" t="s">
        <v>1167</v>
      </c>
      <c r="B940" s="18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8"/>
      <c r="R940" s="16"/>
      <c r="S940" s="18"/>
      <c r="T940" s="24"/>
      <c r="U940" s="23"/>
      <c r="V940" s="52"/>
      <c r="W940" s="50" t="str">
        <f aca="true">IF(Q940="","",TODAY()-Q940)</f>
        <v/>
      </c>
      <c r="X940" s="51" t="str">
        <f aca="true">IF(F940="","",IF(OR(O940="Won",O940="Lost"),"Closed",IF(S940="","No date set",IF(S940&lt;TODAY(),"Overdue",IF(S940=TODAY(),"Due today","Upcoming")))))</f>
        <v/>
      </c>
    </row>
    <row r="941" customFormat="false" ht="15" hidden="false" customHeight="false" outlineLevel="0" collapsed="false">
      <c r="A941" s="16" t="s">
        <v>1168</v>
      </c>
      <c r="B941" s="18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8"/>
      <c r="R941" s="16"/>
      <c r="S941" s="18"/>
      <c r="T941" s="24"/>
      <c r="U941" s="23"/>
      <c r="V941" s="52"/>
      <c r="W941" s="50" t="str">
        <f aca="true">IF(Q941="","",TODAY()-Q941)</f>
        <v/>
      </c>
      <c r="X941" s="51" t="str">
        <f aca="true">IF(F941="","",IF(OR(O941="Won",O941="Lost"),"Closed",IF(S941="","No date set",IF(S941&lt;TODAY(),"Overdue",IF(S941=TODAY(),"Due today","Upcoming")))))</f>
        <v/>
      </c>
    </row>
    <row r="942" customFormat="false" ht="15" hidden="false" customHeight="false" outlineLevel="0" collapsed="false">
      <c r="A942" s="16" t="s">
        <v>1169</v>
      </c>
      <c r="B942" s="18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8"/>
      <c r="R942" s="16"/>
      <c r="S942" s="18"/>
      <c r="T942" s="24"/>
      <c r="U942" s="23"/>
      <c r="V942" s="52"/>
      <c r="W942" s="50" t="str">
        <f aca="true">IF(Q942="","",TODAY()-Q942)</f>
        <v/>
      </c>
      <c r="X942" s="51" t="str">
        <f aca="true">IF(F942="","",IF(OR(O942="Won",O942="Lost"),"Closed",IF(S942="","No date set",IF(S942&lt;TODAY(),"Overdue",IF(S942=TODAY(),"Due today","Upcoming")))))</f>
        <v/>
      </c>
    </row>
    <row r="943" customFormat="false" ht="15" hidden="false" customHeight="false" outlineLevel="0" collapsed="false">
      <c r="A943" s="16" t="s">
        <v>1170</v>
      </c>
      <c r="B943" s="18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8"/>
      <c r="R943" s="16"/>
      <c r="S943" s="18"/>
      <c r="T943" s="24"/>
      <c r="U943" s="23"/>
      <c r="V943" s="52"/>
      <c r="W943" s="50" t="str">
        <f aca="true">IF(Q943="","",TODAY()-Q943)</f>
        <v/>
      </c>
      <c r="X943" s="51" t="str">
        <f aca="true">IF(F943="","",IF(OR(O943="Won",O943="Lost"),"Closed",IF(S943="","No date set",IF(S943&lt;TODAY(),"Overdue",IF(S943=TODAY(),"Due today","Upcoming")))))</f>
        <v/>
      </c>
    </row>
    <row r="944" customFormat="false" ht="15" hidden="false" customHeight="false" outlineLevel="0" collapsed="false">
      <c r="A944" s="16" t="s">
        <v>1171</v>
      </c>
      <c r="B944" s="18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8"/>
      <c r="R944" s="16"/>
      <c r="S944" s="18"/>
      <c r="T944" s="24"/>
      <c r="U944" s="23"/>
      <c r="V944" s="52"/>
      <c r="W944" s="50" t="str">
        <f aca="true">IF(Q944="","",TODAY()-Q944)</f>
        <v/>
      </c>
      <c r="X944" s="51" t="str">
        <f aca="true">IF(F944="","",IF(OR(O944="Won",O944="Lost"),"Closed",IF(S944="","No date set",IF(S944&lt;TODAY(),"Overdue",IF(S944=TODAY(),"Due today","Upcoming")))))</f>
        <v/>
      </c>
    </row>
    <row r="945" customFormat="false" ht="15" hidden="false" customHeight="false" outlineLevel="0" collapsed="false">
      <c r="A945" s="16" t="s">
        <v>1172</v>
      </c>
      <c r="B945" s="18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8"/>
      <c r="R945" s="16"/>
      <c r="S945" s="18"/>
      <c r="T945" s="24"/>
      <c r="U945" s="23"/>
      <c r="V945" s="52"/>
      <c r="W945" s="50" t="str">
        <f aca="true">IF(Q945="","",TODAY()-Q945)</f>
        <v/>
      </c>
      <c r="X945" s="51" t="str">
        <f aca="true">IF(F945="","",IF(OR(O945="Won",O945="Lost"),"Closed",IF(S945="","No date set",IF(S945&lt;TODAY(),"Overdue",IF(S945=TODAY(),"Due today","Upcoming")))))</f>
        <v/>
      </c>
    </row>
    <row r="946" customFormat="false" ht="15" hidden="false" customHeight="false" outlineLevel="0" collapsed="false">
      <c r="A946" s="16" t="s">
        <v>1173</v>
      </c>
      <c r="B946" s="18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8"/>
      <c r="R946" s="16"/>
      <c r="S946" s="18"/>
      <c r="T946" s="24"/>
      <c r="U946" s="23"/>
      <c r="V946" s="52"/>
      <c r="W946" s="50" t="str">
        <f aca="true">IF(Q946="","",TODAY()-Q946)</f>
        <v/>
      </c>
      <c r="X946" s="51" t="str">
        <f aca="true">IF(F946="","",IF(OR(O946="Won",O946="Lost"),"Closed",IF(S946="","No date set",IF(S946&lt;TODAY(),"Overdue",IF(S946=TODAY(),"Due today","Upcoming")))))</f>
        <v/>
      </c>
    </row>
    <row r="947" customFormat="false" ht="15" hidden="false" customHeight="false" outlineLevel="0" collapsed="false">
      <c r="A947" s="16" t="s">
        <v>1174</v>
      </c>
      <c r="B947" s="18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8"/>
      <c r="R947" s="16"/>
      <c r="S947" s="18"/>
      <c r="T947" s="24"/>
      <c r="U947" s="23"/>
      <c r="V947" s="52"/>
      <c r="W947" s="50" t="str">
        <f aca="true">IF(Q947="","",TODAY()-Q947)</f>
        <v/>
      </c>
      <c r="X947" s="51" t="str">
        <f aca="true">IF(F947="","",IF(OR(O947="Won",O947="Lost"),"Closed",IF(S947="","No date set",IF(S947&lt;TODAY(),"Overdue",IF(S947=TODAY(),"Due today","Upcoming")))))</f>
        <v/>
      </c>
    </row>
    <row r="948" customFormat="false" ht="15" hidden="false" customHeight="false" outlineLevel="0" collapsed="false">
      <c r="A948" s="16" t="s">
        <v>1175</v>
      </c>
      <c r="B948" s="18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8"/>
      <c r="R948" s="16"/>
      <c r="S948" s="18"/>
      <c r="T948" s="24"/>
      <c r="U948" s="23"/>
      <c r="V948" s="52"/>
      <c r="W948" s="50" t="str">
        <f aca="true">IF(Q948="","",TODAY()-Q948)</f>
        <v/>
      </c>
      <c r="X948" s="51" t="str">
        <f aca="true">IF(F948="","",IF(OR(O948="Won",O948="Lost"),"Closed",IF(S948="","No date set",IF(S948&lt;TODAY(),"Overdue",IF(S948=TODAY(),"Due today","Upcoming")))))</f>
        <v/>
      </c>
    </row>
    <row r="949" customFormat="false" ht="15" hidden="false" customHeight="false" outlineLevel="0" collapsed="false">
      <c r="A949" s="16" t="s">
        <v>1176</v>
      </c>
      <c r="B949" s="18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8"/>
      <c r="R949" s="16"/>
      <c r="S949" s="18"/>
      <c r="T949" s="24"/>
      <c r="U949" s="23"/>
      <c r="V949" s="52"/>
      <c r="W949" s="50" t="str">
        <f aca="true">IF(Q949="","",TODAY()-Q949)</f>
        <v/>
      </c>
      <c r="X949" s="51" t="str">
        <f aca="true">IF(F949="","",IF(OR(O949="Won",O949="Lost"),"Closed",IF(S949="","No date set",IF(S949&lt;TODAY(),"Overdue",IF(S949=TODAY(),"Due today","Upcoming")))))</f>
        <v/>
      </c>
    </row>
    <row r="950" customFormat="false" ht="15" hidden="false" customHeight="false" outlineLevel="0" collapsed="false">
      <c r="A950" s="16" t="s">
        <v>1177</v>
      </c>
      <c r="B950" s="18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8"/>
      <c r="R950" s="16"/>
      <c r="S950" s="18"/>
      <c r="T950" s="24"/>
      <c r="U950" s="23"/>
      <c r="V950" s="52"/>
      <c r="W950" s="50" t="str">
        <f aca="true">IF(Q950="","",TODAY()-Q950)</f>
        <v/>
      </c>
      <c r="X950" s="51" t="str">
        <f aca="true">IF(F950="","",IF(OR(O950="Won",O950="Lost"),"Closed",IF(S950="","No date set",IF(S950&lt;TODAY(),"Overdue",IF(S950=TODAY(),"Due today","Upcoming")))))</f>
        <v/>
      </c>
    </row>
    <row r="951" customFormat="false" ht="15" hidden="false" customHeight="false" outlineLevel="0" collapsed="false">
      <c r="A951" s="16" t="s">
        <v>1178</v>
      </c>
      <c r="B951" s="18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8"/>
      <c r="R951" s="16"/>
      <c r="S951" s="18"/>
      <c r="T951" s="24"/>
      <c r="U951" s="23"/>
      <c r="V951" s="52"/>
      <c r="W951" s="50" t="str">
        <f aca="true">IF(Q951="","",TODAY()-Q951)</f>
        <v/>
      </c>
      <c r="X951" s="51" t="str">
        <f aca="true">IF(F951="","",IF(OR(O951="Won",O951="Lost"),"Closed",IF(S951="","No date set",IF(S951&lt;TODAY(),"Overdue",IF(S951=TODAY(),"Due today","Upcoming")))))</f>
        <v/>
      </c>
    </row>
    <row r="952" customFormat="false" ht="15" hidden="false" customHeight="false" outlineLevel="0" collapsed="false">
      <c r="A952" s="16" t="s">
        <v>1179</v>
      </c>
      <c r="B952" s="18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8"/>
      <c r="R952" s="16"/>
      <c r="S952" s="18"/>
      <c r="T952" s="24"/>
      <c r="U952" s="23"/>
      <c r="V952" s="52"/>
      <c r="W952" s="50" t="str">
        <f aca="true">IF(Q952="","",TODAY()-Q952)</f>
        <v/>
      </c>
      <c r="X952" s="51" t="str">
        <f aca="true">IF(F952="","",IF(OR(O952="Won",O952="Lost"),"Closed",IF(S952="","No date set",IF(S952&lt;TODAY(),"Overdue",IF(S952=TODAY(),"Due today","Upcoming")))))</f>
        <v/>
      </c>
    </row>
    <row r="953" customFormat="false" ht="15" hidden="false" customHeight="false" outlineLevel="0" collapsed="false">
      <c r="A953" s="16" t="s">
        <v>1180</v>
      </c>
      <c r="B953" s="18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8"/>
      <c r="R953" s="16"/>
      <c r="S953" s="18"/>
      <c r="T953" s="24"/>
      <c r="U953" s="23"/>
      <c r="V953" s="52"/>
      <c r="W953" s="50" t="str">
        <f aca="true">IF(Q953="","",TODAY()-Q953)</f>
        <v/>
      </c>
      <c r="X953" s="51" t="str">
        <f aca="true">IF(F953="","",IF(OR(O953="Won",O953="Lost"),"Closed",IF(S953="","No date set",IF(S953&lt;TODAY(),"Overdue",IF(S953=TODAY(),"Due today","Upcoming")))))</f>
        <v/>
      </c>
    </row>
    <row r="954" customFormat="false" ht="15" hidden="false" customHeight="false" outlineLevel="0" collapsed="false">
      <c r="A954" s="16" t="s">
        <v>1181</v>
      </c>
      <c r="B954" s="18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8"/>
      <c r="R954" s="16"/>
      <c r="S954" s="18"/>
      <c r="T954" s="24"/>
      <c r="U954" s="23"/>
      <c r="V954" s="52"/>
      <c r="W954" s="50" t="str">
        <f aca="true">IF(Q954="","",TODAY()-Q954)</f>
        <v/>
      </c>
      <c r="X954" s="51" t="str">
        <f aca="true">IF(F954="","",IF(OR(O954="Won",O954="Lost"),"Closed",IF(S954="","No date set",IF(S954&lt;TODAY(),"Overdue",IF(S954=TODAY(),"Due today","Upcoming")))))</f>
        <v/>
      </c>
    </row>
    <row r="955" customFormat="false" ht="15" hidden="false" customHeight="false" outlineLevel="0" collapsed="false">
      <c r="A955" s="16" t="s">
        <v>1182</v>
      </c>
      <c r="B955" s="18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8"/>
      <c r="R955" s="16"/>
      <c r="S955" s="18"/>
      <c r="T955" s="24"/>
      <c r="U955" s="23"/>
      <c r="V955" s="52"/>
      <c r="W955" s="50" t="str">
        <f aca="true">IF(Q955="","",TODAY()-Q955)</f>
        <v/>
      </c>
      <c r="X955" s="51" t="str">
        <f aca="true">IF(F955="","",IF(OR(O955="Won",O955="Lost"),"Closed",IF(S955="","No date set",IF(S955&lt;TODAY(),"Overdue",IF(S955=TODAY(),"Due today","Upcoming")))))</f>
        <v/>
      </c>
    </row>
    <row r="956" customFormat="false" ht="15" hidden="false" customHeight="false" outlineLevel="0" collapsed="false">
      <c r="A956" s="16" t="s">
        <v>1183</v>
      </c>
      <c r="B956" s="18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8"/>
      <c r="R956" s="16"/>
      <c r="S956" s="18"/>
      <c r="T956" s="24"/>
      <c r="U956" s="23"/>
      <c r="V956" s="52"/>
      <c r="W956" s="50" t="str">
        <f aca="true">IF(Q956="","",TODAY()-Q956)</f>
        <v/>
      </c>
      <c r="X956" s="51" t="str">
        <f aca="true">IF(F956="","",IF(OR(O956="Won",O956="Lost"),"Closed",IF(S956="","No date set",IF(S956&lt;TODAY(),"Overdue",IF(S956=TODAY(),"Due today","Upcoming")))))</f>
        <v/>
      </c>
    </row>
    <row r="957" customFormat="false" ht="15" hidden="false" customHeight="false" outlineLevel="0" collapsed="false">
      <c r="A957" s="16" t="s">
        <v>1184</v>
      </c>
      <c r="B957" s="18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8"/>
      <c r="R957" s="16"/>
      <c r="S957" s="18"/>
      <c r="T957" s="24"/>
      <c r="U957" s="23"/>
      <c r="V957" s="52"/>
      <c r="W957" s="50" t="str">
        <f aca="true">IF(Q957="","",TODAY()-Q957)</f>
        <v/>
      </c>
      <c r="X957" s="51" t="str">
        <f aca="true">IF(F957="","",IF(OR(O957="Won",O957="Lost"),"Closed",IF(S957="","No date set",IF(S957&lt;TODAY(),"Overdue",IF(S957=TODAY(),"Due today","Upcoming")))))</f>
        <v/>
      </c>
    </row>
    <row r="958" customFormat="false" ht="15" hidden="false" customHeight="false" outlineLevel="0" collapsed="false">
      <c r="A958" s="16" t="s">
        <v>1185</v>
      </c>
      <c r="B958" s="18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8"/>
      <c r="R958" s="16"/>
      <c r="S958" s="18"/>
      <c r="T958" s="24"/>
      <c r="U958" s="23"/>
      <c r="V958" s="52"/>
      <c r="W958" s="50" t="str">
        <f aca="true">IF(Q958="","",TODAY()-Q958)</f>
        <v/>
      </c>
      <c r="X958" s="51" t="str">
        <f aca="true">IF(F958="","",IF(OR(O958="Won",O958="Lost"),"Closed",IF(S958="","No date set",IF(S958&lt;TODAY(),"Overdue",IF(S958=TODAY(),"Due today","Upcoming")))))</f>
        <v/>
      </c>
    </row>
    <row r="959" customFormat="false" ht="15" hidden="false" customHeight="false" outlineLevel="0" collapsed="false">
      <c r="A959" s="16" t="s">
        <v>1186</v>
      </c>
      <c r="B959" s="18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8"/>
      <c r="R959" s="16"/>
      <c r="S959" s="18"/>
      <c r="T959" s="24"/>
      <c r="U959" s="23"/>
      <c r="V959" s="52"/>
      <c r="W959" s="50" t="str">
        <f aca="true">IF(Q959="","",TODAY()-Q959)</f>
        <v/>
      </c>
      <c r="X959" s="51" t="str">
        <f aca="true">IF(F959="","",IF(OR(O959="Won",O959="Lost"),"Closed",IF(S959="","No date set",IF(S959&lt;TODAY(),"Overdue",IF(S959=TODAY(),"Due today","Upcoming")))))</f>
        <v/>
      </c>
    </row>
    <row r="960" customFormat="false" ht="15" hidden="false" customHeight="false" outlineLevel="0" collapsed="false">
      <c r="A960" s="16" t="s">
        <v>1187</v>
      </c>
      <c r="B960" s="18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8"/>
      <c r="R960" s="16"/>
      <c r="S960" s="18"/>
      <c r="T960" s="24"/>
      <c r="U960" s="23"/>
      <c r="V960" s="52"/>
      <c r="W960" s="50" t="str">
        <f aca="true">IF(Q960="","",TODAY()-Q960)</f>
        <v/>
      </c>
      <c r="X960" s="51" t="str">
        <f aca="true">IF(F960="","",IF(OR(O960="Won",O960="Lost"),"Closed",IF(S960="","No date set",IF(S960&lt;TODAY(),"Overdue",IF(S960=TODAY(),"Due today","Upcoming")))))</f>
        <v/>
      </c>
    </row>
    <row r="961" customFormat="false" ht="15" hidden="false" customHeight="false" outlineLevel="0" collapsed="false">
      <c r="A961" s="16" t="s">
        <v>1188</v>
      </c>
      <c r="B961" s="18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8"/>
      <c r="R961" s="16"/>
      <c r="S961" s="18"/>
      <c r="T961" s="24"/>
      <c r="U961" s="23"/>
      <c r="V961" s="52"/>
      <c r="W961" s="50" t="str">
        <f aca="true">IF(Q961="","",TODAY()-Q961)</f>
        <v/>
      </c>
      <c r="X961" s="51" t="str">
        <f aca="true">IF(F961="","",IF(OR(O961="Won",O961="Lost"),"Closed",IF(S961="","No date set",IF(S961&lt;TODAY(),"Overdue",IF(S961=TODAY(),"Due today","Upcoming")))))</f>
        <v/>
      </c>
    </row>
    <row r="962" customFormat="false" ht="15" hidden="false" customHeight="false" outlineLevel="0" collapsed="false">
      <c r="A962" s="16" t="s">
        <v>1189</v>
      </c>
      <c r="B962" s="18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8"/>
      <c r="R962" s="16"/>
      <c r="S962" s="18"/>
      <c r="T962" s="24"/>
      <c r="U962" s="23"/>
      <c r="V962" s="52"/>
      <c r="W962" s="50" t="str">
        <f aca="true">IF(Q962="","",TODAY()-Q962)</f>
        <v/>
      </c>
      <c r="X962" s="51" t="str">
        <f aca="true">IF(F962="","",IF(OR(O962="Won",O962="Lost"),"Closed",IF(S962="","No date set",IF(S962&lt;TODAY(),"Overdue",IF(S962=TODAY(),"Due today","Upcoming")))))</f>
        <v/>
      </c>
    </row>
    <row r="963" customFormat="false" ht="15" hidden="false" customHeight="false" outlineLevel="0" collapsed="false">
      <c r="A963" s="16" t="s">
        <v>1190</v>
      </c>
      <c r="B963" s="18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8"/>
      <c r="R963" s="16"/>
      <c r="S963" s="18"/>
      <c r="T963" s="24"/>
      <c r="U963" s="23"/>
      <c r="V963" s="52"/>
      <c r="W963" s="50" t="str">
        <f aca="true">IF(Q963="","",TODAY()-Q963)</f>
        <v/>
      </c>
      <c r="X963" s="51" t="str">
        <f aca="true">IF(F963="","",IF(OR(O963="Won",O963="Lost"),"Closed",IF(S963="","No date set",IF(S963&lt;TODAY(),"Overdue",IF(S963=TODAY(),"Due today","Upcoming")))))</f>
        <v/>
      </c>
    </row>
    <row r="964" customFormat="false" ht="15" hidden="false" customHeight="false" outlineLevel="0" collapsed="false">
      <c r="A964" s="16" t="s">
        <v>1191</v>
      </c>
      <c r="B964" s="18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8"/>
      <c r="R964" s="16"/>
      <c r="S964" s="18"/>
      <c r="T964" s="24"/>
      <c r="U964" s="23"/>
      <c r="V964" s="52"/>
      <c r="W964" s="50" t="str">
        <f aca="true">IF(Q964="","",TODAY()-Q964)</f>
        <v/>
      </c>
      <c r="X964" s="51" t="str">
        <f aca="true">IF(F964="","",IF(OR(O964="Won",O964="Lost"),"Closed",IF(S964="","No date set",IF(S964&lt;TODAY(),"Overdue",IF(S964=TODAY(),"Due today","Upcoming")))))</f>
        <v/>
      </c>
    </row>
    <row r="965" customFormat="false" ht="15" hidden="false" customHeight="false" outlineLevel="0" collapsed="false">
      <c r="A965" s="16" t="s">
        <v>1192</v>
      </c>
      <c r="B965" s="18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8"/>
      <c r="R965" s="16"/>
      <c r="S965" s="18"/>
      <c r="T965" s="24"/>
      <c r="U965" s="23"/>
      <c r="V965" s="52"/>
      <c r="W965" s="50" t="str">
        <f aca="true">IF(Q965="","",TODAY()-Q965)</f>
        <v/>
      </c>
      <c r="X965" s="51" t="str">
        <f aca="true">IF(F965="","",IF(OR(O965="Won",O965="Lost"),"Closed",IF(S965="","No date set",IF(S965&lt;TODAY(),"Overdue",IF(S965=TODAY(),"Due today","Upcoming")))))</f>
        <v/>
      </c>
    </row>
    <row r="966" customFormat="false" ht="15" hidden="false" customHeight="false" outlineLevel="0" collapsed="false">
      <c r="A966" s="16" t="s">
        <v>1193</v>
      </c>
      <c r="B966" s="18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8"/>
      <c r="R966" s="16"/>
      <c r="S966" s="18"/>
      <c r="T966" s="24"/>
      <c r="U966" s="23"/>
      <c r="V966" s="52"/>
      <c r="W966" s="50" t="str">
        <f aca="true">IF(Q966="","",TODAY()-Q966)</f>
        <v/>
      </c>
      <c r="X966" s="51" t="str">
        <f aca="true">IF(F966="","",IF(OR(O966="Won",O966="Lost"),"Closed",IF(S966="","No date set",IF(S966&lt;TODAY(),"Overdue",IF(S966=TODAY(),"Due today","Upcoming")))))</f>
        <v/>
      </c>
    </row>
    <row r="967" customFormat="false" ht="15" hidden="false" customHeight="false" outlineLevel="0" collapsed="false">
      <c r="A967" s="16" t="s">
        <v>1194</v>
      </c>
      <c r="B967" s="18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8"/>
      <c r="R967" s="16"/>
      <c r="S967" s="18"/>
      <c r="T967" s="24"/>
      <c r="U967" s="23"/>
      <c r="V967" s="52"/>
      <c r="W967" s="50" t="str">
        <f aca="true">IF(Q967="","",TODAY()-Q967)</f>
        <v/>
      </c>
      <c r="X967" s="51" t="str">
        <f aca="true">IF(F967="","",IF(OR(O967="Won",O967="Lost"),"Closed",IF(S967="","No date set",IF(S967&lt;TODAY(),"Overdue",IF(S967=TODAY(),"Due today","Upcoming")))))</f>
        <v/>
      </c>
    </row>
    <row r="968" customFormat="false" ht="15" hidden="false" customHeight="false" outlineLevel="0" collapsed="false">
      <c r="A968" s="16" t="s">
        <v>1195</v>
      </c>
      <c r="B968" s="18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8"/>
      <c r="R968" s="16"/>
      <c r="S968" s="18"/>
      <c r="T968" s="24"/>
      <c r="U968" s="23"/>
      <c r="V968" s="52"/>
      <c r="W968" s="50" t="str">
        <f aca="true">IF(Q968="","",TODAY()-Q968)</f>
        <v/>
      </c>
      <c r="X968" s="51" t="str">
        <f aca="true">IF(F968="","",IF(OR(O968="Won",O968="Lost"),"Closed",IF(S968="","No date set",IF(S968&lt;TODAY(),"Overdue",IF(S968=TODAY(),"Due today","Upcoming")))))</f>
        <v/>
      </c>
    </row>
    <row r="969" customFormat="false" ht="15" hidden="false" customHeight="false" outlineLevel="0" collapsed="false">
      <c r="A969" s="16" t="s">
        <v>1196</v>
      </c>
      <c r="B969" s="18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8"/>
      <c r="R969" s="16"/>
      <c r="S969" s="18"/>
      <c r="T969" s="24"/>
      <c r="U969" s="23"/>
      <c r="V969" s="52"/>
      <c r="W969" s="50" t="str">
        <f aca="true">IF(Q969="","",TODAY()-Q969)</f>
        <v/>
      </c>
      <c r="X969" s="51" t="str">
        <f aca="true">IF(F969="","",IF(OR(O969="Won",O969="Lost"),"Closed",IF(S969="","No date set",IF(S969&lt;TODAY(),"Overdue",IF(S969=TODAY(),"Due today","Upcoming")))))</f>
        <v/>
      </c>
    </row>
    <row r="970" customFormat="false" ht="15" hidden="false" customHeight="false" outlineLevel="0" collapsed="false">
      <c r="A970" s="16" t="s">
        <v>1197</v>
      </c>
      <c r="B970" s="18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8"/>
      <c r="R970" s="16"/>
      <c r="S970" s="18"/>
      <c r="T970" s="24"/>
      <c r="U970" s="23"/>
      <c r="V970" s="52"/>
      <c r="W970" s="50" t="str">
        <f aca="true">IF(Q970="","",TODAY()-Q970)</f>
        <v/>
      </c>
      <c r="X970" s="51" t="str">
        <f aca="true">IF(F970="","",IF(OR(O970="Won",O970="Lost"),"Closed",IF(S970="","No date set",IF(S970&lt;TODAY(),"Overdue",IF(S970=TODAY(),"Due today","Upcoming")))))</f>
        <v/>
      </c>
    </row>
    <row r="971" customFormat="false" ht="15" hidden="false" customHeight="false" outlineLevel="0" collapsed="false">
      <c r="A971" s="16" t="s">
        <v>1198</v>
      </c>
      <c r="B971" s="18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8"/>
      <c r="R971" s="16"/>
      <c r="S971" s="18"/>
      <c r="T971" s="24"/>
      <c r="U971" s="23"/>
      <c r="V971" s="52"/>
      <c r="W971" s="50" t="str">
        <f aca="true">IF(Q971="","",TODAY()-Q971)</f>
        <v/>
      </c>
      <c r="X971" s="51" t="str">
        <f aca="true">IF(F971="","",IF(OR(O971="Won",O971="Lost"),"Closed",IF(S971="","No date set",IF(S971&lt;TODAY(),"Overdue",IF(S971=TODAY(),"Due today","Upcoming")))))</f>
        <v/>
      </c>
    </row>
    <row r="972" customFormat="false" ht="15" hidden="false" customHeight="false" outlineLevel="0" collapsed="false">
      <c r="A972" s="16" t="s">
        <v>1199</v>
      </c>
      <c r="B972" s="18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8"/>
      <c r="R972" s="16"/>
      <c r="S972" s="18"/>
      <c r="T972" s="24"/>
      <c r="U972" s="23"/>
      <c r="V972" s="52"/>
      <c r="W972" s="50" t="str">
        <f aca="true">IF(Q972="","",TODAY()-Q972)</f>
        <v/>
      </c>
      <c r="X972" s="51" t="str">
        <f aca="true">IF(F972="","",IF(OR(O972="Won",O972="Lost"),"Closed",IF(S972="","No date set",IF(S972&lt;TODAY(),"Overdue",IF(S972=TODAY(),"Due today","Upcoming")))))</f>
        <v/>
      </c>
    </row>
    <row r="973" customFormat="false" ht="15" hidden="false" customHeight="false" outlineLevel="0" collapsed="false">
      <c r="A973" s="16" t="s">
        <v>1200</v>
      </c>
      <c r="B973" s="18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8"/>
      <c r="R973" s="16"/>
      <c r="S973" s="18"/>
      <c r="T973" s="24"/>
      <c r="U973" s="23"/>
      <c r="V973" s="52"/>
      <c r="W973" s="50" t="str">
        <f aca="true">IF(Q973="","",TODAY()-Q973)</f>
        <v/>
      </c>
      <c r="X973" s="51" t="str">
        <f aca="true">IF(F973="","",IF(OR(O973="Won",O973="Lost"),"Closed",IF(S973="","No date set",IF(S973&lt;TODAY(),"Overdue",IF(S973=TODAY(),"Due today","Upcoming")))))</f>
        <v/>
      </c>
    </row>
    <row r="974" customFormat="false" ht="15" hidden="false" customHeight="false" outlineLevel="0" collapsed="false">
      <c r="A974" s="16" t="s">
        <v>1201</v>
      </c>
      <c r="B974" s="18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8"/>
      <c r="R974" s="16"/>
      <c r="S974" s="18"/>
      <c r="T974" s="24"/>
      <c r="U974" s="23"/>
      <c r="V974" s="52"/>
      <c r="W974" s="50" t="str">
        <f aca="true">IF(Q974="","",TODAY()-Q974)</f>
        <v/>
      </c>
      <c r="X974" s="51" t="str">
        <f aca="true">IF(F974="","",IF(OR(O974="Won",O974="Lost"),"Closed",IF(S974="","No date set",IF(S974&lt;TODAY(),"Overdue",IF(S974=TODAY(),"Due today","Upcoming")))))</f>
        <v/>
      </c>
    </row>
    <row r="975" customFormat="false" ht="15" hidden="false" customHeight="false" outlineLevel="0" collapsed="false">
      <c r="A975" s="16" t="s">
        <v>1202</v>
      </c>
      <c r="B975" s="18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8"/>
      <c r="R975" s="16"/>
      <c r="S975" s="18"/>
      <c r="T975" s="24"/>
      <c r="U975" s="23"/>
      <c r="V975" s="52"/>
      <c r="W975" s="50" t="str">
        <f aca="true">IF(Q975="","",TODAY()-Q975)</f>
        <v/>
      </c>
      <c r="X975" s="51" t="str">
        <f aca="true">IF(F975="","",IF(OR(O975="Won",O975="Lost"),"Closed",IF(S975="","No date set",IF(S975&lt;TODAY(),"Overdue",IF(S975=TODAY(),"Due today","Upcoming")))))</f>
        <v/>
      </c>
    </row>
    <row r="976" customFormat="false" ht="15" hidden="false" customHeight="false" outlineLevel="0" collapsed="false">
      <c r="A976" s="16" t="s">
        <v>1203</v>
      </c>
      <c r="B976" s="18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8"/>
      <c r="R976" s="16"/>
      <c r="S976" s="18"/>
      <c r="T976" s="24"/>
      <c r="U976" s="23"/>
      <c r="V976" s="52"/>
      <c r="W976" s="50" t="str">
        <f aca="true">IF(Q976="","",TODAY()-Q976)</f>
        <v/>
      </c>
      <c r="X976" s="51" t="str">
        <f aca="true">IF(F976="","",IF(OR(O976="Won",O976="Lost"),"Closed",IF(S976="","No date set",IF(S976&lt;TODAY(),"Overdue",IF(S976=TODAY(),"Due today","Upcoming")))))</f>
        <v/>
      </c>
    </row>
    <row r="977" customFormat="false" ht="15" hidden="false" customHeight="false" outlineLevel="0" collapsed="false">
      <c r="A977" s="16" t="s">
        <v>1204</v>
      </c>
      <c r="B977" s="18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8"/>
      <c r="R977" s="16"/>
      <c r="S977" s="18"/>
      <c r="T977" s="24"/>
      <c r="U977" s="23"/>
      <c r="V977" s="52"/>
      <c r="W977" s="50" t="str">
        <f aca="true">IF(Q977="","",TODAY()-Q977)</f>
        <v/>
      </c>
      <c r="X977" s="51" t="str">
        <f aca="true">IF(F977="","",IF(OR(O977="Won",O977="Lost"),"Closed",IF(S977="","No date set",IF(S977&lt;TODAY(),"Overdue",IF(S977=TODAY(),"Due today","Upcoming")))))</f>
        <v/>
      </c>
    </row>
    <row r="978" customFormat="false" ht="15" hidden="false" customHeight="false" outlineLevel="0" collapsed="false">
      <c r="A978" s="16" t="s">
        <v>1205</v>
      </c>
      <c r="B978" s="18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8"/>
      <c r="R978" s="16"/>
      <c r="S978" s="18"/>
      <c r="T978" s="24"/>
      <c r="U978" s="23"/>
      <c r="V978" s="52"/>
      <c r="W978" s="50" t="str">
        <f aca="true">IF(Q978="","",TODAY()-Q978)</f>
        <v/>
      </c>
      <c r="X978" s="51" t="str">
        <f aca="true">IF(F978="","",IF(OR(O978="Won",O978="Lost"),"Closed",IF(S978="","No date set",IF(S978&lt;TODAY(),"Overdue",IF(S978=TODAY(),"Due today","Upcoming")))))</f>
        <v/>
      </c>
    </row>
    <row r="979" customFormat="false" ht="15" hidden="false" customHeight="false" outlineLevel="0" collapsed="false">
      <c r="A979" s="16" t="s">
        <v>1206</v>
      </c>
      <c r="B979" s="18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8"/>
      <c r="R979" s="16"/>
      <c r="S979" s="18"/>
      <c r="T979" s="24"/>
      <c r="U979" s="23"/>
      <c r="V979" s="52"/>
      <c r="W979" s="50" t="str">
        <f aca="true">IF(Q979="","",TODAY()-Q979)</f>
        <v/>
      </c>
      <c r="X979" s="51" t="str">
        <f aca="true">IF(F979="","",IF(OR(O979="Won",O979="Lost"),"Closed",IF(S979="","No date set",IF(S979&lt;TODAY(),"Overdue",IF(S979=TODAY(),"Due today","Upcoming")))))</f>
        <v/>
      </c>
    </row>
    <row r="980" customFormat="false" ht="15" hidden="false" customHeight="false" outlineLevel="0" collapsed="false">
      <c r="A980" s="16" t="s">
        <v>1207</v>
      </c>
      <c r="B980" s="18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8"/>
      <c r="R980" s="16"/>
      <c r="S980" s="18"/>
      <c r="T980" s="24"/>
      <c r="U980" s="23"/>
      <c r="V980" s="52"/>
      <c r="W980" s="50" t="str">
        <f aca="true">IF(Q980="","",TODAY()-Q980)</f>
        <v/>
      </c>
      <c r="X980" s="51" t="str">
        <f aca="true">IF(F980="","",IF(OR(O980="Won",O980="Lost"),"Closed",IF(S980="","No date set",IF(S980&lt;TODAY(),"Overdue",IF(S980=TODAY(),"Due today","Upcoming")))))</f>
        <v/>
      </c>
    </row>
    <row r="981" customFormat="false" ht="15" hidden="false" customHeight="false" outlineLevel="0" collapsed="false">
      <c r="A981" s="16" t="s">
        <v>1208</v>
      </c>
      <c r="B981" s="18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8"/>
      <c r="R981" s="16"/>
      <c r="S981" s="18"/>
      <c r="T981" s="24"/>
      <c r="U981" s="23"/>
      <c r="V981" s="52"/>
      <c r="W981" s="50" t="str">
        <f aca="true">IF(Q981="","",TODAY()-Q981)</f>
        <v/>
      </c>
      <c r="X981" s="51" t="str">
        <f aca="true">IF(F981="","",IF(OR(O981="Won",O981="Lost"),"Closed",IF(S981="","No date set",IF(S981&lt;TODAY(),"Overdue",IF(S981=TODAY(),"Due today","Upcoming")))))</f>
        <v/>
      </c>
    </row>
    <row r="982" customFormat="false" ht="15" hidden="false" customHeight="false" outlineLevel="0" collapsed="false">
      <c r="A982" s="16" t="s">
        <v>1209</v>
      </c>
      <c r="B982" s="18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8"/>
      <c r="R982" s="16"/>
      <c r="S982" s="18"/>
      <c r="T982" s="24"/>
      <c r="U982" s="23"/>
      <c r="V982" s="52"/>
      <c r="W982" s="50" t="str">
        <f aca="true">IF(Q982="","",TODAY()-Q982)</f>
        <v/>
      </c>
      <c r="X982" s="51" t="str">
        <f aca="true">IF(F982="","",IF(OR(O982="Won",O982="Lost"),"Closed",IF(S982="","No date set",IF(S982&lt;TODAY(),"Overdue",IF(S982=TODAY(),"Due today","Upcoming")))))</f>
        <v/>
      </c>
    </row>
    <row r="983" customFormat="false" ht="15" hidden="false" customHeight="false" outlineLevel="0" collapsed="false">
      <c r="A983" s="16" t="s">
        <v>1210</v>
      </c>
      <c r="B983" s="18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8"/>
      <c r="R983" s="16"/>
      <c r="S983" s="18"/>
      <c r="T983" s="24"/>
      <c r="U983" s="23"/>
      <c r="V983" s="52"/>
      <c r="W983" s="50" t="str">
        <f aca="true">IF(Q983="","",TODAY()-Q983)</f>
        <v/>
      </c>
      <c r="X983" s="51" t="str">
        <f aca="true">IF(F983="","",IF(OR(O983="Won",O983="Lost"),"Closed",IF(S983="","No date set",IF(S983&lt;TODAY(),"Overdue",IF(S983=TODAY(),"Due today","Upcoming")))))</f>
        <v/>
      </c>
    </row>
    <row r="984" customFormat="false" ht="15" hidden="false" customHeight="false" outlineLevel="0" collapsed="false">
      <c r="A984" s="16" t="s">
        <v>1211</v>
      </c>
      <c r="B984" s="18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8"/>
      <c r="R984" s="16"/>
      <c r="S984" s="18"/>
      <c r="T984" s="24"/>
      <c r="U984" s="23"/>
      <c r="V984" s="52"/>
      <c r="W984" s="50" t="str">
        <f aca="true">IF(Q984="","",TODAY()-Q984)</f>
        <v/>
      </c>
      <c r="X984" s="51" t="str">
        <f aca="true">IF(F984="","",IF(OR(O984="Won",O984="Lost"),"Closed",IF(S984="","No date set",IF(S984&lt;TODAY(),"Overdue",IF(S984=TODAY(),"Due today","Upcoming")))))</f>
        <v/>
      </c>
    </row>
    <row r="985" customFormat="false" ht="15" hidden="false" customHeight="false" outlineLevel="0" collapsed="false">
      <c r="A985" s="16" t="s">
        <v>1212</v>
      </c>
      <c r="B985" s="18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8"/>
      <c r="R985" s="16"/>
      <c r="S985" s="18"/>
      <c r="T985" s="24"/>
      <c r="U985" s="23"/>
      <c r="V985" s="52"/>
      <c r="W985" s="50" t="str">
        <f aca="true">IF(Q985="","",TODAY()-Q985)</f>
        <v/>
      </c>
      <c r="X985" s="51" t="str">
        <f aca="true">IF(F985="","",IF(OR(O985="Won",O985="Lost"),"Closed",IF(S985="","No date set",IF(S985&lt;TODAY(),"Overdue",IF(S985=TODAY(),"Due today","Upcoming")))))</f>
        <v/>
      </c>
    </row>
    <row r="986" customFormat="false" ht="15" hidden="false" customHeight="false" outlineLevel="0" collapsed="false">
      <c r="A986" s="16" t="s">
        <v>1213</v>
      </c>
      <c r="B986" s="18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8"/>
      <c r="R986" s="16"/>
      <c r="S986" s="18"/>
      <c r="T986" s="24"/>
      <c r="U986" s="23"/>
      <c r="V986" s="52"/>
      <c r="W986" s="50" t="str">
        <f aca="true">IF(Q986="","",TODAY()-Q986)</f>
        <v/>
      </c>
      <c r="X986" s="51" t="str">
        <f aca="true">IF(F986="","",IF(OR(O986="Won",O986="Lost"),"Closed",IF(S986="","No date set",IF(S986&lt;TODAY(),"Overdue",IF(S986=TODAY(),"Due today","Upcoming")))))</f>
        <v/>
      </c>
    </row>
    <row r="987" customFormat="false" ht="15" hidden="false" customHeight="false" outlineLevel="0" collapsed="false">
      <c r="A987" s="16" t="s">
        <v>1214</v>
      </c>
      <c r="B987" s="18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8"/>
      <c r="R987" s="16"/>
      <c r="S987" s="18"/>
      <c r="T987" s="24"/>
      <c r="U987" s="23"/>
      <c r="V987" s="52"/>
      <c r="W987" s="50" t="str">
        <f aca="true">IF(Q987="","",TODAY()-Q987)</f>
        <v/>
      </c>
      <c r="X987" s="51" t="str">
        <f aca="true">IF(F987="","",IF(OR(O987="Won",O987="Lost"),"Closed",IF(S987="","No date set",IF(S987&lt;TODAY(),"Overdue",IF(S987=TODAY(),"Due today","Upcoming")))))</f>
        <v/>
      </c>
    </row>
    <row r="988" customFormat="false" ht="15" hidden="false" customHeight="false" outlineLevel="0" collapsed="false">
      <c r="A988" s="16" t="s">
        <v>1215</v>
      </c>
      <c r="B988" s="18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8"/>
      <c r="R988" s="16"/>
      <c r="S988" s="18"/>
      <c r="T988" s="24"/>
      <c r="U988" s="23"/>
      <c r="V988" s="52"/>
      <c r="W988" s="50" t="str">
        <f aca="true">IF(Q988="","",TODAY()-Q988)</f>
        <v/>
      </c>
      <c r="X988" s="51" t="str">
        <f aca="true">IF(F988="","",IF(OR(O988="Won",O988="Lost"),"Closed",IF(S988="","No date set",IF(S988&lt;TODAY(),"Overdue",IF(S988=TODAY(),"Due today","Upcoming")))))</f>
        <v/>
      </c>
    </row>
    <row r="989" customFormat="false" ht="15" hidden="false" customHeight="false" outlineLevel="0" collapsed="false">
      <c r="A989" s="16" t="s">
        <v>1216</v>
      </c>
      <c r="B989" s="18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8"/>
      <c r="R989" s="16"/>
      <c r="S989" s="18"/>
      <c r="T989" s="24"/>
      <c r="U989" s="23"/>
      <c r="V989" s="52"/>
      <c r="W989" s="50" t="str">
        <f aca="true">IF(Q989="","",TODAY()-Q989)</f>
        <v/>
      </c>
      <c r="X989" s="51" t="str">
        <f aca="true">IF(F989="","",IF(OR(O989="Won",O989="Lost"),"Closed",IF(S989="","No date set",IF(S989&lt;TODAY(),"Overdue",IF(S989=TODAY(),"Due today","Upcoming")))))</f>
        <v/>
      </c>
    </row>
    <row r="990" customFormat="false" ht="15" hidden="false" customHeight="false" outlineLevel="0" collapsed="false">
      <c r="A990" s="16" t="s">
        <v>1217</v>
      </c>
      <c r="B990" s="18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8"/>
      <c r="R990" s="16"/>
      <c r="S990" s="18"/>
      <c r="T990" s="24"/>
      <c r="U990" s="23"/>
      <c r="V990" s="52"/>
      <c r="W990" s="50" t="str">
        <f aca="true">IF(Q990="","",TODAY()-Q990)</f>
        <v/>
      </c>
      <c r="X990" s="51" t="str">
        <f aca="true">IF(F990="","",IF(OR(O990="Won",O990="Lost"),"Closed",IF(S990="","No date set",IF(S990&lt;TODAY(),"Overdue",IF(S990=TODAY(),"Due today","Upcoming")))))</f>
        <v/>
      </c>
    </row>
    <row r="991" customFormat="false" ht="15" hidden="false" customHeight="false" outlineLevel="0" collapsed="false">
      <c r="A991" s="16" t="s">
        <v>1218</v>
      </c>
      <c r="B991" s="18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8"/>
      <c r="R991" s="16"/>
      <c r="S991" s="18"/>
      <c r="T991" s="24"/>
      <c r="U991" s="23"/>
      <c r="V991" s="52"/>
      <c r="W991" s="50" t="str">
        <f aca="true">IF(Q991="","",TODAY()-Q991)</f>
        <v/>
      </c>
      <c r="X991" s="51" t="str">
        <f aca="true">IF(F991="","",IF(OR(O991="Won",O991="Lost"),"Closed",IF(S991="","No date set",IF(S991&lt;TODAY(),"Overdue",IF(S991=TODAY(),"Due today","Upcoming")))))</f>
        <v/>
      </c>
    </row>
    <row r="992" customFormat="false" ht="15" hidden="false" customHeight="false" outlineLevel="0" collapsed="false">
      <c r="A992" s="16" t="s">
        <v>1219</v>
      </c>
      <c r="B992" s="18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8"/>
      <c r="R992" s="16"/>
      <c r="S992" s="18"/>
      <c r="T992" s="24"/>
      <c r="U992" s="23"/>
      <c r="V992" s="52"/>
      <c r="W992" s="50" t="str">
        <f aca="true">IF(Q992="","",TODAY()-Q992)</f>
        <v/>
      </c>
      <c r="X992" s="51" t="str">
        <f aca="true">IF(F992="","",IF(OR(O992="Won",O992="Lost"),"Closed",IF(S992="","No date set",IF(S992&lt;TODAY(),"Overdue",IF(S992=TODAY(),"Due today","Upcoming")))))</f>
        <v/>
      </c>
    </row>
    <row r="993" customFormat="false" ht="15" hidden="false" customHeight="false" outlineLevel="0" collapsed="false">
      <c r="A993" s="16" t="s">
        <v>1220</v>
      </c>
      <c r="B993" s="18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8"/>
      <c r="R993" s="16"/>
      <c r="S993" s="18"/>
      <c r="T993" s="24"/>
      <c r="U993" s="23"/>
      <c r="V993" s="52"/>
      <c r="W993" s="50" t="str">
        <f aca="true">IF(Q993="","",TODAY()-Q993)</f>
        <v/>
      </c>
      <c r="X993" s="51" t="str">
        <f aca="true">IF(F993="","",IF(OR(O993="Won",O993="Lost"),"Closed",IF(S993="","No date set",IF(S993&lt;TODAY(),"Overdue",IF(S993=TODAY(),"Due today","Upcoming")))))</f>
        <v/>
      </c>
    </row>
    <row r="994" customFormat="false" ht="15" hidden="false" customHeight="false" outlineLevel="0" collapsed="false">
      <c r="A994" s="16" t="s">
        <v>1221</v>
      </c>
      <c r="B994" s="18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8"/>
      <c r="R994" s="16"/>
      <c r="S994" s="18"/>
      <c r="T994" s="24"/>
      <c r="U994" s="23"/>
      <c r="V994" s="52"/>
      <c r="W994" s="50" t="str">
        <f aca="true">IF(Q994="","",TODAY()-Q994)</f>
        <v/>
      </c>
      <c r="X994" s="51" t="str">
        <f aca="true">IF(F994="","",IF(OR(O994="Won",O994="Lost"),"Closed",IF(S994="","No date set",IF(S994&lt;TODAY(),"Overdue",IF(S994=TODAY(),"Due today","Upcoming")))))</f>
        <v/>
      </c>
    </row>
    <row r="995" customFormat="false" ht="15" hidden="false" customHeight="false" outlineLevel="0" collapsed="false">
      <c r="A995" s="16" t="s">
        <v>1222</v>
      </c>
      <c r="B995" s="18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8"/>
      <c r="R995" s="16"/>
      <c r="S995" s="18"/>
      <c r="T995" s="24"/>
      <c r="U995" s="23"/>
      <c r="V995" s="52"/>
      <c r="W995" s="50" t="str">
        <f aca="true">IF(Q995="","",TODAY()-Q995)</f>
        <v/>
      </c>
      <c r="X995" s="51" t="str">
        <f aca="true">IF(F995="","",IF(OR(O995="Won",O995="Lost"),"Closed",IF(S995="","No date set",IF(S995&lt;TODAY(),"Overdue",IF(S995=TODAY(),"Due today","Upcoming")))))</f>
        <v/>
      </c>
    </row>
    <row r="996" customFormat="false" ht="15" hidden="false" customHeight="false" outlineLevel="0" collapsed="false">
      <c r="A996" s="16" t="s">
        <v>1223</v>
      </c>
      <c r="B996" s="18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8"/>
      <c r="R996" s="16"/>
      <c r="S996" s="18"/>
      <c r="T996" s="24"/>
      <c r="U996" s="23"/>
      <c r="V996" s="52"/>
      <c r="W996" s="50" t="str">
        <f aca="true">IF(Q996="","",TODAY()-Q996)</f>
        <v/>
      </c>
      <c r="X996" s="51" t="str">
        <f aca="true">IF(F996="","",IF(OR(O996="Won",O996="Lost"),"Closed",IF(S996="","No date set",IF(S996&lt;TODAY(),"Overdue",IF(S996=TODAY(),"Due today","Upcoming")))))</f>
        <v/>
      </c>
    </row>
    <row r="997" customFormat="false" ht="15" hidden="false" customHeight="false" outlineLevel="0" collapsed="false">
      <c r="A997" s="16" t="s">
        <v>1224</v>
      </c>
      <c r="B997" s="18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8"/>
      <c r="R997" s="16"/>
      <c r="S997" s="18"/>
      <c r="T997" s="24"/>
      <c r="U997" s="23"/>
      <c r="V997" s="52"/>
      <c r="W997" s="50" t="str">
        <f aca="true">IF(Q997="","",TODAY()-Q997)</f>
        <v/>
      </c>
      <c r="X997" s="51" t="str">
        <f aca="true">IF(F997="","",IF(OR(O997="Won",O997="Lost"),"Closed",IF(S997="","No date set",IF(S997&lt;TODAY(),"Overdue",IF(S997=TODAY(),"Due today","Upcoming")))))</f>
        <v/>
      </c>
    </row>
    <row r="998" customFormat="false" ht="15" hidden="false" customHeight="false" outlineLevel="0" collapsed="false">
      <c r="A998" s="16" t="s">
        <v>1225</v>
      </c>
      <c r="B998" s="18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8"/>
      <c r="R998" s="16"/>
      <c r="S998" s="18"/>
      <c r="T998" s="24"/>
      <c r="U998" s="23"/>
      <c r="V998" s="52"/>
      <c r="W998" s="50" t="str">
        <f aca="true">IF(Q998="","",TODAY()-Q998)</f>
        <v/>
      </c>
      <c r="X998" s="51" t="str">
        <f aca="true">IF(F998="","",IF(OR(O998="Won",O998="Lost"),"Closed",IF(S998="","No date set",IF(S998&lt;TODAY(),"Overdue",IF(S998=TODAY(),"Due today","Upcoming")))))</f>
        <v/>
      </c>
    </row>
    <row r="999" customFormat="false" ht="15" hidden="false" customHeight="false" outlineLevel="0" collapsed="false">
      <c r="A999" s="16" t="s">
        <v>1226</v>
      </c>
      <c r="B999" s="18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8"/>
      <c r="R999" s="16"/>
      <c r="S999" s="18"/>
      <c r="T999" s="24"/>
      <c r="U999" s="23"/>
      <c r="V999" s="52"/>
      <c r="W999" s="50" t="str">
        <f aca="true">IF(Q999="","",TODAY()-Q999)</f>
        <v/>
      </c>
      <c r="X999" s="51" t="str">
        <f aca="true">IF(F999="","",IF(OR(O999="Won",O999="Lost"),"Closed",IF(S999="","No date set",IF(S999&lt;TODAY(),"Overdue",IF(S999=TODAY(),"Due today","Upcoming")))))</f>
        <v/>
      </c>
    </row>
    <row r="1000" customFormat="false" ht="15" hidden="false" customHeight="false" outlineLevel="0" collapsed="false">
      <c r="A1000" s="16" t="s">
        <v>1227</v>
      </c>
      <c r="B1000" s="18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8"/>
      <c r="R1000" s="16"/>
      <c r="S1000" s="18"/>
      <c r="T1000" s="24"/>
      <c r="U1000" s="23"/>
      <c r="V1000" s="52"/>
      <c r="W1000" s="50" t="str">
        <f aca="true">IF(Q1000="","",TODAY()-Q1000)</f>
        <v/>
      </c>
      <c r="X1000" s="51" t="str">
        <f aca="true">IF(F1000="","",IF(OR(O1000="Won",O1000="Lost"),"Closed",IF(S1000="","No date set",IF(S1000&lt;TODAY(),"Overdue",IF(S1000=TODAY(),"Due today","Upcoming")))))</f>
        <v/>
      </c>
    </row>
    <row r="1001" customFormat="false" ht="15" hidden="false" customHeight="false" outlineLevel="0" collapsed="false">
      <c r="A1001" s="16" t="s">
        <v>1228</v>
      </c>
      <c r="B1001" s="18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8"/>
      <c r="R1001" s="16"/>
      <c r="S1001" s="18"/>
      <c r="T1001" s="24"/>
      <c r="U1001" s="23"/>
      <c r="V1001" s="52"/>
      <c r="W1001" s="50" t="str">
        <f aca="true">IF(Q1001="","",TODAY()-Q1001)</f>
        <v/>
      </c>
      <c r="X1001" s="51" t="str">
        <f aca="true">IF(F1001="","",IF(OR(O1001="Won",O1001="Lost"),"Closed",IF(S1001="","No date set",IF(S1001&lt;TODAY(),"Overdue",IF(S1001=TODAY(),"Due today","Upcoming")))))</f>
        <v/>
      </c>
    </row>
    <row r="1002" customFormat="false" ht="15" hidden="false" customHeight="false" outlineLevel="0" collapsed="false">
      <c r="A1002" s="16" t="s">
        <v>1229</v>
      </c>
      <c r="B1002" s="18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8"/>
      <c r="R1002" s="16"/>
      <c r="S1002" s="18"/>
      <c r="T1002" s="24"/>
      <c r="U1002" s="23"/>
      <c r="V1002" s="52"/>
      <c r="W1002" s="50" t="str">
        <f aca="true">IF(Q1002="","",TODAY()-Q1002)</f>
        <v/>
      </c>
      <c r="X1002" s="51" t="str">
        <f aca="true">IF(F1002="","",IF(OR(O1002="Won",O1002="Lost"),"Closed",IF(S1002="","No date set",IF(S1002&lt;TODAY(),"Overdue",IF(S1002=TODAY(),"Due today","Upcoming")))))</f>
        <v/>
      </c>
    </row>
    <row r="1003" customFormat="false" ht="15" hidden="false" customHeight="false" outlineLevel="0" collapsed="false">
      <c r="A1003" s="16" t="s">
        <v>1230</v>
      </c>
      <c r="B1003" s="18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8"/>
      <c r="R1003" s="16"/>
      <c r="S1003" s="18"/>
      <c r="T1003" s="24"/>
      <c r="U1003" s="23"/>
      <c r="V1003" s="52"/>
      <c r="W1003" s="50" t="str">
        <f aca="true">IF(Q1003="","",TODAY()-Q1003)</f>
        <v/>
      </c>
      <c r="X1003" s="51" t="str">
        <f aca="true">IF(F1003="","",IF(OR(O1003="Won",O1003="Lost"),"Closed",IF(S1003="","No date set",IF(S1003&lt;TODAY(),"Overdue",IF(S1003=TODAY(),"Due today","Upcoming")))))</f>
        <v/>
      </c>
    </row>
    <row r="1004" customFormat="false" ht="15" hidden="false" customHeight="false" outlineLevel="0" collapsed="false">
      <c r="A1004" s="16" t="s">
        <v>1231</v>
      </c>
      <c r="B1004" s="18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8"/>
      <c r="R1004" s="16"/>
      <c r="S1004" s="18"/>
      <c r="T1004" s="24"/>
      <c r="U1004" s="23"/>
      <c r="V1004" s="52"/>
      <c r="W1004" s="50" t="str">
        <f aca="true">IF(Q1004="","",TODAY()-Q1004)</f>
        <v/>
      </c>
      <c r="X1004" s="51" t="str">
        <f aca="true">IF(F1004="","",IF(OR(O1004="Won",O1004="Lost"),"Closed",IF(S1004="","No date set",IF(S1004&lt;TODAY(),"Overdue",IF(S1004=TODAY(),"Due today","Upcoming")))))</f>
        <v/>
      </c>
    </row>
  </sheetData>
  <autoFilter ref="A4:X1004"/>
  <conditionalFormatting sqref="O5:O1004">
    <cfRule type="cellIs" priority="2" operator="equal" aboveAverage="0" equalAverage="0" bottom="0" percent="0" rank="0" text="" dxfId="13">
      <formula>"New"</formula>
    </cfRule>
    <cfRule type="cellIs" priority="3" operator="equal" aboveAverage="0" equalAverage="0" bottom="0" percent="0" rank="0" text="" dxfId="13">
      <formula>"Contacted"</formula>
    </cfRule>
    <cfRule type="cellIs" priority="4" operator="equal" aboveAverage="0" equalAverage="0" bottom="0" percent="0" rank="0" text="" dxfId="14">
      <formula>"Interested"</formula>
    </cfRule>
    <cfRule type="cellIs" priority="5" operator="equal" aboveAverage="0" equalAverage="0" bottom="0" percent="0" rank="0" text="" dxfId="15">
      <formula>"Samples Sent"</formula>
    </cfRule>
    <cfRule type="cellIs" priority="6" operator="equal" aboveAverage="0" equalAverage="0" bottom="0" percent="0" rank="0" text="" dxfId="16">
      <formula>"Offer Sent"</formula>
    </cfRule>
    <cfRule type="cellIs" priority="7" operator="equal" aboveAverage="0" equalAverage="0" bottom="0" percent="0" rank="0" text="" dxfId="17">
      <formula>"Negotiation"</formula>
    </cfRule>
    <cfRule type="cellIs" priority="8" operator="equal" aboveAverage="0" equalAverage="0" bottom="0" percent="0" rank="0" text="" dxfId="18">
      <formula>"Won"</formula>
    </cfRule>
    <cfRule type="cellIs" priority="9" operator="equal" aboveAverage="0" equalAverage="0" bottom="0" percent="0" rank="0" text="" dxfId="19">
      <formula>"Lost"</formula>
    </cfRule>
    <cfRule type="cellIs" priority="10" operator="equal" aboveAverage="0" equalAverage="0" bottom="0" percent="0" rank="0" text="" dxfId="20">
      <formula>"On Hold"</formula>
    </cfRule>
  </conditionalFormatting>
  <conditionalFormatting sqref="P5:P1004">
    <cfRule type="cellIs" priority="11" operator="equal" aboveAverage="0" equalAverage="0" bottom="0" percent="0" rank="0" text="" dxfId="21">
      <formula>"Hot"</formula>
    </cfRule>
  </conditionalFormatting>
  <conditionalFormatting sqref="X5:X1004">
    <cfRule type="cellIs" priority="12" operator="equal" aboveAverage="0" equalAverage="0" bottom="0" percent="0" rank="0" text="" dxfId="2">
      <formula>"Overdue"</formula>
    </cfRule>
    <cfRule type="cellIs" priority="13" operator="equal" aboveAverage="0" equalAverage="0" bottom="0" percent="0" rank="0" text="" dxfId="22">
      <formula>"Due today"</formula>
    </cfRule>
  </conditionalFormatting>
  <conditionalFormatting sqref="W5:W1004">
    <cfRule type="expression" priority="14" aboveAverage="0" equalAverage="0" bottom="0" percent="0" rank="0" text="" dxfId="16">
      <formula>AND(ISNUMBER(W5),W5&gt;7,$X5&lt;&gt;"Closed")</formula>
    </cfRule>
  </conditionalFormatting>
  <dataValidations count="8">
    <dataValidation allowBlank="true" error="Enter a date, e.g. 02.10.2026" errorStyle="stop" operator="greaterThan" showDropDown="false" showErrorMessage="false" showInputMessage="false" sqref="B5:B1004 Q5:Q1004 S5:S1004" type="date">
      <formula1>36526</formula1>
      <formula2>0</formula2>
    </dataValidation>
    <dataValidation allowBlank="true" errorStyle="stop" operator="between" showDropDown="false" showErrorMessage="false" showInputMessage="false" sqref="C5:C1004" type="list">
      <formula1>Lists!$A$5:$A$14</formula1>
      <formula2>0</formula2>
    </dataValidation>
    <dataValidation allowBlank="true" errorStyle="stop" operator="between" showDropDown="false" showErrorMessage="false" showInputMessage="false" sqref="D5:D1004" type="list">
      <formula1>Lists!$B$5:$B$34</formula1>
      <formula2>0</formula2>
    </dataValidation>
    <dataValidation allowBlank="true" error="Not in the list — add it to the Lists / Geography sheet if it is a new value." errorStyle="warning" errorTitle="New value" operator="between" showDropDown="false" showErrorMessage="false" showInputMessage="false" sqref="E5:E1004" type="list">
      <formula1>Geography!$B$5:$B$304</formula1>
      <formula2>0</formula2>
    </dataValidation>
    <dataValidation allowBlank="true" errorStyle="stop" operator="between" showDropDown="false" showErrorMessage="false" showInputMessage="false" sqref="G5:G1004" type="list">
      <formula1>Lists!$C$5:$C$19</formula1>
      <formula2>0</formula2>
    </dataValidation>
    <dataValidation allowBlank="true" errorStyle="stop" operator="between" showDropDown="false" showErrorMessage="false" showInputMessage="false" sqref="M5:M1004" type="list">
      <formula1>Lists!$F$5:$F$19</formula1>
      <formula2>0</formula2>
    </dataValidation>
    <dataValidation allowBlank="true" errorStyle="stop" operator="between" showDropDown="false" showErrorMessage="false" showInputMessage="false" sqref="O5:O1004" type="list">
      <formula1>Lists!$D$5:$D$19</formula1>
      <formula2>0</formula2>
    </dataValidation>
    <dataValidation allowBlank="true" errorStyle="stop" operator="between" showDropDown="false" showErrorMessage="false" showInputMessage="false" sqref="P5:P1004" type="list">
      <formula1>Lists!$E$5:$E$19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X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5"/>
    <col collapsed="false" customWidth="true" hidden="false" outlineLevel="0" max="4" min="4" style="0" width="28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24"/>
    <col collapsed="false" customWidth="true" hidden="false" outlineLevel="0" max="11" min="10" style="0" width="17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8" min="17" style="0" width="14"/>
    <col collapsed="false" customWidth="true" hidden="false" outlineLevel="0" max="19" min="19" style="0" width="13"/>
    <col collapsed="false" customWidth="true" hidden="false" outlineLevel="0" max="21" min="20" style="0" width="12"/>
    <col collapsed="false" customWidth="true" hidden="false" outlineLevel="0" max="22" min="22" style="0" width="34"/>
    <col collapsed="false" customWidth="true" hidden="false" outlineLevel="0" max="23" min="23" style="0" width="11"/>
    <col collapsed="false" customWidth="true" hidden="false" outlineLevel="0" max="24" min="24" style="0" width="18"/>
  </cols>
  <sheetData>
    <row r="1" customFormat="false" ht="17.35" hidden="false" customHeight="false" outlineLevel="0" collapsed="false">
      <c r="A1" s="30" t="s">
        <v>1232</v>
      </c>
    </row>
    <row r="2" customFormat="false" ht="15" hidden="false" customHeight="false" outlineLevel="0" collapsed="false">
      <c r="A2" s="2" t="s">
        <v>1233</v>
      </c>
    </row>
    <row r="4" customFormat="false" ht="31.5" hidden="false" customHeight="true" outlineLevel="0" collapsed="false">
      <c r="A4" s="41" t="s">
        <v>1234</v>
      </c>
      <c r="B4" s="41" t="s">
        <v>35</v>
      </c>
      <c r="C4" s="41" t="s">
        <v>159</v>
      </c>
      <c r="D4" s="41" t="s">
        <v>209</v>
      </c>
      <c r="E4" s="41" t="s">
        <v>210</v>
      </c>
      <c r="F4" s="41" t="s">
        <v>211</v>
      </c>
      <c r="G4" s="41" t="s">
        <v>212</v>
      </c>
      <c r="H4" s="41" t="s">
        <v>213</v>
      </c>
      <c r="I4" s="41" t="s">
        <v>111</v>
      </c>
      <c r="J4" s="41" t="s">
        <v>101</v>
      </c>
      <c r="K4" s="41" t="s">
        <v>1235</v>
      </c>
      <c r="L4" s="41" t="s">
        <v>1236</v>
      </c>
      <c r="M4" s="41" t="s">
        <v>1237</v>
      </c>
      <c r="N4" s="41" t="s">
        <v>83</v>
      </c>
      <c r="O4" s="41" t="s">
        <v>1238</v>
      </c>
      <c r="P4" s="41" t="s">
        <v>1239</v>
      </c>
      <c r="Q4" s="41" t="s">
        <v>1240</v>
      </c>
      <c r="R4" s="41" t="s">
        <v>16</v>
      </c>
      <c r="S4" s="41" t="s">
        <v>1241</v>
      </c>
      <c r="T4" s="41" t="s">
        <v>82</v>
      </c>
      <c r="U4" s="41" t="s">
        <v>1242</v>
      </c>
      <c r="V4" s="41" t="s">
        <v>1243</v>
      </c>
      <c r="W4" s="41" t="s">
        <v>1244</v>
      </c>
      <c r="X4" s="41" t="s">
        <v>1245</v>
      </c>
    </row>
    <row r="5" customFormat="false" ht="15" hidden="false" customHeight="false" outlineLevel="0" collapsed="false">
      <c r="A5" s="45" t="s">
        <v>1246</v>
      </c>
      <c r="B5" s="45" t="s">
        <v>86</v>
      </c>
      <c r="C5" s="45" t="s">
        <v>167</v>
      </c>
      <c r="D5" s="45" t="s">
        <v>1247</v>
      </c>
      <c r="E5" s="45" t="s">
        <v>107</v>
      </c>
      <c r="F5" s="45" t="s">
        <v>1248</v>
      </c>
      <c r="G5" s="45" t="s">
        <v>1249</v>
      </c>
      <c r="H5" s="45" t="s">
        <v>1250</v>
      </c>
      <c r="I5" s="45" t="s">
        <v>1251</v>
      </c>
      <c r="J5" s="45" t="s">
        <v>1250</v>
      </c>
      <c r="K5" s="45" t="s">
        <v>85</v>
      </c>
      <c r="L5" s="46" t="n">
        <v>46096</v>
      </c>
      <c r="M5" s="45" t="s">
        <v>1252</v>
      </c>
      <c r="N5" s="45" t="s">
        <v>122</v>
      </c>
      <c r="O5" s="48" t="n">
        <v>20000</v>
      </c>
      <c r="P5" s="46" t="n">
        <v>46285</v>
      </c>
      <c r="Q5" s="48" t="n">
        <v>8500</v>
      </c>
      <c r="R5" s="48" t="n">
        <v>64000</v>
      </c>
      <c r="S5" s="47" t="n">
        <v>1800</v>
      </c>
      <c r="T5" s="45" t="s">
        <v>93</v>
      </c>
      <c r="U5" s="46" t="n">
        <v>46303</v>
      </c>
      <c r="V5" s="45" t="s">
        <v>1253</v>
      </c>
      <c r="W5" s="50" t="n">
        <f aca="true">IF(P5="","",TODAY()-P5)</f>
        <v>12</v>
      </c>
      <c r="X5" s="51" t="str">
        <f aca="true">IF(D5="","",IF(AND(U5&lt;&gt;"",U5&lt;TODAY()),"Follow-up overdue",IF(AND(W5&lt;&gt;"",W5&gt;60),"No order 60+ days","OK")))</f>
        <v>OK</v>
      </c>
    </row>
    <row r="6" customFormat="false" ht="15" hidden="false" customHeight="false" outlineLevel="0" collapsed="false">
      <c r="A6" s="16" t="s">
        <v>1254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8"/>
      <c r="M6" s="16"/>
      <c r="N6" s="16"/>
      <c r="O6" s="23"/>
      <c r="P6" s="18"/>
      <c r="Q6" s="23"/>
      <c r="R6" s="23"/>
      <c r="S6" s="24"/>
      <c r="T6" s="16"/>
      <c r="U6" s="18"/>
      <c r="V6" s="16"/>
      <c r="W6" s="50" t="str">
        <f aca="true">IF(P6="","",TODAY()-P6)</f>
        <v/>
      </c>
      <c r="X6" s="51" t="str">
        <f aca="true">IF(D6="","",IF(AND(U6&lt;&gt;"",U6&lt;TODAY()),"Follow-up overdue",IF(AND(W6&lt;&gt;"",W6&gt;60),"No order 60+ days","OK")))</f>
        <v/>
      </c>
    </row>
    <row r="7" customFormat="false" ht="15" hidden="false" customHeight="false" outlineLevel="0" collapsed="false">
      <c r="A7" s="16" t="s">
        <v>1255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8"/>
      <c r="M7" s="16"/>
      <c r="N7" s="16"/>
      <c r="O7" s="23"/>
      <c r="P7" s="18"/>
      <c r="Q7" s="23"/>
      <c r="R7" s="23"/>
      <c r="S7" s="24"/>
      <c r="T7" s="16"/>
      <c r="U7" s="18"/>
      <c r="V7" s="16"/>
      <c r="W7" s="50" t="str">
        <f aca="true">IF(P7="","",TODAY()-P7)</f>
        <v/>
      </c>
      <c r="X7" s="51" t="str">
        <f aca="true">IF(D7="","",IF(AND(U7&lt;&gt;"",U7&lt;TODAY()),"Follow-up overdue",IF(AND(W7&lt;&gt;"",W7&gt;60),"No order 60+ days","OK")))</f>
        <v/>
      </c>
    </row>
    <row r="8" customFormat="false" ht="15" hidden="false" customHeight="false" outlineLevel="0" collapsed="false">
      <c r="A8" s="16" t="s">
        <v>1256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8"/>
      <c r="M8" s="16"/>
      <c r="N8" s="16"/>
      <c r="O8" s="23"/>
      <c r="P8" s="18"/>
      <c r="Q8" s="23"/>
      <c r="R8" s="23"/>
      <c r="S8" s="24"/>
      <c r="T8" s="16"/>
      <c r="U8" s="18"/>
      <c r="V8" s="16"/>
      <c r="W8" s="50" t="str">
        <f aca="true">IF(P8="","",TODAY()-P8)</f>
        <v/>
      </c>
      <c r="X8" s="51" t="str">
        <f aca="true">IF(D8="","",IF(AND(U8&lt;&gt;"",U8&lt;TODAY()),"Follow-up overdue",IF(AND(W8&lt;&gt;"",W8&gt;60),"No order 60+ days","OK")))</f>
        <v/>
      </c>
    </row>
    <row r="9" customFormat="false" ht="15" hidden="false" customHeight="false" outlineLevel="0" collapsed="false">
      <c r="A9" s="16" t="s">
        <v>1257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8"/>
      <c r="M9" s="16"/>
      <c r="N9" s="16"/>
      <c r="O9" s="23"/>
      <c r="P9" s="18"/>
      <c r="Q9" s="23"/>
      <c r="R9" s="23"/>
      <c r="S9" s="24"/>
      <c r="T9" s="16"/>
      <c r="U9" s="18"/>
      <c r="V9" s="16"/>
      <c r="W9" s="50" t="str">
        <f aca="true">IF(P9="","",TODAY()-P9)</f>
        <v/>
      </c>
      <c r="X9" s="51" t="str">
        <f aca="true">IF(D9="","",IF(AND(U9&lt;&gt;"",U9&lt;TODAY()),"Follow-up overdue",IF(AND(W9&lt;&gt;"",W9&gt;60),"No order 60+ days","OK")))</f>
        <v/>
      </c>
    </row>
    <row r="10" customFormat="false" ht="15" hidden="false" customHeight="false" outlineLevel="0" collapsed="false">
      <c r="A10" s="16" t="s">
        <v>1258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8"/>
      <c r="M10" s="16"/>
      <c r="N10" s="16"/>
      <c r="O10" s="23"/>
      <c r="P10" s="18"/>
      <c r="Q10" s="23"/>
      <c r="R10" s="23"/>
      <c r="S10" s="24"/>
      <c r="T10" s="16"/>
      <c r="U10" s="18"/>
      <c r="V10" s="16"/>
      <c r="W10" s="50" t="str">
        <f aca="true">IF(P10="","",TODAY()-P10)</f>
        <v/>
      </c>
      <c r="X10" s="51" t="str">
        <f aca="true">IF(D10="","",IF(AND(U10&lt;&gt;"",U10&lt;TODAY()),"Follow-up overdue",IF(AND(W10&lt;&gt;"",W10&gt;60),"No order 60+ days","OK")))</f>
        <v/>
      </c>
    </row>
    <row r="11" customFormat="false" ht="15" hidden="false" customHeight="false" outlineLevel="0" collapsed="false">
      <c r="A11" s="16" t="s">
        <v>1259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8"/>
      <c r="M11" s="16"/>
      <c r="N11" s="16"/>
      <c r="O11" s="23"/>
      <c r="P11" s="18"/>
      <c r="Q11" s="23"/>
      <c r="R11" s="23"/>
      <c r="S11" s="24"/>
      <c r="T11" s="16"/>
      <c r="U11" s="18"/>
      <c r="V11" s="16"/>
      <c r="W11" s="50" t="str">
        <f aca="true">IF(P11="","",TODAY()-P11)</f>
        <v/>
      </c>
      <c r="X11" s="51" t="str">
        <f aca="true">IF(D11="","",IF(AND(U11&lt;&gt;"",U11&lt;TODAY()),"Follow-up overdue",IF(AND(W11&lt;&gt;"",W11&gt;60),"No order 60+ days","OK")))</f>
        <v/>
      </c>
    </row>
    <row r="12" customFormat="false" ht="15" hidden="false" customHeight="false" outlineLevel="0" collapsed="false">
      <c r="A12" s="16" t="s">
        <v>1260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8"/>
      <c r="M12" s="16"/>
      <c r="N12" s="16"/>
      <c r="O12" s="23"/>
      <c r="P12" s="18"/>
      <c r="Q12" s="23"/>
      <c r="R12" s="23"/>
      <c r="S12" s="24"/>
      <c r="T12" s="16"/>
      <c r="U12" s="18"/>
      <c r="V12" s="16"/>
      <c r="W12" s="50" t="str">
        <f aca="true">IF(P12="","",TODAY()-P12)</f>
        <v/>
      </c>
      <c r="X12" s="51" t="str">
        <f aca="true">IF(D12="","",IF(AND(U12&lt;&gt;"",U12&lt;TODAY()),"Follow-up overdue",IF(AND(W12&lt;&gt;"",W12&gt;60),"No order 60+ days","OK")))</f>
        <v/>
      </c>
    </row>
    <row r="13" customFormat="false" ht="15" hidden="false" customHeight="false" outlineLevel="0" collapsed="false">
      <c r="A13" s="16" t="s">
        <v>1261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8"/>
      <c r="M13" s="16"/>
      <c r="N13" s="16"/>
      <c r="O13" s="23"/>
      <c r="P13" s="18"/>
      <c r="Q13" s="23"/>
      <c r="R13" s="23"/>
      <c r="S13" s="24"/>
      <c r="T13" s="16"/>
      <c r="U13" s="18"/>
      <c r="V13" s="16"/>
      <c r="W13" s="50" t="str">
        <f aca="true">IF(P13="","",TODAY()-P13)</f>
        <v/>
      </c>
      <c r="X13" s="51" t="str">
        <f aca="true">IF(D13="","",IF(AND(U13&lt;&gt;"",U13&lt;TODAY()),"Follow-up overdue",IF(AND(W13&lt;&gt;"",W13&gt;60),"No order 60+ days","OK")))</f>
        <v/>
      </c>
    </row>
    <row r="14" customFormat="false" ht="15" hidden="false" customHeight="false" outlineLevel="0" collapsed="false">
      <c r="A14" s="16" t="s">
        <v>1262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8"/>
      <c r="M14" s="16"/>
      <c r="N14" s="16"/>
      <c r="O14" s="23"/>
      <c r="P14" s="18"/>
      <c r="Q14" s="23"/>
      <c r="R14" s="23"/>
      <c r="S14" s="24"/>
      <c r="T14" s="16"/>
      <c r="U14" s="18"/>
      <c r="V14" s="16"/>
      <c r="W14" s="50" t="str">
        <f aca="true">IF(P14="","",TODAY()-P14)</f>
        <v/>
      </c>
      <c r="X14" s="51" t="str">
        <f aca="true">IF(D14="","",IF(AND(U14&lt;&gt;"",U14&lt;TODAY()),"Follow-up overdue",IF(AND(W14&lt;&gt;"",W14&gt;60),"No order 60+ days","OK")))</f>
        <v/>
      </c>
    </row>
    <row r="15" customFormat="false" ht="15" hidden="false" customHeight="false" outlineLevel="0" collapsed="false">
      <c r="A15" s="16" t="s">
        <v>1263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8"/>
      <c r="M15" s="16"/>
      <c r="N15" s="16"/>
      <c r="O15" s="23"/>
      <c r="P15" s="18"/>
      <c r="Q15" s="23"/>
      <c r="R15" s="23"/>
      <c r="S15" s="24"/>
      <c r="T15" s="16"/>
      <c r="U15" s="18"/>
      <c r="V15" s="16"/>
      <c r="W15" s="50" t="str">
        <f aca="true">IF(P15="","",TODAY()-P15)</f>
        <v/>
      </c>
      <c r="X15" s="51" t="str">
        <f aca="true">IF(D15="","",IF(AND(U15&lt;&gt;"",U15&lt;TODAY()),"Follow-up overdue",IF(AND(W15&lt;&gt;"",W15&gt;60),"No order 60+ days","OK")))</f>
        <v/>
      </c>
    </row>
    <row r="16" customFormat="false" ht="15" hidden="false" customHeight="false" outlineLevel="0" collapsed="false">
      <c r="A16" s="16" t="s">
        <v>1264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8"/>
      <c r="M16" s="16"/>
      <c r="N16" s="16"/>
      <c r="O16" s="23"/>
      <c r="P16" s="18"/>
      <c r="Q16" s="23"/>
      <c r="R16" s="23"/>
      <c r="S16" s="24"/>
      <c r="T16" s="16"/>
      <c r="U16" s="18"/>
      <c r="V16" s="16"/>
      <c r="W16" s="50" t="str">
        <f aca="true">IF(P16="","",TODAY()-P16)</f>
        <v/>
      </c>
      <c r="X16" s="51" t="str">
        <f aca="true">IF(D16="","",IF(AND(U16&lt;&gt;"",U16&lt;TODAY()),"Follow-up overdue",IF(AND(W16&lt;&gt;"",W16&gt;60),"No order 60+ days","OK")))</f>
        <v/>
      </c>
    </row>
    <row r="17" customFormat="false" ht="15" hidden="false" customHeight="false" outlineLevel="0" collapsed="false">
      <c r="A17" s="16" t="s">
        <v>1265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8"/>
      <c r="M17" s="16"/>
      <c r="N17" s="16"/>
      <c r="O17" s="23"/>
      <c r="P17" s="18"/>
      <c r="Q17" s="23"/>
      <c r="R17" s="23"/>
      <c r="S17" s="24"/>
      <c r="T17" s="16"/>
      <c r="U17" s="18"/>
      <c r="V17" s="16"/>
      <c r="W17" s="50" t="str">
        <f aca="true">IF(P17="","",TODAY()-P17)</f>
        <v/>
      </c>
      <c r="X17" s="51" t="str">
        <f aca="true">IF(D17="","",IF(AND(U17&lt;&gt;"",U17&lt;TODAY()),"Follow-up overdue",IF(AND(W17&lt;&gt;"",W17&gt;60),"No order 60+ days","OK")))</f>
        <v/>
      </c>
    </row>
    <row r="18" customFormat="false" ht="15" hidden="false" customHeight="false" outlineLevel="0" collapsed="false">
      <c r="A18" s="16" t="s">
        <v>1266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8"/>
      <c r="M18" s="16"/>
      <c r="N18" s="16"/>
      <c r="O18" s="23"/>
      <c r="P18" s="18"/>
      <c r="Q18" s="23"/>
      <c r="R18" s="23"/>
      <c r="S18" s="24"/>
      <c r="T18" s="16"/>
      <c r="U18" s="18"/>
      <c r="V18" s="16"/>
      <c r="W18" s="50" t="str">
        <f aca="true">IF(P18="","",TODAY()-P18)</f>
        <v/>
      </c>
      <c r="X18" s="51" t="str">
        <f aca="true">IF(D18="","",IF(AND(U18&lt;&gt;"",U18&lt;TODAY()),"Follow-up overdue",IF(AND(W18&lt;&gt;"",W18&gt;60),"No order 60+ days","OK")))</f>
        <v/>
      </c>
    </row>
    <row r="19" customFormat="false" ht="15" hidden="false" customHeight="false" outlineLevel="0" collapsed="false">
      <c r="A19" s="16" t="s">
        <v>1267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8"/>
      <c r="M19" s="16"/>
      <c r="N19" s="16"/>
      <c r="O19" s="23"/>
      <c r="P19" s="18"/>
      <c r="Q19" s="23"/>
      <c r="R19" s="23"/>
      <c r="S19" s="24"/>
      <c r="T19" s="16"/>
      <c r="U19" s="18"/>
      <c r="V19" s="16"/>
      <c r="W19" s="50" t="str">
        <f aca="true">IF(P19="","",TODAY()-P19)</f>
        <v/>
      </c>
      <c r="X19" s="51" t="str">
        <f aca="true">IF(D19="","",IF(AND(U19&lt;&gt;"",U19&lt;TODAY()),"Follow-up overdue",IF(AND(W19&lt;&gt;"",W19&gt;60),"No order 60+ days","OK")))</f>
        <v/>
      </c>
    </row>
    <row r="20" customFormat="false" ht="15" hidden="false" customHeight="false" outlineLevel="0" collapsed="false">
      <c r="A20" s="16" t="s">
        <v>1268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8"/>
      <c r="M20" s="16"/>
      <c r="N20" s="16"/>
      <c r="O20" s="23"/>
      <c r="P20" s="18"/>
      <c r="Q20" s="23"/>
      <c r="R20" s="23"/>
      <c r="S20" s="24"/>
      <c r="T20" s="16"/>
      <c r="U20" s="18"/>
      <c r="V20" s="16"/>
      <c r="W20" s="50" t="str">
        <f aca="true">IF(P20="","",TODAY()-P20)</f>
        <v/>
      </c>
      <c r="X20" s="51" t="str">
        <f aca="true">IF(D20="","",IF(AND(U20&lt;&gt;"",U20&lt;TODAY()),"Follow-up overdue",IF(AND(W20&lt;&gt;"",W20&gt;60),"No order 60+ days","OK")))</f>
        <v/>
      </c>
    </row>
    <row r="21" customFormat="false" ht="15" hidden="false" customHeight="false" outlineLevel="0" collapsed="false">
      <c r="A21" s="16" t="s">
        <v>1269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8"/>
      <c r="M21" s="16"/>
      <c r="N21" s="16"/>
      <c r="O21" s="23"/>
      <c r="P21" s="18"/>
      <c r="Q21" s="23"/>
      <c r="R21" s="23"/>
      <c r="S21" s="24"/>
      <c r="T21" s="16"/>
      <c r="U21" s="18"/>
      <c r="V21" s="16"/>
      <c r="W21" s="50" t="str">
        <f aca="true">IF(P21="","",TODAY()-P21)</f>
        <v/>
      </c>
      <c r="X21" s="51" t="str">
        <f aca="true">IF(D21="","",IF(AND(U21&lt;&gt;"",U21&lt;TODAY()),"Follow-up overdue",IF(AND(W21&lt;&gt;"",W21&gt;60),"No order 60+ days","OK")))</f>
        <v/>
      </c>
    </row>
    <row r="22" customFormat="false" ht="15" hidden="false" customHeight="false" outlineLevel="0" collapsed="false">
      <c r="A22" s="16" t="s">
        <v>1270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8"/>
      <c r="M22" s="16"/>
      <c r="N22" s="16"/>
      <c r="O22" s="23"/>
      <c r="P22" s="18"/>
      <c r="Q22" s="23"/>
      <c r="R22" s="23"/>
      <c r="S22" s="24"/>
      <c r="T22" s="16"/>
      <c r="U22" s="18"/>
      <c r="V22" s="16"/>
      <c r="W22" s="50" t="str">
        <f aca="true">IF(P22="","",TODAY()-P22)</f>
        <v/>
      </c>
      <c r="X22" s="51" t="str">
        <f aca="true">IF(D22="","",IF(AND(U22&lt;&gt;"",U22&lt;TODAY()),"Follow-up overdue",IF(AND(W22&lt;&gt;"",W22&gt;60),"No order 60+ days","OK")))</f>
        <v/>
      </c>
    </row>
    <row r="23" customFormat="false" ht="15" hidden="false" customHeight="false" outlineLevel="0" collapsed="false">
      <c r="A23" s="16" t="s">
        <v>1271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8"/>
      <c r="M23" s="16"/>
      <c r="N23" s="16"/>
      <c r="O23" s="23"/>
      <c r="P23" s="18"/>
      <c r="Q23" s="23"/>
      <c r="R23" s="23"/>
      <c r="S23" s="24"/>
      <c r="T23" s="16"/>
      <c r="U23" s="18"/>
      <c r="V23" s="16"/>
      <c r="W23" s="50" t="str">
        <f aca="true">IF(P23="","",TODAY()-P23)</f>
        <v/>
      </c>
      <c r="X23" s="51" t="str">
        <f aca="true">IF(D23="","",IF(AND(U23&lt;&gt;"",U23&lt;TODAY()),"Follow-up overdue",IF(AND(W23&lt;&gt;"",W23&gt;60),"No order 60+ days","OK")))</f>
        <v/>
      </c>
    </row>
    <row r="24" customFormat="false" ht="15" hidden="false" customHeight="false" outlineLevel="0" collapsed="false">
      <c r="A24" s="16" t="s">
        <v>1272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8"/>
      <c r="M24" s="16"/>
      <c r="N24" s="16"/>
      <c r="O24" s="23"/>
      <c r="P24" s="18"/>
      <c r="Q24" s="23"/>
      <c r="R24" s="23"/>
      <c r="S24" s="24"/>
      <c r="T24" s="16"/>
      <c r="U24" s="18"/>
      <c r="V24" s="16"/>
      <c r="W24" s="50" t="str">
        <f aca="true">IF(P24="","",TODAY()-P24)</f>
        <v/>
      </c>
      <c r="X24" s="51" t="str">
        <f aca="true">IF(D24="","",IF(AND(U24&lt;&gt;"",U24&lt;TODAY()),"Follow-up overdue",IF(AND(W24&lt;&gt;"",W24&gt;60),"No order 60+ days","OK")))</f>
        <v/>
      </c>
    </row>
    <row r="25" customFormat="false" ht="15" hidden="false" customHeight="false" outlineLevel="0" collapsed="false">
      <c r="A25" s="16" t="s">
        <v>1273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8"/>
      <c r="M25" s="16"/>
      <c r="N25" s="16"/>
      <c r="O25" s="23"/>
      <c r="P25" s="18"/>
      <c r="Q25" s="23"/>
      <c r="R25" s="23"/>
      <c r="S25" s="24"/>
      <c r="T25" s="16"/>
      <c r="U25" s="18"/>
      <c r="V25" s="16"/>
      <c r="W25" s="50" t="str">
        <f aca="true">IF(P25="","",TODAY()-P25)</f>
        <v/>
      </c>
      <c r="X25" s="51" t="str">
        <f aca="true">IF(D25="","",IF(AND(U25&lt;&gt;"",U25&lt;TODAY()),"Follow-up overdue",IF(AND(W25&lt;&gt;"",W25&gt;60),"No order 60+ days","OK")))</f>
        <v/>
      </c>
    </row>
    <row r="26" customFormat="false" ht="15" hidden="false" customHeight="false" outlineLevel="0" collapsed="false">
      <c r="A26" s="16" t="s">
        <v>1274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8"/>
      <c r="M26" s="16"/>
      <c r="N26" s="16"/>
      <c r="O26" s="23"/>
      <c r="P26" s="18"/>
      <c r="Q26" s="23"/>
      <c r="R26" s="23"/>
      <c r="S26" s="24"/>
      <c r="T26" s="16"/>
      <c r="U26" s="18"/>
      <c r="V26" s="16"/>
      <c r="W26" s="50" t="str">
        <f aca="true">IF(P26="","",TODAY()-P26)</f>
        <v/>
      </c>
      <c r="X26" s="51" t="str">
        <f aca="true">IF(D26="","",IF(AND(U26&lt;&gt;"",U26&lt;TODAY()),"Follow-up overdue",IF(AND(W26&lt;&gt;"",W26&gt;60),"No order 60+ days","OK")))</f>
        <v/>
      </c>
    </row>
    <row r="27" customFormat="false" ht="15" hidden="false" customHeight="false" outlineLevel="0" collapsed="false">
      <c r="A27" s="16" t="s">
        <v>1275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8"/>
      <c r="M27" s="16"/>
      <c r="N27" s="16"/>
      <c r="O27" s="23"/>
      <c r="P27" s="18"/>
      <c r="Q27" s="23"/>
      <c r="R27" s="23"/>
      <c r="S27" s="24"/>
      <c r="T27" s="16"/>
      <c r="U27" s="18"/>
      <c r="V27" s="16"/>
      <c r="W27" s="50" t="str">
        <f aca="true">IF(P27="","",TODAY()-P27)</f>
        <v/>
      </c>
      <c r="X27" s="51" t="str">
        <f aca="true">IF(D27="","",IF(AND(U27&lt;&gt;"",U27&lt;TODAY()),"Follow-up overdue",IF(AND(W27&lt;&gt;"",W27&gt;60),"No order 60+ days","OK")))</f>
        <v/>
      </c>
    </row>
    <row r="28" customFormat="false" ht="15" hidden="false" customHeight="false" outlineLevel="0" collapsed="false">
      <c r="A28" s="16" t="s">
        <v>1276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8"/>
      <c r="M28" s="16"/>
      <c r="N28" s="16"/>
      <c r="O28" s="23"/>
      <c r="P28" s="18"/>
      <c r="Q28" s="23"/>
      <c r="R28" s="23"/>
      <c r="S28" s="24"/>
      <c r="T28" s="16"/>
      <c r="U28" s="18"/>
      <c r="V28" s="16"/>
      <c r="W28" s="50" t="str">
        <f aca="true">IF(P28="","",TODAY()-P28)</f>
        <v/>
      </c>
      <c r="X28" s="51" t="str">
        <f aca="true">IF(D28="","",IF(AND(U28&lt;&gt;"",U28&lt;TODAY()),"Follow-up overdue",IF(AND(W28&lt;&gt;"",W28&gt;60),"No order 60+ days","OK")))</f>
        <v/>
      </c>
    </row>
    <row r="29" customFormat="false" ht="15" hidden="false" customHeight="false" outlineLevel="0" collapsed="false">
      <c r="A29" s="16" t="s">
        <v>1277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8"/>
      <c r="M29" s="16"/>
      <c r="N29" s="16"/>
      <c r="O29" s="23"/>
      <c r="P29" s="18"/>
      <c r="Q29" s="23"/>
      <c r="R29" s="23"/>
      <c r="S29" s="24"/>
      <c r="T29" s="16"/>
      <c r="U29" s="18"/>
      <c r="V29" s="16"/>
      <c r="W29" s="50" t="str">
        <f aca="true">IF(P29="","",TODAY()-P29)</f>
        <v/>
      </c>
      <c r="X29" s="51" t="str">
        <f aca="true">IF(D29="","",IF(AND(U29&lt;&gt;"",U29&lt;TODAY()),"Follow-up overdue",IF(AND(W29&lt;&gt;"",W29&gt;60),"No order 60+ days","OK")))</f>
        <v/>
      </c>
    </row>
    <row r="30" customFormat="false" ht="15" hidden="false" customHeight="false" outlineLevel="0" collapsed="false">
      <c r="A30" s="16" t="s">
        <v>1278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8"/>
      <c r="M30" s="16"/>
      <c r="N30" s="16"/>
      <c r="O30" s="23"/>
      <c r="P30" s="18"/>
      <c r="Q30" s="23"/>
      <c r="R30" s="23"/>
      <c r="S30" s="24"/>
      <c r="T30" s="16"/>
      <c r="U30" s="18"/>
      <c r="V30" s="16"/>
      <c r="W30" s="50" t="str">
        <f aca="true">IF(P30="","",TODAY()-P30)</f>
        <v/>
      </c>
      <c r="X30" s="51" t="str">
        <f aca="true">IF(D30="","",IF(AND(U30&lt;&gt;"",U30&lt;TODAY()),"Follow-up overdue",IF(AND(W30&lt;&gt;"",W30&gt;60),"No order 60+ days","OK")))</f>
        <v/>
      </c>
    </row>
    <row r="31" customFormat="false" ht="15" hidden="false" customHeight="false" outlineLevel="0" collapsed="false">
      <c r="A31" s="16" t="s">
        <v>1279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8"/>
      <c r="M31" s="16"/>
      <c r="N31" s="16"/>
      <c r="O31" s="23"/>
      <c r="P31" s="18"/>
      <c r="Q31" s="23"/>
      <c r="R31" s="23"/>
      <c r="S31" s="24"/>
      <c r="T31" s="16"/>
      <c r="U31" s="18"/>
      <c r="V31" s="16"/>
      <c r="W31" s="50" t="str">
        <f aca="true">IF(P31="","",TODAY()-P31)</f>
        <v/>
      </c>
      <c r="X31" s="51" t="str">
        <f aca="true">IF(D31="","",IF(AND(U31&lt;&gt;"",U31&lt;TODAY()),"Follow-up overdue",IF(AND(W31&lt;&gt;"",W31&gt;60),"No order 60+ days","OK")))</f>
        <v/>
      </c>
    </row>
    <row r="32" customFormat="false" ht="15" hidden="false" customHeight="false" outlineLevel="0" collapsed="false">
      <c r="A32" s="16" t="s">
        <v>1280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8"/>
      <c r="M32" s="16"/>
      <c r="N32" s="16"/>
      <c r="O32" s="23"/>
      <c r="P32" s="18"/>
      <c r="Q32" s="23"/>
      <c r="R32" s="23"/>
      <c r="S32" s="24"/>
      <c r="T32" s="16"/>
      <c r="U32" s="18"/>
      <c r="V32" s="16"/>
      <c r="W32" s="50" t="str">
        <f aca="true">IF(P32="","",TODAY()-P32)</f>
        <v/>
      </c>
      <c r="X32" s="51" t="str">
        <f aca="true">IF(D32="","",IF(AND(U32&lt;&gt;"",U32&lt;TODAY()),"Follow-up overdue",IF(AND(W32&lt;&gt;"",W32&gt;60),"No order 60+ days","OK")))</f>
        <v/>
      </c>
    </row>
    <row r="33" customFormat="false" ht="15" hidden="false" customHeight="false" outlineLevel="0" collapsed="false">
      <c r="A33" s="16" t="s">
        <v>1281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8"/>
      <c r="M33" s="16"/>
      <c r="N33" s="16"/>
      <c r="O33" s="23"/>
      <c r="P33" s="18"/>
      <c r="Q33" s="23"/>
      <c r="R33" s="23"/>
      <c r="S33" s="24"/>
      <c r="T33" s="16"/>
      <c r="U33" s="18"/>
      <c r="V33" s="16"/>
      <c r="W33" s="50" t="str">
        <f aca="true">IF(P33="","",TODAY()-P33)</f>
        <v/>
      </c>
      <c r="X33" s="51" t="str">
        <f aca="true">IF(D33="","",IF(AND(U33&lt;&gt;"",U33&lt;TODAY()),"Follow-up overdue",IF(AND(W33&lt;&gt;"",W33&gt;60),"No order 60+ days","OK")))</f>
        <v/>
      </c>
    </row>
    <row r="34" customFormat="false" ht="15" hidden="false" customHeight="false" outlineLevel="0" collapsed="false">
      <c r="A34" s="16" t="s">
        <v>1282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8"/>
      <c r="M34" s="16"/>
      <c r="N34" s="16"/>
      <c r="O34" s="23"/>
      <c r="P34" s="18"/>
      <c r="Q34" s="23"/>
      <c r="R34" s="23"/>
      <c r="S34" s="24"/>
      <c r="T34" s="16"/>
      <c r="U34" s="18"/>
      <c r="V34" s="16"/>
      <c r="W34" s="50" t="str">
        <f aca="true">IF(P34="","",TODAY()-P34)</f>
        <v/>
      </c>
      <c r="X34" s="51" t="str">
        <f aca="true">IF(D34="","",IF(AND(U34&lt;&gt;"",U34&lt;TODAY()),"Follow-up overdue",IF(AND(W34&lt;&gt;"",W34&gt;60),"No order 60+ days","OK")))</f>
        <v/>
      </c>
    </row>
    <row r="35" customFormat="false" ht="15" hidden="false" customHeight="false" outlineLevel="0" collapsed="false">
      <c r="A35" s="16" t="s">
        <v>1283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8"/>
      <c r="M35" s="16"/>
      <c r="N35" s="16"/>
      <c r="O35" s="23"/>
      <c r="P35" s="18"/>
      <c r="Q35" s="23"/>
      <c r="R35" s="23"/>
      <c r="S35" s="24"/>
      <c r="T35" s="16"/>
      <c r="U35" s="18"/>
      <c r="V35" s="16"/>
      <c r="W35" s="50" t="str">
        <f aca="true">IF(P35="","",TODAY()-P35)</f>
        <v/>
      </c>
      <c r="X35" s="51" t="str">
        <f aca="true">IF(D35="","",IF(AND(U35&lt;&gt;"",U35&lt;TODAY()),"Follow-up overdue",IF(AND(W35&lt;&gt;"",W35&gt;60),"No order 60+ days","OK")))</f>
        <v/>
      </c>
    </row>
    <row r="36" customFormat="false" ht="15" hidden="false" customHeight="false" outlineLevel="0" collapsed="false">
      <c r="A36" s="16" t="s">
        <v>1284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8"/>
      <c r="M36" s="16"/>
      <c r="N36" s="16"/>
      <c r="O36" s="23"/>
      <c r="P36" s="18"/>
      <c r="Q36" s="23"/>
      <c r="R36" s="23"/>
      <c r="S36" s="24"/>
      <c r="T36" s="16"/>
      <c r="U36" s="18"/>
      <c r="V36" s="16"/>
      <c r="W36" s="50" t="str">
        <f aca="true">IF(P36="","",TODAY()-P36)</f>
        <v/>
      </c>
      <c r="X36" s="51" t="str">
        <f aca="true">IF(D36="","",IF(AND(U36&lt;&gt;"",U36&lt;TODAY()),"Follow-up overdue",IF(AND(W36&lt;&gt;"",W36&gt;60),"No order 60+ days","OK")))</f>
        <v/>
      </c>
    </row>
    <row r="37" customFormat="false" ht="15" hidden="false" customHeight="false" outlineLevel="0" collapsed="false">
      <c r="A37" s="16" t="s">
        <v>1285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8"/>
      <c r="M37" s="16"/>
      <c r="N37" s="16"/>
      <c r="O37" s="23"/>
      <c r="P37" s="18"/>
      <c r="Q37" s="23"/>
      <c r="R37" s="23"/>
      <c r="S37" s="24"/>
      <c r="T37" s="16"/>
      <c r="U37" s="18"/>
      <c r="V37" s="16"/>
      <c r="W37" s="50" t="str">
        <f aca="true">IF(P37="","",TODAY()-P37)</f>
        <v/>
      </c>
      <c r="X37" s="51" t="str">
        <f aca="true">IF(D37="","",IF(AND(U37&lt;&gt;"",U37&lt;TODAY()),"Follow-up overdue",IF(AND(W37&lt;&gt;"",W37&gt;60),"No order 60+ days","OK")))</f>
        <v/>
      </c>
    </row>
    <row r="38" customFormat="false" ht="15" hidden="false" customHeight="false" outlineLevel="0" collapsed="false">
      <c r="A38" s="16" t="s">
        <v>1286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8"/>
      <c r="M38" s="16"/>
      <c r="N38" s="16"/>
      <c r="O38" s="23"/>
      <c r="P38" s="18"/>
      <c r="Q38" s="23"/>
      <c r="R38" s="23"/>
      <c r="S38" s="24"/>
      <c r="T38" s="16"/>
      <c r="U38" s="18"/>
      <c r="V38" s="16"/>
      <c r="W38" s="50" t="str">
        <f aca="true">IF(P38="","",TODAY()-P38)</f>
        <v/>
      </c>
      <c r="X38" s="51" t="str">
        <f aca="true">IF(D38="","",IF(AND(U38&lt;&gt;"",U38&lt;TODAY()),"Follow-up overdue",IF(AND(W38&lt;&gt;"",W38&gt;60),"No order 60+ days","OK")))</f>
        <v/>
      </c>
    </row>
    <row r="39" customFormat="false" ht="15" hidden="false" customHeight="false" outlineLevel="0" collapsed="false">
      <c r="A39" s="16" t="s">
        <v>1287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8"/>
      <c r="M39" s="16"/>
      <c r="N39" s="16"/>
      <c r="O39" s="23"/>
      <c r="P39" s="18"/>
      <c r="Q39" s="23"/>
      <c r="R39" s="23"/>
      <c r="S39" s="24"/>
      <c r="T39" s="16"/>
      <c r="U39" s="18"/>
      <c r="V39" s="16"/>
      <c r="W39" s="50" t="str">
        <f aca="true">IF(P39="","",TODAY()-P39)</f>
        <v/>
      </c>
      <c r="X39" s="51" t="str">
        <f aca="true">IF(D39="","",IF(AND(U39&lt;&gt;"",U39&lt;TODAY()),"Follow-up overdue",IF(AND(W39&lt;&gt;"",W39&gt;60),"No order 60+ days","OK")))</f>
        <v/>
      </c>
    </row>
    <row r="40" customFormat="false" ht="15" hidden="false" customHeight="false" outlineLevel="0" collapsed="false">
      <c r="A40" s="16" t="s">
        <v>1288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8"/>
      <c r="M40" s="16"/>
      <c r="N40" s="16"/>
      <c r="O40" s="23"/>
      <c r="P40" s="18"/>
      <c r="Q40" s="23"/>
      <c r="R40" s="23"/>
      <c r="S40" s="24"/>
      <c r="T40" s="16"/>
      <c r="U40" s="18"/>
      <c r="V40" s="16"/>
      <c r="W40" s="50" t="str">
        <f aca="true">IF(P40="","",TODAY()-P40)</f>
        <v/>
      </c>
      <c r="X40" s="51" t="str">
        <f aca="true">IF(D40="","",IF(AND(U40&lt;&gt;"",U40&lt;TODAY()),"Follow-up overdue",IF(AND(W40&lt;&gt;"",W40&gt;60),"No order 60+ days","OK")))</f>
        <v/>
      </c>
    </row>
    <row r="41" customFormat="false" ht="15" hidden="false" customHeight="false" outlineLevel="0" collapsed="false">
      <c r="A41" s="16" t="s">
        <v>1289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8"/>
      <c r="M41" s="16"/>
      <c r="N41" s="16"/>
      <c r="O41" s="23"/>
      <c r="P41" s="18"/>
      <c r="Q41" s="23"/>
      <c r="R41" s="23"/>
      <c r="S41" s="24"/>
      <c r="T41" s="16"/>
      <c r="U41" s="18"/>
      <c r="V41" s="16"/>
      <c r="W41" s="50" t="str">
        <f aca="true">IF(P41="","",TODAY()-P41)</f>
        <v/>
      </c>
      <c r="X41" s="51" t="str">
        <f aca="true">IF(D41="","",IF(AND(U41&lt;&gt;"",U41&lt;TODAY()),"Follow-up overdue",IF(AND(W41&lt;&gt;"",W41&gt;60),"No order 60+ days","OK")))</f>
        <v/>
      </c>
    </row>
    <row r="42" customFormat="false" ht="15" hidden="false" customHeight="false" outlineLevel="0" collapsed="false">
      <c r="A42" s="16" t="s">
        <v>1290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8"/>
      <c r="M42" s="16"/>
      <c r="N42" s="16"/>
      <c r="O42" s="23"/>
      <c r="P42" s="18"/>
      <c r="Q42" s="23"/>
      <c r="R42" s="23"/>
      <c r="S42" s="24"/>
      <c r="T42" s="16"/>
      <c r="U42" s="18"/>
      <c r="V42" s="16"/>
      <c r="W42" s="50" t="str">
        <f aca="true">IF(P42="","",TODAY()-P42)</f>
        <v/>
      </c>
      <c r="X42" s="51" t="str">
        <f aca="true">IF(D42="","",IF(AND(U42&lt;&gt;"",U42&lt;TODAY()),"Follow-up overdue",IF(AND(W42&lt;&gt;"",W42&gt;60),"No order 60+ days","OK")))</f>
        <v/>
      </c>
    </row>
    <row r="43" customFormat="false" ht="15" hidden="false" customHeight="false" outlineLevel="0" collapsed="false">
      <c r="A43" s="16" t="s">
        <v>1291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8"/>
      <c r="M43" s="16"/>
      <c r="N43" s="16"/>
      <c r="O43" s="23"/>
      <c r="P43" s="18"/>
      <c r="Q43" s="23"/>
      <c r="R43" s="23"/>
      <c r="S43" s="24"/>
      <c r="T43" s="16"/>
      <c r="U43" s="18"/>
      <c r="V43" s="16"/>
      <c r="W43" s="50" t="str">
        <f aca="true">IF(P43="","",TODAY()-P43)</f>
        <v/>
      </c>
      <c r="X43" s="51" t="str">
        <f aca="true">IF(D43="","",IF(AND(U43&lt;&gt;"",U43&lt;TODAY()),"Follow-up overdue",IF(AND(W43&lt;&gt;"",W43&gt;60),"No order 60+ days","OK")))</f>
        <v/>
      </c>
    </row>
    <row r="44" customFormat="false" ht="15" hidden="false" customHeight="false" outlineLevel="0" collapsed="false">
      <c r="A44" s="16" t="s">
        <v>1292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8"/>
      <c r="M44" s="16"/>
      <c r="N44" s="16"/>
      <c r="O44" s="23"/>
      <c r="P44" s="18"/>
      <c r="Q44" s="23"/>
      <c r="R44" s="23"/>
      <c r="S44" s="24"/>
      <c r="T44" s="16"/>
      <c r="U44" s="18"/>
      <c r="V44" s="16"/>
      <c r="W44" s="50" t="str">
        <f aca="true">IF(P44="","",TODAY()-P44)</f>
        <v/>
      </c>
      <c r="X44" s="51" t="str">
        <f aca="true">IF(D44="","",IF(AND(U44&lt;&gt;"",U44&lt;TODAY()),"Follow-up overdue",IF(AND(W44&lt;&gt;"",W44&gt;60),"No order 60+ days","OK")))</f>
        <v/>
      </c>
    </row>
    <row r="45" customFormat="false" ht="15" hidden="false" customHeight="false" outlineLevel="0" collapsed="false">
      <c r="A45" s="16" t="s">
        <v>1293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8"/>
      <c r="M45" s="16"/>
      <c r="N45" s="16"/>
      <c r="O45" s="23"/>
      <c r="P45" s="18"/>
      <c r="Q45" s="23"/>
      <c r="R45" s="23"/>
      <c r="S45" s="24"/>
      <c r="T45" s="16"/>
      <c r="U45" s="18"/>
      <c r="V45" s="16"/>
      <c r="W45" s="50" t="str">
        <f aca="true">IF(P45="","",TODAY()-P45)</f>
        <v/>
      </c>
      <c r="X45" s="51" t="str">
        <f aca="true">IF(D45="","",IF(AND(U45&lt;&gt;"",U45&lt;TODAY()),"Follow-up overdue",IF(AND(W45&lt;&gt;"",W45&gt;60),"No order 60+ days","OK")))</f>
        <v/>
      </c>
    </row>
    <row r="46" customFormat="false" ht="15" hidden="false" customHeight="false" outlineLevel="0" collapsed="false">
      <c r="A46" s="16" t="s">
        <v>1294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8"/>
      <c r="M46" s="16"/>
      <c r="N46" s="16"/>
      <c r="O46" s="23"/>
      <c r="P46" s="18"/>
      <c r="Q46" s="23"/>
      <c r="R46" s="23"/>
      <c r="S46" s="24"/>
      <c r="T46" s="16"/>
      <c r="U46" s="18"/>
      <c r="V46" s="16"/>
      <c r="W46" s="50" t="str">
        <f aca="true">IF(P46="","",TODAY()-P46)</f>
        <v/>
      </c>
      <c r="X46" s="51" t="str">
        <f aca="true">IF(D46="","",IF(AND(U46&lt;&gt;"",U46&lt;TODAY()),"Follow-up overdue",IF(AND(W46&lt;&gt;"",W46&gt;60),"No order 60+ days","OK")))</f>
        <v/>
      </c>
    </row>
    <row r="47" customFormat="false" ht="15" hidden="false" customHeight="false" outlineLevel="0" collapsed="false">
      <c r="A47" s="16" t="s">
        <v>1295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8"/>
      <c r="M47" s="16"/>
      <c r="N47" s="16"/>
      <c r="O47" s="23"/>
      <c r="P47" s="18"/>
      <c r="Q47" s="23"/>
      <c r="R47" s="23"/>
      <c r="S47" s="24"/>
      <c r="T47" s="16"/>
      <c r="U47" s="18"/>
      <c r="V47" s="16"/>
      <c r="W47" s="50" t="str">
        <f aca="true">IF(P47="","",TODAY()-P47)</f>
        <v/>
      </c>
      <c r="X47" s="51" t="str">
        <f aca="true">IF(D47="","",IF(AND(U47&lt;&gt;"",U47&lt;TODAY()),"Follow-up overdue",IF(AND(W47&lt;&gt;"",W47&gt;60),"No order 60+ days","OK")))</f>
        <v/>
      </c>
    </row>
    <row r="48" customFormat="false" ht="15" hidden="false" customHeight="false" outlineLevel="0" collapsed="false">
      <c r="A48" s="16" t="s">
        <v>1296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8"/>
      <c r="M48" s="16"/>
      <c r="N48" s="16"/>
      <c r="O48" s="23"/>
      <c r="P48" s="18"/>
      <c r="Q48" s="23"/>
      <c r="R48" s="23"/>
      <c r="S48" s="24"/>
      <c r="T48" s="16"/>
      <c r="U48" s="18"/>
      <c r="V48" s="16"/>
      <c r="W48" s="50" t="str">
        <f aca="true">IF(P48="","",TODAY()-P48)</f>
        <v/>
      </c>
      <c r="X48" s="51" t="str">
        <f aca="true">IF(D48="","",IF(AND(U48&lt;&gt;"",U48&lt;TODAY()),"Follow-up overdue",IF(AND(W48&lt;&gt;"",W48&gt;60),"No order 60+ days","OK")))</f>
        <v/>
      </c>
    </row>
    <row r="49" customFormat="false" ht="15" hidden="false" customHeight="false" outlineLevel="0" collapsed="false">
      <c r="A49" s="16" t="s">
        <v>1297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8"/>
      <c r="M49" s="16"/>
      <c r="N49" s="16"/>
      <c r="O49" s="23"/>
      <c r="P49" s="18"/>
      <c r="Q49" s="23"/>
      <c r="R49" s="23"/>
      <c r="S49" s="24"/>
      <c r="T49" s="16"/>
      <c r="U49" s="18"/>
      <c r="V49" s="16"/>
      <c r="W49" s="50" t="str">
        <f aca="true">IF(P49="","",TODAY()-P49)</f>
        <v/>
      </c>
      <c r="X49" s="51" t="str">
        <f aca="true">IF(D49="","",IF(AND(U49&lt;&gt;"",U49&lt;TODAY()),"Follow-up overdue",IF(AND(W49&lt;&gt;"",W49&gt;60),"No order 60+ days","OK")))</f>
        <v/>
      </c>
    </row>
    <row r="50" customFormat="false" ht="15" hidden="false" customHeight="false" outlineLevel="0" collapsed="false">
      <c r="A50" s="16" t="s">
        <v>1298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8"/>
      <c r="M50" s="16"/>
      <c r="N50" s="16"/>
      <c r="O50" s="23"/>
      <c r="P50" s="18"/>
      <c r="Q50" s="23"/>
      <c r="R50" s="23"/>
      <c r="S50" s="24"/>
      <c r="T50" s="16"/>
      <c r="U50" s="18"/>
      <c r="V50" s="16"/>
      <c r="W50" s="50" t="str">
        <f aca="true">IF(P50="","",TODAY()-P50)</f>
        <v/>
      </c>
      <c r="X50" s="51" t="str">
        <f aca="true">IF(D50="","",IF(AND(U50&lt;&gt;"",U50&lt;TODAY()),"Follow-up overdue",IF(AND(W50&lt;&gt;"",W50&gt;60),"No order 60+ days","OK")))</f>
        <v/>
      </c>
    </row>
    <row r="51" customFormat="false" ht="15" hidden="false" customHeight="false" outlineLevel="0" collapsed="false">
      <c r="A51" s="16" t="s">
        <v>1299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8"/>
      <c r="M51" s="16"/>
      <c r="N51" s="16"/>
      <c r="O51" s="23"/>
      <c r="P51" s="18"/>
      <c r="Q51" s="23"/>
      <c r="R51" s="23"/>
      <c r="S51" s="24"/>
      <c r="T51" s="16"/>
      <c r="U51" s="18"/>
      <c r="V51" s="16"/>
      <c r="W51" s="50" t="str">
        <f aca="true">IF(P51="","",TODAY()-P51)</f>
        <v/>
      </c>
      <c r="X51" s="51" t="str">
        <f aca="true">IF(D51="","",IF(AND(U51&lt;&gt;"",U51&lt;TODAY()),"Follow-up overdue",IF(AND(W51&lt;&gt;"",W51&gt;60),"No order 60+ days","OK")))</f>
        <v/>
      </c>
    </row>
    <row r="52" customFormat="false" ht="15" hidden="false" customHeight="false" outlineLevel="0" collapsed="false">
      <c r="A52" s="16" t="s">
        <v>1300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8"/>
      <c r="M52" s="16"/>
      <c r="N52" s="16"/>
      <c r="O52" s="23"/>
      <c r="P52" s="18"/>
      <c r="Q52" s="23"/>
      <c r="R52" s="23"/>
      <c r="S52" s="24"/>
      <c r="T52" s="16"/>
      <c r="U52" s="18"/>
      <c r="V52" s="16"/>
      <c r="W52" s="50" t="str">
        <f aca="true">IF(P52="","",TODAY()-P52)</f>
        <v/>
      </c>
      <c r="X52" s="51" t="str">
        <f aca="true">IF(D52="","",IF(AND(U52&lt;&gt;"",U52&lt;TODAY()),"Follow-up overdue",IF(AND(W52&lt;&gt;"",W52&gt;60),"No order 60+ days","OK")))</f>
        <v/>
      </c>
    </row>
    <row r="53" customFormat="false" ht="15" hidden="false" customHeight="false" outlineLevel="0" collapsed="false">
      <c r="A53" s="16" t="s">
        <v>1301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8"/>
      <c r="M53" s="16"/>
      <c r="N53" s="16"/>
      <c r="O53" s="23"/>
      <c r="P53" s="18"/>
      <c r="Q53" s="23"/>
      <c r="R53" s="23"/>
      <c r="S53" s="24"/>
      <c r="T53" s="16"/>
      <c r="U53" s="18"/>
      <c r="V53" s="16"/>
      <c r="W53" s="50" t="str">
        <f aca="true">IF(P53="","",TODAY()-P53)</f>
        <v/>
      </c>
      <c r="X53" s="51" t="str">
        <f aca="true">IF(D53="","",IF(AND(U53&lt;&gt;"",U53&lt;TODAY()),"Follow-up overdue",IF(AND(W53&lt;&gt;"",W53&gt;60),"No order 60+ days","OK")))</f>
        <v/>
      </c>
    </row>
    <row r="54" customFormat="false" ht="15" hidden="false" customHeight="false" outlineLevel="0" collapsed="false">
      <c r="A54" s="16" t="s">
        <v>1302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8"/>
      <c r="M54" s="16"/>
      <c r="N54" s="16"/>
      <c r="O54" s="23"/>
      <c r="P54" s="18"/>
      <c r="Q54" s="23"/>
      <c r="R54" s="23"/>
      <c r="S54" s="24"/>
      <c r="T54" s="16"/>
      <c r="U54" s="18"/>
      <c r="V54" s="16"/>
      <c r="W54" s="50" t="str">
        <f aca="true">IF(P54="","",TODAY()-P54)</f>
        <v/>
      </c>
      <c r="X54" s="51" t="str">
        <f aca="true">IF(D54="","",IF(AND(U54&lt;&gt;"",U54&lt;TODAY()),"Follow-up overdue",IF(AND(W54&lt;&gt;"",W54&gt;60),"No order 60+ days","OK")))</f>
        <v/>
      </c>
    </row>
    <row r="55" customFormat="false" ht="15" hidden="false" customHeight="false" outlineLevel="0" collapsed="false">
      <c r="A55" s="16" t="s">
        <v>1303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8"/>
      <c r="M55" s="16"/>
      <c r="N55" s="16"/>
      <c r="O55" s="23"/>
      <c r="P55" s="18"/>
      <c r="Q55" s="23"/>
      <c r="R55" s="23"/>
      <c r="S55" s="24"/>
      <c r="T55" s="16"/>
      <c r="U55" s="18"/>
      <c r="V55" s="16"/>
      <c r="W55" s="50" t="str">
        <f aca="true">IF(P55="","",TODAY()-P55)</f>
        <v/>
      </c>
      <c r="X55" s="51" t="str">
        <f aca="true">IF(D55="","",IF(AND(U55&lt;&gt;"",U55&lt;TODAY()),"Follow-up overdue",IF(AND(W55&lt;&gt;"",W55&gt;60),"No order 60+ days","OK")))</f>
        <v/>
      </c>
    </row>
    <row r="56" customFormat="false" ht="15" hidden="false" customHeight="false" outlineLevel="0" collapsed="false">
      <c r="A56" s="16" t="s">
        <v>1304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8"/>
      <c r="M56" s="16"/>
      <c r="N56" s="16"/>
      <c r="O56" s="23"/>
      <c r="P56" s="18"/>
      <c r="Q56" s="23"/>
      <c r="R56" s="23"/>
      <c r="S56" s="24"/>
      <c r="T56" s="16"/>
      <c r="U56" s="18"/>
      <c r="V56" s="16"/>
      <c r="W56" s="50" t="str">
        <f aca="true">IF(P56="","",TODAY()-P56)</f>
        <v/>
      </c>
      <c r="X56" s="51" t="str">
        <f aca="true">IF(D56="","",IF(AND(U56&lt;&gt;"",U56&lt;TODAY()),"Follow-up overdue",IF(AND(W56&lt;&gt;"",W56&gt;60),"No order 60+ days","OK")))</f>
        <v/>
      </c>
    </row>
    <row r="57" customFormat="false" ht="15" hidden="false" customHeight="false" outlineLevel="0" collapsed="false">
      <c r="A57" s="16" t="s">
        <v>1305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8"/>
      <c r="M57" s="16"/>
      <c r="N57" s="16"/>
      <c r="O57" s="23"/>
      <c r="P57" s="18"/>
      <c r="Q57" s="23"/>
      <c r="R57" s="23"/>
      <c r="S57" s="24"/>
      <c r="T57" s="16"/>
      <c r="U57" s="18"/>
      <c r="V57" s="16"/>
      <c r="W57" s="50" t="str">
        <f aca="true">IF(P57="","",TODAY()-P57)</f>
        <v/>
      </c>
      <c r="X57" s="51" t="str">
        <f aca="true">IF(D57="","",IF(AND(U57&lt;&gt;"",U57&lt;TODAY()),"Follow-up overdue",IF(AND(W57&lt;&gt;"",W57&gt;60),"No order 60+ days","OK")))</f>
        <v/>
      </c>
    </row>
    <row r="58" customFormat="false" ht="15" hidden="false" customHeight="false" outlineLevel="0" collapsed="false">
      <c r="A58" s="16" t="s">
        <v>1306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8"/>
      <c r="M58" s="16"/>
      <c r="N58" s="16"/>
      <c r="O58" s="23"/>
      <c r="P58" s="18"/>
      <c r="Q58" s="23"/>
      <c r="R58" s="23"/>
      <c r="S58" s="24"/>
      <c r="T58" s="16"/>
      <c r="U58" s="18"/>
      <c r="V58" s="16"/>
      <c r="W58" s="50" t="str">
        <f aca="true">IF(P58="","",TODAY()-P58)</f>
        <v/>
      </c>
      <c r="X58" s="51" t="str">
        <f aca="true">IF(D58="","",IF(AND(U58&lt;&gt;"",U58&lt;TODAY()),"Follow-up overdue",IF(AND(W58&lt;&gt;"",W58&gt;60),"No order 60+ days","OK")))</f>
        <v/>
      </c>
    </row>
    <row r="59" customFormat="false" ht="15" hidden="false" customHeight="false" outlineLevel="0" collapsed="false">
      <c r="A59" s="16" t="s">
        <v>1307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8"/>
      <c r="M59" s="16"/>
      <c r="N59" s="16"/>
      <c r="O59" s="23"/>
      <c r="P59" s="18"/>
      <c r="Q59" s="23"/>
      <c r="R59" s="23"/>
      <c r="S59" s="24"/>
      <c r="T59" s="16"/>
      <c r="U59" s="18"/>
      <c r="V59" s="16"/>
      <c r="W59" s="50" t="str">
        <f aca="true">IF(P59="","",TODAY()-P59)</f>
        <v/>
      </c>
      <c r="X59" s="51" t="str">
        <f aca="true">IF(D59="","",IF(AND(U59&lt;&gt;"",U59&lt;TODAY()),"Follow-up overdue",IF(AND(W59&lt;&gt;"",W59&gt;60),"No order 60+ days","OK")))</f>
        <v/>
      </c>
    </row>
    <row r="60" customFormat="false" ht="15" hidden="false" customHeight="false" outlineLevel="0" collapsed="false">
      <c r="A60" s="16" t="s">
        <v>1308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8"/>
      <c r="M60" s="16"/>
      <c r="N60" s="16"/>
      <c r="O60" s="23"/>
      <c r="P60" s="18"/>
      <c r="Q60" s="23"/>
      <c r="R60" s="23"/>
      <c r="S60" s="24"/>
      <c r="T60" s="16"/>
      <c r="U60" s="18"/>
      <c r="V60" s="16"/>
      <c r="W60" s="50" t="str">
        <f aca="true">IF(P60="","",TODAY()-P60)</f>
        <v/>
      </c>
      <c r="X60" s="51" t="str">
        <f aca="true">IF(D60="","",IF(AND(U60&lt;&gt;"",U60&lt;TODAY()),"Follow-up overdue",IF(AND(W60&lt;&gt;"",W60&gt;60),"No order 60+ days","OK")))</f>
        <v/>
      </c>
    </row>
    <row r="61" customFormat="false" ht="15" hidden="false" customHeight="false" outlineLevel="0" collapsed="false">
      <c r="A61" s="16" t="s">
        <v>1309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8"/>
      <c r="M61" s="16"/>
      <c r="N61" s="16"/>
      <c r="O61" s="23"/>
      <c r="P61" s="18"/>
      <c r="Q61" s="23"/>
      <c r="R61" s="23"/>
      <c r="S61" s="24"/>
      <c r="T61" s="16"/>
      <c r="U61" s="18"/>
      <c r="V61" s="16"/>
      <c r="W61" s="50" t="str">
        <f aca="true">IF(P61="","",TODAY()-P61)</f>
        <v/>
      </c>
      <c r="X61" s="51" t="str">
        <f aca="true">IF(D61="","",IF(AND(U61&lt;&gt;"",U61&lt;TODAY()),"Follow-up overdue",IF(AND(W61&lt;&gt;"",W61&gt;60),"No order 60+ days","OK")))</f>
        <v/>
      </c>
    </row>
    <row r="62" customFormat="false" ht="15" hidden="false" customHeight="false" outlineLevel="0" collapsed="false">
      <c r="A62" s="16" t="s">
        <v>1310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8"/>
      <c r="M62" s="16"/>
      <c r="N62" s="16"/>
      <c r="O62" s="23"/>
      <c r="P62" s="18"/>
      <c r="Q62" s="23"/>
      <c r="R62" s="23"/>
      <c r="S62" s="24"/>
      <c r="T62" s="16"/>
      <c r="U62" s="18"/>
      <c r="V62" s="16"/>
      <c r="W62" s="50" t="str">
        <f aca="true">IF(P62="","",TODAY()-P62)</f>
        <v/>
      </c>
      <c r="X62" s="51" t="str">
        <f aca="true">IF(D62="","",IF(AND(U62&lt;&gt;"",U62&lt;TODAY()),"Follow-up overdue",IF(AND(W62&lt;&gt;"",W62&gt;60),"No order 60+ days","OK")))</f>
        <v/>
      </c>
    </row>
    <row r="63" customFormat="false" ht="15" hidden="false" customHeight="false" outlineLevel="0" collapsed="false">
      <c r="A63" s="16" t="s">
        <v>1311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8"/>
      <c r="M63" s="16"/>
      <c r="N63" s="16"/>
      <c r="O63" s="23"/>
      <c r="P63" s="18"/>
      <c r="Q63" s="23"/>
      <c r="R63" s="23"/>
      <c r="S63" s="24"/>
      <c r="T63" s="16"/>
      <c r="U63" s="18"/>
      <c r="V63" s="16"/>
      <c r="W63" s="50" t="str">
        <f aca="true">IF(P63="","",TODAY()-P63)</f>
        <v/>
      </c>
      <c r="X63" s="51" t="str">
        <f aca="true">IF(D63="","",IF(AND(U63&lt;&gt;"",U63&lt;TODAY()),"Follow-up overdue",IF(AND(W63&lt;&gt;"",W63&gt;60),"No order 60+ days","OK")))</f>
        <v/>
      </c>
    </row>
    <row r="64" customFormat="false" ht="15" hidden="false" customHeight="false" outlineLevel="0" collapsed="false">
      <c r="A64" s="16" t="s">
        <v>1312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8"/>
      <c r="M64" s="16"/>
      <c r="N64" s="16"/>
      <c r="O64" s="23"/>
      <c r="P64" s="18"/>
      <c r="Q64" s="23"/>
      <c r="R64" s="23"/>
      <c r="S64" s="24"/>
      <c r="T64" s="16"/>
      <c r="U64" s="18"/>
      <c r="V64" s="16"/>
      <c r="W64" s="50" t="str">
        <f aca="true">IF(P64="","",TODAY()-P64)</f>
        <v/>
      </c>
      <c r="X64" s="51" t="str">
        <f aca="true">IF(D64="","",IF(AND(U64&lt;&gt;"",U64&lt;TODAY()),"Follow-up overdue",IF(AND(W64&lt;&gt;"",W64&gt;60),"No order 60+ days","OK")))</f>
        <v/>
      </c>
    </row>
    <row r="65" customFormat="false" ht="15" hidden="false" customHeight="false" outlineLevel="0" collapsed="false">
      <c r="A65" s="16" t="s">
        <v>1313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8"/>
      <c r="M65" s="16"/>
      <c r="N65" s="16"/>
      <c r="O65" s="23"/>
      <c r="P65" s="18"/>
      <c r="Q65" s="23"/>
      <c r="R65" s="23"/>
      <c r="S65" s="24"/>
      <c r="T65" s="16"/>
      <c r="U65" s="18"/>
      <c r="V65" s="16"/>
      <c r="W65" s="50" t="str">
        <f aca="true">IF(P65="","",TODAY()-P65)</f>
        <v/>
      </c>
      <c r="X65" s="51" t="str">
        <f aca="true">IF(D65="","",IF(AND(U65&lt;&gt;"",U65&lt;TODAY()),"Follow-up overdue",IF(AND(W65&lt;&gt;"",W65&gt;60),"No order 60+ days","OK")))</f>
        <v/>
      </c>
    </row>
    <row r="66" customFormat="false" ht="15" hidden="false" customHeight="false" outlineLevel="0" collapsed="false">
      <c r="A66" s="16" t="s">
        <v>1314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8"/>
      <c r="M66" s="16"/>
      <c r="N66" s="16"/>
      <c r="O66" s="23"/>
      <c r="P66" s="18"/>
      <c r="Q66" s="23"/>
      <c r="R66" s="23"/>
      <c r="S66" s="24"/>
      <c r="T66" s="16"/>
      <c r="U66" s="18"/>
      <c r="V66" s="16"/>
      <c r="W66" s="50" t="str">
        <f aca="true">IF(P66="","",TODAY()-P66)</f>
        <v/>
      </c>
      <c r="X66" s="51" t="str">
        <f aca="true">IF(D66="","",IF(AND(U66&lt;&gt;"",U66&lt;TODAY()),"Follow-up overdue",IF(AND(W66&lt;&gt;"",W66&gt;60),"No order 60+ days","OK")))</f>
        <v/>
      </c>
    </row>
    <row r="67" customFormat="false" ht="15" hidden="false" customHeight="false" outlineLevel="0" collapsed="false">
      <c r="A67" s="16" t="s">
        <v>1315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8"/>
      <c r="M67" s="16"/>
      <c r="N67" s="16"/>
      <c r="O67" s="23"/>
      <c r="P67" s="18"/>
      <c r="Q67" s="23"/>
      <c r="R67" s="23"/>
      <c r="S67" s="24"/>
      <c r="T67" s="16"/>
      <c r="U67" s="18"/>
      <c r="V67" s="16"/>
      <c r="W67" s="50" t="str">
        <f aca="true">IF(P67="","",TODAY()-P67)</f>
        <v/>
      </c>
      <c r="X67" s="51" t="str">
        <f aca="true">IF(D67="","",IF(AND(U67&lt;&gt;"",U67&lt;TODAY()),"Follow-up overdue",IF(AND(W67&lt;&gt;"",W67&gt;60),"No order 60+ days","OK")))</f>
        <v/>
      </c>
    </row>
    <row r="68" customFormat="false" ht="15" hidden="false" customHeight="false" outlineLevel="0" collapsed="false">
      <c r="A68" s="16" t="s">
        <v>1316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8"/>
      <c r="M68" s="16"/>
      <c r="N68" s="16"/>
      <c r="O68" s="23"/>
      <c r="P68" s="18"/>
      <c r="Q68" s="23"/>
      <c r="R68" s="23"/>
      <c r="S68" s="24"/>
      <c r="T68" s="16"/>
      <c r="U68" s="18"/>
      <c r="V68" s="16"/>
      <c r="W68" s="50" t="str">
        <f aca="true">IF(P68="","",TODAY()-P68)</f>
        <v/>
      </c>
      <c r="X68" s="51" t="str">
        <f aca="true">IF(D68="","",IF(AND(U68&lt;&gt;"",U68&lt;TODAY()),"Follow-up overdue",IF(AND(W68&lt;&gt;"",W68&gt;60),"No order 60+ days","OK")))</f>
        <v/>
      </c>
    </row>
    <row r="69" customFormat="false" ht="15" hidden="false" customHeight="false" outlineLevel="0" collapsed="false">
      <c r="A69" s="16" t="s">
        <v>1317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8"/>
      <c r="M69" s="16"/>
      <c r="N69" s="16"/>
      <c r="O69" s="23"/>
      <c r="P69" s="18"/>
      <c r="Q69" s="23"/>
      <c r="R69" s="23"/>
      <c r="S69" s="24"/>
      <c r="T69" s="16"/>
      <c r="U69" s="18"/>
      <c r="V69" s="16"/>
      <c r="W69" s="50" t="str">
        <f aca="true">IF(P69="","",TODAY()-P69)</f>
        <v/>
      </c>
      <c r="X69" s="51" t="str">
        <f aca="true">IF(D69="","",IF(AND(U69&lt;&gt;"",U69&lt;TODAY()),"Follow-up overdue",IF(AND(W69&lt;&gt;"",W69&gt;60),"No order 60+ days","OK")))</f>
        <v/>
      </c>
    </row>
    <row r="70" customFormat="false" ht="15" hidden="false" customHeight="false" outlineLevel="0" collapsed="false">
      <c r="A70" s="16" t="s">
        <v>1318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8"/>
      <c r="M70" s="16"/>
      <c r="N70" s="16"/>
      <c r="O70" s="23"/>
      <c r="P70" s="18"/>
      <c r="Q70" s="23"/>
      <c r="R70" s="23"/>
      <c r="S70" s="24"/>
      <c r="T70" s="16"/>
      <c r="U70" s="18"/>
      <c r="V70" s="16"/>
      <c r="W70" s="50" t="str">
        <f aca="true">IF(P70="","",TODAY()-P70)</f>
        <v/>
      </c>
      <c r="X70" s="51" t="str">
        <f aca="true">IF(D70="","",IF(AND(U70&lt;&gt;"",U70&lt;TODAY()),"Follow-up overdue",IF(AND(W70&lt;&gt;"",W70&gt;60),"No order 60+ days","OK")))</f>
        <v/>
      </c>
    </row>
    <row r="71" customFormat="false" ht="15" hidden="false" customHeight="false" outlineLevel="0" collapsed="false">
      <c r="A71" s="16" t="s">
        <v>1319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8"/>
      <c r="M71" s="16"/>
      <c r="N71" s="16"/>
      <c r="O71" s="23"/>
      <c r="P71" s="18"/>
      <c r="Q71" s="23"/>
      <c r="R71" s="23"/>
      <c r="S71" s="24"/>
      <c r="T71" s="16"/>
      <c r="U71" s="18"/>
      <c r="V71" s="16"/>
      <c r="W71" s="50" t="str">
        <f aca="true">IF(P71="","",TODAY()-P71)</f>
        <v/>
      </c>
      <c r="X71" s="51" t="str">
        <f aca="true">IF(D71="","",IF(AND(U71&lt;&gt;"",U71&lt;TODAY()),"Follow-up overdue",IF(AND(W71&lt;&gt;"",W71&gt;60),"No order 60+ days","OK")))</f>
        <v/>
      </c>
    </row>
    <row r="72" customFormat="false" ht="15" hidden="false" customHeight="false" outlineLevel="0" collapsed="false">
      <c r="A72" s="16" t="s">
        <v>1320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8"/>
      <c r="M72" s="16"/>
      <c r="N72" s="16"/>
      <c r="O72" s="23"/>
      <c r="P72" s="18"/>
      <c r="Q72" s="23"/>
      <c r="R72" s="23"/>
      <c r="S72" s="24"/>
      <c r="T72" s="16"/>
      <c r="U72" s="18"/>
      <c r="V72" s="16"/>
      <c r="W72" s="50" t="str">
        <f aca="true">IF(P72="","",TODAY()-P72)</f>
        <v/>
      </c>
      <c r="X72" s="51" t="str">
        <f aca="true">IF(D72="","",IF(AND(U72&lt;&gt;"",U72&lt;TODAY()),"Follow-up overdue",IF(AND(W72&lt;&gt;"",W72&gt;60),"No order 60+ days","OK")))</f>
        <v/>
      </c>
    </row>
    <row r="73" customFormat="false" ht="15" hidden="false" customHeight="false" outlineLevel="0" collapsed="false">
      <c r="A73" s="16" t="s">
        <v>1321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8"/>
      <c r="M73" s="16"/>
      <c r="N73" s="16"/>
      <c r="O73" s="23"/>
      <c r="P73" s="18"/>
      <c r="Q73" s="23"/>
      <c r="R73" s="23"/>
      <c r="S73" s="24"/>
      <c r="T73" s="16"/>
      <c r="U73" s="18"/>
      <c r="V73" s="16"/>
      <c r="W73" s="50" t="str">
        <f aca="true">IF(P73="","",TODAY()-P73)</f>
        <v/>
      </c>
      <c r="X73" s="51" t="str">
        <f aca="true">IF(D73="","",IF(AND(U73&lt;&gt;"",U73&lt;TODAY()),"Follow-up overdue",IF(AND(W73&lt;&gt;"",W73&gt;60),"No order 60+ days","OK")))</f>
        <v/>
      </c>
    </row>
    <row r="74" customFormat="false" ht="15" hidden="false" customHeight="false" outlineLevel="0" collapsed="false">
      <c r="A74" s="16" t="s">
        <v>1322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8"/>
      <c r="M74" s="16"/>
      <c r="N74" s="16"/>
      <c r="O74" s="23"/>
      <c r="P74" s="18"/>
      <c r="Q74" s="23"/>
      <c r="R74" s="23"/>
      <c r="S74" s="24"/>
      <c r="T74" s="16"/>
      <c r="U74" s="18"/>
      <c r="V74" s="16"/>
      <c r="W74" s="50" t="str">
        <f aca="true">IF(P74="","",TODAY()-P74)</f>
        <v/>
      </c>
      <c r="X74" s="51" t="str">
        <f aca="true">IF(D74="","",IF(AND(U74&lt;&gt;"",U74&lt;TODAY()),"Follow-up overdue",IF(AND(W74&lt;&gt;"",W74&gt;60),"No order 60+ days","OK")))</f>
        <v/>
      </c>
    </row>
    <row r="75" customFormat="false" ht="15" hidden="false" customHeight="false" outlineLevel="0" collapsed="false">
      <c r="A75" s="16" t="s">
        <v>1323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8"/>
      <c r="M75" s="16"/>
      <c r="N75" s="16"/>
      <c r="O75" s="23"/>
      <c r="P75" s="18"/>
      <c r="Q75" s="23"/>
      <c r="R75" s="23"/>
      <c r="S75" s="24"/>
      <c r="T75" s="16"/>
      <c r="U75" s="18"/>
      <c r="V75" s="16"/>
      <c r="W75" s="50" t="str">
        <f aca="true">IF(P75="","",TODAY()-P75)</f>
        <v/>
      </c>
      <c r="X75" s="51" t="str">
        <f aca="true">IF(D75="","",IF(AND(U75&lt;&gt;"",U75&lt;TODAY()),"Follow-up overdue",IF(AND(W75&lt;&gt;"",W75&gt;60),"No order 60+ days","OK")))</f>
        <v/>
      </c>
    </row>
    <row r="76" customFormat="false" ht="15" hidden="false" customHeight="false" outlineLevel="0" collapsed="false">
      <c r="A76" s="16" t="s">
        <v>1324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8"/>
      <c r="M76" s="16"/>
      <c r="N76" s="16"/>
      <c r="O76" s="23"/>
      <c r="P76" s="18"/>
      <c r="Q76" s="23"/>
      <c r="R76" s="23"/>
      <c r="S76" s="24"/>
      <c r="T76" s="16"/>
      <c r="U76" s="18"/>
      <c r="V76" s="16"/>
      <c r="W76" s="50" t="str">
        <f aca="true">IF(P76="","",TODAY()-P76)</f>
        <v/>
      </c>
      <c r="X76" s="51" t="str">
        <f aca="true">IF(D76="","",IF(AND(U76&lt;&gt;"",U76&lt;TODAY()),"Follow-up overdue",IF(AND(W76&lt;&gt;"",W76&gt;60),"No order 60+ days","OK")))</f>
        <v/>
      </c>
    </row>
    <row r="77" customFormat="false" ht="15" hidden="false" customHeight="false" outlineLevel="0" collapsed="false">
      <c r="A77" s="16" t="s">
        <v>1325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8"/>
      <c r="M77" s="16"/>
      <c r="N77" s="16"/>
      <c r="O77" s="23"/>
      <c r="P77" s="18"/>
      <c r="Q77" s="23"/>
      <c r="R77" s="23"/>
      <c r="S77" s="24"/>
      <c r="T77" s="16"/>
      <c r="U77" s="18"/>
      <c r="V77" s="16"/>
      <c r="W77" s="50" t="str">
        <f aca="true">IF(P77="","",TODAY()-P77)</f>
        <v/>
      </c>
      <c r="X77" s="51" t="str">
        <f aca="true">IF(D77="","",IF(AND(U77&lt;&gt;"",U77&lt;TODAY()),"Follow-up overdue",IF(AND(W77&lt;&gt;"",W77&gt;60),"No order 60+ days","OK")))</f>
        <v/>
      </c>
    </row>
    <row r="78" customFormat="false" ht="15" hidden="false" customHeight="false" outlineLevel="0" collapsed="false">
      <c r="A78" s="16" t="s">
        <v>1326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8"/>
      <c r="M78" s="16"/>
      <c r="N78" s="16"/>
      <c r="O78" s="23"/>
      <c r="P78" s="18"/>
      <c r="Q78" s="23"/>
      <c r="R78" s="23"/>
      <c r="S78" s="24"/>
      <c r="T78" s="16"/>
      <c r="U78" s="18"/>
      <c r="V78" s="16"/>
      <c r="W78" s="50" t="str">
        <f aca="true">IF(P78="","",TODAY()-P78)</f>
        <v/>
      </c>
      <c r="X78" s="51" t="str">
        <f aca="true">IF(D78="","",IF(AND(U78&lt;&gt;"",U78&lt;TODAY()),"Follow-up overdue",IF(AND(W78&lt;&gt;"",W78&gt;60),"No order 60+ days","OK")))</f>
        <v/>
      </c>
    </row>
    <row r="79" customFormat="false" ht="15" hidden="false" customHeight="false" outlineLevel="0" collapsed="false">
      <c r="A79" s="16" t="s">
        <v>1327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8"/>
      <c r="M79" s="16"/>
      <c r="N79" s="16"/>
      <c r="O79" s="23"/>
      <c r="P79" s="18"/>
      <c r="Q79" s="23"/>
      <c r="R79" s="23"/>
      <c r="S79" s="24"/>
      <c r="T79" s="16"/>
      <c r="U79" s="18"/>
      <c r="V79" s="16"/>
      <c r="W79" s="50" t="str">
        <f aca="true">IF(P79="","",TODAY()-P79)</f>
        <v/>
      </c>
      <c r="X79" s="51" t="str">
        <f aca="true">IF(D79="","",IF(AND(U79&lt;&gt;"",U79&lt;TODAY()),"Follow-up overdue",IF(AND(W79&lt;&gt;"",W79&gt;60),"No order 60+ days","OK")))</f>
        <v/>
      </c>
    </row>
    <row r="80" customFormat="false" ht="15" hidden="false" customHeight="false" outlineLevel="0" collapsed="false">
      <c r="A80" s="16" t="s">
        <v>1328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8"/>
      <c r="M80" s="16"/>
      <c r="N80" s="16"/>
      <c r="O80" s="23"/>
      <c r="P80" s="18"/>
      <c r="Q80" s="23"/>
      <c r="R80" s="23"/>
      <c r="S80" s="24"/>
      <c r="T80" s="16"/>
      <c r="U80" s="18"/>
      <c r="V80" s="16"/>
      <c r="W80" s="50" t="str">
        <f aca="true">IF(P80="","",TODAY()-P80)</f>
        <v/>
      </c>
      <c r="X80" s="51" t="str">
        <f aca="true">IF(D80="","",IF(AND(U80&lt;&gt;"",U80&lt;TODAY()),"Follow-up overdue",IF(AND(W80&lt;&gt;"",W80&gt;60),"No order 60+ days","OK")))</f>
        <v/>
      </c>
    </row>
    <row r="81" customFormat="false" ht="15" hidden="false" customHeight="false" outlineLevel="0" collapsed="false">
      <c r="A81" s="16" t="s">
        <v>1329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8"/>
      <c r="M81" s="16"/>
      <c r="N81" s="16"/>
      <c r="O81" s="23"/>
      <c r="P81" s="18"/>
      <c r="Q81" s="23"/>
      <c r="R81" s="23"/>
      <c r="S81" s="24"/>
      <c r="T81" s="16"/>
      <c r="U81" s="18"/>
      <c r="V81" s="16"/>
      <c r="W81" s="50" t="str">
        <f aca="true">IF(P81="","",TODAY()-P81)</f>
        <v/>
      </c>
      <c r="X81" s="51" t="str">
        <f aca="true">IF(D81="","",IF(AND(U81&lt;&gt;"",U81&lt;TODAY()),"Follow-up overdue",IF(AND(W81&lt;&gt;"",W81&gt;60),"No order 60+ days","OK")))</f>
        <v/>
      </c>
    </row>
    <row r="82" customFormat="false" ht="15" hidden="false" customHeight="false" outlineLevel="0" collapsed="false">
      <c r="A82" s="16" t="s">
        <v>1330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8"/>
      <c r="M82" s="16"/>
      <c r="N82" s="16"/>
      <c r="O82" s="23"/>
      <c r="P82" s="18"/>
      <c r="Q82" s="23"/>
      <c r="R82" s="23"/>
      <c r="S82" s="24"/>
      <c r="T82" s="16"/>
      <c r="U82" s="18"/>
      <c r="V82" s="16"/>
      <c r="W82" s="50" t="str">
        <f aca="true">IF(P82="","",TODAY()-P82)</f>
        <v/>
      </c>
      <c r="X82" s="51" t="str">
        <f aca="true">IF(D82="","",IF(AND(U82&lt;&gt;"",U82&lt;TODAY()),"Follow-up overdue",IF(AND(W82&lt;&gt;"",W82&gt;60),"No order 60+ days","OK")))</f>
        <v/>
      </c>
    </row>
    <row r="83" customFormat="false" ht="15" hidden="false" customHeight="false" outlineLevel="0" collapsed="false">
      <c r="A83" s="16" t="s">
        <v>1331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8"/>
      <c r="M83" s="16"/>
      <c r="N83" s="16"/>
      <c r="O83" s="23"/>
      <c r="P83" s="18"/>
      <c r="Q83" s="23"/>
      <c r="R83" s="23"/>
      <c r="S83" s="24"/>
      <c r="T83" s="16"/>
      <c r="U83" s="18"/>
      <c r="V83" s="16"/>
      <c r="W83" s="50" t="str">
        <f aca="true">IF(P83="","",TODAY()-P83)</f>
        <v/>
      </c>
      <c r="X83" s="51" t="str">
        <f aca="true">IF(D83="","",IF(AND(U83&lt;&gt;"",U83&lt;TODAY()),"Follow-up overdue",IF(AND(W83&lt;&gt;"",W83&gt;60),"No order 60+ days","OK")))</f>
        <v/>
      </c>
    </row>
    <row r="84" customFormat="false" ht="15" hidden="false" customHeight="false" outlineLevel="0" collapsed="false">
      <c r="A84" s="16" t="s">
        <v>1332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8"/>
      <c r="M84" s="16"/>
      <c r="N84" s="16"/>
      <c r="O84" s="23"/>
      <c r="P84" s="18"/>
      <c r="Q84" s="23"/>
      <c r="R84" s="23"/>
      <c r="S84" s="24"/>
      <c r="T84" s="16"/>
      <c r="U84" s="18"/>
      <c r="V84" s="16"/>
      <c r="W84" s="50" t="str">
        <f aca="true">IF(P84="","",TODAY()-P84)</f>
        <v/>
      </c>
      <c r="X84" s="51" t="str">
        <f aca="true">IF(D84="","",IF(AND(U84&lt;&gt;"",U84&lt;TODAY()),"Follow-up overdue",IF(AND(W84&lt;&gt;"",W84&gt;60),"No order 60+ days","OK")))</f>
        <v/>
      </c>
    </row>
    <row r="85" customFormat="false" ht="15" hidden="false" customHeight="false" outlineLevel="0" collapsed="false">
      <c r="A85" s="16" t="s">
        <v>1333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8"/>
      <c r="M85" s="16"/>
      <c r="N85" s="16"/>
      <c r="O85" s="23"/>
      <c r="P85" s="18"/>
      <c r="Q85" s="23"/>
      <c r="R85" s="23"/>
      <c r="S85" s="24"/>
      <c r="T85" s="16"/>
      <c r="U85" s="18"/>
      <c r="V85" s="16"/>
      <c r="W85" s="50" t="str">
        <f aca="true">IF(P85="","",TODAY()-P85)</f>
        <v/>
      </c>
      <c r="X85" s="51" t="str">
        <f aca="true">IF(D85="","",IF(AND(U85&lt;&gt;"",U85&lt;TODAY()),"Follow-up overdue",IF(AND(W85&lt;&gt;"",W85&gt;60),"No order 60+ days","OK")))</f>
        <v/>
      </c>
    </row>
    <row r="86" customFormat="false" ht="15" hidden="false" customHeight="false" outlineLevel="0" collapsed="false">
      <c r="A86" s="16" t="s">
        <v>1334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8"/>
      <c r="M86" s="16"/>
      <c r="N86" s="16"/>
      <c r="O86" s="23"/>
      <c r="P86" s="18"/>
      <c r="Q86" s="23"/>
      <c r="R86" s="23"/>
      <c r="S86" s="24"/>
      <c r="T86" s="16"/>
      <c r="U86" s="18"/>
      <c r="V86" s="16"/>
      <c r="W86" s="50" t="str">
        <f aca="true">IF(P86="","",TODAY()-P86)</f>
        <v/>
      </c>
      <c r="X86" s="51" t="str">
        <f aca="true">IF(D86="","",IF(AND(U86&lt;&gt;"",U86&lt;TODAY()),"Follow-up overdue",IF(AND(W86&lt;&gt;"",W86&gt;60),"No order 60+ days","OK")))</f>
        <v/>
      </c>
    </row>
    <row r="87" customFormat="false" ht="15" hidden="false" customHeight="false" outlineLevel="0" collapsed="false">
      <c r="A87" s="16" t="s">
        <v>1335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8"/>
      <c r="M87" s="16"/>
      <c r="N87" s="16"/>
      <c r="O87" s="23"/>
      <c r="P87" s="18"/>
      <c r="Q87" s="23"/>
      <c r="R87" s="23"/>
      <c r="S87" s="24"/>
      <c r="T87" s="16"/>
      <c r="U87" s="18"/>
      <c r="V87" s="16"/>
      <c r="W87" s="50" t="str">
        <f aca="true">IF(P87="","",TODAY()-P87)</f>
        <v/>
      </c>
      <c r="X87" s="51" t="str">
        <f aca="true">IF(D87="","",IF(AND(U87&lt;&gt;"",U87&lt;TODAY()),"Follow-up overdue",IF(AND(W87&lt;&gt;"",W87&gt;60),"No order 60+ days","OK")))</f>
        <v/>
      </c>
    </row>
    <row r="88" customFormat="false" ht="15" hidden="false" customHeight="false" outlineLevel="0" collapsed="false">
      <c r="A88" s="16" t="s">
        <v>1336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8"/>
      <c r="M88" s="16"/>
      <c r="N88" s="16"/>
      <c r="O88" s="23"/>
      <c r="P88" s="18"/>
      <c r="Q88" s="23"/>
      <c r="R88" s="23"/>
      <c r="S88" s="24"/>
      <c r="T88" s="16"/>
      <c r="U88" s="18"/>
      <c r="V88" s="16"/>
      <c r="W88" s="50" t="str">
        <f aca="true">IF(P88="","",TODAY()-P88)</f>
        <v/>
      </c>
      <c r="X88" s="51" t="str">
        <f aca="true">IF(D88="","",IF(AND(U88&lt;&gt;"",U88&lt;TODAY()),"Follow-up overdue",IF(AND(W88&lt;&gt;"",W88&gt;60),"No order 60+ days","OK")))</f>
        <v/>
      </c>
    </row>
    <row r="89" customFormat="false" ht="15" hidden="false" customHeight="false" outlineLevel="0" collapsed="false">
      <c r="A89" s="16" t="s">
        <v>1337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8"/>
      <c r="M89" s="16"/>
      <c r="N89" s="16"/>
      <c r="O89" s="23"/>
      <c r="P89" s="18"/>
      <c r="Q89" s="23"/>
      <c r="R89" s="23"/>
      <c r="S89" s="24"/>
      <c r="T89" s="16"/>
      <c r="U89" s="18"/>
      <c r="V89" s="16"/>
      <c r="W89" s="50" t="str">
        <f aca="true">IF(P89="","",TODAY()-P89)</f>
        <v/>
      </c>
      <c r="X89" s="51" t="str">
        <f aca="true">IF(D89="","",IF(AND(U89&lt;&gt;"",U89&lt;TODAY()),"Follow-up overdue",IF(AND(W89&lt;&gt;"",W89&gt;60),"No order 60+ days","OK")))</f>
        <v/>
      </c>
    </row>
    <row r="90" customFormat="false" ht="15" hidden="false" customHeight="false" outlineLevel="0" collapsed="false">
      <c r="A90" s="16" t="s">
        <v>1338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8"/>
      <c r="M90" s="16"/>
      <c r="N90" s="16"/>
      <c r="O90" s="23"/>
      <c r="P90" s="18"/>
      <c r="Q90" s="23"/>
      <c r="R90" s="23"/>
      <c r="S90" s="24"/>
      <c r="T90" s="16"/>
      <c r="U90" s="18"/>
      <c r="V90" s="16"/>
      <c r="W90" s="50" t="str">
        <f aca="true">IF(P90="","",TODAY()-P90)</f>
        <v/>
      </c>
      <c r="X90" s="51" t="str">
        <f aca="true">IF(D90="","",IF(AND(U90&lt;&gt;"",U90&lt;TODAY()),"Follow-up overdue",IF(AND(W90&lt;&gt;"",W90&gt;60),"No order 60+ days","OK")))</f>
        <v/>
      </c>
    </row>
    <row r="91" customFormat="false" ht="15" hidden="false" customHeight="false" outlineLevel="0" collapsed="false">
      <c r="A91" s="16" t="s">
        <v>1339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8"/>
      <c r="M91" s="16"/>
      <c r="N91" s="16"/>
      <c r="O91" s="23"/>
      <c r="P91" s="18"/>
      <c r="Q91" s="23"/>
      <c r="R91" s="23"/>
      <c r="S91" s="24"/>
      <c r="T91" s="16"/>
      <c r="U91" s="18"/>
      <c r="V91" s="16"/>
      <c r="W91" s="50" t="str">
        <f aca="true">IF(P91="","",TODAY()-P91)</f>
        <v/>
      </c>
      <c r="X91" s="51" t="str">
        <f aca="true">IF(D91="","",IF(AND(U91&lt;&gt;"",U91&lt;TODAY()),"Follow-up overdue",IF(AND(W91&lt;&gt;"",W91&gt;60),"No order 60+ days","OK")))</f>
        <v/>
      </c>
    </row>
    <row r="92" customFormat="false" ht="15" hidden="false" customHeight="false" outlineLevel="0" collapsed="false">
      <c r="A92" s="16" t="s">
        <v>1340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8"/>
      <c r="M92" s="16"/>
      <c r="N92" s="16"/>
      <c r="O92" s="23"/>
      <c r="P92" s="18"/>
      <c r="Q92" s="23"/>
      <c r="R92" s="23"/>
      <c r="S92" s="24"/>
      <c r="T92" s="16"/>
      <c r="U92" s="18"/>
      <c r="V92" s="16"/>
      <c r="W92" s="50" t="str">
        <f aca="true">IF(P92="","",TODAY()-P92)</f>
        <v/>
      </c>
      <c r="X92" s="51" t="str">
        <f aca="true">IF(D92="","",IF(AND(U92&lt;&gt;"",U92&lt;TODAY()),"Follow-up overdue",IF(AND(W92&lt;&gt;"",W92&gt;60),"No order 60+ days","OK")))</f>
        <v/>
      </c>
    </row>
    <row r="93" customFormat="false" ht="15" hidden="false" customHeight="false" outlineLevel="0" collapsed="false">
      <c r="A93" s="16" t="s">
        <v>1341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8"/>
      <c r="M93" s="16"/>
      <c r="N93" s="16"/>
      <c r="O93" s="23"/>
      <c r="P93" s="18"/>
      <c r="Q93" s="23"/>
      <c r="R93" s="23"/>
      <c r="S93" s="24"/>
      <c r="T93" s="16"/>
      <c r="U93" s="18"/>
      <c r="V93" s="16"/>
      <c r="W93" s="50" t="str">
        <f aca="true">IF(P93="","",TODAY()-P93)</f>
        <v/>
      </c>
      <c r="X93" s="51" t="str">
        <f aca="true">IF(D93="","",IF(AND(U93&lt;&gt;"",U93&lt;TODAY()),"Follow-up overdue",IF(AND(W93&lt;&gt;"",W93&gt;60),"No order 60+ days","OK")))</f>
        <v/>
      </c>
    </row>
    <row r="94" customFormat="false" ht="15" hidden="false" customHeight="false" outlineLevel="0" collapsed="false">
      <c r="A94" s="16" t="s">
        <v>1342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8"/>
      <c r="M94" s="16"/>
      <c r="N94" s="16"/>
      <c r="O94" s="23"/>
      <c r="P94" s="18"/>
      <c r="Q94" s="23"/>
      <c r="R94" s="23"/>
      <c r="S94" s="24"/>
      <c r="T94" s="16"/>
      <c r="U94" s="18"/>
      <c r="V94" s="16"/>
      <c r="W94" s="50" t="str">
        <f aca="true">IF(P94="","",TODAY()-P94)</f>
        <v/>
      </c>
      <c r="X94" s="51" t="str">
        <f aca="true">IF(D94="","",IF(AND(U94&lt;&gt;"",U94&lt;TODAY()),"Follow-up overdue",IF(AND(W94&lt;&gt;"",W94&gt;60),"No order 60+ days","OK")))</f>
        <v/>
      </c>
    </row>
    <row r="95" customFormat="false" ht="15" hidden="false" customHeight="false" outlineLevel="0" collapsed="false">
      <c r="A95" s="16" t="s">
        <v>1343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8"/>
      <c r="M95" s="16"/>
      <c r="N95" s="16"/>
      <c r="O95" s="23"/>
      <c r="P95" s="18"/>
      <c r="Q95" s="23"/>
      <c r="R95" s="23"/>
      <c r="S95" s="24"/>
      <c r="T95" s="16"/>
      <c r="U95" s="18"/>
      <c r="V95" s="16"/>
      <c r="W95" s="50" t="str">
        <f aca="true">IF(P95="","",TODAY()-P95)</f>
        <v/>
      </c>
      <c r="X95" s="51" t="str">
        <f aca="true">IF(D95="","",IF(AND(U95&lt;&gt;"",U95&lt;TODAY()),"Follow-up overdue",IF(AND(W95&lt;&gt;"",W95&gt;60),"No order 60+ days","OK")))</f>
        <v/>
      </c>
    </row>
    <row r="96" customFormat="false" ht="15" hidden="false" customHeight="false" outlineLevel="0" collapsed="false">
      <c r="A96" s="16" t="s">
        <v>1344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8"/>
      <c r="M96" s="16"/>
      <c r="N96" s="16"/>
      <c r="O96" s="23"/>
      <c r="P96" s="18"/>
      <c r="Q96" s="23"/>
      <c r="R96" s="23"/>
      <c r="S96" s="24"/>
      <c r="T96" s="16"/>
      <c r="U96" s="18"/>
      <c r="V96" s="16"/>
      <c r="W96" s="50" t="str">
        <f aca="true">IF(P96="","",TODAY()-P96)</f>
        <v/>
      </c>
      <c r="X96" s="51" t="str">
        <f aca="true">IF(D96="","",IF(AND(U96&lt;&gt;"",U96&lt;TODAY()),"Follow-up overdue",IF(AND(W96&lt;&gt;"",W96&gt;60),"No order 60+ days","OK")))</f>
        <v/>
      </c>
    </row>
    <row r="97" customFormat="false" ht="15" hidden="false" customHeight="false" outlineLevel="0" collapsed="false">
      <c r="A97" s="16" t="s">
        <v>1345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8"/>
      <c r="M97" s="16"/>
      <c r="N97" s="16"/>
      <c r="O97" s="23"/>
      <c r="P97" s="18"/>
      <c r="Q97" s="23"/>
      <c r="R97" s="23"/>
      <c r="S97" s="24"/>
      <c r="T97" s="16"/>
      <c r="U97" s="18"/>
      <c r="V97" s="16"/>
      <c r="W97" s="50" t="str">
        <f aca="true">IF(P97="","",TODAY()-P97)</f>
        <v/>
      </c>
      <c r="X97" s="51" t="str">
        <f aca="true">IF(D97="","",IF(AND(U97&lt;&gt;"",U97&lt;TODAY()),"Follow-up overdue",IF(AND(W97&lt;&gt;"",W97&gt;60),"No order 60+ days","OK")))</f>
        <v/>
      </c>
    </row>
    <row r="98" customFormat="false" ht="15" hidden="false" customHeight="false" outlineLevel="0" collapsed="false">
      <c r="A98" s="16" t="s">
        <v>1346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8"/>
      <c r="M98" s="16"/>
      <c r="N98" s="16"/>
      <c r="O98" s="23"/>
      <c r="P98" s="18"/>
      <c r="Q98" s="23"/>
      <c r="R98" s="23"/>
      <c r="S98" s="24"/>
      <c r="T98" s="16"/>
      <c r="U98" s="18"/>
      <c r="V98" s="16"/>
      <c r="W98" s="50" t="str">
        <f aca="true">IF(P98="","",TODAY()-P98)</f>
        <v/>
      </c>
      <c r="X98" s="51" t="str">
        <f aca="true">IF(D98="","",IF(AND(U98&lt;&gt;"",U98&lt;TODAY()),"Follow-up overdue",IF(AND(W98&lt;&gt;"",W98&gt;60),"No order 60+ days","OK")))</f>
        <v/>
      </c>
    </row>
    <row r="99" customFormat="false" ht="15" hidden="false" customHeight="false" outlineLevel="0" collapsed="false">
      <c r="A99" s="16" t="s">
        <v>1347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8"/>
      <c r="M99" s="16"/>
      <c r="N99" s="16"/>
      <c r="O99" s="23"/>
      <c r="P99" s="18"/>
      <c r="Q99" s="23"/>
      <c r="R99" s="23"/>
      <c r="S99" s="24"/>
      <c r="T99" s="16"/>
      <c r="U99" s="18"/>
      <c r="V99" s="16"/>
      <c r="W99" s="50" t="str">
        <f aca="true">IF(P99="","",TODAY()-P99)</f>
        <v/>
      </c>
      <c r="X99" s="51" t="str">
        <f aca="true">IF(D99="","",IF(AND(U99&lt;&gt;"",U99&lt;TODAY()),"Follow-up overdue",IF(AND(W99&lt;&gt;"",W99&gt;60),"No order 60+ days","OK")))</f>
        <v/>
      </c>
    </row>
    <row r="100" customFormat="false" ht="15" hidden="false" customHeight="false" outlineLevel="0" collapsed="false">
      <c r="A100" s="16" t="s">
        <v>1348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8"/>
      <c r="M100" s="16"/>
      <c r="N100" s="16"/>
      <c r="O100" s="23"/>
      <c r="P100" s="18"/>
      <c r="Q100" s="23"/>
      <c r="R100" s="23"/>
      <c r="S100" s="24"/>
      <c r="T100" s="16"/>
      <c r="U100" s="18"/>
      <c r="V100" s="16"/>
      <c r="W100" s="50" t="str">
        <f aca="true">IF(P100="","",TODAY()-P100)</f>
        <v/>
      </c>
      <c r="X100" s="51" t="str">
        <f aca="true">IF(D100="","",IF(AND(U100&lt;&gt;"",U100&lt;TODAY()),"Follow-up overdue",IF(AND(W100&lt;&gt;"",W100&gt;60),"No order 60+ days","OK")))</f>
        <v/>
      </c>
    </row>
    <row r="101" customFormat="false" ht="15" hidden="false" customHeight="false" outlineLevel="0" collapsed="false">
      <c r="A101" s="16" t="s">
        <v>1349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8"/>
      <c r="M101" s="16"/>
      <c r="N101" s="16"/>
      <c r="O101" s="23"/>
      <c r="P101" s="18"/>
      <c r="Q101" s="23"/>
      <c r="R101" s="23"/>
      <c r="S101" s="24"/>
      <c r="T101" s="16"/>
      <c r="U101" s="18"/>
      <c r="V101" s="16"/>
      <c r="W101" s="50" t="str">
        <f aca="true">IF(P101="","",TODAY()-P101)</f>
        <v/>
      </c>
      <c r="X101" s="51" t="str">
        <f aca="true">IF(D101="","",IF(AND(U101&lt;&gt;"",U101&lt;TODAY()),"Follow-up overdue",IF(AND(W101&lt;&gt;"",W101&gt;60),"No order 60+ days","OK")))</f>
        <v/>
      </c>
    </row>
    <row r="102" customFormat="false" ht="15" hidden="false" customHeight="false" outlineLevel="0" collapsed="false">
      <c r="A102" s="16" t="s">
        <v>1350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8"/>
      <c r="M102" s="16"/>
      <c r="N102" s="16"/>
      <c r="O102" s="23"/>
      <c r="P102" s="18"/>
      <c r="Q102" s="23"/>
      <c r="R102" s="23"/>
      <c r="S102" s="24"/>
      <c r="T102" s="16"/>
      <c r="U102" s="18"/>
      <c r="V102" s="16"/>
      <c r="W102" s="50" t="str">
        <f aca="true">IF(P102="","",TODAY()-P102)</f>
        <v/>
      </c>
      <c r="X102" s="51" t="str">
        <f aca="true">IF(D102="","",IF(AND(U102&lt;&gt;"",U102&lt;TODAY()),"Follow-up overdue",IF(AND(W102&lt;&gt;"",W102&gt;60),"No order 60+ days","OK")))</f>
        <v/>
      </c>
    </row>
    <row r="103" customFormat="false" ht="15" hidden="false" customHeight="false" outlineLevel="0" collapsed="false">
      <c r="A103" s="16" t="s">
        <v>1351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8"/>
      <c r="M103" s="16"/>
      <c r="N103" s="16"/>
      <c r="O103" s="23"/>
      <c r="P103" s="18"/>
      <c r="Q103" s="23"/>
      <c r="R103" s="23"/>
      <c r="S103" s="24"/>
      <c r="T103" s="16"/>
      <c r="U103" s="18"/>
      <c r="V103" s="16"/>
      <c r="W103" s="50" t="str">
        <f aca="true">IF(P103="","",TODAY()-P103)</f>
        <v/>
      </c>
      <c r="X103" s="51" t="str">
        <f aca="true">IF(D103="","",IF(AND(U103&lt;&gt;"",U103&lt;TODAY()),"Follow-up overdue",IF(AND(W103&lt;&gt;"",W103&gt;60),"No order 60+ days","OK")))</f>
        <v/>
      </c>
    </row>
    <row r="104" customFormat="false" ht="15" hidden="false" customHeight="false" outlineLevel="0" collapsed="false">
      <c r="A104" s="16" t="s">
        <v>1352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8"/>
      <c r="M104" s="16"/>
      <c r="N104" s="16"/>
      <c r="O104" s="23"/>
      <c r="P104" s="18"/>
      <c r="Q104" s="23"/>
      <c r="R104" s="23"/>
      <c r="S104" s="24"/>
      <c r="T104" s="16"/>
      <c r="U104" s="18"/>
      <c r="V104" s="16"/>
      <c r="W104" s="50" t="str">
        <f aca="true">IF(P104="","",TODAY()-P104)</f>
        <v/>
      </c>
      <c r="X104" s="51" t="str">
        <f aca="true">IF(D104="","",IF(AND(U104&lt;&gt;"",U104&lt;TODAY()),"Follow-up overdue",IF(AND(W104&lt;&gt;"",W104&gt;60),"No order 60+ days","OK")))</f>
        <v/>
      </c>
    </row>
    <row r="105" customFormat="false" ht="15" hidden="false" customHeight="false" outlineLevel="0" collapsed="false">
      <c r="A105" s="16" t="s">
        <v>1353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8"/>
      <c r="M105" s="16"/>
      <c r="N105" s="16"/>
      <c r="O105" s="23"/>
      <c r="P105" s="18"/>
      <c r="Q105" s="23"/>
      <c r="R105" s="23"/>
      <c r="S105" s="24"/>
      <c r="T105" s="16"/>
      <c r="U105" s="18"/>
      <c r="V105" s="16"/>
      <c r="W105" s="50" t="str">
        <f aca="true">IF(P105="","",TODAY()-P105)</f>
        <v/>
      </c>
      <c r="X105" s="51" t="str">
        <f aca="true">IF(D105="","",IF(AND(U105&lt;&gt;"",U105&lt;TODAY()),"Follow-up overdue",IF(AND(W105&lt;&gt;"",W105&gt;60),"No order 60+ days","OK")))</f>
        <v/>
      </c>
    </row>
    <row r="106" customFormat="false" ht="15" hidden="false" customHeight="false" outlineLevel="0" collapsed="false">
      <c r="A106" s="16" t="s">
        <v>1354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8"/>
      <c r="M106" s="16"/>
      <c r="N106" s="16"/>
      <c r="O106" s="23"/>
      <c r="P106" s="18"/>
      <c r="Q106" s="23"/>
      <c r="R106" s="23"/>
      <c r="S106" s="24"/>
      <c r="T106" s="16"/>
      <c r="U106" s="18"/>
      <c r="V106" s="16"/>
      <c r="W106" s="50" t="str">
        <f aca="true">IF(P106="","",TODAY()-P106)</f>
        <v/>
      </c>
      <c r="X106" s="51" t="str">
        <f aca="true">IF(D106="","",IF(AND(U106&lt;&gt;"",U106&lt;TODAY()),"Follow-up overdue",IF(AND(W106&lt;&gt;"",W106&gt;60),"No order 60+ days","OK")))</f>
        <v/>
      </c>
    </row>
    <row r="107" customFormat="false" ht="15" hidden="false" customHeight="false" outlineLevel="0" collapsed="false">
      <c r="A107" s="16" t="s">
        <v>1355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8"/>
      <c r="M107" s="16"/>
      <c r="N107" s="16"/>
      <c r="O107" s="23"/>
      <c r="P107" s="18"/>
      <c r="Q107" s="23"/>
      <c r="R107" s="23"/>
      <c r="S107" s="24"/>
      <c r="T107" s="16"/>
      <c r="U107" s="18"/>
      <c r="V107" s="16"/>
      <c r="W107" s="50" t="str">
        <f aca="true">IF(P107="","",TODAY()-P107)</f>
        <v/>
      </c>
      <c r="X107" s="51" t="str">
        <f aca="true">IF(D107="","",IF(AND(U107&lt;&gt;"",U107&lt;TODAY()),"Follow-up overdue",IF(AND(W107&lt;&gt;"",W107&gt;60),"No order 60+ days","OK")))</f>
        <v/>
      </c>
    </row>
    <row r="108" customFormat="false" ht="15" hidden="false" customHeight="false" outlineLevel="0" collapsed="false">
      <c r="A108" s="16" t="s">
        <v>1356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8"/>
      <c r="M108" s="16"/>
      <c r="N108" s="16"/>
      <c r="O108" s="23"/>
      <c r="P108" s="18"/>
      <c r="Q108" s="23"/>
      <c r="R108" s="23"/>
      <c r="S108" s="24"/>
      <c r="T108" s="16"/>
      <c r="U108" s="18"/>
      <c r="V108" s="16"/>
      <c r="W108" s="50" t="str">
        <f aca="true">IF(P108="","",TODAY()-P108)</f>
        <v/>
      </c>
      <c r="X108" s="51" t="str">
        <f aca="true">IF(D108="","",IF(AND(U108&lt;&gt;"",U108&lt;TODAY()),"Follow-up overdue",IF(AND(W108&lt;&gt;"",W108&gt;60),"No order 60+ days","OK")))</f>
        <v/>
      </c>
    </row>
    <row r="109" customFormat="false" ht="15" hidden="false" customHeight="false" outlineLevel="0" collapsed="false">
      <c r="A109" s="16" t="s">
        <v>1357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8"/>
      <c r="M109" s="16"/>
      <c r="N109" s="16"/>
      <c r="O109" s="23"/>
      <c r="P109" s="18"/>
      <c r="Q109" s="23"/>
      <c r="R109" s="23"/>
      <c r="S109" s="24"/>
      <c r="T109" s="16"/>
      <c r="U109" s="18"/>
      <c r="V109" s="16"/>
      <c r="W109" s="50" t="str">
        <f aca="true">IF(P109="","",TODAY()-P109)</f>
        <v/>
      </c>
      <c r="X109" s="51" t="str">
        <f aca="true">IF(D109="","",IF(AND(U109&lt;&gt;"",U109&lt;TODAY()),"Follow-up overdue",IF(AND(W109&lt;&gt;"",W109&gt;60),"No order 60+ days","OK")))</f>
        <v/>
      </c>
    </row>
    <row r="110" customFormat="false" ht="15" hidden="false" customHeight="false" outlineLevel="0" collapsed="false">
      <c r="A110" s="16" t="s">
        <v>1358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8"/>
      <c r="M110" s="16"/>
      <c r="N110" s="16"/>
      <c r="O110" s="23"/>
      <c r="P110" s="18"/>
      <c r="Q110" s="23"/>
      <c r="R110" s="23"/>
      <c r="S110" s="24"/>
      <c r="T110" s="16"/>
      <c r="U110" s="18"/>
      <c r="V110" s="16"/>
      <c r="W110" s="50" t="str">
        <f aca="true">IF(P110="","",TODAY()-P110)</f>
        <v/>
      </c>
      <c r="X110" s="51" t="str">
        <f aca="true">IF(D110="","",IF(AND(U110&lt;&gt;"",U110&lt;TODAY()),"Follow-up overdue",IF(AND(W110&lt;&gt;"",W110&gt;60),"No order 60+ days","OK")))</f>
        <v/>
      </c>
    </row>
    <row r="111" customFormat="false" ht="15" hidden="false" customHeight="false" outlineLevel="0" collapsed="false">
      <c r="A111" s="16" t="s">
        <v>1359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8"/>
      <c r="M111" s="16"/>
      <c r="N111" s="16"/>
      <c r="O111" s="23"/>
      <c r="P111" s="18"/>
      <c r="Q111" s="23"/>
      <c r="R111" s="23"/>
      <c r="S111" s="24"/>
      <c r="T111" s="16"/>
      <c r="U111" s="18"/>
      <c r="V111" s="16"/>
      <c r="W111" s="50" t="str">
        <f aca="true">IF(P111="","",TODAY()-P111)</f>
        <v/>
      </c>
      <c r="X111" s="51" t="str">
        <f aca="true">IF(D111="","",IF(AND(U111&lt;&gt;"",U111&lt;TODAY()),"Follow-up overdue",IF(AND(W111&lt;&gt;"",W111&gt;60),"No order 60+ days","OK")))</f>
        <v/>
      </c>
    </row>
    <row r="112" customFormat="false" ht="15" hidden="false" customHeight="false" outlineLevel="0" collapsed="false">
      <c r="A112" s="16" t="s">
        <v>1360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8"/>
      <c r="M112" s="16"/>
      <c r="N112" s="16"/>
      <c r="O112" s="23"/>
      <c r="P112" s="18"/>
      <c r="Q112" s="23"/>
      <c r="R112" s="23"/>
      <c r="S112" s="24"/>
      <c r="T112" s="16"/>
      <c r="U112" s="18"/>
      <c r="V112" s="16"/>
      <c r="W112" s="50" t="str">
        <f aca="true">IF(P112="","",TODAY()-P112)</f>
        <v/>
      </c>
      <c r="X112" s="51" t="str">
        <f aca="true">IF(D112="","",IF(AND(U112&lt;&gt;"",U112&lt;TODAY()),"Follow-up overdue",IF(AND(W112&lt;&gt;"",W112&gt;60),"No order 60+ days","OK")))</f>
        <v/>
      </c>
    </row>
    <row r="113" customFormat="false" ht="15" hidden="false" customHeight="false" outlineLevel="0" collapsed="false">
      <c r="A113" s="16" t="s">
        <v>1361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8"/>
      <c r="M113" s="16"/>
      <c r="N113" s="16"/>
      <c r="O113" s="23"/>
      <c r="P113" s="18"/>
      <c r="Q113" s="23"/>
      <c r="R113" s="23"/>
      <c r="S113" s="24"/>
      <c r="T113" s="16"/>
      <c r="U113" s="18"/>
      <c r="V113" s="16"/>
      <c r="W113" s="50" t="str">
        <f aca="true">IF(P113="","",TODAY()-P113)</f>
        <v/>
      </c>
      <c r="X113" s="51" t="str">
        <f aca="true">IF(D113="","",IF(AND(U113&lt;&gt;"",U113&lt;TODAY()),"Follow-up overdue",IF(AND(W113&lt;&gt;"",W113&gt;60),"No order 60+ days","OK")))</f>
        <v/>
      </c>
    </row>
    <row r="114" customFormat="false" ht="15" hidden="false" customHeight="false" outlineLevel="0" collapsed="false">
      <c r="A114" s="16" t="s">
        <v>1362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8"/>
      <c r="M114" s="16"/>
      <c r="N114" s="16"/>
      <c r="O114" s="23"/>
      <c r="P114" s="18"/>
      <c r="Q114" s="23"/>
      <c r="R114" s="23"/>
      <c r="S114" s="24"/>
      <c r="T114" s="16"/>
      <c r="U114" s="18"/>
      <c r="V114" s="16"/>
      <c r="W114" s="50" t="str">
        <f aca="true">IF(P114="","",TODAY()-P114)</f>
        <v/>
      </c>
      <c r="X114" s="51" t="str">
        <f aca="true">IF(D114="","",IF(AND(U114&lt;&gt;"",U114&lt;TODAY()),"Follow-up overdue",IF(AND(W114&lt;&gt;"",W114&gt;60),"No order 60+ days","OK")))</f>
        <v/>
      </c>
    </row>
    <row r="115" customFormat="false" ht="15" hidden="false" customHeight="false" outlineLevel="0" collapsed="false">
      <c r="A115" s="16" t="s">
        <v>1363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8"/>
      <c r="M115" s="16"/>
      <c r="N115" s="16"/>
      <c r="O115" s="23"/>
      <c r="P115" s="18"/>
      <c r="Q115" s="23"/>
      <c r="R115" s="23"/>
      <c r="S115" s="24"/>
      <c r="T115" s="16"/>
      <c r="U115" s="18"/>
      <c r="V115" s="16"/>
      <c r="W115" s="50" t="str">
        <f aca="true">IF(P115="","",TODAY()-P115)</f>
        <v/>
      </c>
      <c r="X115" s="51" t="str">
        <f aca="true">IF(D115="","",IF(AND(U115&lt;&gt;"",U115&lt;TODAY()),"Follow-up overdue",IF(AND(W115&lt;&gt;"",W115&gt;60),"No order 60+ days","OK")))</f>
        <v/>
      </c>
    </row>
    <row r="116" customFormat="false" ht="15" hidden="false" customHeight="false" outlineLevel="0" collapsed="false">
      <c r="A116" s="16" t="s">
        <v>1364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8"/>
      <c r="M116" s="16"/>
      <c r="N116" s="16"/>
      <c r="O116" s="23"/>
      <c r="P116" s="18"/>
      <c r="Q116" s="23"/>
      <c r="R116" s="23"/>
      <c r="S116" s="24"/>
      <c r="T116" s="16"/>
      <c r="U116" s="18"/>
      <c r="V116" s="16"/>
      <c r="W116" s="50" t="str">
        <f aca="true">IF(P116="","",TODAY()-P116)</f>
        <v/>
      </c>
      <c r="X116" s="51" t="str">
        <f aca="true">IF(D116="","",IF(AND(U116&lt;&gt;"",U116&lt;TODAY()),"Follow-up overdue",IF(AND(W116&lt;&gt;"",W116&gt;60),"No order 60+ days","OK")))</f>
        <v/>
      </c>
    </row>
    <row r="117" customFormat="false" ht="15" hidden="false" customHeight="false" outlineLevel="0" collapsed="false">
      <c r="A117" s="16" t="s">
        <v>1365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8"/>
      <c r="M117" s="16"/>
      <c r="N117" s="16"/>
      <c r="O117" s="23"/>
      <c r="P117" s="18"/>
      <c r="Q117" s="23"/>
      <c r="R117" s="23"/>
      <c r="S117" s="24"/>
      <c r="T117" s="16"/>
      <c r="U117" s="18"/>
      <c r="V117" s="16"/>
      <c r="W117" s="50" t="str">
        <f aca="true">IF(P117="","",TODAY()-P117)</f>
        <v/>
      </c>
      <c r="X117" s="51" t="str">
        <f aca="true">IF(D117="","",IF(AND(U117&lt;&gt;"",U117&lt;TODAY()),"Follow-up overdue",IF(AND(W117&lt;&gt;"",W117&gt;60),"No order 60+ days","OK")))</f>
        <v/>
      </c>
    </row>
    <row r="118" customFormat="false" ht="15" hidden="false" customHeight="false" outlineLevel="0" collapsed="false">
      <c r="A118" s="16" t="s">
        <v>1366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8"/>
      <c r="M118" s="16"/>
      <c r="N118" s="16"/>
      <c r="O118" s="23"/>
      <c r="P118" s="18"/>
      <c r="Q118" s="23"/>
      <c r="R118" s="23"/>
      <c r="S118" s="24"/>
      <c r="T118" s="16"/>
      <c r="U118" s="18"/>
      <c r="V118" s="16"/>
      <c r="W118" s="50" t="str">
        <f aca="true">IF(P118="","",TODAY()-P118)</f>
        <v/>
      </c>
      <c r="X118" s="51" t="str">
        <f aca="true">IF(D118="","",IF(AND(U118&lt;&gt;"",U118&lt;TODAY()),"Follow-up overdue",IF(AND(W118&lt;&gt;"",W118&gt;60),"No order 60+ days","OK")))</f>
        <v/>
      </c>
    </row>
    <row r="119" customFormat="false" ht="15" hidden="false" customHeight="false" outlineLevel="0" collapsed="false">
      <c r="A119" s="16" t="s">
        <v>1367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8"/>
      <c r="M119" s="16"/>
      <c r="N119" s="16"/>
      <c r="O119" s="23"/>
      <c r="P119" s="18"/>
      <c r="Q119" s="23"/>
      <c r="R119" s="23"/>
      <c r="S119" s="24"/>
      <c r="T119" s="16"/>
      <c r="U119" s="18"/>
      <c r="V119" s="16"/>
      <c r="W119" s="50" t="str">
        <f aca="true">IF(P119="","",TODAY()-P119)</f>
        <v/>
      </c>
      <c r="X119" s="51" t="str">
        <f aca="true">IF(D119="","",IF(AND(U119&lt;&gt;"",U119&lt;TODAY()),"Follow-up overdue",IF(AND(W119&lt;&gt;"",W119&gt;60),"No order 60+ days","OK")))</f>
        <v/>
      </c>
    </row>
    <row r="120" customFormat="false" ht="15" hidden="false" customHeight="false" outlineLevel="0" collapsed="false">
      <c r="A120" s="16" t="s">
        <v>1368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8"/>
      <c r="M120" s="16"/>
      <c r="N120" s="16"/>
      <c r="O120" s="23"/>
      <c r="P120" s="18"/>
      <c r="Q120" s="23"/>
      <c r="R120" s="23"/>
      <c r="S120" s="24"/>
      <c r="T120" s="16"/>
      <c r="U120" s="18"/>
      <c r="V120" s="16"/>
      <c r="W120" s="50" t="str">
        <f aca="true">IF(P120="","",TODAY()-P120)</f>
        <v/>
      </c>
      <c r="X120" s="51" t="str">
        <f aca="true">IF(D120="","",IF(AND(U120&lt;&gt;"",U120&lt;TODAY()),"Follow-up overdue",IF(AND(W120&lt;&gt;"",W120&gt;60),"No order 60+ days","OK")))</f>
        <v/>
      </c>
    </row>
    <row r="121" customFormat="false" ht="15" hidden="false" customHeight="false" outlineLevel="0" collapsed="false">
      <c r="A121" s="16" t="s">
        <v>1369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8"/>
      <c r="M121" s="16"/>
      <c r="N121" s="16"/>
      <c r="O121" s="23"/>
      <c r="P121" s="18"/>
      <c r="Q121" s="23"/>
      <c r="R121" s="23"/>
      <c r="S121" s="24"/>
      <c r="T121" s="16"/>
      <c r="U121" s="18"/>
      <c r="V121" s="16"/>
      <c r="W121" s="50" t="str">
        <f aca="true">IF(P121="","",TODAY()-P121)</f>
        <v/>
      </c>
      <c r="X121" s="51" t="str">
        <f aca="true">IF(D121="","",IF(AND(U121&lt;&gt;"",U121&lt;TODAY()),"Follow-up overdue",IF(AND(W121&lt;&gt;"",W121&gt;60),"No order 60+ days","OK")))</f>
        <v/>
      </c>
    </row>
    <row r="122" customFormat="false" ht="15" hidden="false" customHeight="false" outlineLevel="0" collapsed="false">
      <c r="A122" s="16" t="s">
        <v>1370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8"/>
      <c r="M122" s="16"/>
      <c r="N122" s="16"/>
      <c r="O122" s="23"/>
      <c r="P122" s="18"/>
      <c r="Q122" s="23"/>
      <c r="R122" s="23"/>
      <c r="S122" s="24"/>
      <c r="T122" s="16"/>
      <c r="U122" s="18"/>
      <c r="V122" s="16"/>
      <c r="W122" s="50" t="str">
        <f aca="true">IF(P122="","",TODAY()-P122)</f>
        <v/>
      </c>
      <c r="X122" s="51" t="str">
        <f aca="true">IF(D122="","",IF(AND(U122&lt;&gt;"",U122&lt;TODAY()),"Follow-up overdue",IF(AND(W122&lt;&gt;"",W122&gt;60),"No order 60+ days","OK")))</f>
        <v/>
      </c>
    </row>
    <row r="123" customFormat="false" ht="15" hidden="false" customHeight="false" outlineLevel="0" collapsed="false">
      <c r="A123" s="16" t="s">
        <v>1371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8"/>
      <c r="M123" s="16"/>
      <c r="N123" s="16"/>
      <c r="O123" s="23"/>
      <c r="P123" s="18"/>
      <c r="Q123" s="23"/>
      <c r="R123" s="23"/>
      <c r="S123" s="24"/>
      <c r="T123" s="16"/>
      <c r="U123" s="18"/>
      <c r="V123" s="16"/>
      <c r="W123" s="50" t="str">
        <f aca="true">IF(P123="","",TODAY()-P123)</f>
        <v/>
      </c>
      <c r="X123" s="51" t="str">
        <f aca="true">IF(D123="","",IF(AND(U123&lt;&gt;"",U123&lt;TODAY()),"Follow-up overdue",IF(AND(W123&lt;&gt;"",W123&gt;60),"No order 60+ days","OK")))</f>
        <v/>
      </c>
    </row>
    <row r="124" customFormat="false" ht="15" hidden="false" customHeight="false" outlineLevel="0" collapsed="false">
      <c r="A124" s="16" t="s">
        <v>1372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8"/>
      <c r="M124" s="16"/>
      <c r="N124" s="16"/>
      <c r="O124" s="23"/>
      <c r="P124" s="18"/>
      <c r="Q124" s="23"/>
      <c r="R124" s="23"/>
      <c r="S124" s="24"/>
      <c r="T124" s="16"/>
      <c r="U124" s="18"/>
      <c r="V124" s="16"/>
      <c r="W124" s="50" t="str">
        <f aca="true">IF(P124="","",TODAY()-P124)</f>
        <v/>
      </c>
      <c r="X124" s="51" t="str">
        <f aca="true">IF(D124="","",IF(AND(U124&lt;&gt;"",U124&lt;TODAY()),"Follow-up overdue",IF(AND(W124&lt;&gt;"",W124&gt;60),"No order 60+ days","OK")))</f>
        <v/>
      </c>
    </row>
    <row r="125" customFormat="false" ht="15" hidden="false" customHeight="false" outlineLevel="0" collapsed="false">
      <c r="A125" s="16" t="s">
        <v>1373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8"/>
      <c r="M125" s="16"/>
      <c r="N125" s="16"/>
      <c r="O125" s="23"/>
      <c r="P125" s="18"/>
      <c r="Q125" s="23"/>
      <c r="R125" s="23"/>
      <c r="S125" s="24"/>
      <c r="T125" s="16"/>
      <c r="U125" s="18"/>
      <c r="V125" s="16"/>
      <c r="W125" s="50" t="str">
        <f aca="true">IF(P125="","",TODAY()-P125)</f>
        <v/>
      </c>
      <c r="X125" s="51" t="str">
        <f aca="true">IF(D125="","",IF(AND(U125&lt;&gt;"",U125&lt;TODAY()),"Follow-up overdue",IF(AND(W125&lt;&gt;"",W125&gt;60),"No order 60+ days","OK")))</f>
        <v/>
      </c>
    </row>
    <row r="126" customFormat="false" ht="15" hidden="false" customHeight="false" outlineLevel="0" collapsed="false">
      <c r="A126" s="16" t="s">
        <v>1374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8"/>
      <c r="M126" s="16"/>
      <c r="N126" s="16"/>
      <c r="O126" s="23"/>
      <c r="P126" s="18"/>
      <c r="Q126" s="23"/>
      <c r="R126" s="23"/>
      <c r="S126" s="24"/>
      <c r="T126" s="16"/>
      <c r="U126" s="18"/>
      <c r="V126" s="16"/>
      <c r="W126" s="50" t="str">
        <f aca="true">IF(P126="","",TODAY()-P126)</f>
        <v/>
      </c>
      <c r="X126" s="51" t="str">
        <f aca="true">IF(D126="","",IF(AND(U126&lt;&gt;"",U126&lt;TODAY()),"Follow-up overdue",IF(AND(W126&lt;&gt;"",W126&gt;60),"No order 60+ days","OK")))</f>
        <v/>
      </c>
    </row>
    <row r="127" customFormat="false" ht="15" hidden="false" customHeight="false" outlineLevel="0" collapsed="false">
      <c r="A127" s="16" t="s">
        <v>1375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8"/>
      <c r="M127" s="16"/>
      <c r="N127" s="16"/>
      <c r="O127" s="23"/>
      <c r="P127" s="18"/>
      <c r="Q127" s="23"/>
      <c r="R127" s="23"/>
      <c r="S127" s="24"/>
      <c r="T127" s="16"/>
      <c r="U127" s="18"/>
      <c r="V127" s="16"/>
      <c r="W127" s="50" t="str">
        <f aca="true">IF(P127="","",TODAY()-P127)</f>
        <v/>
      </c>
      <c r="X127" s="51" t="str">
        <f aca="true">IF(D127="","",IF(AND(U127&lt;&gt;"",U127&lt;TODAY()),"Follow-up overdue",IF(AND(W127&lt;&gt;"",W127&gt;60),"No order 60+ days","OK")))</f>
        <v/>
      </c>
    </row>
    <row r="128" customFormat="false" ht="15" hidden="false" customHeight="false" outlineLevel="0" collapsed="false">
      <c r="A128" s="16" t="s">
        <v>1376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8"/>
      <c r="M128" s="16"/>
      <c r="N128" s="16"/>
      <c r="O128" s="23"/>
      <c r="P128" s="18"/>
      <c r="Q128" s="23"/>
      <c r="R128" s="23"/>
      <c r="S128" s="24"/>
      <c r="T128" s="16"/>
      <c r="U128" s="18"/>
      <c r="V128" s="16"/>
      <c r="W128" s="50" t="str">
        <f aca="true">IF(P128="","",TODAY()-P128)</f>
        <v/>
      </c>
      <c r="X128" s="51" t="str">
        <f aca="true">IF(D128="","",IF(AND(U128&lt;&gt;"",U128&lt;TODAY()),"Follow-up overdue",IF(AND(W128&lt;&gt;"",W128&gt;60),"No order 60+ days","OK")))</f>
        <v/>
      </c>
    </row>
    <row r="129" customFormat="false" ht="15" hidden="false" customHeight="false" outlineLevel="0" collapsed="false">
      <c r="A129" s="16" t="s">
        <v>1377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8"/>
      <c r="M129" s="16"/>
      <c r="N129" s="16"/>
      <c r="O129" s="23"/>
      <c r="P129" s="18"/>
      <c r="Q129" s="23"/>
      <c r="R129" s="23"/>
      <c r="S129" s="24"/>
      <c r="T129" s="16"/>
      <c r="U129" s="18"/>
      <c r="V129" s="16"/>
      <c r="W129" s="50" t="str">
        <f aca="true">IF(P129="","",TODAY()-P129)</f>
        <v/>
      </c>
      <c r="X129" s="51" t="str">
        <f aca="true">IF(D129="","",IF(AND(U129&lt;&gt;"",U129&lt;TODAY()),"Follow-up overdue",IF(AND(W129&lt;&gt;"",W129&gt;60),"No order 60+ days","OK")))</f>
        <v/>
      </c>
    </row>
    <row r="130" customFormat="false" ht="15" hidden="false" customHeight="false" outlineLevel="0" collapsed="false">
      <c r="A130" s="16" t="s">
        <v>1378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8"/>
      <c r="M130" s="16"/>
      <c r="N130" s="16"/>
      <c r="O130" s="23"/>
      <c r="P130" s="18"/>
      <c r="Q130" s="23"/>
      <c r="R130" s="23"/>
      <c r="S130" s="24"/>
      <c r="T130" s="16"/>
      <c r="U130" s="18"/>
      <c r="V130" s="16"/>
      <c r="W130" s="50" t="str">
        <f aca="true">IF(P130="","",TODAY()-P130)</f>
        <v/>
      </c>
      <c r="X130" s="51" t="str">
        <f aca="true">IF(D130="","",IF(AND(U130&lt;&gt;"",U130&lt;TODAY()),"Follow-up overdue",IF(AND(W130&lt;&gt;"",W130&gt;60),"No order 60+ days","OK")))</f>
        <v/>
      </c>
    </row>
    <row r="131" customFormat="false" ht="15" hidden="false" customHeight="false" outlineLevel="0" collapsed="false">
      <c r="A131" s="16" t="s">
        <v>1379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8"/>
      <c r="M131" s="16"/>
      <c r="N131" s="16"/>
      <c r="O131" s="23"/>
      <c r="P131" s="18"/>
      <c r="Q131" s="23"/>
      <c r="R131" s="23"/>
      <c r="S131" s="24"/>
      <c r="T131" s="16"/>
      <c r="U131" s="18"/>
      <c r="V131" s="16"/>
      <c r="W131" s="50" t="str">
        <f aca="true">IF(P131="","",TODAY()-P131)</f>
        <v/>
      </c>
      <c r="X131" s="51" t="str">
        <f aca="true">IF(D131="","",IF(AND(U131&lt;&gt;"",U131&lt;TODAY()),"Follow-up overdue",IF(AND(W131&lt;&gt;"",W131&gt;60),"No order 60+ days","OK")))</f>
        <v/>
      </c>
    </row>
    <row r="132" customFormat="false" ht="15" hidden="false" customHeight="false" outlineLevel="0" collapsed="false">
      <c r="A132" s="16" t="s">
        <v>1380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8"/>
      <c r="M132" s="16"/>
      <c r="N132" s="16"/>
      <c r="O132" s="23"/>
      <c r="P132" s="18"/>
      <c r="Q132" s="23"/>
      <c r="R132" s="23"/>
      <c r="S132" s="24"/>
      <c r="T132" s="16"/>
      <c r="U132" s="18"/>
      <c r="V132" s="16"/>
      <c r="W132" s="50" t="str">
        <f aca="true">IF(P132="","",TODAY()-P132)</f>
        <v/>
      </c>
      <c r="X132" s="51" t="str">
        <f aca="true">IF(D132="","",IF(AND(U132&lt;&gt;"",U132&lt;TODAY()),"Follow-up overdue",IF(AND(W132&lt;&gt;"",W132&gt;60),"No order 60+ days","OK")))</f>
        <v/>
      </c>
    </row>
    <row r="133" customFormat="false" ht="15" hidden="false" customHeight="false" outlineLevel="0" collapsed="false">
      <c r="A133" s="16" t="s">
        <v>1381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8"/>
      <c r="M133" s="16"/>
      <c r="N133" s="16"/>
      <c r="O133" s="23"/>
      <c r="P133" s="18"/>
      <c r="Q133" s="23"/>
      <c r="R133" s="23"/>
      <c r="S133" s="24"/>
      <c r="T133" s="16"/>
      <c r="U133" s="18"/>
      <c r="V133" s="16"/>
      <c r="W133" s="50" t="str">
        <f aca="true">IF(P133="","",TODAY()-P133)</f>
        <v/>
      </c>
      <c r="X133" s="51" t="str">
        <f aca="true">IF(D133="","",IF(AND(U133&lt;&gt;"",U133&lt;TODAY()),"Follow-up overdue",IF(AND(W133&lt;&gt;"",W133&gt;60),"No order 60+ days","OK")))</f>
        <v/>
      </c>
    </row>
    <row r="134" customFormat="false" ht="15" hidden="false" customHeight="false" outlineLevel="0" collapsed="false">
      <c r="A134" s="16" t="s">
        <v>1382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8"/>
      <c r="M134" s="16"/>
      <c r="N134" s="16"/>
      <c r="O134" s="23"/>
      <c r="P134" s="18"/>
      <c r="Q134" s="23"/>
      <c r="R134" s="23"/>
      <c r="S134" s="24"/>
      <c r="T134" s="16"/>
      <c r="U134" s="18"/>
      <c r="V134" s="16"/>
      <c r="W134" s="50" t="str">
        <f aca="true">IF(P134="","",TODAY()-P134)</f>
        <v/>
      </c>
      <c r="X134" s="51" t="str">
        <f aca="true">IF(D134="","",IF(AND(U134&lt;&gt;"",U134&lt;TODAY()),"Follow-up overdue",IF(AND(W134&lt;&gt;"",W134&gt;60),"No order 60+ days","OK")))</f>
        <v/>
      </c>
    </row>
    <row r="135" customFormat="false" ht="15" hidden="false" customHeight="false" outlineLevel="0" collapsed="false">
      <c r="A135" s="16" t="s">
        <v>1383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8"/>
      <c r="M135" s="16"/>
      <c r="N135" s="16"/>
      <c r="O135" s="23"/>
      <c r="P135" s="18"/>
      <c r="Q135" s="23"/>
      <c r="R135" s="23"/>
      <c r="S135" s="24"/>
      <c r="T135" s="16"/>
      <c r="U135" s="18"/>
      <c r="V135" s="16"/>
      <c r="W135" s="50" t="str">
        <f aca="true">IF(P135="","",TODAY()-P135)</f>
        <v/>
      </c>
      <c r="X135" s="51" t="str">
        <f aca="true">IF(D135="","",IF(AND(U135&lt;&gt;"",U135&lt;TODAY()),"Follow-up overdue",IF(AND(W135&lt;&gt;"",W135&gt;60),"No order 60+ days","OK")))</f>
        <v/>
      </c>
    </row>
    <row r="136" customFormat="false" ht="15" hidden="false" customHeight="false" outlineLevel="0" collapsed="false">
      <c r="A136" s="16" t="s">
        <v>1384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8"/>
      <c r="M136" s="16"/>
      <c r="N136" s="16"/>
      <c r="O136" s="23"/>
      <c r="P136" s="18"/>
      <c r="Q136" s="23"/>
      <c r="R136" s="23"/>
      <c r="S136" s="24"/>
      <c r="T136" s="16"/>
      <c r="U136" s="18"/>
      <c r="V136" s="16"/>
      <c r="W136" s="50" t="str">
        <f aca="true">IF(P136="","",TODAY()-P136)</f>
        <v/>
      </c>
      <c r="X136" s="51" t="str">
        <f aca="true">IF(D136="","",IF(AND(U136&lt;&gt;"",U136&lt;TODAY()),"Follow-up overdue",IF(AND(W136&lt;&gt;"",W136&gt;60),"No order 60+ days","OK")))</f>
        <v/>
      </c>
    </row>
    <row r="137" customFormat="false" ht="15" hidden="false" customHeight="false" outlineLevel="0" collapsed="false">
      <c r="A137" s="16" t="s">
        <v>1385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8"/>
      <c r="M137" s="16"/>
      <c r="N137" s="16"/>
      <c r="O137" s="23"/>
      <c r="P137" s="18"/>
      <c r="Q137" s="23"/>
      <c r="R137" s="23"/>
      <c r="S137" s="24"/>
      <c r="T137" s="16"/>
      <c r="U137" s="18"/>
      <c r="V137" s="16"/>
      <c r="W137" s="50" t="str">
        <f aca="true">IF(P137="","",TODAY()-P137)</f>
        <v/>
      </c>
      <c r="X137" s="51" t="str">
        <f aca="true">IF(D137="","",IF(AND(U137&lt;&gt;"",U137&lt;TODAY()),"Follow-up overdue",IF(AND(W137&lt;&gt;"",W137&gt;60),"No order 60+ days","OK")))</f>
        <v/>
      </c>
    </row>
    <row r="138" customFormat="false" ht="15" hidden="false" customHeight="false" outlineLevel="0" collapsed="false">
      <c r="A138" s="16" t="s">
        <v>1386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8"/>
      <c r="M138" s="16"/>
      <c r="N138" s="16"/>
      <c r="O138" s="23"/>
      <c r="P138" s="18"/>
      <c r="Q138" s="23"/>
      <c r="R138" s="23"/>
      <c r="S138" s="24"/>
      <c r="T138" s="16"/>
      <c r="U138" s="18"/>
      <c r="V138" s="16"/>
      <c r="W138" s="50" t="str">
        <f aca="true">IF(P138="","",TODAY()-P138)</f>
        <v/>
      </c>
      <c r="X138" s="51" t="str">
        <f aca="true">IF(D138="","",IF(AND(U138&lt;&gt;"",U138&lt;TODAY()),"Follow-up overdue",IF(AND(W138&lt;&gt;"",W138&gt;60),"No order 60+ days","OK")))</f>
        <v/>
      </c>
    </row>
    <row r="139" customFormat="false" ht="15" hidden="false" customHeight="false" outlineLevel="0" collapsed="false">
      <c r="A139" s="16" t="s">
        <v>1387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8"/>
      <c r="M139" s="16"/>
      <c r="N139" s="16"/>
      <c r="O139" s="23"/>
      <c r="P139" s="18"/>
      <c r="Q139" s="23"/>
      <c r="R139" s="23"/>
      <c r="S139" s="24"/>
      <c r="T139" s="16"/>
      <c r="U139" s="18"/>
      <c r="V139" s="16"/>
      <c r="W139" s="50" t="str">
        <f aca="true">IF(P139="","",TODAY()-P139)</f>
        <v/>
      </c>
      <c r="X139" s="51" t="str">
        <f aca="true">IF(D139="","",IF(AND(U139&lt;&gt;"",U139&lt;TODAY()),"Follow-up overdue",IF(AND(W139&lt;&gt;"",W139&gt;60),"No order 60+ days","OK")))</f>
        <v/>
      </c>
    </row>
    <row r="140" customFormat="false" ht="15" hidden="false" customHeight="false" outlineLevel="0" collapsed="false">
      <c r="A140" s="16" t="s">
        <v>1388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8"/>
      <c r="M140" s="16"/>
      <c r="N140" s="16"/>
      <c r="O140" s="23"/>
      <c r="P140" s="18"/>
      <c r="Q140" s="23"/>
      <c r="R140" s="23"/>
      <c r="S140" s="24"/>
      <c r="T140" s="16"/>
      <c r="U140" s="18"/>
      <c r="V140" s="16"/>
      <c r="W140" s="50" t="str">
        <f aca="true">IF(P140="","",TODAY()-P140)</f>
        <v/>
      </c>
      <c r="X140" s="51" t="str">
        <f aca="true">IF(D140="","",IF(AND(U140&lt;&gt;"",U140&lt;TODAY()),"Follow-up overdue",IF(AND(W140&lt;&gt;"",W140&gt;60),"No order 60+ days","OK")))</f>
        <v/>
      </c>
    </row>
    <row r="141" customFormat="false" ht="15" hidden="false" customHeight="false" outlineLevel="0" collapsed="false">
      <c r="A141" s="16" t="s">
        <v>1389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8"/>
      <c r="M141" s="16"/>
      <c r="N141" s="16"/>
      <c r="O141" s="23"/>
      <c r="P141" s="18"/>
      <c r="Q141" s="23"/>
      <c r="R141" s="23"/>
      <c r="S141" s="24"/>
      <c r="T141" s="16"/>
      <c r="U141" s="18"/>
      <c r="V141" s="16"/>
      <c r="W141" s="50" t="str">
        <f aca="true">IF(P141="","",TODAY()-P141)</f>
        <v/>
      </c>
      <c r="X141" s="51" t="str">
        <f aca="true">IF(D141="","",IF(AND(U141&lt;&gt;"",U141&lt;TODAY()),"Follow-up overdue",IF(AND(W141&lt;&gt;"",W141&gt;60),"No order 60+ days","OK")))</f>
        <v/>
      </c>
    </row>
    <row r="142" customFormat="false" ht="15" hidden="false" customHeight="false" outlineLevel="0" collapsed="false">
      <c r="A142" s="16" t="s">
        <v>1390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8"/>
      <c r="M142" s="16"/>
      <c r="N142" s="16"/>
      <c r="O142" s="23"/>
      <c r="P142" s="18"/>
      <c r="Q142" s="23"/>
      <c r="R142" s="23"/>
      <c r="S142" s="24"/>
      <c r="T142" s="16"/>
      <c r="U142" s="18"/>
      <c r="V142" s="16"/>
      <c r="W142" s="50" t="str">
        <f aca="true">IF(P142="","",TODAY()-P142)</f>
        <v/>
      </c>
      <c r="X142" s="51" t="str">
        <f aca="true">IF(D142="","",IF(AND(U142&lt;&gt;"",U142&lt;TODAY()),"Follow-up overdue",IF(AND(W142&lt;&gt;"",W142&gt;60),"No order 60+ days","OK")))</f>
        <v/>
      </c>
    </row>
    <row r="143" customFormat="false" ht="15" hidden="false" customHeight="false" outlineLevel="0" collapsed="false">
      <c r="A143" s="16" t="s">
        <v>1391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8"/>
      <c r="M143" s="16"/>
      <c r="N143" s="16"/>
      <c r="O143" s="23"/>
      <c r="P143" s="18"/>
      <c r="Q143" s="23"/>
      <c r="R143" s="23"/>
      <c r="S143" s="24"/>
      <c r="T143" s="16"/>
      <c r="U143" s="18"/>
      <c r="V143" s="16"/>
      <c r="W143" s="50" t="str">
        <f aca="true">IF(P143="","",TODAY()-P143)</f>
        <v/>
      </c>
      <c r="X143" s="51" t="str">
        <f aca="true">IF(D143="","",IF(AND(U143&lt;&gt;"",U143&lt;TODAY()),"Follow-up overdue",IF(AND(W143&lt;&gt;"",W143&gt;60),"No order 60+ days","OK")))</f>
        <v/>
      </c>
    </row>
    <row r="144" customFormat="false" ht="15" hidden="false" customHeight="false" outlineLevel="0" collapsed="false">
      <c r="A144" s="16" t="s">
        <v>1392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8"/>
      <c r="M144" s="16"/>
      <c r="N144" s="16"/>
      <c r="O144" s="23"/>
      <c r="P144" s="18"/>
      <c r="Q144" s="23"/>
      <c r="R144" s="23"/>
      <c r="S144" s="24"/>
      <c r="T144" s="16"/>
      <c r="U144" s="18"/>
      <c r="V144" s="16"/>
      <c r="W144" s="50" t="str">
        <f aca="true">IF(P144="","",TODAY()-P144)</f>
        <v/>
      </c>
      <c r="X144" s="51" t="str">
        <f aca="true">IF(D144="","",IF(AND(U144&lt;&gt;"",U144&lt;TODAY()),"Follow-up overdue",IF(AND(W144&lt;&gt;"",W144&gt;60),"No order 60+ days","OK")))</f>
        <v/>
      </c>
    </row>
    <row r="145" customFormat="false" ht="15" hidden="false" customHeight="false" outlineLevel="0" collapsed="false">
      <c r="A145" s="16" t="s">
        <v>1393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8"/>
      <c r="M145" s="16"/>
      <c r="N145" s="16"/>
      <c r="O145" s="23"/>
      <c r="P145" s="18"/>
      <c r="Q145" s="23"/>
      <c r="R145" s="23"/>
      <c r="S145" s="24"/>
      <c r="T145" s="16"/>
      <c r="U145" s="18"/>
      <c r="V145" s="16"/>
      <c r="W145" s="50" t="str">
        <f aca="true">IF(P145="","",TODAY()-P145)</f>
        <v/>
      </c>
      <c r="X145" s="51" t="str">
        <f aca="true">IF(D145="","",IF(AND(U145&lt;&gt;"",U145&lt;TODAY()),"Follow-up overdue",IF(AND(W145&lt;&gt;"",W145&gt;60),"No order 60+ days","OK")))</f>
        <v/>
      </c>
    </row>
    <row r="146" customFormat="false" ht="15" hidden="false" customHeight="false" outlineLevel="0" collapsed="false">
      <c r="A146" s="16" t="s">
        <v>1394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8"/>
      <c r="M146" s="16"/>
      <c r="N146" s="16"/>
      <c r="O146" s="23"/>
      <c r="P146" s="18"/>
      <c r="Q146" s="23"/>
      <c r="R146" s="23"/>
      <c r="S146" s="24"/>
      <c r="T146" s="16"/>
      <c r="U146" s="18"/>
      <c r="V146" s="16"/>
      <c r="W146" s="50" t="str">
        <f aca="true">IF(P146="","",TODAY()-P146)</f>
        <v/>
      </c>
      <c r="X146" s="51" t="str">
        <f aca="true">IF(D146="","",IF(AND(U146&lt;&gt;"",U146&lt;TODAY()),"Follow-up overdue",IF(AND(W146&lt;&gt;"",W146&gt;60),"No order 60+ days","OK")))</f>
        <v/>
      </c>
    </row>
    <row r="147" customFormat="false" ht="15" hidden="false" customHeight="false" outlineLevel="0" collapsed="false">
      <c r="A147" s="16" t="s">
        <v>1395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8"/>
      <c r="M147" s="16"/>
      <c r="N147" s="16"/>
      <c r="O147" s="23"/>
      <c r="P147" s="18"/>
      <c r="Q147" s="23"/>
      <c r="R147" s="23"/>
      <c r="S147" s="24"/>
      <c r="T147" s="16"/>
      <c r="U147" s="18"/>
      <c r="V147" s="16"/>
      <c r="W147" s="50" t="str">
        <f aca="true">IF(P147="","",TODAY()-P147)</f>
        <v/>
      </c>
      <c r="X147" s="51" t="str">
        <f aca="true">IF(D147="","",IF(AND(U147&lt;&gt;"",U147&lt;TODAY()),"Follow-up overdue",IF(AND(W147&lt;&gt;"",W147&gt;60),"No order 60+ days","OK")))</f>
        <v/>
      </c>
    </row>
    <row r="148" customFormat="false" ht="15" hidden="false" customHeight="false" outlineLevel="0" collapsed="false">
      <c r="A148" s="16" t="s">
        <v>1396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8"/>
      <c r="M148" s="16"/>
      <c r="N148" s="16"/>
      <c r="O148" s="23"/>
      <c r="P148" s="18"/>
      <c r="Q148" s="23"/>
      <c r="R148" s="23"/>
      <c r="S148" s="24"/>
      <c r="T148" s="16"/>
      <c r="U148" s="18"/>
      <c r="V148" s="16"/>
      <c r="W148" s="50" t="str">
        <f aca="true">IF(P148="","",TODAY()-P148)</f>
        <v/>
      </c>
      <c r="X148" s="51" t="str">
        <f aca="true">IF(D148="","",IF(AND(U148&lt;&gt;"",U148&lt;TODAY()),"Follow-up overdue",IF(AND(W148&lt;&gt;"",W148&gt;60),"No order 60+ days","OK")))</f>
        <v/>
      </c>
    </row>
    <row r="149" customFormat="false" ht="15" hidden="false" customHeight="false" outlineLevel="0" collapsed="false">
      <c r="A149" s="16" t="s">
        <v>1397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8"/>
      <c r="M149" s="16"/>
      <c r="N149" s="16"/>
      <c r="O149" s="23"/>
      <c r="P149" s="18"/>
      <c r="Q149" s="23"/>
      <c r="R149" s="23"/>
      <c r="S149" s="24"/>
      <c r="T149" s="16"/>
      <c r="U149" s="18"/>
      <c r="V149" s="16"/>
      <c r="W149" s="50" t="str">
        <f aca="true">IF(P149="","",TODAY()-P149)</f>
        <v/>
      </c>
      <c r="X149" s="51" t="str">
        <f aca="true">IF(D149="","",IF(AND(U149&lt;&gt;"",U149&lt;TODAY()),"Follow-up overdue",IF(AND(W149&lt;&gt;"",W149&gt;60),"No order 60+ days","OK")))</f>
        <v/>
      </c>
    </row>
    <row r="150" customFormat="false" ht="15" hidden="false" customHeight="false" outlineLevel="0" collapsed="false">
      <c r="A150" s="16" t="s">
        <v>1398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8"/>
      <c r="M150" s="16"/>
      <c r="N150" s="16"/>
      <c r="O150" s="23"/>
      <c r="P150" s="18"/>
      <c r="Q150" s="23"/>
      <c r="R150" s="23"/>
      <c r="S150" s="24"/>
      <c r="T150" s="16"/>
      <c r="U150" s="18"/>
      <c r="V150" s="16"/>
      <c r="W150" s="50" t="str">
        <f aca="true">IF(P150="","",TODAY()-P150)</f>
        <v/>
      </c>
      <c r="X150" s="51" t="str">
        <f aca="true">IF(D150="","",IF(AND(U150&lt;&gt;"",U150&lt;TODAY()),"Follow-up overdue",IF(AND(W150&lt;&gt;"",W150&gt;60),"No order 60+ days","OK")))</f>
        <v/>
      </c>
    </row>
    <row r="151" customFormat="false" ht="15" hidden="false" customHeight="false" outlineLevel="0" collapsed="false">
      <c r="A151" s="16" t="s">
        <v>1399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8"/>
      <c r="M151" s="16"/>
      <c r="N151" s="16"/>
      <c r="O151" s="23"/>
      <c r="P151" s="18"/>
      <c r="Q151" s="23"/>
      <c r="R151" s="23"/>
      <c r="S151" s="24"/>
      <c r="T151" s="16"/>
      <c r="U151" s="18"/>
      <c r="V151" s="16"/>
      <c r="W151" s="50" t="str">
        <f aca="true">IF(P151="","",TODAY()-P151)</f>
        <v/>
      </c>
      <c r="X151" s="51" t="str">
        <f aca="true">IF(D151="","",IF(AND(U151&lt;&gt;"",U151&lt;TODAY()),"Follow-up overdue",IF(AND(W151&lt;&gt;"",W151&gt;60),"No order 60+ days","OK")))</f>
        <v/>
      </c>
    </row>
    <row r="152" customFormat="false" ht="15" hidden="false" customHeight="false" outlineLevel="0" collapsed="false">
      <c r="A152" s="16" t="s">
        <v>1400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8"/>
      <c r="M152" s="16"/>
      <c r="N152" s="16"/>
      <c r="O152" s="23"/>
      <c r="P152" s="18"/>
      <c r="Q152" s="23"/>
      <c r="R152" s="23"/>
      <c r="S152" s="24"/>
      <c r="T152" s="16"/>
      <c r="U152" s="18"/>
      <c r="V152" s="16"/>
      <c r="W152" s="50" t="str">
        <f aca="true">IF(P152="","",TODAY()-P152)</f>
        <v/>
      </c>
      <c r="X152" s="51" t="str">
        <f aca="true">IF(D152="","",IF(AND(U152&lt;&gt;"",U152&lt;TODAY()),"Follow-up overdue",IF(AND(W152&lt;&gt;"",W152&gt;60),"No order 60+ days","OK")))</f>
        <v/>
      </c>
    </row>
    <row r="153" customFormat="false" ht="15" hidden="false" customHeight="false" outlineLevel="0" collapsed="false">
      <c r="A153" s="16" t="s">
        <v>1401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8"/>
      <c r="M153" s="16"/>
      <c r="N153" s="16"/>
      <c r="O153" s="23"/>
      <c r="P153" s="18"/>
      <c r="Q153" s="23"/>
      <c r="R153" s="23"/>
      <c r="S153" s="24"/>
      <c r="T153" s="16"/>
      <c r="U153" s="18"/>
      <c r="V153" s="16"/>
      <c r="W153" s="50" t="str">
        <f aca="true">IF(P153="","",TODAY()-P153)</f>
        <v/>
      </c>
      <c r="X153" s="51" t="str">
        <f aca="true">IF(D153="","",IF(AND(U153&lt;&gt;"",U153&lt;TODAY()),"Follow-up overdue",IF(AND(W153&lt;&gt;"",W153&gt;60),"No order 60+ days","OK")))</f>
        <v/>
      </c>
    </row>
    <row r="154" customFormat="false" ht="15" hidden="false" customHeight="false" outlineLevel="0" collapsed="false">
      <c r="A154" s="16" t="s">
        <v>1402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8"/>
      <c r="M154" s="16"/>
      <c r="N154" s="16"/>
      <c r="O154" s="23"/>
      <c r="P154" s="18"/>
      <c r="Q154" s="23"/>
      <c r="R154" s="23"/>
      <c r="S154" s="24"/>
      <c r="T154" s="16"/>
      <c r="U154" s="18"/>
      <c r="V154" s="16"/>
      <c r="W154" s="50" t="str">
        <f aca="true">IF(P154="","",TODAY()-P154)</f>
        <v/>
      </c>
      <c r="X154" s="51" t="str">
        <f aca="true">IF(D154="","",IF(AND(U154&lt;&gt;"",U154&lt;TODAY()),"Follow-up overdue",IF(AND(W154&lt;&gt;"",W154&gt;60),"No order 60+ days","OK")))</f>
        <v/>
      </c>
    </row>
    <row r="155" customFormat="false" ht="15" hidden="false" customHeight="false" outlineLevel="0" collapsed="false">
      <c r="A155" s="16" t="s">
        <v>1403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8"/>
      <c r="M155" s="16"/>
      <c r="N155" s="16"/>
      <c r="O155" s="23"/>
      <c r="P155" s="18"/>
      <c r="Q155" s="23"/>
      <c r="R155" s="23"/>
      <c r="S155" s="24"/>
      <c r="T155" s="16"/>
      <c r="U155" s="18"/>
      <c r="V155" s="16"/>
      <c r="W155" s="50" t="str">
        <f aca="true">IF(P155="","",TODAY()-P155)</f>
        <v/>
      </c>
      <c r="X155" s="51" t="str">
        <f aca="true">IF(D155="","",IF(AND(U155&lt;&gt;"",U155&lt;TODAY()),"Follow-up overdue",IF(AND(W155&lt;&gt;"",W155&gt;60),"No order 60+ days","OK")))</f>
        <v/>
      </c>
    </row>
    <row r="156" customFormat="false" ht="15" hidden="false" customHeight="false" outlineLevel="0" collapsed="false">
      <c r="A156" s="16" t="s">
        <v>1404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8"/>
      <c r="M156" s="16"/>
      <c r="N156" s="16"/>
      <c r="O156" s="23"/>
      <c r="P156" s="18"/>
      <c r="Q156" s="23"/>
      <c r="R156" s="23"/>
      <c r="S156" s="24"/>
      <c r="T156" s="16"/>
      <c r="U156" s="18"/>
      <c r="V156" s="16"/>
      <c r="W156" s="50" t="str">
        <f aca="true">IF(P156="","",TODAY()-P156)</f>
        <v/>
      </c>
      <c r="X156" s="51" t="str">
        <f aca="true">IF(D156="","",IF(AND(U156&lt;&gt;"",U156&lt;TODAY()),"Follow-up overdue",IF(AND(W156&lt;&gt;"",W156&gt;60),"No order 60+ days","OK")))</f>
        <v/>
      </c>
    </row>
    <row r="157" customFormat="false" ht="15" hidden="false" customHeight="false" outlineLevel="0" collapsed="false">
      <c r="A157" s="16" t="s">
        <v>1405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8"/>
      <c r="M157" s="16"/>
      <c r="N157" s="16"/>
      <c r="O157" s="23"/>
      <c r="P157" s="18"/>
      <c r="Q157" s="23"/>
      <c r="R157" s="23"/>
      <c r="S157" s="24"/>
      <c r="T157" s="16"/>
      <c r="U157" s="18"/>
      <c r="V157" s="16"/>
      <c r="W157" s="50" t="str">
        <f aca="true">IF(P157="","",TODAY()-P157)</f>
        <v/>
      </c>
      <c r="X157" s="51" t="str">
        <f aca="true">IF(D157="","",IF(AND(U157&lt;&gt;"",U157&lt;TODAY()),"Follow-up overdue",IF(AND(W157&lt;&gt;"",W157&gt;60),"No order 60+ days","OK")))</f>
        <v/>
      </c>
    </row>
    <row r="158" customFormat="false" ht="15" hidden="false" customHeight="false" outlineLevel="0" collapsed="false">
      <c r="A158" s="16" t="s">
        <v>1406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8"/>
      <c r="M158" s="16"/>
      <c r="N158" s="16"/>
      <c r="O158" s="23"/>
      <c r="P158" s="18"/>
      <c r="Q158" s="23"/>
      <c r="R158" s="23"/>
      <c r="S158" s="24"/>
      <c r="T158" s="16"/>
      <c r="U158" s="18"/>
      <c r="V158" s="16"/>
      <c r="W158" s="50" t="str">
        <f aca="true">IF(P158="","",TODAY()-P158)</f>
        <v/>
      </c>
      <c r="X158" s="51" t="str">
        <f aca="true">IF(D158="","",IF(AND(U158&lt;&gt;"",U158&lt;TODAY()),"Follow-up overdue",IF(AND(W158&lt;&gt;"",W158&gt;60),"No order 60+ days","OK")))</f>
        <v/>
      </c>
    </row>
    <row r="159" customFormat="false" ht="15" hidden="false" customHeight="false" outlineLevel="0" collapsed="false">
      <c r="A159" s="16" t="s">
        <v>1407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8"/>
      <c r="M159" s="16"/>
      <c r="N159" s="16"/>
      <c r="O159" s="23"/>
      <c r="P159" s="18"/>
      <c r="Q159" s="23"/>
      <c r="R159" s="23"/>
      <c r="S159" s="24"/>
      <c r="T159" s="16"/>
      <c r="U159" s="18"/>
      <c r="V159" s="16"/>
      <c r="W159" s="50" t="str">
        <f aca="true">IF(P159="","",TODAY()-P159)</f>
        <v/>
      </c>
      <c r="X159" s="51" t="str">
        <f aca="true">IF(D159="","",IF(AND(U159&lt;&gt;"",U159&lt;TODAY()),"Follow-up overdue",IF(AND(W159&lt;&gt;"",W159&gt;60),"No order 60+ days","OK")))</f>
        <v/>
      </c>
    </row>
    <row r="160" customFormat="false" ht="15" hidden="false" customHeight="false" outlineLevel="0" collapsed="false">
      <c r="A160" s="16" t="s">
        <v>1408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8"/>
      <c r="M160" s="16"/>
      <c r="N160" s="16"/>
      <c r="O160" s="23"/>
      <c r="P160" s="18"/>
      <c r="Q160" s="23"/>
      <c r="R160" s="23"/>
      <c r="S160" s="24"/>
      <c r="T160" s="16"/>
      <c r="U160" s="18"/>
      <c r="V160" s="16"/>
      <c r="W160" s="50" t="str">
        <f aca="true">IF(P160="","",TODAY()-P160)</f>
        <v/>
      </c>
      <c r="X160" s="51" t="str">
        <f aca="true">IF(D160="","",IF(AND(U160&lt;&gt;"",U160&lt;TODAY()),"Follow-up overdue",IF(AND(W160&lt;&gt;"",W160&gt;60),"No order 60+ days","OK")))</f>
        <v/>
      </c>
    </row>
    <row r="161" customFormat="false" ht="15" hidden="false" customHeight="false" outlineLevel="0" collapsed="false">
      <c r="A161" s="16" t="s">
        <v>1409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8"/>
      <c r="M161" s="16"/>
      <c r="N161" s="16"/>
      <c r="O161" s="23"/>
      <c r="P161" s="18"/>
      <c r="Q161" s="23"/>
      <c r="R161" s="23"/>
      <c r="S161" s="24"/>
      <c r="T161" s="16"/>
      <c r="U161" s="18"/>
      <c r="V161" s="16"/>
      <c r="W161" s="50" t="str">
        <f aca="true">IF(P161="","",TODAY()-P161)</f>
        <v/>
      </c>
      <c r="X161" s="51" t="str">
        <f aca="true">IF(D161="","",IF(AND(U161&lt;&gt;"",U161&lt;TODAY()),"Follow-up overdue",IF(AND(W161&lt;&gt;"",W161&gt;60),"No order 60+ days","OK")))</f>
        <v/>
      </c>
    </row>
    <row r="162" customFormat="false" ht="15" hidden="false" customHeight="false" outlineLevel="0" collapsed="false">
      <c r="A162" s="16" t="s">
        <v>1410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8"/>
      <c r="M162" s="16"/>
      <c r="N162" s="16"/>
      <c r="O162" s="23"/>
      <c r="P162" s="18"/>
      <c r="Q162" s="23"/>
      <c r="R162" s="23"/>
      <c r="S162" s="24"/>
      <c r="T162" s="16"/>
      <c r="U162" s="18"/>
      <c r="V162" s="16"/>
      <c r="W162" s="50" t="str">
        <f aca="true">IF(P162="","",TODAY()-P162)</f>
        <v/>
      </c>
      <c r="X162" s="51" t="str">
        <f aca="true">IF(D162="","",IF(AND(U162&lt;&gt;"",U162&lt;TODAY()),"Follow-up overdue",IF(AND(W162&lt;&gt;"",W162&gt;60),"No order 60+ days","OK")))</f>
        <v/>
      </c>
    </row>
    <row r="163" customFormat="false" ht="15" hidden="false" customHeight="false" outlineLevel="0" collapsed="false">
      <c r="A163" s="16" t="s">
        <v>1411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8"/>
      <c r="M163" s="16"/>
      <c r="N163" s="16"/>
      <c r="O163" s="23"/>
      <c r="P163" s="18"/>
      <c r="Q163" s="23"/>
      <c r="R163" s="23"/>
      <c r="S163" s="24"/>
      <c r="T163" s="16"/>
      <c r="U163" s="18"/>
      <c r="V163" s="16"/>
      <c r="W163" s="50" t="str">
        <f aca="true">IF(P163="","",TODAY()-P163)</f>
        <v/>
      </c>
      <c r="X163" s="51" t="str">
        <f aca="true">IF(D163="","",IF(AND(U163&lt;&gt;"",U163&lt;TODAY()),"Follow-up overdue",IF(AND(W163&lt;&gt;"",W163&gt;60),"No order 60+ days","OK")))</f>
        <v/>
      </c>
    </row>
    <row r="164" customFormat="false" ht="15" hidden="false" customHeight="false" outlineLevel="0" collapsed="false">
      <c r="A164" s="16" t="s">
        <v>1412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8"/>
      <c r="M164" s="16"/>
      <c r="N164" s="16"/>
      <c r="O164" s="23"/>
      <c r="P164" s="18"/>
      <c r="Q164" s="23"/>
      <c r="R164" s="23"/>
      <c r="S164" s="24"/>
      <c r="T164" s="16"/>
      <c r="U164" s="18"/>
      <c r="V164" s="16"/>
      <c r="W164" s="50" t="str">
        <f aca="true">IF(P164="","",TODAY()-P164)</f>
        <v/>
      </c>
      <c r="X164" s="51" t="str">
        <f aca="true">IF(D164="","",IF(AND(U164&lt;&gt;"",U164&lt;TODAY()),"Follow-up overdue",IF(AND(W164&lt;&gt;"",W164&gt;60),"No order 60+ days","OK")))</f>
        <v/>
      </c>
    </row>
    <row r="165" customFormat="false" ht="15" hidden="false" customHeight="false" outlineLevel="0" collapsed="false">
      <c r="A165" s="16" t="s">
        <v>1413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8"/>
      <c r="M165" s="16"/>
      <c r="N165" s="16"/>
      <c r="O165" s="23"/>
      <c r="P165" s="18"/>
      <c r="Q165" s="23"/>
      <c r="R165" s="23"/>
      <c r="S165" s="24"/>
      <c r="T165" s="16"/>
      <c r="U165" s="18"/>
      <c r="V165" s="16"/>
      <c r="W165" s="50" t="str">
        <f aca="true">IF(P165="","",TODAY()-P165)</f>
        <v/>
      </c>
      <c r="X165" s="51" t="str">
        <f aca="true">IF(D165="","",IF(AND(U165&lt;&gt;"",U165&lt;TODAY()),"Follow-up overdue",IF(AND(W165&lt;&gt;"",W165&gt;60),"No order 60+ days","OK")))</f>
        <v/>
      </c>
    </row>
    <row r="166" customFormat="false" ht="15" hidden="false" customHeight="false" outlineLevel="0" collapsed="false">
      <c r="A166" s="16" t="s">
        <v>1414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8"/>
      <c r="M166" s="16"/>
      <c r="N166" s="16"/>
      <c r="O166" s="23"/>
      <c r="P166" s="18"/>
      <c r="Q166" s="23"/>
      <c r="R166" s="23"/>
      <c r="S166" s="24"/>
      <c r="T166" s="16"/>
      <c r="U166" s="18"/>
      <c r="V166" s="16"/>
      <c r="W166" s="50" t="str">
        <f aca="true">IF(P166="","",TODAY()-P166)</f>
        <v/>
      </c>
      <c r="X166" s="51" t="str">
        <f aca="true">IF(D166="","",IF(AND(U166&lt;&gt;"",U166&lt;TODAY()),"Follow-up overdue",IF(AND(W166&lt;&gt;"",W166&gt;60),"No order 60+ days","OK")))</f>
        <v/>
      </c>
    </row>
    <row r="167" customFormat="false" ht="15" hidden="false" customHeight="false" outlineLevel="0" collapsed="false">
      <c r="A167" s="16" t="s">
        <v>1415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8"/>
      <c r="M167" s="16"/>
      <c r="N167" s="16"/>
      <c r="O167" s="23"/>
      <c r="P167" s="18"/>
      <c r="Q167" s="23"/>
      <c r="R167" s="23"/>
      <c r="S167" s="24"/>
      <c r="T167" s="16"/>
      <c r="U167" s="18"/>
      <c r="V167" s="16"/>
      <c r="W167" s="50" t="str">
        <f aca="true">IF(P167="","",TODAY()-P167)</f>
        <v/>
      </c>
      <c r="X167" s="51" t="str">
        <f aca="true">IF(D167="","",IF(AND(U167&lt;&gt;"",U167&lt;TODAY()),"Follow-up overdue",IF(AND(W167&lt;&gt;"",W167&gt;60),"No order 60+ days","OK")))</f>
        <v/>
      </c>
    </row>
    <row r="168" customFormat="false" ht="15" hidden="false" customHeight="false" outlineLevel="0" collapsed="false">
      <c r="A168" s="16" t="s">
        <v>1416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8"/>
      <c r="M168" s="16"/>
      <c r="N168" s="16"/>
      <c r="O168" s="23"/>
      <c r="P168" s="18"/>
      <c r="Q168" s="23"/>
      <c r="R168" s="23"/>
      <c r="S168" s="24"/>
      <c r="T168" s="16"/>
      <c r="U168" s="18"/>
      <c r="V168" s="16"/>
      <c r="W168" s="50" t="str">
        <f aca="true">IF(P168="","",TODAY()-P168)</f>
        <v/>
      </c>
      <c r="X168" s="51" t="str">
        <f aca="true">IF(D168="","",IF(AND(U168&lt;&gt;"",U168&lt;TODAY()),"Follow-up overdue",IF(AND(W168&lt;&gt;"",W168&gt;60),"No order 60+ days","OK")))</f>
        <v/>
      </c>
    </row>
    <row r="169" customFormat="false" ht="15" hidden="false" customHeight="false" outlineLevel="0" collapsed="false">
      <c r="A169" s="16" t="s">
        <v>1417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8"/>
      <c r="M169" s="16"/>
      <c r="N169" s="16"/>
      <c r="O169" s="23"/>
      <c r="P169" s="18"/>
      <c r="Q169" s="23"/>
      <c r="R169" s="23"/>
      <c r="S169" s="24"/>
      <c r="T169" s="16"/>
      <c r="U169" s="18"/>
      <c r="V169" s="16"/>
      <c r="W169" s="50" t="str">
        <f aca="true">IF(P169="","",TODAY()-P169)</f>
        <v/>
      </c>
      <c r="X169" s="51" t="str">
        <f aca="true">IF(D169="","",IF(AND(U169&lt;&gt;"",U169&lt;TODAY()),"Follow-up overdue",IF(AND(W169&lt;&gt;"",W169&gt;60),"No order 60+ days","OK")))</f>
        <v/>
      </c>
    </row>
    <row r="170" customFormat="false" ht="15" hidden="false" customHeight="false" outlineLevel="0" collapsed="false">
      <c r="A170" s="16" t="s">
        <v>1418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8"/>
      <c r="M170" s="16"/>
      <c r="N170" s="16"/>
      <c r="O170" s="23"/>
      <c r="P170" s="18"/>
      <c r="Q170" s="23"/>
      <c r="R170" s="23"/>
      <c r="S170" s="24"/>
      <c r="T170" s="16"/>
      <c r="U170" s="18"/>
      <c r="V170" s="16"/>
      <c r="W170" s="50" t="str">
        <f aca="true">IF(P170="","",TODAY()-P170)</f>
        <v/>
      </c>
      <c r="X170" s="51" t="str">
        <f aca="true">IF(D170="","",IF(AND(U170&lt;&gt;"",U170&lt;TODAY()),"Follow-up overdue",IF(AND(W170&lt;&gt;"",W170&gt;60),"No order 60+ days","OK")))</f>
        <v/>
      </c>
    </row>
    <row r="171" customFormat="false" ht="15" hidden="false" customHeight="false" outlineLevel="0" collapsed="false">
      <c r="A171" s="16" t="s">
        <v>1419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8"/>
      <c r="M171" s="16"/>
      <c r="N171" s="16"/>
      <c r="O171" s="23"/>
      <c r="P171" s="18"/>
      <c r="Q171" s="23"/>
      <c r="R171" s="23"/>
      <c r="S171" s="24"/>
      <c r="T171" s="16"/>
      <c r="U171" s="18"/>
      <c r="V171" s="16"/>
      <c r="W171" s="50" t="str">
        <f aca="true">IF(P171="","",TODAY()-P171)</f>
        <v/>
      </c>
      <c r="X171" s="51" t="str">
        <f aca="true">IF(D171="","",IF(AND(U171&lt;&gt;"",U171&lt;TODAY()),"Follow-up overdue",IF(AND(W171&lt;&gt;"",W171&gt;60),"No order 60+ days","OK")))</f>
        <v/>
      </c>
    </row>
    <row r="172" customFormat="false" ht="15" hidden="false" customHeight="false" outlineLevel="0" collapsed="false">
      <c r="A172" s="16" t="s">
        <v>1420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8"/>
      <c r="M172" s="16"/>
      <c r="N172" s="16"/>
      <c r="O172" s="23"/>
      <c r="P172" s="18"/>
      <c r="Q172" s="23"/>
      <c r="R172" s="23"/>
      <c r="S172" s="24"/>
      <c r="T172" s="16"/>
      <c r="U172" s="18"/>
      <c r="V172" s="16"/>
      <c r="W172" s="50" t="str">
        <f aca="true">IF(P172="","",TODAY()-P172)</f>
        <v/>
      </c>
      <c r="X172" s="51" t="str">
        <f aca="true">IF(D172="","",IF(AND(U172&lt;&gt;"",U172&lt;TODAY()),"Follow-up overdue",IF(AND(W172&lt;&gt;"",W172&gt;60),"No order 60+ days","OK")))</f>
        <v/>
      </c>
    </row>
    <row r="173" customFormat="false" ht="15" hidden="false" customHeight="false" outlineLevel="0" collapsed="false">
      <c r="A173" s="16" t="s">
        <v>1421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8"/>
      <c r="M173" s="16"/>
      <c r="N173" s="16"/>
      <c r="O173" s="23"/>
      <c r="P173" s="18"/>
      <c r="Q173" s="23"/>
      <c r="R173" s="23"/>
      <c r="S173" s="24"/>
      <c r="T173" s="16"/>
      <c r="U173" s="18"/>
      <c r="V173" s="16"/>
      <c r="W173" s="50" t="str">
        <f aca="true">IF(P173="","",TODAY()-P173)</f>
        <v/>
      </c>
      <c r="X173" s="51" t="str">
        <f aca="true">IF(D173="","",IF(AND(U173&lt;&gt;"",U173&lt;TODAY()),"Follow-up overdue",IF(AND(W173&lt;&gt;"",W173&gt;60),"No order 60+ days","OK")))</f>
        <v/>
      </c>
    </row>
    <row r="174" customFormat="false" ht="15" hidden="false" customHeight="false" outlineLevel="0" collapsed="false">
      <c r="A174" s="16" t="s">
        <v>1422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8"/>
      <c r="M174" s="16"/>
      <c r="N174" s="16"/>
      <c r="O174" s="23"/>
      <c r="P174" s="18"/>
      <c r="Q174" s="23"/>
      <c r="R174" s="23"/>
      <c r="S174" s="24"/>
      <c r="T174" s="16"/>
      <c r="U174" s="18"/>
      <c r="V174" s="16"/>
      <c r="W174" s="50" t="str">
        <f aca="true">IF(P174="","",TODAY()-P174)</f>
        <v/>
      </c>
      <c r="X174" s="51" t="str">
        <f aca="true">IF(D174="","",IF(AND(U174&lt;&gt;"",U174&lt;TODAY()),"Follow-up overdue",IF(AND(W174&lt;&gt;"",W174&gt;60),"No order 60+ days","OK")))</f>
        <v/>
      </c>
    </row>
    <row r="175" customFormat="false" ht="15" hidden="false" customHeight="false" outlineLevel="0" collapsed="false">
      <c r="A175" s="16" t="s">
        <v>1423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8"/>
      <c r="M175" s="16"/>
      <c r="N175" s="16"/>
      <c r="O175" s="23"/>
      <c r="P175" s="18"/>
      <c r="Q175" s="23"/>
      <c r="R175" s="23"/>
      <c r="S175" s="24"/>
      <c r="T175" s="16"/>
      <c r="U175" s="18"/>
      <c r="V175" s="16"/>
      <c r="W175" s="50" t="str">
        <f aca="true">IF(P175="","",TODAY()-P175)</f>
        <v/>
      </c>
      <c r="X175" s="51" t="str">
        <f aca="true">IF(D175="","",IF(AND(U175&lt;&gt;"",U175&lt;TODAY()),"Follow-up overdue",IF(AND(W175&lt;&gt;"",W175&gt;60),"No order 60+ days","OK")))</f>
        <v/>
      </c>
    </row>
    <row r="176" customFormat="false" ht="15" hidden="false" customHeight="false" outlineLevel="0" collapsed="false">
      <c r="A176" s="16" t="s">
        <v>1424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8"/>
      <c r="M176" s="16"/>
      <c r="N176" s="16"/>
      <c r="O176" s="23"/>
      <c r="P176" s="18"/>
      <c r="Q176" s="23"/>
      <c r="R176" s="23"/>
      <c r="S176" s="24"/>
      <c r="T176" s="16"/>
      <c r="U176" s="18"/>
      <c r="V176" s="16"/>
      <c r="W176" s="50" t="str">
        <f aca="true">IF(P176="","",TODAY()-P176)</f>
        <v/>
      </c>
      <c r="X176" s="51" t="str">
        <f aca="true">IF(D176="","",IF(AND(U176&lt;&gt;"",U176&lt;TODAY()),"Follow-up overdue",IF(AND(W176&lt;&gt;"",W176&gt;60),"No order 60+ days","OK")))</f>
        <v/>
      </c>
    </row>
    <row r="177" customFormat="false" ht="15" hidden="false" customHeight="false" outlineLevel="0" collapsed="false">
      <c r="A177" s="16" t="s">
        <v>1425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8"/>
      <c r="M177" s="16"/>
      <c r="N177" s="16"/>
      <c r="O177" s="23"/>
      <c r="P177" s="18"/>
      <c r="Q177" s="23"/>
      <c r="R177" s="23"/>
      <c r="S177" s="24"/>
      <c r="T177" s="16"/>
      <c r="U177" s="18"/>
      <c r="V177" s="16"/>
      <c r="W177" s="50" t="str">
        <f aca="true">IF(P177="","",TODAY()-P177)</f>
        <v/>
      </c>
      <c r="X177" s="51" t="str">
        <f aca="true">IF(D177="","",IF(AND(U177&lt;&gt;"",U177&lt;TODAY()),"Follow-up overdue",IF(AND(W177&lt;&gt;"",W177&gt;60),"No order 60+ days","OK")))</f>
        <v/>
      </c>
    </row>
    <row r="178" customFormat="false" ht="15" hidden="false" customHeight="false" outlineLevel="0" collapsed="false">
      <c r="A178" s="16" t="s">
        <v>1426</v>
      </c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8"/>
      <c r="M178" s="16"/>
      <c r="N178" s="16"/>
      <c r="O178" s="23"/>
      <c r="P178" s="18"/>
      <c r="Q178" s="23"/>
      <c r="R178" s="23"/>
      <c r="S178" s="24"/>
      <c r="T178" s="16"/>
      <c r="U178" s="18"/>
      <c r="V178" s="16"/>
      <c r="W178" s="50" t="str">
        <f aca="true">IF(P178="","",TODAY()-P178)</f>
        <v/>
      </c>
      <c r="X178" s="51" t="str">
        <f aca="true">IF(D178="","",IF(AND(U178&lt;&gt;"",U178&lt;TODAY()),"Follow-up overdue",IF(AND(W178&lt;&gt;"",W178&gt;60),"No order 60+ days","OK")))</f>
        <v/>
      </c>
    </row>
    <row r="179" customFormat="false" ht="15" hidden="false" customHeight="false" outlineLevel="0" collapsed="false">
      <c r="A179" s="16" t="s">
        <v>1427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8"/>
      <c r="M179" s="16"/>
      <c r="N179" s="16"/>
      <c r="O179" s="23"/>
      <c r="P179" s="18"/>
      <c r="Q179" s="23"/>
      <c r="R179" s="23"/>
      <c r="S179" s="24"/>
      <c r="T179" s="16"/>
      <c r="U179" s="18"/>
      <c r="V179" s="16"/>
      <c r="W179" s="50" t="str">
        <f aca="true">IF(P179="","",TODAY()-P179)</f>
        <v/>
      </c>
      <c r="X179" s="51" t="str">
        <f aca="true">IF(D179="","",IF(AND(U179&lt;&gt;"",U179&lt;TODAY()),"Follow-up overdue",IF(AND(W179&lt;&gt;"",W179&gt;60),"No order 60+ days","OK")))</f>
        <v/>
      </c>
    </row>
    <row r="180" customFormat="false" ht="15" hidden="false" customHeight="false" outlineLevel="0" collapsed="false">
      <c r="A180" s="16" t="s">
        <v>1428</v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8"/>
      <c r="M180" s="16"/>
      <c r="N180" s="16"/>
      <c r="O180" s="23"/>
      <c r="P180" s="18"/>
      <c r="Q180" s="23"/>
      <c r="R180" s="23"/>
      <c r="S180" s="24"/>
      <c r="T180" s="16"/>
      <c r="U180" s="18"/>
      <c r="V180" s="16"/>
      <c r="W180" s="50" t="str">
        <f aca="true">IF(P180="","",TODAY()-P180)</f>
        <v/>
      </c>
      <c r="X180" s="51" t="str">
        <f aca="true">IF(D180="","",IF(AND(U180&lt;&gt;"",U180&lt;TODAY()),"Follow-up overdue",IF(AND(W180&lt;&gt;"",W180&gt;60),"No order 60+ days","OK")))</f>
        <v/>
      </c>
    </row>
    <row r="181" customFormat="false" ht="15" hidden="false" customHeight="false" outlineLevel="0" collapsed="false">
      <c r="A181" s="16" t="s">
        <v>1429</v>
      </c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8"/>
      <c r="M181" s="16"/>
      <c r="N181" s="16"/>
      <c r="O181" s="23"/>
      <c r="P181" s="18"/>
      <c r="Q181" s="23"/>
      <c r="R181" s="23"/>
      <c r="S181" s="24"/>
      <c r="T181" s="16"/>
      <c r="U181" s="18"/>
      <c r="V181" s="16"/>
      <c r="W181" s="50" t="str">
        <f aca="true">IF(P181="","",TODAY()-P181)</f>
        <v/>
      </c>
      <c r="X181" s="51" t="str">
        <f aca="true">IF(D181="","",IF(AND(U181&lt;&gt;"",U181&lt;TODAY()),"Follow-up overdue",IF(AND(W181&lt;&gt;"",W181&gt;60),"No order 60+ days","OK")))</f>
        <v/>
      </c>
    </row>
    <row r="182" customFormat="false" ht="15" hidden="false" customHeight="false" outlineLevel="0" collapsed="false">
      <c r="A182" s="16" t="s">
        <v>1430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8"/>
      <c r="M182" s="16"/>
      <c r="N182" s="16"/>
      <c r="O182" s="23"/>
      <c r="P182" s="18"/>
      <c r="Q182" s="23"/>
      <c r="R182" s="23"/>
      <c r="S182" s="24"/>
      <c r="T182" s="16"/>
      <c r="U182" s="18"/>
      <c r="V182" s="16"/>
      <c r="W182" s="50" t="str">
        <f aca="true">IF(P182="","",TODAY()-P182)</f>
        <v/>
      </c>
      <c r="X182" s="51" t="str">
        <f aca="true">IF(D182="","",IF(AND(U182&lt;&gt;"",U182&lt;TODAY()),"Follow-up overdue",IF(AND(W182&lt;&gt;"",W182&gt;60),"No order 60+ days","OK")))</f>
        <v/>
      </c>
    </row>
    <row r="183" customFormat="false" ht="15" hidden="false" customHeight="false" outlineLevel="0" collapsed="false">
      <c r="A183" s="16" t="s">
        <v>1431</v>
      </c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8"/>
      <c r="M183" s="16"/>
      <c r="N183" s="16"/>
      <c r="O183" s="23"/>
      <c r="P183" s="18"/>
      <c r="Q183" s="23"/>
      <c r="R183" s="23"/>
      <c r="S183" s="24"/>
      <c r="T183" s="16"/>
      <c r="U183" s="18"/>
      <c r="V183" s="16"/>
      <c r="W183" s="50" t="str">
        <f aca="true">IF(P183="","",TODAY()-P183)</f>
        <v/>
      </c>
      <c r="X183" s="51" t="str">
        <f aca="true">IF(D183="","",IF(AND(U183&lt;&gt;"",U183&lt;TODAY()),"Follow-up overdue",IF(AND(W183&lt;&gt;"",W183&gt;60),"No order 60+ days","OK")))</f>
        <v/>
      </c>
    </row>
    <row r="184" customFormat="false" ht="15" hidden="false" customHeight="false" outlineLevel="0" collapsed="false">
      <c r="A184" s="16" t="s">
        <v>1432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8"/>
      <c r="M184" s="16"/>
      <c r="N184" s="16"/>
      <c r="O184" s="23"/>
      <c r="P184" s="18"/>
      <c r="Q184" s="23"/>
      <c r="R184" s="23"/>
      <c r="S184" s="24"/>
      <c r="T184" s="16"/>
      <c r="U184" s="18"/>
      <c r="V184" s="16"/>
      <c r="W184" s="50" t="str">
        <f aca="true">IF(P184="","",TODAY()-P184)</f>
        <v/>
      </c>
      <c r="X184" s="51" t="str">
        <f aca="true">IF(D184="","",IF(AND(U184&lt;&gt;"",U184&lt;TODAY()),"Follow-up overdue",IF(AND(W184&lt;&gt;"",W184&gt;60),"No order 60+ days","OK")))</f>
        <v/>
      </c>
    </row>
    <row r="185" customFormat="false" ht="15" hidden="false" customHeight="false" outlineLevel="0" collapsed="false">
      <c r="A185" s="16" t="s">
        <v>1433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8"/>
      <c r="M185" s="16"/>
      <c r="N185" s="16"/>
      <c r="O185" s="23"/>
      <c r="P185" s="18"/>
      <c r="Q185" s="23"/>
      <c r="R185" s="23"/>
      <c r="S185" s="24"/>
      <c r="T185" s="16"/>
      <c r="U185" s="18"/>
      <c r="V185" s="16"/>
      <c r="W185" s="50" t="str">
        <f aca="true">IF(P185="","",TODAY()-P185)</f>
        <v/>
      </c>
      <c r="X185" s="51" t="str">
        <f aca="true">IF(D185="","",IF(AND(U185&lt;&gt;"",U185&lt;TODAY()),"Follow-up overdue",IF(AND(W185&lt;&gt;"",W185&gt;60),"No order 60+ days","OK")))</f>
        <v/>
      </c>
    </row>
    <row r="186" customFormat="false" ht="15" hidden="false" customHeight="false" outlineLevel="0" collapsed="false">
      <c r="A186" s="16" t="s">
        <v>1434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8"/>
      <c r="M186" s="16"/>
      <c r="N186" s="16"/>
      <c r="O186" s="23"/>
      <c r="P186" s="18"/>
      <c r="Q186" s="23"/>
      <c r="R186" s="23"/>
      <c r="S186" s="24"/>
      <c r="T186" s="16"/>
      <c r="U186" s="18"/>
      <c r="V186" s="16"/>
      <c r="W186" s="50" t="str">
        <f aca="true">IF(P186="","",TODAY()-P186)</f>
        <v/>
      </c>
      <c r="X186" s="51" t="str">
        <f aca="true">IF(D186="","",IF(AND(U186&lt;&gt;"",U186&lt;TODAY()),"Follow-up overdue",IF(AND(W186&lt;&gt;"",W186&gt;60),"No order 60+ days","OK")))</f>
        <v/>
      </c>
    </row>
    <row r="187" customFormat="false" ht="15" hidden="false" customHeight="false" outlineLevel="0" collapsed="false">
      <c r="A187" s="16" t="s">
        <v>1435</v>
      </c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8"/>
      <c r="M187" s="16"/>
      <c r="N187" s="16"/>
      <c r="O187" s="23"/>
      <c r="P187" s="18"/>
      <c r="Q187" s="23"/>
      <c r="R187" s="23"/>
      <c r="S187" s="24"/>
      <c r="T187" s="16"/>
      <c r="U187" s="18"/>
      <c r="V187" s="16"/>
      <c r="W187" s="50" t="str">
        <f aca="true">IF(P187="","",TODAY()-P187)</f>
        <v/>
      </c>
      <c r="X187" s="51" t="str">
        <f aca="true">IF(D187="","",IF(AND(U187&lt;&gt;"",U187&lt;TODAY()),"Follow-up overdue",IF(AND(W187&lt;&gt;"",W187&gt;60),"No order 60+ days","OK")))</f>
        <v/>
      </c>
    </row>
    <row r="188" customFormat="false" ht="15" hidden="false" customHeight="false" outlineLevel="0" collapsed="false">
      <c r="A188" s="16" t="s">
        <v>1436</v>
      </c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8"/>
      <c r="M188" s="16"/>
      <c r="N188" s="16"/>
      <c r="O188" s="23"/>
      <c r="P188" s="18"/>
      <c r="Q188" s="23"/>
      <c r="R188" s="23"/>
      <c r="S188" s="24"/>
      <c r="T188" s="16"/>
      <c r="U188" s="18"/>
      <c r="V188" s="16"/>
      <c r="W188" s="50" t="str">
        <f aca="true">IF(P188="","",TODAY()-P188)</f>
        <v/>
      </c>
      <c r="X188" s="51" t="str">
        <f aca="true">IF(D188="","",IF(AND(U188&lt;&gt;"",U188&lt;TODAY()),"Follow-up overdue",IF(AND(W188&lt;&gt;"",W188&gt;60),"No order 60+ days","OK")))</f>
        <v/>
      </c>
    </row>
    <row r="189" customFormat="false" ht="15" hidden="false" customHeight="false" outlineLevel="0" collapsed="false">
      <c r="A189" s="16" t="s">
        <v>1437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8"/>
      <c r="M189" s="16"/>
      <c r="N189" s="16"/>
      <c r="O189" s="23"/>
      <c r="P189" s="18"/>
      <c r="Q189" s="23"/>
      <c r="R189" s="23"/>
      <c r="S189" s="24"/>
      <c r="T189" s="16"/>
      <c r="U189" s="18"/>
      <c r="V189" s="16"/>
      <c r="W189" s="50" t="str">
        <f aca="true">IF(P189="","",TODAY()-P189)</f>
        <v/>
      </c>
      <c r="X189" s="51" t="str">
        <f aca="true">IF(D189="","",IF(AND(U189&lt;&gt;"",U189&lt;TODAY()),"Follow-up overdue",IF(AND(W189&lt;&gt;"",W189&gt;60),"No order 60+ days","OK")))</f>
        <v/>
      </c>
    </row>
    <row r="190" customFormat="false" ht="15" hidden="false" customHeight="false" outlineLevel="0" collapsed="false">
      <c r="A190" s="16" t="s">
        <v>1438</v>
      </c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8"/>
      <c r="M190" s="16"/>
      <c r="N190" s="16"/>
      <c r="O190" s="23"/>
      <c r="P190" s="18"/>
      <c r="Q190" s="23"/>
      <c r="R190" s="23"/>
      <c r="S190" s="24"/>
      <c r="T190" s="16"/>
      <c r="U190" s="18"/>
      <c r="V190" s="16"/>
      <c r="W190" s="50" t="str">
        <f aca="true">IF(P190="","",TODAY()-P190)</f>
        <v/>
      </c>
      <c r="X190" s="51" t="str">
        <f aca="true">IF(D190="","",IF(AND(U190&lt;&gt;"",U190&lt;TODAY()),"Follow-up overdue",IF(AND(W190&lt;&gt;"",W190&gt;60),"No order 60+ days","OK")))</f>
        <v/>
      </c>
    </row>
    <row r="191" customFormat="false" ht="15" hidden="false" customHeight="false" outlineLevel="0" collapsed="false">
      <c r="A191" s="16" t="s">
        <v>1439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8"/>
      <c r="M191" s="16"/>
      <c r="N191" s="16"/>
      <c r="O191" s="23"/>
      <c r="P191" s="18"/>
      <c r="Q191" s="23"/>
      <c r="R191" s="23"/>
      <c r="S191" s="24"/>
      <c r="T191" s="16"/>
      <c r="U191" s="18"/>
      <c r="V191" s="16"/>
      <c r="W191" s="50" t="str">
        <f aca="true">IF(P191="","",TODAY()-P191)</f>
        <v/>
      </c>
      <c r="X191" s="51" t="str">
        <f aca="true">IF(D191="","",IF(AND(U191&lt;&gt;"",U191&lt;TODAY()),"Follow-up overdue",IF(AND(W191&lt;&gt;"",W191&gt;60),"No order 60+ days","OK")))</f>
        <v/>
      </c>
    </row>
    <row r="192" customFormat="false" ht="15" hidden="false" customHeight="false" outlineLevel="0" collapsed="false">
      <c r="A192" s="16" t="s">
        <v>1440</v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8"/>
      <c r="M192" s="16"/>
      <c r="N192" s="16"/>
      <c r="O192" s="23"/>
      <c r="P192" s="18"/>
      <c r="Q192" s="23"/>
      <c r="R192" s="23"/>
      <c r="S192" s="24"/>
      <c r="T192" s="16"/>
      <c r="U192" s="18"/>
      <c r="V192" s="16"/>
      <c r="W192" s="50" t="str">
        <f aca="true">IF(P192="","",TODAY()-P192)</f>
        <v/>
      </c>
      <c r="X192" s="51" t="str">
        <f aca="true">IF(D192="","",IF(AND(U192&lt;&gt;"",U192&lt;TODAY()),"Follow-up overdue",IF(AND(W192&lt;&gt;"",W192&gt;60),"No order 60+ days","OK")))</f>
        <v/>
      </c>
    </row>
    <row r="193" customFormat="false" ht="15" hidden="false" customHeight="false" outlineLevel="0" collapsed="false">
      <c r="A193" s="16" t="s">
        <v>1441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8"/>
      <c r="M193" s="16"/>
      <c r="N193" s="16"/>
      <c r="O193" s="23"/>
      <c r="P193" s="18"/>
      <c r="Q193" s="23"/>
      <c r="R193" s="23"/>
      <c r="S193" s="24"/>
      <c r="T193" s="16"/>
      <c r="U193" s="18"/>
      <c r="V193" s="16"/>
      <c r="W193" s="50" t="str">
        <f aca="true">IF(P193="","",TODAY()-P193)</f>
        <v/>
      </c>
      <c r="X193" s="51" t="str">
        <f aca="true">IF(D193="","",IF(AND(U193&lt;&gt;"",U193&lt;TODAY()),"Follow-up overdue",IF(AND(W193&lt;&gt;"",W193&gt;60),"No order 60+ days","OK")))</f>
        <v/>
      </c>
    </row>
    <row r="194" customFormat="false" ht="15" hidden="false" customHeight="false" outlineLevel="0" collapsed="false">
      <c r="A194" s="16" t="s">
        <v>1442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8"/>
      <c r="M194" s="16"/>
      <c r="N194" s="16"/>
      <c r="O194" s="23"/>
      <c r="P194" s="18"/>
      <c r="Q194" s="23"/>
      <c r="R194" s="23"/>
      <c r="S194" s="24"/>
      <c r="T194" s="16"/>
      <c r="U194" s="18"/>
      <c r="V194" s="16"/>
      <c r="W194" s="50" t="str">
        <f aca="true">IF(P194="","",TODAY()-P194)</f>
        <v/>
      </c>
      <c r="X194" s="51" t="str">
        <f aca="true">IF(D194="","",IF(AND(U194&lt;&gt;"",U194&lt;TODAY()),"Follow-up overdue",IF(AND(W194&lt;&gt;"",W194&gt;60),"No order 60+ days","OK")))</f>
        <v/>
      </c>
    </row>
    <row r="195" customFormat="false" ht="15" hidden="false" customHeight="false" outlineLevel="0" collapsed="false">
      <c r="A195" s="16" t="s">
        <v>1443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8"/>
      <c r="M195" s="16"/>
      <c r="N195" s="16"/>
      <c r="O195" s="23"/>
      <c r="P195" s="18"/>
      <c r="Q195" s="23"/>
      <c r="R195" s="23"/>
      <c r="S195" s="24"/>
      <c r="T195" s="16"/>
      <c r="U195" s="18"/>
      <c r="V195" s="16"/>
      <c r="W195" s="50" t="str">
        <f aca="true">IF(P195="","",TODAY()-P195)</f>
        <v/>
      </c>
      <c r="X195" s="51" t="str">
        <f aca="true">IF(D195="","",IF(AND(U195&lt;&gt;"",U195&lt;TODAY()),"Follow-up overdue",IF(AND(W195&lt;&gt;"",W195&gt;60),"No order 60+ days","OK")))</f>
        <v/>
      </c>
    </row>
    <row r="196" customFormat="false" ht="15" hidden="false" customHeight="false" outlineLevel="0" collapsed="false">
      <c r="A196" s="16" t="s">
        <v>1444</v>
      </c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8"/>
      <c r="M196" s="16"/>
      <c r="N196" s="16"/>
      <c r="O196" s="23"/>
      <c r="P196" s="18"/>
      <c r="Q196" s="23"/>
      <c r="R196" s="23"/>
      <c r="S196" s="24"/>
      <c r="T196" s="16"/>
      <c r="U196" s="18"/>
      <c r="V196" s="16"/>
      <c r="W196" s="50" t="str">
        <f aca="true">IF(P196="","",TODAY()-P196)</f>
        <v/>
      </c>
      <c r="X196" s="51" t="str">
        <f aca="true">IF(D196="","",IF(AND(U196&lt;&gt;"",U196&lt;TODAY()),"Follow-up overdue",IF(AND(W196&lt;&gt;"",W196&gt;60),"No order 60+ days","OK")))</f>
        <v/>
      </c>
    </row>
    <row r="197" customFormat="false" ht="15" hidden="false" customHeight="false" outlineLevel="0" collapsed="false">
      <c r="A197" s="16" t="s">
        <v>1445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8"/>
      <c r="M197" s="16"/>
      <c r="N197" s="16"/>
      <c r="O197" s="23"/>
      <c r="P197" s="18"/>
      <c r="Q197" s="23"/>
      <c r="R197" s="23"/>
      <c r="S197" s="24"/>
      <c r="T197" s="16"/>
      <c r="U197" s="18"/>
      <c r="V197" s="16"/>
      <c r="W197" s="50" t="str">
        <f aca="true">IF(P197="","",TODAY()-P197)</f>
        <v/>
      </c>
      <c r="X197" s="51" t="str">
        <f aca="true">IF(D197="","",IF(AND(U197&lt;&gt;"",U197&lt;TODAY()),"Follow-up overdue",IF(AND(W197&lt;&gt;"",W197&gt;60),"No order 60+ days","OK")))</f>
        <v/>
      </c>
    </row>
    <row r="198" customFormat="false" ht="15" hidden="false" customHeight="false" outlineLevel="0" collapsed="false">
      <c r="A198" s="16" t="s">
        <v>1446</v>
      </c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8"/>
      <c r="M198" s="16"/>
      <c r="N198" s="16"/>
      <c r="O198" s="23"/>
      <c r="P198" s="18"/>
      <c r="Q198" s="23"/>
      <c r="R198" s="23"/>
      <c r="S198" s="24"/>
      <c r="T198" s="16"/>
      <c r="U198" s="18"/>
      <c r="V198" s="16"/>
      <c r="W198" s="50" t="str">
        <f aca="true">IF(P198="","",TODAY()-P198)</f>
        <v/>
      </c>
      <c r="X198" s="51" t="str">
        <f aca="true">IF(D198="","",IF(AND(U198&lt;&gt;"",U198&lt;TODAY()),"Follow-up overdue",IF(AND(W198&lt;&gt;"",W198&gt;60),"No order 60+ days","OK")))</f>
        <v/>
      </c>
    </row>
    <row r="199" customFormat="false" ht="15" hidden="false" customHeight="false" outlineLevel="0" collapsed="false">
      <c r="A199" s="16" t="s">
        <v>1447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8"/>
      <c r="M199" s="16"/>
      <c r="N199" s="16"/>
      <c r="O199" s="23"/>
      <c r="P199" s="18"/>
      <c r="Q199" s="23"/>
      <c r="R199" s="23"/>
      <c r="S199" s="24"/>
      <c r="T199" s="16"/>
      <c r="U199" s="18"/>
      <c r="V199" s="16"/>
      <c r="W199" s="50" t="str">
        <f aca="true">IF(P199="","",TODAY()-P199)</f>
        <v/>
      </c>
      <c r="X199" s="51" t="str">
        <f aca="true">IF(D199="","",IF(AND(U199&lt;&gt;"",U199&lt;TODAY()),"Follow-up overdue",IF(AND(W199&lt;&gt;"",W199&gt;60),"No order 60+ days","OK")))</f>
        <v/>
      </c>
    </row>
    <row r="200" customFormat="false" ht="15" hidden="false" customHeight="false" outlineLevel="0" collapsed="false">
      <c r="A200" s="16" t="s">
        <v>1448</v>
      </c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8"/>
      <c r="M200" s="16"/>
      <c r="N200" s="16"/>
      <c r="O200" s="23"/>
      <c r="P200" s="18"/>
      <c r="Q200" s="23"/>
      <c r="R200" s="23"/>
      <c r="S200" s="24"/>
      <c r="T200" s="16"/>
      <c r="U200" s="18"/>
      <c r="V200" s="16"/>
      <c r="W200" s="50" t="str">
        <f aca="true">IF(P200="","",TODAY()-P200)</f>
        <v/>
      </c>
      <c r="X200" s="51" t="str">
        <f aca="true">IF(D200="","",IF(AND(U200&lt;&gt;"",U200&lt;TODAY()),"Follow-up overdue",IF(AND(W200&lt;&gt;"",W200&gt;60),"No order 60+ days","OK")))</f>
        <v/>
      </c>
    </row>
    <row r="201" customFormat="false" ht="15" hidden="false" customHeight="false" outlineLevel="0" collapsed="false">
      <c r="A201" s="16" t="s">
        <v>1449</v>
      </c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8"/>
      <c r="M201" s="16"/>
      <c r="N201" s="16"/>
      <c r="O201" s="23"/>
      <c r="P201" s="18"/>
      <c r="Q201" s="23"/>
      <c r="R201" s="23"/>
      <c r="S201" s="24"/>
      <c r="T201" s="16"/>
      <c r="U201" s="18"/>
      <c r="V201" s="16"/>
      <c r="W201" s="50" t="str">
        <f aca="true">IF(P201="","",TODAY()-P201)</f>
        <v/>
      </c>
      <c r="X201" s="51" t="str">
        <f aca="true">IF(D201="","",IF(AND(U201&lt;&gt;"",U201&lt;TODAY()),"Follow-up overdue",IF(AND(W201&lt;&gt;"",W201&gt;60),"No order 60+ days","OK")))</f>
        <v/>
      </c>
    </row>
    <row r="202" customFormat="false" ht="15" hidden="false" customHeight="false" outlineLevel="0" collapsed="false">
      <c r="A202" s="16" t="s">
        <v>1450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8"/>
      <c r="M202" s="16"/>
      <c r="N202" s="16"/>
      <c r="O202" s="23"/>
      <c r="P202" s="18"/>
      <c r="Q202" s="23"/>
      <c r="R202" s="23"/>
      <c r="S202" s="24"/>
      <c r="T202" s="16"/>
      <c r="U202" s="18"/>
      <c r="V202" s="16"/>
      <c r="W202" s="50" t="str">
        <f aca="true">IF(P202="","",TODAY()-P202)</f>
        <v/>
      </c>
      <c r="X202" s="51" t="str">
        <f aca="true">IF(D202="","",IF(AND(U202&lt;&gt;"",U202&lt;TODAY()),"Follow-up overdue",IF(AND(W202&lt;&gt;"",W202&gt;60),"No order 60+ days","OK")))</f>
        <v/>
      </c>
    </row>
    <row r="203" customFormat="false" ht="15" hidden="false" customHeight="false" outlineLevel="0" collapsed="false">
      <c r="A203" s="16" t="s">
        <v>1451</v>
      </c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8"/>
      <c r="M203" s="16"/>
      <c r="N203" s="16"/>
      <c r="O203" s="23"/>
      <c r="P203" s="18"/>
      <c r="Q203" s="23"/>
      <c r="R203" s="23"/>
      <c r="S203" s="24"/>
      <c r="T203" s="16"/>
      <c r="U203" s="18"/>
      <c r="V203" s="16"/>
      <c r="W203" s="50" t="str">
        <f aca="true">IF(P203="","",TODAY()-P203)</f>
        <v/>
      </c>
      <c r="X203" s="51" t="str">
        <f aca="true">IF(D203="","",IF(AND(U203&lt;&gt;"",U203&lt;TODAY()),"Follow-up overdue",IF(AND(W203&lt;&gt;"",W203&gt;60),"No order 60+ days","OK")))</f>
        <v/>
      </c>
    </row>
    <row r="204" customFormat="false" ht="15" hidden="false" customHeight="false" outlineLevel="0" collapsed="false">
      <c r="A204" s="16" t="s">
        <v>1452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8"/>
      <c r="M204" s="16"/>
      <c r="N204" s="16"/>
      <c r="O204" s="23"/>
      <c r="P204" s="18"/>
      <c r="Q204" s="23"/>
      <c r="R204" s="23"/>
      <c r="S204" s="24"/>
      <c r="T204" s="16"/>
      <c r="U204" s="18"/>
      <c r="V204" s="16"/>
      <c r="W204" s="50" t="str">
        <f aca="true">IF(P204="","",TODAY()-P204)</f>
        <v/>
      </c>
      <c r="X204" s="51" t="str">
        <f aca="true">IF(D204="","",IF(AND(U204&lt;&gt;"",U204&lt;TODAY()),"Follow-up overdue",IF(AND(W204&lt;&gt;"",W204&gt;60),"No order 60+ days","OK")))</f>
        <v/>
      </c>
    </row>
    <row r="205" customFormat="false" ht="15" hidden="false" customHeight="false" outlineLevel="0" collapsed="false">
      <c r="A205" s="16" t="s">
        <v>1453</v>
      </c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8"/>
      <c r="M205" s="16"/>
      <c r="N205" s="16"/>
      <c r="O205" s="23"/>
      <c r="P205" s="18"/>
      <c r="Q205" s="23"/>
      <c r="R205" s="23"/>
      <c r="S205" s="24"/>
      <c r="T205" s="16"/>
      <c r="U205" s="18"/>
      <c r="V205" s="16"/>
      <c r="W205" s="50" t="str">
        <f aca="true">IF(P205="","",TODAY()-P205)</f>
        <v/>
      </c>
      <c r="X205" s="51" t="str">
        <f aca="true">IF(D205="","",IF(AND(U205&lt;&gt;"",U205&lt;TODAY()),"Follow-up overdue",IF(AND(W205&lt;&gt;"",W205&gt;60),"No order 60+ days","OK")))</f>
        <v/>
      </c>
    </row>
    <row r="206" customFormat="false" ht="15" hidden="false" customHeight="false" outlineLevel="0" collapsed="false">
      <c r="A206" s="16" t="s">
        <v>1454</v>
      </c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8"/>
      <c r="M206" s="16"/>
      <c r="N206" s="16"/>
      <c r="O206" s="23"/>
      <c r="P206" s="18"/>
      <c r="Q206" s="23"/>
      <c r="R206" s="23"/>
      <c r="S206" s="24"/>
      <c r="T206" s="16"/>
      <c r="U206" s="18"/>
      <c r="V206" s="16"/>
      <c r="W206" s="50" t="str">
        <f aca="true">IF(P206="","",TODAY()-P206)</f>
        <v/>
      </c>
      <c r="X206" s="51" t="str">
        <f aca="true">IF(D206="","",IF(AND(U206&lt;&gt;"",U206&lt;TODAY()),"Follow-up overdue",IF(AND(W206&lt;&gt;"",W206&gt;60),"No order 60+ days","OK")))</f>
        <v/>
      </c>
    </row>
    <row r="207" customFormat="false" ht="15" hidden="false" customHeight="false" outlineLevel="0" collapsed="false">
      <c r="A207" s="16" t="s">
        <v>1455</v>
      </c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8"/>
      <c r="M207" s="16"/>
      <c r="N207" s="16"/>
      <c r="O207" s="23"/>
      <c r="P207" s="18"/>
      <c r="Q207" s="23"/>
      <c r="R207" s="23"/>
      <c r="S207" s="24"/>
      <c r="T207" s="16"/>
      <c r="U207" s="18"/>
      <c r="V207" s="16"/>
      <c r="W207" s="50" t="str">
        <f aca="true">IF(P207="","",TODAY()-P207)</f>
        <v/>
      </c>
      <c r="X207" s="51" t="str">
        <f aca="true">IF(D207="","",IF(AND(U207&lt;&gt;"",U207&lt;TODAY()),"Follow-up overdue",IF(AND(W207&lt;&gt;"",W207&gt;60),"No order 60+ days","OK")))</f>
        <v/>
      </c>
    </row>
    <row r="208" customFormat="false" ht="15" hidden="false" customHeight="false" outlineLevel="0" collapsed="false">
      <c r="A208" s="16" t="s">
        <v>1456</v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8"/>
      <c r="M208" s="16"/>
      <c r="N208" s="16"/>
      <c r="O208" s="23"/>
      <c r="P208" s="18"/>
      <c r="Q208" s="23"/>
      <c r="R208" s="23"/>
      <c r="S208" s="24"/>
      <c r="T208" s="16"/>
      <c r="U208" s="18"/>
      <c r="V208" s="16"/>
      <c r="W208" s="50" t="str">
        <f aca="true">IF(P208="","",TODAY()-P208)</f>
        <v/>
      </c>
      <c r="X208" s="51" t="str">
        <f aca="true">IF(D208="","",IF(AND(U208&lt;&gt;"",U208&lt;TODAY()),"Follow-up overdue",IF(AND(W208&lt;&gt;"",W208&gt;60),"No order 60+ days","OK")))</f>
        <v/>
      </c>
    </row>
    <row r="209" customFormat="false" ht="15" hidden="false" customHeight="false" outlineLevel="0" collapsed="false">
      <c r="A209" s="16" t="s">
        <v>1457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8"/>
      <c r="M209" s="16"/>
      <c r="N209" s="16"/>
      <c r="O209" s="23"/>
      <c r="P209" s="18"/>
      <c r="Q209" s="23"/>
      <c r="R209" s="23"/>
      <c r="S209" s="24"/>
      <c r="T209" s="16"/>
      <c r="U209" s="18"/>
      <c r="V209" s="16"/>
      <c r="W209" s="50" t="str">
        <f aca="true">IF(P209="","",TODAY()-P209)</f>
        <v/>
      </c>
      <c r="X209" s="51" t="str">
        <f aca="true">IF(D209="","",IF(AND(U209&lt;&gt;"",U209&lt;TODAY()),"Follow-up overdue",IF(AND(W209&lt;&gt;"",W209&gt;60),"No order 60+ days","OK")))</f>
        <v/>
      </c>
    </row>
    <row r="210" customFormat="false" ht="15" hidden="false" customHeight="false" outlineLevel="0" collapsed="false">
      <c r="A210" s="16" t="s">
        <v>1458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8"/>
      <c r="M210" s="16"/>
      <c r="N210" s="16"/>
      <c r="O210" s="23"/>
      <c r="P210" s="18"/>
      <c r="Q210" s="23"/>
      <c r="R210" s="23"/>
      <c r="S210" s="24"/>
      <c r="T210" s="16"/>
      <c r="U210" s="18"/>
      <c r="V210" s="16"/>
      <c r="W210" s="50" t="str">
        <f aca="true">IF(P210="","",TODAY()-P210)</f>
        <v/>
      </c>
      <c r="X210" s="51" t="str">
        <f aca="true">IF(D210="","",IF(AND(U210&lt;&gt;"",U210&lt;TODAY()),"Follow-up overdue",IF(AND(W210&lt;&gt;"",W210&gt;60),"No order 60+ days","OK")))</f>
        <v/>
      </c>
    </row>
    <row r="211" customFormat="false" ht="15" hidden="false" customHeight="false" outlineLevel="0" collapsed="false">
      <c r="A211" s="16" t="s">
        <v>1459</v>
      </c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8"/>
      <c r="M211" s="16"/>
      <c r="N211" s="16"/>
      <c r="O211" s="23"/>
      <c r="P211" s="18"/>
      <c r="Q211" s="23"/>
      <c r="R211" s="23"/>
      <c r="S211" s="24"/>
      <c r="T211" s="16"/>
      <c r="U211" s="18"/>
      <c r="V211" s="16"/>
      <c r="W211" s="50" t="str">
        <f aca="true">IF(P211="","",TODAY()-P211)</f>
        <v/>
      </c>
      <c r="X211" s="51" t="str">
        <f aca="true">IF(D211="","",IF(AND(U211&lt;&gt;"",U211&lt;TODAY()),"Follow-up overdue",IF(AND(W211&lt;&gt;"",W211&gt;60),"No order 60+ days","OK")))</f>
        <v/>
      </c>
    </row>
    <row r="212" customFormat="false" ht="15" hidden="false" customHeight="false" outlineLevel="0" collapsed="false">
      <c r="A212" s="16" t="s">
        <v>1460</v>
      </c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8"/>
      <c r="M212" s="16"/>
      <c r="N212" s="16"/>
      <c r="O212" s="23"/>
      <c r="P212" s="18"/>
      <c r="Q212" s="23"/>
      <c r="R212" s="23"/>
      <c r="S212" s="24"/>
      <c r="T212" s="16"/>
      <c r="U212" s="18"/>
      <c r="V212" s="16"/>
      <c r="W212" s="50" t="str">
        <f aca="true">IF(P212="","",TODAY()-P212)</f>
        <v/>
      </c>
      <c r="X212" s="51" t="str">
        <f aca="true">IF(D212="","",IF(AND(U212&lt;&gt;"",U212&lt;TODAY()),"Follow-up overdue",IF(AND(W212&lt;&gt;"",W212&gt;60),"No order 60+ days","OK")))</f>
        <v/>
      </c>
    </row>
    <row r="213" customFormat="false" ht="15" hidden="false" customHeight="false" outlineLevel="0" collapsed="false">
      <c r="A213" s="16" t="s">
        <v>1461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8"/>
      <c r="M213" s="16"/>
      <c r="N213" s="16"/>
      <c r="O213" s="23"/>
      <c r="P213" s="18"/>
      <c r="Q213" s="23"/>
      <c r="R213" s="23"/>
      <c r="S213" s="24"/>
      <c r="T213" s="16"/>
      <c r="U213" s="18"/>
      <c r="V213" s="16"/>
      <c r="W213" s="50" t="str">
        <f aca="true">IF(P213="","",TODAY()-P213)</f>
        <v/>
      </c>
      <c r="X213" s="51" t="str">
        <f aca="true">IF(D213="","",IF(AND(U213&lt;&gt;"",U213&lt;TODAY()),"Follow-up overdue",IF(AND(W213&lt;&gt;"",W213&gt;60),"No order 60+ days","OK")))</f>
        <v/>
      </c>
    </row>
    <row r="214" customFormat="false" ht="15" hidden="false" customHeight="false" outlineLevel="0" collapsed="false">
      <c r="A214" s="16" t="s">
        <v>1462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8"/>
      <c r="M214" s="16"/>
      <c r="N214" s="16"/>
      <c r="O214" s="23"/>
      <c r="P214" s="18"/>
      <c r="Q214" s="23"/>
      <c r="R214" s="23"/>
      <c r="S214" s="24"/>
      <c r="T214" s="16"/>
      <c r="U214" s="18"/>
      <c r="V214" s="16"/>
      <c r="W214" s="50" t="str">
        <f aca="true">IF(P214="","",TODAY()-P214)</f>
        <v/>
      </c>
      <c r="X214" s="51" t="str">
        <f aca="true">IF(D214="","",IF(AND(U214&lt;&gt;"",U214&lt;TODAY()),"Follow-up overdue",IF(AND(W214&lt;&gt;"",W214&gt;60),"No order 60+ days","OK")))</f>
        <v/>
      </c>
    </row>
    <row r="215" customFormat="false" ht="15" hidden="false" customHeight="false" outlineLevel="0" collapsed="false">
      <c r="A215" s="16" t="s">
        <v>1463</v>
      </c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8"/>
      <c r="M215" s="16"/>
      <c r="N215" s="16"/>
      <c r="O215" s="23"/>
      <c r="P215" s="18"/>
      <c r="Q215" s="23"/>
      <c r="R215" s="23"/>
      <c r="S215" s="24"/>
      <c r="T215" s="16"/>
      <c r="U215" s="18"/>
      <c r="V215" s="16"/>
      <c r="W215" s="50" t="str">
        <f aca="true">IF(P215="","",TODAY()-P215)</f>
        <v/>
      </c>
      <c r="X215" s="51" t="str">
        <f aca="true">IF(D215="","",IF(AND(U215&lt;&gt;"",U215&lt;TODAY()),"Follow-up overdue",IF(AND(W215&lt;&gt;"",W215&gt;60),"No order 60+ days","OK")))</f>
        <v/>
      </c>
    </row>
    <row r="216" customFormat="false" ht="15" hidden="false" customHeight="false" outlineLevel="0" collapsed="false">
      <c r="A216" s="16" t="s">
        <v>1464</v>
      </c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8"/>
      <c r="M216" s="16"/>
      <c r="N216" s="16"/>
      <c r="O216" s="23"/>
      <c r="P216" s="18"/>
      <c r="Q216" s="23"/>
      <c r="R216" s="23"/>
      <c r="S216" s="24"/>
      <c r="T216" s="16"/>
      <c r="U216" s="18"/>
      <c r="V216" s="16"/>
      <c r="W216" s="50" t="str">
        <f aca="true">IF(P216="","",TODAY()-P216)</f>
        <v/>
      </c>
      <c r="X216" s="51" t="str">
        <f aca="true">IF(D216="","",IF(AND(U216&lt;&gt;"",U216&lt;TODAY()),"Follow-up overdue",IF(AND(W216&lt;&gt;"",W216&gt;60),"No order 60+ days","OK")))</f>
        <v/>
      </c>
    </row>
    <row r="217" customFormat="false" ht="15" hidden="false" customHeight="false" outlineLevel="0" collapsed="false">
      <c r="A217" s="16" t="s">
        <v>1465</v>
      </c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8"/>
      <c r="M217" s="16"/>
      <c r="N217" s="16"/>
      <c r="O217" s="23"/>
      <c r="P217" s="18"/>
      <c r="Q217" s="23"/>
      <c r="R217" s="23"/>
      <c r="S217" s="24"/>
      <c r="T217" s="16"/>
      <c r="U217" s="18"/>
      <c r="V217" s="16"/>
      <c r="W217" s="50" t="str">
        <f aca="true">IF(P217="","",TODAY()-P217)</f>
        <v/>
      </c>
      <c r="X217" s="51" t="str">
        <f aca="true">IF(D217="","",IF(AND(U217&lt;&gt;"",U217&lt;TODAY()),"Follow-up overdue",IF(AND(W217&lt;&gt;"",W217&gt;60),"No order 60+ days","OK")))</f>
        <v/>
      </c>
    </row>
    <row r="218" customFormat="false" ht="15" hidden="false" customHeight="false" outlineLevel="0" collapsed="false">
      <c r="A218" s="16" t="s">
        <v>1466</v>
      </c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8"/>
      <c r="M218" s="16"/>
      <c r="N218" s="16"/>
      <c r="O218" s="23"/>
      <c r="P218" s="18"/>
      <c r="Q218" s="23"/>
      <c r="R218" s="23"/>
      <c r="S218" s="24"/>
      <c r="T218" s="16"/>
      <c r="U218" s="18"/>
      <c r="V218" s="16"/>
      <c r="W218" s="50" t="str">
        <f aca="true">IF(P218="","",TODAY()-P218)</f>
        <v/>
      </c>
      <c r="X218" s="51" t="str">
        <f aca="true">IF(D218="","",IF(AND(U218&lt;&gt;"",U218&lt;TODAY()),"Follow-up overdue",IF(AND(W218&lt;&gt;"",W218&gt;60),"No order 60+ days","OK")))</f>
        <v/>
      </c>
    </row>
    <row r="219" customFormat="false" ht="15" hidden="false" customHeight="false" outlineLevel="0" collapsed="false">
      <c r="A219" s="16" t="s">
        <v>1467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8"/>
      <c r="M219" s="16"/>
      <c r="N219" s="16"/>
      <c r="O219" s="23"/>
      <c r="P219" s="18"/>
      <c r="Q219" s="23"/>
      <c r="R219" s="23"/>
      <c r="S219" s="24"/>
      <c r="T219" s="16"/>
      <c r="U219" s="18"/>
      <c r="V219" s="16"/>
      <c r="W219" s="50" t="str">
        <f aca="true">IF(P219="","",TODAY()-P219)</f>
        <v/>
      </c>
      <c r="X219" s="51" t="str">
        <f aca="true">IF(D219="","",IF(AND(U219&lt;&gt;"",U219&lt;TODAY()),"Follow-up overdue",IF(AND(W219&lt;&gt;"",W219&gt;60),"No order 60+ days","OK")))</f>
        <v/>
      </c>
    </row>
    <row r="220" customFormat="false" ht="15" hidden="false" customHeight="false" outlineLevel="0" collapsed="false">
      <c r="A220" s="16" t="s">
        <v>1468</v>
      </c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8"/>
      <c r="M220" s="16"/>
      <c r="N220" s="16"/>
      <c r="O220" s="23"/>
      <c r="P220" s="18"/>
      <c r="Q220" s="23"/>
      <c r="R220" s="23"/>
      <c r="S220" s="24"/>
      <c r="T220" s="16"/>
      <c r="U220" s="18"/>
      <c r="V220" s="16"/>
      <c r="W220" s="50" t="str">
        <f aca="true">IF(P220="","",TODAY()-P220)</f>
        <v/>
      </c>
      <c r="X220" s="51" t="str">
        <f aca="true">IF(D220="","",IF(AND(U220&lt;&gt;"",U220&lt;TODAY()),"Follow-up overdue",IF(AND(W220&lt;&gt;"",W220&gt;60),"No order 60+ days","OK")))</f>
        <v/>
      </c>
    </row>
    <row r="221" customFormat="false" ht="15" hidden="false" customHeight="false" outlineLevel="0" collapsed="false">
      <c r="A221" s="16" t="s">
        <v>1469</v>
      </c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8"/>
      <c r="M221" s="16"/>
      <c r="N221" s="16"/>
      <c r="O221" s="23"/>
      <c r="P221" s="18"/>
      <c r="Q221" s="23"/>
      <c r="R221" s="23"/>
      <c r="S221" s="24"/>
      <c r="T221" s="16"/>
      <c r="U221" s="18"/>
      <c r="V221" s="16"/>
      <c r="W221" s="50" t="str">
        <f aca="true">IF(P221="","",TODAY()-P221)</f>
        <v/>
      </c>
      <c r="X221" s="51" t="str">
        <f aca="true">IF(D221="","",IF(AND(U221&lt;&gt;"",U221&lt;TODAY()),"Follow-up overdue",IF(AND(W221&lt;&gt;"",W221&gt;60),"No order 60+ days","OK")))</f>
        <v/>
      </c>
    </row>
    <row r="222" customFormat="false" ht="15" hidden="false" customHeight="false" outlineLevel="0" collapsed="false">
      <c r="A222" s="16" t="s">
        <v>1470</v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8"/>
      <c r="M222" s="16"/>
      <c r="N222" s="16"/>
      <c r="O222" s="23"/>
      <c r="P222" s="18"/>
      <c r="Q222" s="23"/>
      <c r="R222" s="23"/>
      <c r="S222" s="24"/>
      <c r="T222" s="16"/>
      <c r="U222" s="18"/>
      <c r="V222" s="16"/>
      <c r="W222" s="50" t="str">
        <f aca="true">IF(P222="","",TODAY()-P222)</f>
        <v/>
      </c>
      <c r="X222" s="51" t="str">
        <f aca="true">IF(D222="","",IF(AND(U222&lt;&gt;"",U222&lt;TODAY()),"Follow-up overdue",IF(AND(W222&lt;&gt;"",W222&gt;60),"No order 60+ days","OK")))</f>
        <v/>
      </c>
    </row>
    <row r="223" customFormat="false" ht="15" hidden="false" customHeight="false" outlineLevel="0" collapsed="false">
      <c r="A223" s="16" t="s">
        <v>1471</v>
      </c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8"/>
      <c r="M223" s="16"/>
      <c r="N223" s="16"/>
      <c r="O223" s="23"/>
      <c r="P223" s="18"/>
      <c r="Q223" s="23"/>
      <c r="R223" s="23"/>
      <c r="S223" s="24"/>
      <c r="T223" s="16"/>
      <c r="U223" s="18"/>
      <c r="V223" s="16"/>
      <c r="W223" s="50" t="str">
        <f aca="true">IF(P223="","",TODAY()-P223)</f>
        <v/>
      </c>
      <c r="X223" s="51" t="str">
        <f aca="true">IF(D223="","",IF(AND(U223&lt;&gt;"",U223&lt;TODAY()),"Follow-up overdue",IF(AND(W223&lt;&gt;"",W223&gt;60),"No order 60+ days","OK")))</f>
        <v/>
      </c>
    </row>
    <row r="224" customFormat="false" ht="15" hidden="false" customHeight="false" outlineLevel="0" collapsed="false">
      <c r="A224" s="16" t="s">
        <v>1472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8"/>
      <c r="M224" s="16"/>
      <c r="N224" s="16"/>
      <c r="O224" s="23"/>
      <c r="P224" s="18"/>
      <c r="Q224" s="23"/>
      <c r="R224" s="23"/>
      <c r="S224" s="24"/>
      <c r="T224" s="16"/>
      <c r="U224" s="18"/>
      <c r="V224" s="16"/>
      <c r="W224" s="50" t="str">
        <f aca="true">IF(P224="","",TODAY()-P224)</f>
        <v/>
      </c>
      <c r="X224" s="51" t="str">
        <f aca="true">IF(D224="","",IF(AND(U224&lt;&gt;"",U224&lt;TODAY()),"Follow-up overdue",IF(AND(W224&lt;&gt;"",W224&gt;60),"No order 60+ days","OK")))</f>
        <v/>
      </c>
    </row>
    <row r="225" customFormat="false" ht="15" hidden="false" customHeight="false" outlineLevel="0" collapsed="false">
      <c r="A225" s="16" t="s">
        <v>1473</v>
      </c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8"/>
      <c r="M225" s="16"/>
      <c r="N225" s="16"/>
      <c r="O225" s="23"/>
      <c r="P225" s="18"/>
      <c r="Q225" s="23"/>
      <c r="R225" s="23"/>
      <c r="S225" s="24"/>
      <c r="T225" s="16"/>
      <c r="U225" s="18"/>
      <c r="V225" s="16"/>
      <c r="W225" s="50" t="str">
        <f aca="true">IF(P225="","",TODAY()-P225)</f>
        <v/>
      </c>
      <c r="X225" s="51" t="str">
        <f aca="true">IF(D225="","",IF(AND(U225&lt;&gt;"",U225&lt;TODAY()),"Follow-up overdue",IF(AND(W225&lt;&gt;"",W225&gt;60),"No order 60+ days","OK")))</f>
        <v/>
      </c>
    </row>
    <row r="226" customFormat="false" ht="15" hidden="false" customHeight="false" outlineLevel="0" collapsed="false">
      <c r="A226" s="16" t="s">
        <v>1474</v>
      </c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8"/>
      <c r="M226" s="16"/>
      <c r="N226" s="16"/>
      <c r="O226" s="23"/>
      <c r="P226" s="18"/>
      <c r="Q226" s="23"/>
      <c r="R226" s="23"/>
      <c r="S226" s="24"/>
      <c r="T226" s="16"/>
      <c r="U226" s="18"/>
      <c r="V226" s="16"/>
      <c r="W226" s="50" t="str">
        <f aca="true">IF(P226="","",TODAY()-P226)</f>
        <v/>
      </c>
      <c r="X226" s="51" t="str">
        <f aca="true">IF(D226="","",IF(AND(U226&lt;&gt;"",U226&lt;TODAY()),"Follow-up overdue",IF(AND(W226&lt;&gt;"",W226&gt;60),"No order 60+ days","OK")))</f>
        <v/>
      </c>
    </row>
    <row r="227" customFormat="false" ht="15" hidden="false" customHeight="false" outlineLevel="0" collapsed="false">
      <c r="A227" s="16" t="s">
        <v>1475</v>
      </c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8"/>
      <c r="M227" s="16"/>
      <c r="N227" s="16"/>
      <c r="O227" s="23"/>
      <c r="P227" s="18"/>
      <c r="Q227" s="23"/>
      <c r="R227" s="23"/>
      <c r="S227" s="24"/>
      <c r="T227" s="16"/>
      <c r="U227" s="18"/>
      <c r="V227" s="16"/>
      <c r="W227" s="50" t="str">
        <f aca="true">IF(P227="","",TODAY()-P227)</f>
        <v/>
      </c>
      <c r="X227" s="51" t="str">
        <f aca="true">IF(D227="","",IF(AND(U227&lt;&gt;"",U227&lt;TODAY()),"Follow-up overdue",IF(AND(W227&lt;&gt;"",W227&gt;60),"No order 60+ days","OK")))</f>
        <v/>
      </c>
    </row>
    <row r="228" customFormat="false" ht="15" hidden="false" customHeight="false" outlineLevel="0" collapsed="false">
      <c r="A228" s="16" t="s">
        <v>1476</v>
      </c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8"/>
      <c r="M228" s="16"/>
      <c r="N228" s="16"/>
      <c r="O228" s="23"/>
      <c r="P228" s="18"/>
      <c r="Q228" s="23"/>
      <c r="R228" s="23"/>
      <c r="S228" s="24"/>
      <c r="T228" s="16"/>
      <c r="U228" s="18"/>
      <c r="V228" s="16"/>
      <c r="W228" s="50" t="str">
        <f aca="true">IF(P228="","",TODAY()-P228)</f>
        <v/>
      </c>
      <c r="X228" s="51" t="str">
        <f aca="true">IF(D228="","",IF(AND(U228&lt;&gt;"",U228&lt;TODAY()),"Follow-up overdue",IF(AND(W228&lt;&gt;"",W228&gt;60),"No order 60+ days","OK")))</f>
        <v/>
      </c>
    </row>
    <row r="229" customFormat="false" ht="15" hidden="false" customHeight="false" outlineLevel="0" collapsed="false">
      <c r="A229" s="16" t="s">
        <v>1477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8"/>
      <c r="M229" s="16"/>
      <c r="N229" s="16"/>
      <c r="O229" s="23"/>
      <c r="P229" s="18"/>
      <c r="Q229" s="23"/>
      <c r="R229" s="23"/>
      <c r="S229" s="24"/>
      <c r="T229" s="16"/>
      <c r="U229" s="18"/>
      <c r="V229" s="16"/>
      <c r="W229" s="50" t="str">
        <f aca="true">IF(P229="","",TODAY()-P229)</f>
        <v/>
      </c>
      <c r="X229" s="51" t="str">
        <f aca="true">IF(D229="","",IF(AND(U229&lt;&gt;"",U229&lt;TODAY()),"Follow-up overdue",IF(AND(W229&lt;&gt;"",W229&gt;60),"No order 60+ days","OK")))</f>
        <v/>
      </c>
    </row>
    <row r="230" customFormat="false" ht="15" hidden="false" customHeight="false" outlineLevel="0" collapsed="false">
      <c r="A230" s="16" t="s">
        <v>1478</v>
      </c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8"/>
      <c r="M230" s="16"/>
      <c r="N230" s="16"/>
      <c r="O230" s="23"/>
      <c r="P230" s="18"/>
      <c r="Q230" s="23"/>
      <c r="R230" s="23"/>
      <c r="S230" s="24"/>
      <c r="T230" s="16"/>
      <c r="U230" s="18"/>
      <c r="V230" s="16"/>
      <c r="W230" s="50" t="str">
        <f aca="true">IF(P230="","",TODAY()-P230)</f>
        <v/>
      </c>
      <c r="X230" s="51" t="str">
        <f aca="true">IF(D230="","",IF(AND(U230&lt;&gt;"",U230&lt;TODAY()),"Follow-up overdue",IF(AND(W230&lt;&gt;"",W230&gt;60),"No order 60+ days","OK")))</f>
        <v/>
      </c>
    </row>
    <row r="231" customFormat="false" ht="15" hidden="false" customHeight="false" outlineLevel="0" collapsed="false">
      <c r="A231" s="16" t="s">
        <v>1479</v>
      </c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8"/>
      <c r="M231" s="16"/>
      <c r="N231" s="16"/>
      <c r="O231" s="23"/>
      <c r="P231" s="18"/>
      <c r="Q231" s="23"/>
      <c r="R231" s="23"/>
      <c r="S231" s="24"/>
      <c r="T231" s="16"/>
      <c r="U231" s="18"/>
      <c r="V231" s="16"/>
      <c r="W231" s="50" t="str">
        <f aca="true">IF(P231="","",TODAY()-P231)</f>
        <v/>
      </c>
      <c r="X231" s="51" t="str">
        <f aca="true">IF(D231="","",IF(AND(U231&lt;&gt;"",U231&lt;TODAY()),"Follow-up overdue",IF(AND(W231&lt;&gt;"",W231&gt;60),"No order 60+ days","OK")))</f>
        <v/>
      </c>
    </row>
    <row r="232" customFormat="false" ht="15" hidden="false" customHeight="false" outlineLevel="0" collapsed="false">
      <c r="A232" s="16" t="s">
        <v>1480</v>
      </c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8"/>
      <c r="M232" s="16"/>
      <c r="N232" s="16"/>
      <c r="O232" s="23"/>
      <c r="P232" s="18"/>
      <c r="Q232" s="23"/>
      <c r="R232" s="23"/>
      <c r="S232" s="24"/>
      <c r="T232" s="16"/>
      <c r="U232" s="18"/>
      <c r="V232" s="16"/>
      <c r="W232" s="50" t="str">
        <f aca="true">IF(P232="","",TODAY()-P232)</f>
        <v/>
      </c>
      <c r="X232" s="51" t="str">
        <f aca="true">IF(D232="","",IF(AND(U232&lt;&gt;"",U232&lt;TODAY()),"Follow-up overdue",IF(AND(W232&lt;&gt;"",W232&gt;60),"No order 60+ days","OK")))</f>
        <v/>
      </c>
    </row>
    <row r="233" customFormat="false" ht="15" hidden="false" customHeight="false" outlineLevel="0" collapsed="false">
      <c r="A233" s="16" t="s">
        <v>1481</v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8"/>
      <c r="M233" s="16"/>
      <c r="N233" s="16"/>
      <c r="O233" s="23"/>
      <c r="P233" s="18"/>
      <c r="Q233" s="23"/>
      <c r="R233" s="23"/>
      <c r="S233" s="24"/>
      <c r="T233" s="16"/>
      <c r="U233" s="18"/>
      <c r="V233" s="16"/>
      <c r="W233" s="50" t="str">
        <f aca="true">IF(P233="","",TODAY()-P233)</f>
        <v/>
      </c>
      <c r="X233" s="51" t="str">
        <f aca="true">IF(D233="","",IF(AND(U233&lt;&gt;"",U233&lt;TODAY()),"Follow-up overdue",IF(AND(W233&lt;&gt;"",W233&gt;60),"No order 60+ days","OK")))</f>
        <v/>
      </c>
    </row>
    <row r="234" customFormat="false" ht="15" hidden="false" customHeight="false" outlineLevel="0" collapsed="false">
      <c r="A234" s="16" t="s">
        <v>1482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8"/>
      <c r="M234" s="16"/>
      <c r="N234" s="16"/>
      <c r="O234" s="23"/>
      <c r="P234" s="18"/>
      <c r="Q234" s="23"/>
      <c r="R234" s="23"/>
      <c r="S234" s="24"/>
      <c r="T234" s="16"/>
      <c r="U234" s="18"/>
      <c r="V234" s="16"/>
      <c r="W234" s="50" t="str">
        <f aca="true">IF(P234="","",TODAY()-P234)</f>
        <v/>
      </c>
      <c r="X234" s="51" t="str">
        <f aca="true">IF(D234="","",IF(AND(U234&lt;&gt;"",U234&lt;TODAY()),"Follow-up overdue",IF(AND(W234&lt;&gt;"",W234&gt;60),"No order 60+ days","OK")))</f>
        <v/>
      </c>
    </row>
    <row r="235" customFormat="false" ht="15" hidden="false" customHeight="false" outlineLevel="0" collapsed="false">
      <c r="A235" s="16" t="s">
        <v>1483</v>
      </c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8"/>
      <c r="M235" s="16"/>
      <c r="N235" s="16"/>
      <c r="O235" s="23"/>
      <c r="P235" s="18"/>
      <c r="Q235" s="23"/>
      <c r="R235" s="23"/>
      <c r="S235" s="24"/>
      <c r="T235" s="16"/>
      <c r="U235" s="18"/>
      <c r="V235" s="16"/>
      <c r="W235" s="50" t="str">
        <f aca="true">IF(P235="","",TODAY()-P235)</f>
        <v/>
      </c>
      <c r="X235" s="51" t="str">
        <f aca="true">IF(D235="","",IF(AND(U235&lt;&gt;"",U235&lt;TODAY()),"Follow-up overdue",IF(AND(W235&lt;&gt;"",W235&gt;60),"No order 60+ days","OK")))</f>
        <v/>
      </c>
    </row>
    <row r="236" customFormat="false" ht="15" hidden="false" customHeight="false" outlineLevel="0" collapsed="false">
      <c r="A236" s="16" t="s">
        <v>1484</v>
      </c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8"/>
      <c r="M236" s="16"/>
      <c r="N236" s="16"/>
      <c r="O236" s="23"/>
      <c r="P236" s="18"/>
      <c r="Q236" s="23"/>
      <c r="R236" s="23"/>
      <c r="S236" s="24"/>
      <c r="T236" s="16"/>
      <c r="U236" s="18"/>
      <c r="V236" s="16"/>
      <c r="W236" s="50" t="str">
        <f aca="true">IF(P236="","",TODAY()-P236)</f>
        <v/>
      </c>
      <c r="X236" s="51" t="str">
        <f aca="true">IF(D236="","",IF(AND(U236&lt;&gt;"",U236&lt;TODAY()),"Follow-up overdue",IF(AND(W236&lt;&gt;"",W236&gt;60),"No order 60+ days","OK")))</f>
        <v/>
      </c>
    </row>
    <row r="237" customFormat="false" ht="15" hidden="false" customHeight="false" outlineLevel="0" collapsed="false">
      <c r="A237" s="16" t="s">
        <v>1485</v>
      </c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8"/>
      <c r="M237" s="16"/>
      <c r="N237" s="16"/>
      <c r="O237" s="23"/>
      <c r="P237" s="18"/>
      <c r="Q237" s="23"/>
      <c r="R237" s="23"/>
      <c r="S237" s="24"/>
      <c r="T237" s="16"/>
      <c r="U237" s="18"/>
      <c r="V237" s="16"/>
      <c r="W237" s="50" t="str">
        <f aca="true">IF(P237="","",TODAY()-P237)</f>
        <v/>
      </c>
      <c r="X237" s="51" t="str">
        <f aca="true">IF(D237="","",IF(AND(U237&lt;&gt;"",U237&lt;TODAY()),"Follow-up overdue",IF(AND(W237&lt;&gt;"",W237&gt;60),"No order 60+ days","OK")))</f>
        <v/>
      </c>
    </row>
    <row r="238" customFormat="false" ht="15" hidden="false" customHeight="false" outlineLevel="0" collapsed="false">
      <c r="A238" s="16" t="s">
        <v>1486</v>
      </c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8"/>
      <c r="M238" s="16"/>
      <c r="N238" s="16"/>
      <c r="O238" s="23"/>
      <c r="P238" s="18"/>
      <c r="Q238" s="23"/>
      <c r="R238" s="23"/>
      <c r="S238" s="24"/>
      <c r="T238" s="16"/>
      <c r="U238" s="18"/>
      <c r="V238" s="16"/>
      <c r="W238" s="50" t="str">
        <f aca="true">IF(P238="","",TODAY()-P238)</f>
        <v/>
      </c>
      <c r="X238" s="51" t="str">
        <f aca="true">IF(D238="","",IF(AND(U238&lt;&gt;"",U238&lt;TODAY()),"Follow-up overdue",IF(AND(W238&lt;&gt;"",W238&gt;60),"No order 60+ days","OK")))</f>
        <v/>
      </c>
    </row>
    <row r="239" customFormat="false" ht="15" hidden="false" customHeight="false" outlineLevel="0" collapsed="false">
      <c r="A239" s="16" t="s">
        <v>1487</v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8"/>
      <c r="M239" s="16"/>
      <c r="N239" s="16"/>
      <c r="O239" s="23"/>
      <c r="P239" s="18"/>
      <c r="Q239" s="23"/>
      <c r="R239" s="23"/>
      <c r="S239" s="24"/>
      <c r="T239" s="16"/>
      <c r="U239" s="18"/>
      <c r="V239" s="16"/>
      <c r="W239" s="50" t="str">
        <f aca="true">IF(P239="","",TODAY()-P239)</f>
        <v/>
      </c>
      <c r="X239" s="51" t="str">
        <f aca="true">IF(D239="","",IF(AND(U239&lt;&gt;"",U239&lt;TODAY()),"Follow-up overdue",IF(AND(W239&lt;&gt;"",W239&gt;60),"No order 60+ days","OK")))</f>
        <v/>
      </c>
    </row>
    <row r="240" customFormat="false" ht="15" hidden="false" customHeight="false" outlineLevel="0" collapsed="false">
      <c r="A240" s="16" t="s">
        <v>1488</v>
      </c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8"/>
      <c r="M240" s="16"/>
      <c r="N240" s="16"/>
      <c r="O240" s="23"/>
      <c r="P240" s="18"/>
      <c r="Q240" s="23"/>
      <c r="R240" s="23"/>
      <c r="S240" s="24"/>
      <c r="T240" s="16"/>
      <c r="U240" s="18"/>
      <c r="V240" s="16"/>
      <c r="W240" s="50" t="str">
        <f aca="true">IF(P240="","",TODAY()-P240)</f>
        <v/>
      </c>
      <c r="X240" s="51" t="str">
        <f aca="true">IF(D240="","",IF(AND(U240&lt;&gt;"",U240&lt;TODAY()),"Follow-up overdue",IF(AND(W240&lt;&gt;"",W240&gt;60),"No order 60+ days","OK")))</f>
        <v/>
      </c>
    </row>
    <row r="241" customFormat="false" ht="15" hidden="false" customHeight="false" outlineLevel="0" collapsed="false">
      <c r="A241" s="16" t="s">
        <v>1489</v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8"/>
      <c r="M241" s="16"/>
      <c r="N241" s="16"/>
      <c r="O241" s="23"/>
      <c r="P241" s="18"/>
      <c r="Q241" s="23"/>
      <c r="R241" s="23"/>
      <c r="S241" s="24"/>
      <c r="T241" s="16"/>
      <c r="U241" s="18"/>
      <c r="V241" s="16"/>
      <c r="W241" s="50" t="str">
        <f aca="true">IF(P241="","",TODAY()-P241)</f>
        <v/>
      </c>
      <c r="X241" s="51" t="str">
        <f aca="true">IF(D241="","",IF(AND(U241&lt;&gt;"",U241&lt;TODAY()),"Follow-up overdue",IF(AND(W241&lt;&gt;"",W241&gt;60),"No order 60+ days","OK")))</f>
        <v/>
      </c>
    </row>
    <row r="242" customFormat="false" ht="15" hidden="false" customHeight="false" outlineLevel="0" collapsed="false">
      <c r="A242" s="16" t="s">
        <v>1490</v>
      </c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8"/>
      <c r="M242" s="16"/>
      <c r="N242" s="16"/>
      <c r="O242" s="23"/>
      <c r="P242" s="18"/>
      <c r="Q242" s="23"/>
      <c r="R242" s="23"/>
      <c r="S242" s="24"/>
      <c r="T242" s="16"/>
      <c r="U242" s="18"/>
      <c r="V242" s="16"/>
      <c r="W242" s="50" t="str">
        <f aca="true">IF(P242="","",TODAY()-P242)</f>
        <v/>
      </c>
      <c r="X242" s="51" t="str">
        <f aca="true">IF(D242="","",IF(AND(U242&lt;&gt;"",U242&lt;TODAY()),"Follow-up overdue",IF(AND(W242&lt;&gt;"",W242&gt;60),"No order 60+ days","OK")))</f>
        <v/>
      </c>
    </row>
    <row r="243" customFormat="false" ht="15" hidden="false" customHeight="false" outlineLevel="0" collapsed="false">
      <c r="A243" s="16" t="s">
        <v>1491</v>
      </c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8"/>
      <c r="M243" s="16"/>
      <c r="N243" s="16"/>
      <c r="O243" s="23"/>
      <c r="P243" s="18"/>
      <c r="Q243" s="23"/>
      <c r="R243" s="23"/>
      <c r="S243" s="24"/>
      <c r="T243" s="16"/>
      <c r="U243" s="18"/>
      <c r="V243" s="16"/>
      <c r="W243" s="50" t="str">
        <f aca="true">IF(P243="","",TODAY()-P243)</f>
        <v/>
      </c>
      <c r="X243" s="51" t="str">
        <f aca="true">IF(D243="","",IF(AND(U243&lt;&gt;"",U243&lt;TODAY()),"Follow-up overdue",IF(AND(W243&lt;&gt;"",W243&gt;60),"No order 60+ days","OK")))</f>
        <v/>
      </c>
    </row>
    <row r="244" customFormat="false" ht="15" hidden="false" customHeight="false" outlineLevel="0" collapsed="false">
      <c r="A244" s="16" t="s">
        <v>1492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8"/>
      <c r="M244" s="16"/>
      <c r="N244" s="16"/>
      <c r="O244" s="23"/>
      <c r="P244" s="18"/>
      <c r="Q244" s="23"/>
      <c r="R244" s="23"/>
      <c r="S244" s="24"/>
      <c r="T244" s="16"/>
      <c r="U244" s="18"/>
      <c r="V244" s="16"/>
      <c r="W244" s="50" t="str">
        <f aca="true">IF(P244="","",TODAY()-P244)</f>
        <v/>
      </c>
      <c r="X244" s="51" t="str">
        <f aca="true">IF(D244="","",IF(AND(U244&lt;&gt;"",U244&lt;TODAY()),"Follow-up overdue",IF(AND(W244&lt;&gt;"",W244&gt;60),"No order 60+ days","OK")))</f>
        <v/>
      </c>
    </row>
    <row r="245" customFormat="false" ht="15" hidden="false" customHeight="false" outlineLevel="0" collapsed="false">
      <c r="A245" s="16" t="s">
        <v>1493</v>
      </c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8"/>
      <c r="M245" s="16"/>
      <c r="N245" s="16"/>
      <c r="O245" s="23"/>
      <c r="P245" s="18"/>
      <c r="Q245" s="23"/>
      <c r="R245" s="23"/>
      <c r="S245" s="24"/>
      <c r="T245" s="16"/>
      <c r="U245" s="18"/>
      <c r="V245" s="16"/>
      <c r="W245" s="50" t="str">
        <f aca="true">IF(P245="","",TODAY()-P245)</f>
        <v/>
      </c>
      <c r="X245" s="51" t="str">
        <f aca="true">IF(D245="","",IF(AND(U245&lt;&gt;"",U245&lt;TODAY()),"Follow-up overdue",IF(AND(W245&lt;&gt;"",W245&gt;60),"No order 60+ days","OK")))</f>
        <v/>
      </c>
    </row>
    <row r="246" customFormat="false" ht="15" hidden="false" customHeight="false" outlineLevel="0" collapsed="false">
      <c r="A246" s="16" t="s">
        <v>1494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8"/>
      <c r="M246" s="16"/>
      <c r="N246" s="16"/>
      <c r="O246" s="23"/>
      <c r="P246" s="18"/>
      <c r="Q246" s="23"/>
      <c r="R246" s="23"/>
      <c r="S246" s="24"/>
      <c r="T246" s="16"/>
      <c r="U246" s="18"/>
      <c r="V246" s="16"/>
      <c r="W246" s="50" t="str">
        <f aca="true">IF(P246="","",TODAY()-P246)</f>
        <v/>
      </c>
      <c r="X246" s="51" t="str">
        <f aca="true">IF(D246="","",IF(AND(U246&lt;&gt;"",U246&lt;TODAY()),"Follow-up overdue",IF(AND(W246&lt;&gt;"",W246&gt;60),"No order 60+ days","OK")))</f>
        <v/>
      </c>
    </row>
    <row r="247" customFormat="false" ht="15" hidden="false" customHeight="false" outlineLevel="0" collapsed="false">
      <c r="A247" s="16" t="s">
        <v>1495</v>
      </c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8"/>
      <c r="M247" s="16"/>
      <c r="N247" s="16"/>
      <c r="O247" s="23"/>
      <c r="P247" s="18"/>
      <c r="Q247" s="23"/>
      <c r="R247" s="23"/>
      <c r="S247" s="24"/>
      <c r="T247" s="16"/>
      <c r="U247" s="18"/>
      <c r="V247" s="16"/>
      <c r="W247" s="50" t="str">
        <f aca="true">IF(P247="","",TODAY()-P247)</f>
        <v/>
      </c>
      <c r="X247" s="51" t="str">
        <f aca="true">IF(D247="","",IF(AND(U247&lt;&gt;"",U247&lt;TODAY()),"Follow-up overdue",IF(AND(W247&lt;&gt;"",W247&gt;60),"No order 60+ days","OK")))</f>
        <v/>
      </c>
    </row>
    <row r="248" customFormat="false" ht="15" hidden="false" customHeight="false" outlineLevel="0" collapsed="false">
      <c r="A248" s="16" t="s">
        <v>1496</v>
      </c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8"/>
      <c r="M248" s="16"/>
      <c r="N248" s="16"/>
      <c r="O248" s="23"/>
      <c r="P248" s="18"/>
      <c r="Q248" s="23"/>
      <c r="R248" s="23"/>
      <c r="S248" s="24"/>
      <c r="T248" s="16"/>
      <c r="U248" s="18"/>
      <c r="V248" s="16"/>
      <c r="W248" s="50" t="str">
        <f aca="true">IF(P248="","",TODAY()-P248)</f>
        <v/>
      </c>
      <c r="X248" s="51" t="str">
        <f aca="true">IF(D248="","",IF(AND(U248&lt;&gt;"",U248&lt;TODAY()),"Follow-up overdue",IF(AND(W248&lt;&gt;"",W248&gt;60),"No order 60+ days","OK")))</f>
        <v/>
      </c>
    </row>
    <row r="249" customFormat="false" ht="15" hidden="false" customHeight="false" outlineLevel="0" collapsed="false">
      <c r="A249" s="16" t="s">
        <v>1497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8"/>
      <c r="M249" s="16"/>
      <c r="N249" s="16"/>
      <c r="O249" s="23"/>
      <c r="P249" s="18"/>
      <c r="Q249" s="23"/>
      <c r="R249" s="23"/>
      <c r="S249" s="24"/>
      <c r="T249" s="16"/>
      <c r="U249" s="18"/>
      <c r="V249" s="16"/>
      <c r="W249" s="50" t="str">
        <f aca="true">IF(P249="","",TODAY()-P249)</f>
        <v/>
      </c>
      <c r="X249" s="51" t="str">
        <f aca="true">IF(D249="","",IF(AND(U249&lt;&gt;"",U249&lt;TODAY()),"Follow-up overdue",IF(AND(W249&lt;&gt;"",W249&gt;60),"No order 60+ days","OK")))</f>
        <v/>
      </c>
    </row>
    <row r="250" customFormat="false" ht="15" hidden="false" customHeight="false" outlineLevel="0" collapsed="false">
      <c r="A250" s="16" t="s">
        <v>1498</v>
      </c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8"/>
      <c r="M250" s="16"/>
      <c r="N250" s="16"/>
      <c r="O250" s="23"/>
      <c r="P250" s="18"/>
      <c r="Q250" s="23"/>
      <c r="R250" s="23"/>
      <c r="S250" s="24"/>
      <c r="T250" s="16"/>
      <c r="U250" s="18"/>
      <c r="V250" s="16"/>
      <c r="W250" s="50" t="str">
        <f aca="true">IF(P250="","",TODAY()-P250)</f>
        <v/>
      </c>
      <c r="X250" s="51" t="str">
        <f aca="true">IF(D250="","",IF(AND(U250&lt;&gt;"",U250&lt;TODAY()),"Follow-up overdue",IF(AND(W250&lt;&gt;"",W250&gt;60),"No order 60+ days","OK")))</f>
        <v/>
      </c>
    </row>
    <row r="251" customFormat="false" ht="15" hidden="false" customHeight="false" outlineLevel="0" collapsed="false">
      <c r="A251" s="16" t="s">
        <v>1499</v>
      </c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8"/>
      <c r="M251" s="16"/>
      <c r="N251" s="16"/>
      <c r="O251" s="23"/>
      <c r="P251" s="18"/>
      <c r="Q251" s="23"/>
      <c r="R251" s="23"/>
      <c r="S251" s="24"/>
      <c r="T251" s="16"/>
      <c r="U251" s="18"/>
      <c r="V251" s="16"/>
      <c r="W251" s="50" t="str">
        <f aca="true">IF(P251="","",TODAY()-P251)</f>
        <v/>
      </c>
      <c r="X251" s="51" t="str">
        <f aca="true">IF(D251="","",IF(AND(U251&lt;&gt;"",U251&lt;TODAY()),"Follow-up overdue",IF(AND(W251&lt;&gt;"",W251&gt;60),"No order 60+ days","OK")))</f>
        <v/>
      </c>
    </row>
    <row r="252" customFormat="false" ht="15" hidden="false" customHeight="false" outlineLevel="0" collapsed="false">
      <c r="A252" s="16" t="s">
        <v>1500</v>
      </c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8"/>
      <c r="M252" s="16"/>
      <c r="N252" s="16"/>
      <c r="O252" s="23"/>
      <c r="P252" s="18"/>
      <c r="Q252" s="23"/>
      <c r="R252" s="23"/>
      <c r="S252" s="24"/>
      <c r="T252" s="16"/>
      <c r="U252" s="18"/>
      <c r="V252" s="16"/>
      <c r="W252" s="50" t="str">
        <f aca="true">IF(P252="","",TODAY()-P252)</f>
        <v/>
      </c>
      <c r="X252" s="51" t="str">
        <f aca="true">IF(D252="","",IF(AND(U252&lt;&gt;"",U252&lt;TODAY()),"Follow-up overdue",IF(AND(W252&lt;&gt;"",W252&gt;60),"No order 60+ days","OK")))</f>
        <v/>
      </c>
    </row>
    <row r="253" customFormat="false" ht="15" hidden="false" customHeight="false" outlineLevel="0" collapsed="false">
      <c r="A253" s="16" t="s">
        <v>1501</v>
      </c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8"/>
      <c r="M253" s="16"/>
      <c r="N253" s="16"/>
      <c r="O253" s="23"/>
      <c r="P253" s="18"/>
      <c r="Q253" s="23"/>
      <c r="R253" s="23"/>
      <c r="S253" s="24"/>
      <c r="T253" s="16"/>
      <c r="U253" s="18"/>
      <c r="V253" s="16"/>
      <c r="W253" s="50" t="str">
        <f aca="true">IF(P253="","",TODAY()-P253)</f>
        <v/>
      </c>
      <c r="X253" s="51" t="str">
        <f aca="true">IF(D253="","",IF(AND(U253&lt;&gt;"",U253&lt;TODAY()),"Follow-up overdue",IF(AND(W253&lt;&gt;"",W253&gt;60),"No order 60+ days","OK")))</f>
        <v/>
      </c>
    </row>
    <row r="254" customFormat="false" ht="15" hidden="false" customHeight="false" outlineLevel="0" collapsed="false">
      <c r="A254" s="16" t="s">
        <v>1502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8"/>
      <c r="M254" s="16"/>
      <c r="N254" s="16"/>
      <c r="O254" s="23"/>
      <c r="P254" s="18"/>
      <c r="Q254" s="23"/>
      <c r="R254" s="23"/>
      <c r="S254" s="24"/>
      <c r="T254" s="16"/>
      <c r="U254" s="18"/>
      <c r="V254" s="16"/>
      <c r="W254" s="50" t="str">
        <f aca="true">IF(P254="","",TODAY()-P254)</f>
        <v/>
      </c>
      <c r="X254" s="51" t="str">
        <f aca="true">IF(D254="","",IF(AND(U254&lt;&gt;"",U254&lt;TODAY()),"Follow-up overdue",IF(AND(W254&lt;&gt;"",W254&gt;60),"No order 60+ days","OK")))</f>
        <v/>
      </c>
    </row>
    <row r="255" customFormat="false" ht="15" hidden="false" customHeight="false" outlineLevel="0" collapsed="false">
      <c r="A255" s="16" t="s">
        <v>1503</v>
      </c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8"/>
      <c r="M255" s="16"/>
      <c r="N255" s="16"/>
      <c r="O255" s="23"/>
      <c r="P255" s="18"/>
      <c r="Q255" s="23"/>
      <c r="R255" s="23"/>
      <c r="S255" s="24"/>
      <c r="T255" s="16"/>
      <c r="U255" s="18"/>
      <c r="V255" s="16"/>
      <c r="W255" s="50" t="str">
        <f aca="true">IF(P255="","",TODAY()-P255)</f>
        <v/>
      </c>
      <c r="X255" s="51" t="str">
        <f aca="true">IF(D255="","",IF(AND(U255&lt;&gt;"",U255&lt;TODAY()),"Follow-up overdue",IF(AND(W255&lt;&gt;"",W255&gt;60),"No order 60+ days","OK")))</f>
        <v/>
      </c>
    </row>
    <row r="256" customFormat="false" ht="15" hidden="false" customHeight="false" outlineLevel="0" collapsed="false">
      <c r="A256" s="16" t="s">
        <v>1504</v>
      </c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8"/>
      <c r="M256" s="16"/>
      <c r="N256" s="16"/>
      <c r="O256" s="23"/>
      <c r="P256" s="18"/>
      <c r="Q256" s="23"/>
      <c r="R256" s="23"/>
      <c r="S256" s="24"/>
      <c r="T256" s="16"/>
      <c r="U256" s="18"/>
      <c r="V256" s="16"/>
      <c r="W256" s="50" t="str">
        <f aca="true">IF(P256="","",TODAY()-P256)</f>
        <v/>
      </c>
      <c r="X256" s="51" t="str">
        <f aca="true">IF(D256="","",IF(AND(U256&lt;&gt;"",U256&lt;TODAY()),"Follow-up overdue",IF(AND(W256&lt;&gt;"",W256&gt;60),"No order 60+ days","OK")))</f>
        <v/>
      </c>
    </row>
    <row r="257" customFormat="false" ht="15" hidden="false" customHeight="false" outlineLevel="0" collapsed="false">
      <c r="A257" s="16" t="s">
        <v>1505</v>
      </c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8"/>
      <c r="M257" s="16"/>
      <c r="N257" s="16"/>
      <c r="O257" s="23"/>
      <c r="P257" s="18"/>
      <c r="Q257" s="23"/>
      <c r="R257" s="23"/>
      <c r="S257" s="24"/>
      <c r="T257" s="16"/>
      <c r="U257" s="18"/>
      <c r="V257" s="16"/>
      <c r="W257" s="50" t="str">
        <f aca="true">IF(P257="","",TODAY()-P257)</f>
        <v/>
      </c>
      <c r="X257" s="51" t="str">
        <f aca="true">IF(D257="","",IF(AND(U257&lt;&gt;"",U257&lt;TODAY()),"Follow-up overdue",IF(AND(W257&lt;&gt;"",W257&gt;60),"No order 60+ days","OK")))</f>
        <v/>
      </c>
    </row>
    <row r="258" customFormat="false" ht="15" hidden="false" customHeight="false" outlineLevel="0" collapsed="false">
      <c r="A258" s="16" t="s">
        <v>1506</v>
      </c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8"/>
      <c r="M258" s="16"/>
      <c r="N258" s="16"/>
      <c r="O258" s="23"/>
      <c r="P258" s="18"/>
      <c r="Q258" s="23"/>
      <c r="R258" s="23"/>
      <c r="S258" s="24"/>
      <c r="T258" s="16"/>
      <c r="U258" s="18"/>
      <c r="V258" s="16"/>
      <c r="W258" s="50" t="str">
        <f aca="true">IF(P258="","",TODAY()-P258)</f>
        <v/>
      </c>
      <c r="X258" s="51" t="str">
        <f aca="true">IF(D258="","",IF(AND(U258&lt;&gt;"",U258&lt;TODAY()),"Follow-up overdue",IF(AND(W258&lt;&gt;"",W258&gt;60),"No order 60+ days","OK")))</f>
        <v/>
      </c>
    </row>
    <row r="259" customFormat="false" ht="15" hidden="false" customHeight="false" outlineLevel="0" collapsed="false">
      <c r="A259" s="16" t="s">
        <v>1507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8"/>
      <c r="M259" s="16"/>
      <c r="N259" s="16"/>
      <c r="O259" s="23"/>
      <c r="P259" s="18"/>
      <c r="Q259" s="23"/>
      <c r="R259" s="23"/>
      <c r="S259" s="24"/>
      <c r="T259" s="16"/>
      <c r="U259" s="18"/>
      <c r="V259" s="16"/>
      <c r="W259" s="50" t="str">
        <f aca="true">IF(P259="","",TODAY()-P259)</f>
        <v/>
      </c>
      <c r="X259" s="51" t="str">
        <f aca="true">IF(D259="","",IF(AND(U259&lt;&gt;"",U259&lt;TODAY()),"Follow-up overdue",IF(AND(W259&lt;&gt;"",W259&gt;60),"No order 60+ days","OK")))</f>
        <v/>
      </c>
    </row>
    <row r="260" customFormat="false" ht="15" hidden="false" customHeight="false" outlineLevel="0" collapsed="false">
      <c r="A260" s="16" t="s">
        <v>1508</v>
      </c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8"/>
      <c r="M260" s="16"/>
      <c r="N260" s="16"/>
      <c r="O260" s="23"/>
      <c r="P260" s="18"/>
      <c r="Q260" s="23"/>
      <c r="R260" s="23"/>
      <c r="S260" s="24"/>
      <c r="T260" s="16"/>
      <c r="U260" s="18"/>
      <c r="V260" s="16"/>
      <c r="W260" s="50" t="str">
        <f aca="true">IF(P260="","",TODAY()-P260)</f>
        <v/>
      </c>
      <c r="X260" s="51" t="str">
        <f aca="true">IF(D260="","",IF(AND(U260&lt;&gt;"",U260&lt;TODAY()),"Follow-up overdue",IF(AND(W260&lt;&gt;"",W260&gt;60),"No order 60+ days","OK")))</f>
        <v/>
      </c>
    </row>
    <row r="261" customFormat="false" ht="15" hidden="false" customHeight="false" outlineLevel="0" collapsed="false">
      <c r="A261" s="16" t="s">
        <v>1509</v>
      </c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8"/>
      <c r="M261" s="16"/>
      <c r="N261" s="16"/>
      <c r="O261" s="23"/>
      <c r="P261" s="18"/>
      <c r="Q261" s="23"/>
      <c r="R261" s="23"/>
      <c r="S261" s="24"/>
      <c r="T261" s="16"/>
      <c r="U261" s="18"/>
      <c r="V261" s="16"/>
      <c r="W261" s="50" t="str">
        <f aca="true">IF(P261="","",TODAY()-P261)</f>
        <v/>
      </c>
      <c r="X261" s="51" t="str">
        <f aca="true">IF(D261="","",IF(AND(U261&lt;&gt;"",U261&lt;TODAY()),"Follow-up overdue",IF(AND(W261&lt;&gt;"",W261&gt;60),"No order 60+ days","OK")))</f>
        <v/>
      </c>
    </row>
    <row r="262" customFormat="false" ht="15" hidden="false" customHeight="false" outlineLevel="0" collapsed="false">
      <c r="A262" s="16" t="s">
        <v>1510</v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8"/>
      <c r="M262" s="16"/>
      <c r="N262" s="16"/>
      <c r="O262" s="23"/>
      <c r="P262" s="18"/>
      <c r="Q262" s="23"/>
      <c r="R262" s="23"/>
      <c r="S262" s="24"/>
      <c r="T262" s="16"/>
      <c r="U262" s="18"/>
      <c r="V262" s="16"/>
      <c r="W262" s="50" t="str">
        <f aca="true">IF(P262="","",TODAY()-P262)</f>
        <v/>
      </c>
      <c r="X262" s="51" t="str">
        <f aca="true">IF(D262="","",IF(AND(U262&lt;&gt;"",U262&lt;TODAY()),"Follow-up overdue",IF(AND(W262&lt;&gt;"",W262&gt;60),"No order 60+ days","OK")))</f>
        <v/>
      </c>
    </row>
    <row r="263" customFormat="false" ht="15" hidden="false" customHeight="false" outlineLevel="0" collapsed="false">
      <c r="A263" s="16" t="s">
        <v>1511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8"/>
      <c r="M263" s="16"/>
      <c r="N263" s="16"/>
      <c r="O263" s="23"/>
      <c r="P263" s="18"/>
      <c r="Q263" s="23"/>
      <c r="R263" s="23"/>
      <c r="S263" s="24"/>
      <c r="T263" s="16"/>
      <c r="U263" s="18"/>
      <c r="V263" s="16"/>
      <c r="W263" s="50" t="str">
        <f aca="true">IF(P263="","",TODAY()-P263)</f>
        <v/>
      </c>
      <c r="X263" s="51" t="str">
        <f aca="true">IF(D263="","",IF(AND(U263&lt;&gt;"",U263&lt;TODAY()),"Follow-up overdue",IF(AND(W263&lt;&gt;"",W263&gt;60),"No order 60+ days","OK")))</f>
        <v/>
      </c>
    </row>
    <row r="264" customFormat="false" ht="15" hidden="false" customHeight="false" outlineLevel="0" collapsed="false">
      <c r="A264" s="16" t="s">
        <v>1512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8"/>
      <c r="M264" s="16"/>
      <c r="N264" s="16"/>
      <c r="O264" s="23"/>
      <c r="P264" s="18"/>
      <c r="Q264" s="23"/>
      <c r="R264" s="23"/>
      <c r="S264" s="24"/>
      <c r="T264" s="16"/>
      <c r="U264" s="18"/>
      <c r="V264" s="16"/>
      <c r="W264" s="50" t="str">
        <f aca="true">IF(P264="","",TODAY()-P264)</f>
        <v/>
      </c>
      <c r="X264" s="51" t="str">
        <f aca="true">IF(D264="","",IF(AND(U264&lt;&gt;"",U264&lt;TODAY()),"Follow-up overdue",IF(AND(W264&lt;&gt;"",W264&gt;60),"No order 60+ days","OK")))</f>
        <v/>
      </c>
    </row>
    <row r="265" customFormat="false" ht="15" hidden="false" customHeight="false" outlineLevel="0" collapsed="false">
      <c r="A265" s="16" t="s">
        <v>1513</v>
      </c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8"/>
      <c r="M265" s="16"/>
      <c r="N265" s="16"/>
      <c r="O265" s="23"/>
      <c r="P265" s="18"/>
      <c r="Q265" s="23"/>
      <c r="R265" s="23"/>
      <c r="S265" s="24"/>
      <c r="T265" s="16"/>
      <c r="U265" s="18"/>
      <c r="V265" s="16"/>
      <c r="W265" s="50" t="str">
        <f aca="true">IF(P265="","",TODAY()-P265)</f>
        <v/>
      </c>
      <c r="X265" s="51" t="str">
        <f aca="true">IF(D265="","",IF(AND(U265&lt;&gt;"",U265&lt;TODAY()),"Follow-up overdue",IF(AND(W265&lt;&gt;"",W265&gt;60),"No order 60+ days","OK")))</f>
        <v/>
      </c>
    </row>
    <row r="266" customFormat="false" ht="15" hidden="false" customHeight="false" outlineLevel="0" collapsed="false">
      <c r="A266" s="16" t="s">
        <v>1514</v>
      </c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8"/>
      <c r="M266" s="16"/>
      <c r="N266" s="16"/>
      <c r="O266" s="23"/>
      <c r="P266" s="18"/>
      <c r="Q266" s="23"/>
      <c r="R266" s="23"/>
      <c r="S266" s="24"/>
      <c r="T266" s="16"/>
      <c r="U266" s="18"/>
      <c r="V266" s="16"/>
      <c r="W266" s="50" t="str">
        <f aca="true">IF(P266="","",TODAY()-P266)</f>
        <v/>
      </c>
      <c r="X266" s="51" t="str">
        <f aca="true">IF(D266="","",IF(AND(U266&lt;&gt;"",U266&lt;TODAY()),"Follow-up overdue",IF(AND(W266&lt;&gt;"",W266&gt;60),"No order 60+ days","OK")))</f>
        <v/>
      </c>
    </row>
    <row r="267" customFormat="false" ht="15" hidden="false" customHeight="false" outlineLevel="0" collapsed="false">
      <c r="A267" s="16" t="s">
        <v>1515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8"/>
      <c r="M267" s="16"/>
      <c r="N267" s="16"/>
      <c r="O267" s="23"/>
      <c r="P267" s="18"/>
      <c r="Q267" s="23"/>
      <c r="R267" s="23"/>
      <c r="S267" s="24"/>
      <c r="T267" s="16"/>
      <c r="U267" s="18"/>
      <c r="V267" s="16"/>
      <c r="W267" s="50" t="str">
        <f aca="true">IF(P267="","",TODAY()-P267)</f>
        <v/>
      </c>
      <c r="X267" s="51" t="str">
        <f aca="true">IF(D267="","",IF(AND(U267&lt;&gt;"",U267&lt;TODAY()),"Follow-up overdue",IF(AND(W267&lt;&gt;"",W267&gt;60),"No order 60+ days","OK")))</f>
        <v/>
      </c>
    </row>
    <row r="268" customFormat="false" ht="15" hidden="false" customHeight="false" outlineLevel="0" collapsed="false">
      <c r="A268" s="16" t="s">
        <v>1516</v>
      </c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8"/>
      <c r="M268" s="16"/>
      <c r="N268" s="16"/>
      <c r="O268" s="23"/>
      <c r="P268" s="18"/>
      <c r="Q268" s="23"/>
      <c r="R268" s="23"/>
      <c r="S268" s="24"/>
      <c r="T268" s="16"/>
      <c r="U268" s="18"/>
      <c r="V268" s="16"/>
      <c r="W268" s="50" t="str">
        <f aca="true">IF(P268="","",TODAY()-P268)</f>
        <v/>
      </c>
      <c r="X268" s="51" t="str">
        <f aca="true">IF(D268="","",IF(AND(U268&lt;&gt;"",U268&lt;TODAY()),"Follow-up overdue",IF(AND(W268&lt;&gt;"",W268&gt;60),"No order 60+ days","OK")))</f>
        <v/>
      </c>
    </row>
    <row r="269" customFormat="false" ht="15" hidden="false" customHeight="false" outlineLevel="0" collapsed="false">
      <c r="A269" s="16" t="s">
        <v>1517</v>
      </c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8"/>
      <c r="M269" s="16"/>
      <c r="N269" s="16"/>
      <c r="O269" s="23"/>
      <c r="P269" s="18"/>
      <c r="Q269" s="23"/>
      <c r="R269" s="23"/>
      <c r="S269" s="24"/>
      <c r="T269" s="16"/>
      <c r="U269" s="18"/>
      <c r="V269" s="16"/>
      <c r="W269" s="50" t="str">
        <f aca="true">IF(P269="","",TODAY()-P269)</f>
        <v/>
      </c>
      <c r="X269" s="51" t="str">
        <f aca="true">IF(D269="","",IF(AND(U269&lt;&gt;"",U269&lt;TODAY()),"Follow-up overdue",IF(AND(W269&lt;&gt;"",W269&gt;60),"No order 60+ days","OK")))</f>
        <v/>
      </c>
    </row>
    <row r="270" customFormat="false" ht="15" hidden="false" customHeight="false" outlineLevel="0" collapsed="false">
      <c r="A270" s="16" t="s">
        <v>1518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8"/>
      <c r="M270" s="16"/>
      <c r="N270" s="16"/>
      <c r="O270" s="23"/>
      <c r="P270" s="18"/>
      <c r="Q270" s="23"/>
      <c r="R270" s="23"/>
      <c r="S270" s="24"/>
      <c r="T270" s="16"/>
      <c r="U270" s="18"/>
      <c r="V270" s="16"/>
      <c r="W270" s="50" t="str">
        <f aca="true">IF(P270="","",TODAY()-P270)</f>
        <v/>
      </c>
      <c r="X270" s="51" t="str">
        <f aca="true">IF(D270="","",IF(AND(U270&lt;&gt;"",U270&lt;TODAY()),"Follow-up overdue",IF(AND(W270&lt;&gt;"",W270&gt;60),"No order 60+ days","OK")))</f>
        <v/>
      </c>
    </row>
    <row r="271" customFormat="false" ht="15" hidden="false" customHeight="false" outlineLevel="0" collapsed="false">
      <c r="A271" s="16" t="s">
        <v>1519</v>
      </c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8"/>
      <c r="M271" s="16"/>
      <c r="N271" s="16"/>
      <c r="O271" s="23"/>
      <c r="P271" s="18"/>
      <c r="Q271" s="23"/>
      <c r="R271" s="23"/>
      <c r="S271" s="24"/>
      <c r="T271" s="16"/>
      <c r="U271" s="18"/>
      <c r="V271" s="16"/>
      <c r="W271" s="50" t="str">
        <f aca="true">IF(P271="","",TODAY()-P271)</f>
        <v/>
      </c>
      <c r="X271" s="51" t="str">
        <f aca="true">IF(D271="","",IF(AND(U271&lt;&gt;"",U271&lt;TODAY()),"Follow-up overdue",IF(AND(W271&lt;&gt;"",W271&gt;60),"No order 60+ days","OK")))</f>
        <v/>
      </c>
    </row>
    <row r="272" customFormat="false" ht="15" hidden="false" customHeight="false" outlineLevel="0" collapsed="false">
      <c r="A272" s="16" t="s">
        <v>1520</v>
      </c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8"/>
      <c r="M272" s="16"/>
      <c r="N272" s="16"/>
      <c r="O272" s="23"/>
      <c r="P272" s="18"/>
      <c r="Q272" s="23"/>
      <c r="R272" s="23"/>
      <c r="S272" s="24"/>
      <c r="T272" s="16"/>
      <c r="U272" s="18"/>
      <c r="V272" s="16"/>
      <c r="W272" s="50" t="str">
        <f aca="true">IF(P272="","",TODAY()-P272)</f>
        <v/>
      </c>
      <c r="X272" s="51" t="str">
        <f aca="true">IF(D272="","",IF(AND(U272&lt;&gt;"",U272&lt;TODAY()),"Follow-up overdue",IF(AND(W272&lt;&gt;"",W272&gt;60),"No order 60+ days","OK")))</f>
        <v/>
      </c>
    </row>
    <row r="273" customFormat="false" ht="15" hidden="false" customHeight="false" outlineLevel="0" collapsed="false">
      <c r="A273" s="16" t="s">
        <v>1521</v>
      </c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8"/>
      <c r="M273" s="16"/>
      <c r="N273" s="16"/>
      <c r="O273" s="23"/>
      <c r="P273" s="18"/>
      <c r="Q273" s="23"/>
      <c r="R273" s="23"/>
      <c r="S273" s="24"/>
      <c r="T273" s="16"/>
      <c r="U273" s="18"/>
      <c r="V273" s="16"/>
      <c r="W273" s="50" t="str">
        <f aca="true">IF(P273="","",TODAY()-P273)</f>
        <v/>
      </c>
      <c r="X273" s="51" t="str">
        <f aca="true">IF(D273="","",IF(AND(U273&lt;&gt;"",U273&lt;TODAY()),"Follow-up overdue",IF(AND(W273&lt;&gt;"",W273&gt;60),"No order 60+ days","OK")))</f>
        <v/>
      </c>
    </row>
    <row r="274" customFormat="false" ht="15" hidden="false" customHeight="false" outlineLevel="0" collapsed="false">
      <c r="A274" s="16" t="s">
        <v>1522</v>
      </c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8"/>
      <c r="M274" s="16"/>
      <c r="N274" s="16"/>
      <c r="O274" s="23"/>
      <c r="P274" s="18"/>
      <c r="Q274" s="23"/>
      <c r="R274" s="23"/>
      <c r="S274" s="24"/>
      <c r="T274" s="16"/>
      <c r="U274" s="18"/>
      <c r="V274" s="16"/>
      <c r="W274" s="50" t="str">
        <f aca="true">IF(P274="","",TODAY()-P274)</f>
        <v/>
      </c>
      <c r="X274" s="51" t="str">
        <f aca="true">IF(D274="","",IF(AND(U274&lt;&gt;"",U274&lt;TODAY()),"Follow-up overdue",IF(AND(W274&lt;&gt;"",W274&gt;60),"No order 60+ days","OK")))</f>
        <v/>
      </c>
    </row>
    <row r="275" customFormat="false" ht="15" hidden="false" customHeight="false" outlineLevel="0" collapsed="false">
      <c r="A275" s="16" t="s">
        <v>1523</v>
      </c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8"/>
      <c r="M275" s="16"/>
      <c r="N275" s="16"/>
      <c r="O275" s="23"/>
      <c r="P275" s="18"/>
      <c r="Q275" s="23"/>
      <c r="R275" s="23"/>
      <c r="S275" s="24"/>
      <c r="T275" s="16"/>
      <c r="U275" s="18"/>
      <c r="V275" s="16"/>
      <c r="W275" s="50" t="str">
        <f aca="true">IF(P275="","",TODAY()-P275)</f>
        <v/>
      </c>
      <c r="X275" s="51" t="str">
        <f aca="true">IF(D275="","",IF(AND(U275&lt;&gt;"",U275&lt;TODAY()),"Follow-up overdue",IF(AND(W275&lt;&gt;"",W275&gt;60),"No order 60+ days","OK")))</f>
        <v/>
      </c>
    </row>
    <row r="276" customFormat="false" ht="15" hidden="false" customHeight="false" outlineLevel="0" collapsed="false">
      <c r="A276" s="16" t="s">
        <v>1524</v>
      </c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8"/>
      <c r="M276" s="16"/>
      <c r="N276" s="16"/>
      <c r="O276" s="23"/>
      <c r="P276" s="18"/>
      <c r="Q276" s="23"/>
      <c r="R276" s="23"/>
      <c r="S276" s="24"/>
      <c r="T276" s="16"/>
      <c r="U276" s="18"/>
      <c r="V276" s="16"/>
      <c r="W276" s="50" t="str">
        <f aca="true">IF(P276="","",TODAY()-P276)</f>
        <v/>
      </c>
      <c r="X276" s="51" t="str">
        <f aca="true">IF(D276="","",IF(AND(U276&lt;&gt;"",U276&lt;TODAY()),"Follow-up overdue",IF(AND(W276&lt;&gt;"",W276&gt;60),"No order 60+ days","OK")))</f>
        <v/>
      </c>
    </row>
    <row r="277" customFormat="false" ht="15" hidden="false" customHeight="false" outlineLevel="0" collapsed="false">
      <c r="A277" s="16" t="s">
        <v>1525</v>
      </c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8"/>
      <c r="M277" s="16"/>
      <c r="N277" s="16"/>
      <c r="O277" s="23"/>
      <c r="P277" s="18"/>
      <c r="Q277" s="23"/>
      <c r="R277" s="23"/>
      <c r="S277" s="24"/>
      <c r="T277" s="16"/>
      <c r="U277" s="18"/>
      <c r="V277" s="16"/>
      <c r="W277" s="50" t="str">
        <f aca="true">IF(P277="","",TODAY()-P277)</f>
        <v/>
      </c>
      <c r="X277" s="51" t="str">
        <f aca="true">IF(D277="","",IF(AND(U277&lt;&gt;"",U277&lt;TODAY()),"Follow-up overdue",IF(AND(W277&lt;&gt;"",W277&gt;60),"No order 60+ days","OK")))</f>
        <v/>
      </c>
    </row>
    <row r="278" customFormat="false" ht="15" hidden="false" customHeight="false" outlineLevel="0" collapsed="false">
      <c r="A278" s="16" t="s">
        <v>1526</v>
      </c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8"/>
      <c r="M278" s="16"/>
      <c r="N278" s="16"/>
      <c r="O278" s="23"/>
      <c r="P278" s="18"/>
      <c r="Q278" s="23"/>
      <c r="R278" s="23"/>
      <c r="S278" s="24"/>
      <c r="T278" s="16"/>
      <c r="U278" s="18"/>
      <c r="V278" s="16"/>
      <c r="W278" s="50" t="str">
        <f aca="true">IF(P278="","",TODAY()-P278)</f>
        <v/>
      </c>
      <c r="X278" s="51" t="str">
        <f aca="true">IF(D278="","",IF(AND(U278&lt;&gt;"",U278&lt;TODAY()),"Follow-up overdue",IF(AND(W278&lt;&gt;"",W278&gt;60),"No order 60+ days","OK")))</f>
        <v/>
      </c>
    </row>
    <row r="279" customFormat="false" ht="15" hidden="false" customHeight="false" outlineLevel="0" collapsed="false">
      <c r="A279" s="16" t="s">
        <v>1527</v>
      </c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8"/>
      <c r="M279" s="16"/>
      <c r="N279" s="16"/>
      <c r="O279" s="23"/>
      <c r="P279" s="18"/>
      <c r="Q279" s="23"/>
      <c r="R279" s="23"/>
      <c r="S279" s="24"/>
      <c r="T279" s="16"/>
      <c r="U279" s="18"/>
      <c r="V279" s="16"/>
      <c r="W279" s="50" t="str">
        <f aca="true">IF(P279="","",TODAY()-P279)</f>
        <v/>
      </c>
      <c r="X279" s="51" t="str">
        <f aca="true">IF(D279="","",IF(AND(U279&lt;&gt;"",U279&lt;TODAY()),"Follow-up overdue",IF(AND(W279&lt;&gt;"",W279&gt;60),"No order 60+ days","OK")))</f>
        <v/>
      </c>
    </row>
    <row r="280" customFormat="false" ht="15" hidden="false" customHeight="false" outlineLevel="0" collapsed="false">
      <c r="A280" s="16" t="s">
        <v>1528</v>
      </c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8"/>
      <c r="M280" s="16"/>
      <c r="N280" s="16"/>
      <c r="O280" s="23"/>
      <c r="P280" s="18"/>
      <c r="Q280" s="23"/>
      <c r="R280" s="23"/>
      <c r="S280" s="24"/>
      <c r="T280" s="16"/>
      <c r="U280" s="18"/>
      <c r="V280" s="16"/>
      <c r="W280" s="50" t="str">
        <f aca="true">IF(P280="","",TODAY()-P280)</f>
        <v/>
      </c>
      <c r="X280" s="51" t="str">
        <f aca="true">IF(D280="","",IF(AND(U280&lt;&gt;"",U280&lt;TODAY()),"Follow-up overdue",IF(AND(W280&lt;&gt;"",W280&gt;60),"No order 60+ days","OK")))</f>
        <v/>
      </c>
    </row>
    <row r="281" customFormat="false" ht="15" hidden="false" customHeight="false" outlineLevel="0" collapsed="false">
      <c r="A281" s="16" t="s">
        <v>1529</v>
      </c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8"/>
      <c r="M281" s="16"/>
      <c r="N281" s="16"/>
      <c r="O281" s="23"/>
      <c r="P281" s="18"/>
      <c r="Q281" s="23"/>
      <c r="R281" s="23"/>
      <c r="S281" s="24"/>
      <c r="T281" s="16"/>
      <c r="U281" s="18"/>
      <c r="V281" s="16"/>
      <c r="W281" s="50" t="str">
        <f aca="true">IF(P281="","",TODAY()-P281)</f>
        <v/>
      </c>
      <c r="X281" s="51" t="str">
        <f aca="true">IF(D281="","",IF(AND(U281&lt;&gt;"",U281&lt;TODAY()),"Follow-up overdue",IF(AND(W281&lt;&gt;"",W281&gt;60),"No order 60+ days","OK")))</f>
        <v/>
      </c>
    </row>
    <row r="282" customFormat="false" ht="15" hidden="false" customHeight="false" outlineLevel="0" collapsed="false">
      <c r="A282" s="16" t="s">
        <v>1530</v>
      </c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8"/>
      <c r="M282" s="16"/>
      <c r="N282" s="16"/>
      <c r="O282" s="23"/>
      <c r="P282" s="18"/>
      <c r="Q282" s="23"/>
      <c r="R282" s="23"/>
      <c r="S282" s="24"/>
      <c r="T282" s="16"/>
      <c r="U282" s="18"/>
      <c r="V282" s="16"/>
      <c r="W282" s="50" t="str">
        <f aca="true">IF(P282="","",TODAY()-P282)</f>
        <v/>
      </c>
      <c r="X282" s="51" t="str">
        <f aca="true">IF(D282="","",IF(AND(U282&lt;&gt;"",U282&lt;TODAY()),"Follow-up overdue",IF(AND(W282&lt;&gt;"",W282&gt;60),"No order 60+ days","OK")))</f>
        <v/>
      </c>
    </row>
    <row r="283" customFormat="false" ht="15" hidden="false" customHeight="false" outlineLevel="0" collapsed="false">
      <c r="A283" s="16" t="s">
        <v>1531</v>
      </c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8"/>
      <c r="M283" s="16"/>
      <c r="N283" s="16"/>
      <c r="O283" s="23"/>
      <c r="P283" s="18"/>
      <c r="Q283" s="23"/>
      <c r="R283" s="23"/>
      <c r="S283" s="24"/>
      <c r="T283" s="16"/>
      <c r="U283" s="18"/>
      <c r="V283" s="16"/>
      <c r="W283" s="50" t="str">
        <f aca="true">IF(P283="","",TODAY()-P283)</f>
        <v/>
      </c>
      <c r="X283" s="51" t="str">
        <f aca="true">IF(D283="","",IF(AND(U283&lt;&gt;"",U283&lt;TODAY()),"Follow-up overdue",IF(AND(W283&lt;&gt;"",W283&gt;60),"No order 60+ days","OK")))</f>
        <v/>
      </c>
    </row>
    <row r="284" customFormat="false" ht="15" hidden="false" customHeight="false" outlineLevel="0" collapsed="false">
      <c r="A284" s="16" t="s">
        <v>1532</v>
      </c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8"/>
      <c r="M284" s="16"/>
      <c r="N284" s="16"/>
      <c r="O284" s="23"/>
      <c r="P284" s="18"/>
      <c r="Q284" s="23"/>
      <c r="R284" s="23"/>
      <c r="S284" s="24"/>
      <c r="T284" s="16"/>
      <c r="U284" s="18"/>
      <c r="V284" s="16"/>
      <c r="W284" s="50" t="str">
        <f aca="true">IF(P284="","",TODAY()-P284)</f>
        <v/>
      </c>
      <c r="X284" s="51" t="str">
        <f aca="true">IF(D284="","",IF(AND(U284&lt;&gt;"",U284&lt;TODAY()),"Follow-up overdue",IF(AND(W284&lt;&gt;"",W284&gt;60),"No order 60+ days","OK")))</f>
        <v/>
      </c>
    </row>
    <row r="285" customFormat="false" ht="15" hidden="false" customHeight="false" outlineLevel="0" collapsed="false">
      <c r="A285" s="16" t="s">
        <v>1533</v>
      </c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8"/>
      <c r="M285" s="16"/>
      <c r="N285" s="16"/>
      <c r="O285" s="23"/>
      <c r="P285" s="18"/>
      <c r="Q285" s="23"/>
      <c r="R285" s="23"/>
      <c r="S285" s="24"/>
      <c r="T285" s="16"/>
      <c r="U285" s="18"/>
      <c r="V285" s="16"/>
      <c r="W285" s="50" t="str">
        <f aca="true">IF(P285="","",TODAY()-P285)</f>
        <v/>
      </c>
      <c r="X285" s="51" t="str">
        <f aca="true">IF(D285="","",IF(AND(U285&lt;&gt;"",U285&lt;TODAY()),"Follow-up overdue",IF(AND(W285&lt;&gt;"",W285&gt;60),"No order 60+ days","OK")))</f>
        <v/>
      </c>
    </row>
    <row r="286" customFormat="false" ht="15" hidden="false" customHeight="false" outlineLevel="0" collapsed="false">
      <c r="A286" s="16" t="s">
        <v>1534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8"/>
      <c r="M286" s="16"/>
      <c r="N286" s="16"/>
      <c r="O286" s="23"/>
      <c r="P286" s="18"/>
      <c r="Q286" s="23"/>
      <c r="R286" s="23"/>
      <c r="S286" s="24"/>
      <c r="T286" s="16"/>
      <c r="U286" s="18"/>
      <c r="V286" s="16"/>
      <c r="W286" s="50" t="str">
        <f aca="true">IF(P286="","",TODAY()-P286)</f>
        <v/>
      </c>
      <c r="X286" s="51" t="str">
        <f aca="true">IF(D286="","",IF(AND(U286&lt;&gt;"",U286&lt;TODAY()),"Follow-up overdue",IF(AND(W286&lt;&gt;"",W286&gt;60),"No order 60+ days","OK")))</f>
        <v/>
      </c>
    </row>
    <row r="287" customFormat="false" ht="15" hidden="false" customHeight="false" outlineLevel="0" collapsed="false">
      <c r="A287" s="16" t="s">
        <v>1535</v>
      </c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8"/>
      <c r="M287" s="16"/>
      <c r="N287" s="16"/>
      <c r="O287" s="23"/>
      <c r="P287" s="18"/>
      <c r="Q287" s="23"/>
      <c r="R287" s="23"/>
      <c r="S287" s="24"/>
      <c r="T287" s="16"/>
      <c r="U287" s="18"/>
      <c r="V287" s="16"/>
      <c r="W287" s="50" t="str">
        <f aca="true">IF(P287="","",TODAY()-P287)</f>
        <v/>
      </c>
      <c r="X287" s="51" t="str">
        <f aca="true">IF(D287="","",IF(AND(U287&lt;&gt;"",U287&lt;TODAY()),"Follow-up overdue",IF(AND(W287&lt;&gt;"",W287&gt;60),"No order 60+ days","OK")))</f>
        <v/>
      </c>
    </row>
    <row r="288" customFormat="false" ht="15" hidden="false" customHeight="false" outlineLevel="0" collapsed="false">
      <c r="A288" s="16" t="s">
        <v>1536</v>
      </c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8"/>
      <c r="M288" s="16"/>
      <c r="N288" s="16"/>
      <c r="O288" s="23"/>
      <c r="P288" s="18"/>
      <c r="Q288" s="23"/>
      <c r="R288" s="23"/>
      <c r="S288" s="24"/>
      <c r="T288" s="16"/>
      <c r="U288" s="18"/>
      <c r="V288" s="16"/>
      <c r="W288" s="50" t="str">
        <f aca="true">IF(P288="","",TODAY()-P288)</f>
        <v/>
      </c>
      <c r="X288" s="51" t="str">
        <f aca="true">IF(D288="","",IF(AND(U288&lt;&gt;"",U288&lt;TODAY()),"Follow-up overdue",IF(AND(W288&lt;&gt;"",W288&gt;60),"No order 60+ days","OK")))</f>
        <v/>
      </c>
    </row>
    <row r="289" customFormat="false" ht="15" hidden="false" customHeight="false" outlineLevel="0" collapsed="false">
      <c r="A289" s="16" t="s">
        <v>1537</v>
      </c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8"/>
      <c r="M289" s="16"/>
      <c r="N289" s="16"/>
      <c r="O289" s="23"/>
      <c r="P289" s="18"/>
      <c r="Q289" s="23"/>
      <c r="R289" s="23"/>
      <c r="S289" s="24"/>
      <c r="T289" s="16"/>
      <c r="U289" s="18"/>
      <c r="V289" s="16"/>
      <c r="W289" s="50" t="str">
        <f aca="true">IF(P289="","",TODAY()-P289)</f>
        <v/>
      </c>
      <c r="X289" s="51" t="str">
        <f aca="true">IF(D289="","",IF(AND(U289&lt;&gt;"",U289&lt;TODAY()),"Follow-up overdue",IF(AND(W289&lt;&gt;"",W289&gt;60),"No order 60+ days","OK")))</f>
        <v/>
      </c>
    </row>
    <row r="290" customFormat="false" ht="15" hidden="false" customHeight="false" outlineLevel="0" collapsed="false">
      <c r="A290" s="16" t="s">
        <v>1538</v>
      </c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8"/>
      <c r="M290" s="16"/>
      <c r="N290" s="16"/>
      <c r="O290" s="23"/>
      <c r="P290" s="18"/>
      <c r="Q290" s="23"/>
      <c r="R290" s="23"/>
      <c r="S290" s="24"/>
      <c r="T290" s="16"/>
      <c r="U290" s="18"/>
      <c r="V290" s="16"/>
      <c r="W290" s="50" t="str">
        <f aca="true">IF(P290="","",TODAY()-P290)</f>
        <v/>
      </c>
      <c r="X290" s="51" t="str">
        <f aca="true">IF(D290="","",IF(AND(U290&lt;&gt;"",U290&lt;TODAY()),"Follow-up overdue",IF(AND(W290&lt;&gt;"",W290&gt;60),"No order 60+ days","OK")))</f>
        <v/>
      </c>
    </row>
    <row r="291" customFormat="false" ht="15" hidden="false" customHeight="false" outlineLevel="0" collapsed="false">
      <c r="A291" s="16" t="s">
        <v>1539</v>
      </c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8"/>
      <c r="M291" s="16"/>
      <c r="N291" s="16"/>
      <c r="O291" s="23"/>
      <c r="P291" s="18"/>
      <c r="Q291" s="23"/>
      <c r="R291" s="23"/>
      <c r="S291" s="24"/>
      <c r="T291" s="16"/>
      <c r="U291" s="18"/>
      <c r="V291" s="16"/>
      <c r="W291" s="50" t="str">
        <f aca="true">IF(P291="","",TODAY()-P291)</f>
        <v/>
      </c>
      <c r="X291" s="51" t="str">
        <f aca="true">IF(D291="","",IF(AND(U291&lt;&gt;"",U291&lt;TODAY()),"Follow-up overdue",IF(AND(W291&lt;&gt;"",W291&gt;60),"No order 60+ days","OK")))</f>
        <v/>
      </c>
    </row>
    <row r="292" customFormat="false" ht="15" hidden="false" customHeight="false" outlineLevel="0" collapsed="false">
      <c r="A292" s="16" t="s">
        <v>1540</v>
      </c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8"/>
      <c r="M292" s="16"/>
      <c r="N292" s="16"/>
      <c r="O292" s="23"/>
      <c r="P292" s="18"/>
      <c r="Q292" s="23"/>
      <c r="R292" s="23"/>
      <c r="S292" s="24"/>
      <c r="T292" s="16"/>
      <c r="U292" s="18"/>
      <c r="V292" s="16"/>
      <c r="W292" s="50" t="str">
        <f aca="true">IF(P292="","",TODAY()-P292)</f>
        <v/>
      </c>
      <c r="X292" s="51" t="str">
        <f aca="true">IF(D292="","",IF(AND(U292&lt;&gt;"",U292&lt;TODAY()),"Follow-up overdue",IF(AND(W292&lt;&gt;"",W292&gt;60),"No order 60+ days","OK")))</f>
        <v/>
      </c>
    </row>
    <row r="293" customFormat="false" ht="15" hidden="false" customHeight="false" outlineLevel="0" collapsed="false">
      <c r="A293" s="16" t="s">
        <v>1541</v>
      </c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8"/>
      <c r="M293" s="16"/>
      <c r="N293" s="16"/>
      <c r="O293" s="23"/>
      <c r="P293" s="18"/>
      <c r="Q293" s="23"/>
      <c r="R293" s="23"/>
      <c r="S293" s="24"/>
      <c r="T293" s="16"/>
      <c r="U293" s="18"/>
      <c r="V293" s="16"/>
      <c r="W293" s="50" t="str">
        <f aca="true">IF(P293="","",TODAY()-P293)</f>
        <v/>
      </c>
      <c r="X293" s="51" t="str">
        <f aca="true">IF(D293="","",IF(AND(U293&lt;&gt;"",U293&lt;TODAY()),"Follow-up overdue",IF(AND(W293&lt;&gt;"",W293&gt;60),"No order 60+ days","OK")))</f>
        <v/>
      </c>
    </row>
    <row r="294" customFormat="false" ht="15" hidden="false" customHeight="false" outlineLevel="0" collapsed="false">
      <c r="A294" s="16" t="s">
        <v>1542</v>
      </c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8"/>
      <c r="M294" s="16"/>
      <c r="N294" s="16"/>
      <c r="O294" s="23"/>
      <c r="P294" s="18"/>
      <c r="Q294" s="23"/>
      <c r="R294" s="23"/>
      <c r="S294" s="24"/>
      <c r="T294" s="16"/>
      <c r="U294" s="18"/>
      <c r="V294" s="16"/>
      <c r="W294" s="50" t="str">
        <f aca="true">IF(P294="","",TODAY()-P294)</f>
        <v/>
      </c>
      <c r="X294" s="51" t="str">
        <f aca="true">IF(D294="","",IF(AND(U294&lt;&gt;"",U294&lt;TODAY()),"Follow-up overdue",IF(AND(W294&lt;&gt;"",W294&gt;60),"No order 60+ days","OK")))</f>
        <v/>
      </c>
    </row>
    <row r="295" customFormat="false" ht="15" hidden="false" customHeight="false" outlineLevel="0" collapsed="false">
      <c r="A295" s="16" t="s">
        <v>1543</v>
      </c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8"/>
      <c r="M295" s="16"/>
      <c r="N295" s="16"/>
      <c r="O295" s="23"/>
      <c r="P295" s="18"/>
      <c r="Q295" s="23"/>
      <c r="R295" s="23"/>
      <c r="S295" s="24"/>
      <c r="T295" s="16"/>
      <c r="U295" s="18"/>
      <c r="V295" s="16"/>
      <c r="W295" s="50" t="str">
        <f aca="true">IF(P295="","",TODAY()-P295)</f>
        <v/>
      </c>
      <c r="X295" s="51" t="str">
        <f aca="true">IF(D295="","",IF(AND(U295&lt;&gt;"",U295&lt;TODAY()),"Follow-up overdue",IF(AND(W295&lt;&gt;"",W295&gt;60),"No order 60+ days","OK")))</f>
        <v/>
      </c>
    </row>
    <row r="296" customFormat="false" ht="15" hidden="false" customHeight="false" outlineLevel="0" collapsed="false">
      <c r="A296" s="16" t="s">
        <v>1544</v>
      </c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8"/>
      <c r="M296" s="16"/>
      <c r="N296" s="16"/>
      <c r="O296" s="23"/>
      <c r="P296" s="18"/>
      <c r="Q296" s="23"/>
      <c r="R296" s="23"/>
      <c r="S296" s="24"/>
      <c r="T296" s="16"/>
      <c r="U296" s="18"/>
      <c r="V296" s="16"/>
      <c r="W296" s="50" t="str">
        <f aca="true">IF(P296="","",TODAY()-P296)</f>
        <v/>
      </c>
      <c r="X296" s="51" t="str">
        <f aca="true">IF(D296="","",IF(AND(U296&lt;&gt;"",U296&lt;TODAY()),"Follow-up overdue",IF(AND(W296&lt;&gt;"",W296&gt;60),"No order 60+ days","OK")))</f>
        <v/>
      </c>
    </row>
    <row r="297" customFormat="false" ht="15" hidden="false" customHeight="false" outlineLevel="0" collapsed="false">
      <c r="A297" s="16" t="s">
        <v>1545</v>
      </c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8"/>
      <c r="M297" s="16"/>
      <c r="N297" s="16"/>
      <c r="O297" s="23"/>
      <c r="P297" s="18"/>
      <c r="Q297" s="23"/>
      <c r="R297" s="23"/>
      <c r="S297" s="24"/>
      <c r="T297" s="16"/>
      <c r="U297" s="18"/>
      <c r="V297" s="16"/>
      <c r="W297" s="50" t="str">
        <f aca="true">IF(P297="","",TODAY()-P297)</f>
        <v/>
      </c>
      <c r="X297" s="51" t="str">
        <f aca="true">IF(D297="","",IF(AND(U297&lt;&gt;"",U297&lt;TODAY()),"Follow-up overdue",IF(AND(W297&lt;&gt;"",W297&gt;60),"No order 60+ days","OK")))</f>
        <v/>
      </c>
    </row>
    <row r="298" customFormat="false" ht="15" hidden="false" customHeight="false" outlineLevel="0" collapsed="false">
      <c r="A298" s="16" t="s">
        <v>1546</v>
      </c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8"/>
      <c r="M298" s="16"/>
      <c r="N298" s="16"/>
      <c r="O298" s="23"/>
      <c r="P298" s="18"/>
      <c r="Q298" s="23"/>
      <c r="R298" s="23"/>
      <c r="S298" s="24"/>
      <c r="T298" s="16"/>
      <c r="U298" s="18"/>
      <c r="V298" s="16"/>
      <c r="W298" s="50" t="str">
        <f aca="true">IF(P298="","",TODAY()-P298)</f>
        <v/>
      </c>
      <c r="X298" s="51" t="str">
        <f aca="true">IF(D298="","",IF(AND(U298&lt;&gt;"",U298&lt;TODAY()),"Follow-up overdue",IF(AND(W298&lt;&gt;"",W298&gt;60),"No order 60+ days","OK")))</f>
        <v/>
      </c>
    </row>
    <row r="299" customFormat="false" ht="15" hidden="false" customHeight="false" outlineLevel="0" collapsed="false">
      <c r="A299" s="16" t="s">
        <v>1547</v>
      </c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8"/>
      <c r="M299" s="16"/>
      <c r="N299" s="16"/>
      <c r="O299" s="23"/>
      <c r="P299" s="18"/>
      <c r="Q299" s="23"/>
      <c r="R299" s="23"/>
      <c r="S299" s="24"/>
      <c r="T299" s="16"/>
      <c r="U299" s="18"/>
      <c r="V299" s="16"/>
      <c r="W299" s="50" t="str">
        <f aca="true">IF(P299="","",TODAY()-P299)</f>
        <v/>
      </c>
      <c r="X299" s="51" t="str">
        <f aca="true">IF(D299="","",IF(AND(U299&lt;&gt;"",U299&lt;TODAY()),"Follow-up overdue",IF(AND(W299&lt;&gt;"",W299&gt;60),"No order 60+ days","OK")))</f>
        <v/>
      </c>
    </row>
    <row r="300" customFormat="false" ht="15" hidden="false" customHeight="false" outlineLevel="0" collapsed="false">
      <c r="A300" s="16" t="s">
        <v>1548</v>
      </c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8"/>
      <c r="M300" s="16"/>
      <c r="N300" s="16"/>
      <c r="O300" s="23"/>
      <c r="P300" s="18"/>
      <c r="Q300" s="23"/>
      <c r="R300" s="23"/>
      <c r="S300" s="24"/>
      <c r="T300" s="16"/>
      <c r="U300" s="18"/>
      <c r="V300" s="16"/>
      <c r="W300" s="50" t="str">
        <f aca="true">IF(P300="","",TODAY()-P300)</f>
        <v/>
      </c>
      <c r="X300" s="51" t="str">
        <f aca="true">IF(D300="","",IF(AND(U300&lt;&gt;"",U300&lt;TODAY()),"Follow-up overdue",IF(AND(W300&lt;&gt;"",W300&gt;60),"No order 60+ days","OK")))</f>
        <v/>
      </c>
    </row>
    <row r="301" customFormat="false" ht="15" hidden="false" customHeight="false" outlineLevel="0" collapsed="false">
      <c r="A301" s="16" t="s">
        <v>1549</v>
      </c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8"/>
      <c r="M301" s="16"/>
      <c r="N301" s="16"/>
      <c r="O301" s="23"/>
      <c r="P301" s="18"/>
      <c r="Q301" s="23"/>
      <c r="R301" s="23"/>
      <c r="S301" s="24"/>
      <c r="T301" s="16"/>
      <c r="U301" s="18"/>
      <c r="V301" s="16"/>
      <c r="W301" s="50" t="str">
        <f aca="true">IF(P301="","",TODAY()-P301)</f>
        <v/>
      </c>
      <c r="X301" s="51" t="str">
        <f aca="true">IF(D301="","",IF(AND(U301&lt;&gt;"",U301&lt;TODAY()),"Follow-up overdue",IF(AND(W301&lt;&gt;"",W301&gt;60),"No order 60+ days","OK")))</f>
        <v/>
      </c>
    </row>
    <row r="302" customFormat="false" ht="15" hidden="false" customHeight="false" outlineLevel="0" collapsed="false">
      <c r="A302" s="16" t="s">
        <v>1550</v>
      </c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8"/>
      <c r="M302" s="16"/>
      <c r="N302" s="16"/>
      <c r="O302" s="23"/>
      <c r="P302" s="18"/>
      <c r="Q302" s="23"/>
      <c r="R302" s="23"/>
      <c r="S302" s="24"/>
      <c r="T302" s="16"/>
      <c r="U302" s="18"/>
      <c r="V302" s="16"/>
      <c r="W302" s="50" t="str">
        <f aca="true">IF(P302="","",TODAY()-P302)</f>
        <v/>
      </c>
      <c r="X302" s="51" t="str">
        <f aca="true">IF(D302="","",IF(AND(U302&lt;&gt;"",U302&lt;TODAY()),"Follow-up overdue",IF(AND(W302&lt;&gt;"",W302&gt;60),"No order 60+ days","OK")))</f>
        <v/>
      </c>
    </row>
    <row r="303" customFormat="false" ht="15" hidden="false" customHeight="false" outlineLevel="0" collapsed="false">
      <c r="A303" s="16" t="s">
        <v>1551</v>
      </c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8"/>
      <c r="M303" s="16"/>
      <c r="N303" s="16"/>
      <c r="O303" s="23"/>
      <c r="P303" s="18"/>
      <c r="Q303" s="23"/>
      <c r="R303" s="23"/>
      <c r="S303" s="24"/>
      <c r="T303" s="16"/>
      <c r="U303" s="18"/>
      <c r="V303" s="16"/>
      <c r="W303" s="50" t="str">
        <f aca="true">IF(P303="","",TODAY()-P303)</f>
        <v/>
      </c>
      <c r="X303" s="51" t="str">
        <f aca="true">IF(D303="","",IF(AND(U303&lt;&gt;"",U303&lt;TODAY()),"Follow-up overdue",IF(AND(W303&lt;&gt;"",W303&gt;60),"No order 60+ days","OK")))</f>
        <v/>
      </c>
    </row>
    <row r="304" customFormat="false" ht="15" hidden="false" customHeight="false" outlineLevel="0" collapsed="false">
      <c r="A304" s="16" t="s">
        <v>1552</v>
      </c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8"/>
      <c r="M304" s="16"/>
      <c r="N304" s="16"/>
      <c r="O304" s="23"/>
      <c r="P304" s="18"/>
      <c r="Q304" s="23"/>
      <c r="R304" s="23"/>
      <c r="S304" s="24"/>
      <c r="T304" s="16"/>
      <c r="U304" s="18"/>
      <c r="V304" s="16"/>
      <c r="W304" s="50" t="str">
        <f aca="true">IF(P304="","",TODAY()-P304)</f>
        <v/>
      </c>
      <c r="X304" s="51" t="str">
        <f aca="true">IF(D304="","",IF(AND(U304&lt;&gt;"",U304&lt;TODAY()),"Follow-up overdue",IF(AND(W304&lt;&gt;"",W304&gt;60),"No order 60+ days","OK")))</f>
        <v/>
      </c>
    </row>
    <row r="305" customFormat="false" ht="15" hidden="false" customHeight="false" outlineLevel="0" collapsed="false">
      <c r="A305" s="16" t="s">
        <v>1553</v>
      </c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8"/>
      <c r="M305" s="16"/>
      <c r="N305" s="16"/>
      <c r="O305" s="23"/>
      <c r="P305" s="18"/>
      <c r="Q305" s="23"/>
      <c r="R305" s="23"/>
      <c r="S305" s="24"/>
      <c r="T305" s="16"/>
      <c r="U305" s="18"/>
      <c r="V305" s="16"/>
      <c r="W305" s="50" t="str">
        <f aca="true">IF(P305="","",TODAY()-P305)</f>
        <v/>
      </c>
      <c r="X305" s="51" t="str">
        <f aca="true">IF(D305="","",IF(AND(U305&lt;&gt;"",U305&lt;TODAY()),"Follow-up overdue",IF(AND(W305&lt;&gt;"",W305&gt;60),"No order 60+ days","OK")))</f>
        <v/>
      </c>
    </row>
    <row r="306" customFormat="false" ht="15" hidden="false" customHeight="false" outlineLevel="0" collapsed="false">
      <c r="A306" s="16" t="s">
        <v>1554</v>
      </c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8"/>
      <c r="M306" s="16"/>
      <c r="N306" s="16"/>
      <c r="O306" s="23"/>
      <c r="P306" s="18"/>
      <c r="Q306" s="23"/>
      <c r="R306" s="23"/>
      <c r="S306" s="24"/>
      <c r="T306" s="16"/>
      <c r="U306" s="18"/>
      <c r="V306" s="16"/>
      <c r="W306" s="50" t="str">
        <f aca="true">IF(P306="","",TODAY()-P306)</f>
        <v/>
      </c>
      <c r="X306" s="51" t="str">
        <f aca="true">IF(D306="","",IF(AND(U306&lt;&gt;"",U306&lt;TODAY()),"Follow-up overdue",IF(AND(W306&lt;&gt;"",W306&gt;60),"No order 60+ days","OK")))</f>
        <v/>
      </c>
    </row>
    <row r="307" customFormat="false" ht="15" hidden="false" customHeight="false" outlineLevel="0" collapsed="false">
      <c r="A307" s="16" t="s">
        <v>1555</v>
      </c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8"/>
      <c r="M307" s="16"/>
      <c r="N307" s="16"/>
      <c r="O307" s="23"/>
      <c r="P307" s="18"/>
      <c r="Q307" s="23"/>
      <c r="R307" s="23"/>
      <c r="S307" s="24"/>
      <c r="T307" s="16"/>
      <c r="U307" s="18"/>
      <c r="V307" s="16"/>
      <c r="W307" s="50" t="str">
        <f aca="true">IF(P307="","",TODAY()-P307)</f>
        <v/>
      </c>
      <c r="X307" s="51" t="str">
        <f aca="true">IF(D307="","",IF(AND(U307&lt;&gt;"",U307&lt;TODAY()),"Follow-up overdue",IF(AND(W307&lt;&gt;"",W307&gt;60),"No order 60+ days","OK")))</f>
        <v/>
      </c>
    </row>
    <row r="308" customFormat="false" ht="15" hidden="false" customHeight="false" outlineLevel="0" collapsed="false">
      <c r="A308" s="16" t="s">
        <v>1556</v>
      </c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8"/>
      <c r="M308" s="16"/>
      <c r="N308" s="16"/>
      <c r="O308" s="23"/>
      <c r="P308" s="18"/>
      <c r="Q308" s="23"/>
      <c r="R308" s="23"/>
      <c r="S308" s="24"/>
      <c r="T308" s="16"/>
      <c r="U308" s="18"/>
      <c r="V308" s="16"/>
      <c r="W308" s="50" t="str">
        <f aca="true">IF(P308="","",TODAY()-P308)</f>
        <v/>
      </c>
      <c r="X308" s="51" t="str">
        <f aca="true">IF(D308="","",IF(AND(U308&lt;&gt;"",U308&lt;TODAY()),"Follow-up overdue",IF(AND(W308&lt;&gt;"",W308&gt;60),"No order 60+ days","OK")))</f>
        <v/>
      </c>
    </row>
    <row r="309" customFormat="false" ht="15" hidden="false" customHeight="false" outlineLevel="0" collapsed="false">
      <c r="A309" s="16" t="s">
        <v>1557</v>
      </c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8"/>
      <c r="M309" s="16"/>
      <c r="N309" s="16"/>
      <c r="O309" s="23"/>
      <c r="P309" s="18"/>
      <c r="Q309" s="23"/>
      <c r="R309" s="23"/>
      <c r="S309" s="24"/>
      <c r="T309" s="16"/>
      <c r="U309" s="18"/>
      <c r="V309" s="16"/>
      <c r="W309" s="50" t="str">
        <f aca="true">IF(P309="","",TODAY()-P309)</f>
        <v/>
      </c>
      <c r="X309" s="51" t="str">
        <f aca="true">IF(D309="","",IF(AND(U309&lt;&gt;"",U309&lt;TODAY()),"Follow-up overdue",IF(AND(W309&lt;&gt;"",W309&gt;60),"No order 60+ days","OK")))</f>
        <v/>
      </c>
    </row>
    <row r="310" customFormat="false" ht="15" hidden="false" customHeight="false" outlineLevel="0" collapsed="false">
      <c r="A310" s="16" t="s">
        <v>1558</v>
      </c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8"/>
      <c r="M310" s="16"/>
      <c r="N310" s="16"/>
      <c r="O310" s="23"/>
      <c r="P310" s="18"/>
      <c r="Q310" s="23"/>
      <c r="R310" s="23"/>
      <c r="S310" s="24"/>
      <c r="T310" s="16"/>
      <c r="U310" s="18"/>
      <c r="V310" s="16"/>
      <c r="W310" s="50" t="str">
        <f aca="true">IF(P310="","",TODAY()-P310)</f>
        <v/>
      </c>
      <c r="X310" s="51" t="str">
        <f aca="true">IF(D310="","",IF(AND(U310&lt;&gt;"",U310&lt;TODAY()),"Follow-up overdue",IF(AND(W310&lt;&gt;"",W310&gt;60),"No order 60+ days","OK")))</f>
        <v/>
      </c>
    </row>
    <row r="311" customFormat="false" ht="15" hidden="false" customHeight="false" outlineLevel="0" collapsed="false">
      <c r="A311" s="16" t="s">
        <v>1559</v>
      </c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8"/>
      <c r="M311" s="16"/>
      <c r="N311" s="16"/>
      <c r="O311" s="23"/>
      <c r="P311" s="18"/>
      <c r="Q311" s="23"/>
      <c r="R311" s="23"/>
      <c r="S311" s="24"/>
      <c r="T311" s="16"/>
      <c r="U311" s="18"/>
      <c r="V311" s="16"/>
      <c r="W311" s="50" t="str">
        <f aca="true">IF(P311="","",TODAY()-P311)</f>
        <v/>
      </c>
      <c r="X311" s="51" t="str">
        <f aca="true">IF(D311="","",IF(AND(U311&lt;&gt;"",U311&lt;TODAY()),"Follow-up overdue",IF(AND(W311&lt;&gt;"",W311&gt;60),"No order 60+ days","OK")))</f>
        <v/>
      </c>
    </row>
    <row r="312" customFormat="false" ht="15" hidden="false" customHeight="false" outlineLevel="0" collapsed="false">
      <c r="A312" s="16" t="s">
        <v>1560</v>
      </c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8"/>
      <c r="M312" s="16"/>
      <c r="N312" s="16"/>
      <c r="O312" s="23"/>
      <c r="P312" s="18"/>
      <c r="Q312" s="23"/>
      <c r="R312" s="23"/>
      <c r="S312" s="24"/>
      <c r="T312" s="16"/>
      <c r="U312" s="18"/>
      <c r="V312" s="16"/>
      <c r="W312" s="50" t="str">
        <f aca="true">IF(P312="","",TODAY()-P312)</f>
        <v/>
      </c>
      <c r="X312" s="51" t="str">
        <f aca="true">IF(D312="","",IF(AND(U312&lt;&gt;"",U312&lt;TODAY()),"Follow-up overdue",IF(AND(W312&lt;&gt;"",W312&gt;60),"No order 60+ days","OK")))</f>
        <v/>
      </c>
    </row>
    <row r="313" customFormat="false" ht="15" hidden="false" customHeight="false" outlineLevel="0" collapsed="false">
      <c r="A313" s="16" t="s">
        <v>1561</v>
      </c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8"/>
      <c r="M313" s="16"/>
      <c r="N313" s="16"/>
      <c r="O313" s="23"/>
      <c r="P313" s="18"/>
      <c r="Q313" s="23"/>
      <c r="R313" s="23"/>
      <c r="S313" s="24"/>
      <c r="T313" s="16"/>
      <c r="U313" s="18"/>
      <c r="V313" s="16"/>
      <c r="W313" s="50" t="str">
        <f aca="true">IF(P313="","",TODAY()-P313)</f>
        <v/>
      </c>
      <c r="X313" s="51" t="str">
        <f aca="true">IF(D313="","",IF(AND(U313&lt;&gt;"",U313&lt;TODAY()),"Follow-up overdue",IF(AND(W313&lt;&gt;"",W313&gt;60),"No order 60+ days","OK")))</f>
        <v/>
      </c>
    </row>
    <row r="314" customFormat="false" ht="15" hidden="false" customHeight="false" outlineLevel="0" collapsed="false">
      <c r="A314" s="16" t="s">
        <v>1562</v>
      </c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8"/>
      <c r="M314" s="16"/>
      <c r="N314" s="16"/>
      <c r="O314" s="23"/>
      <c r="P314" s="18"/>
      <c r="Q314" s="23"/>
      <c r="R314" s="23"/>
      <c r="S314" s="24"/>
      <c r="T314" s="16"/>
      <c r="U314" s="18"/>
      <c r="V314" s="16"/>
      <c r="W314" s="50" t="str">
        <f aca="true">IF(P314="","",TODAY()-P314)</f>
        <v/>
      </c>
      <c r="X314" s="51" t="str">
        <f aca="true">IF(D314="","",IF(AND(U314&lt;&gt;"",U314&lt;TODAY()),"Follow-up overdue",IF(AND(W314&lt;&gt;"",W314&gt;60),"No order 60+ days","OK")))</f>
        <v/>
      </c>
    </row>
    <row r="315" customFormat="false" ht="15" hidden="false" customHeight="false" outlineLevel="0" collapsed="false">
      <c r="A315" s="16" t="s">
        <v>1563</v>
      </c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8"/>
      <c r="M315" s="16"/>
      <c r="N315" s="16"/>
      <c r="O315" s="23"/>
      <c r="P315" s="18"/>
      <c r="Q315" s="23"/>
      <c r="R315" s="23"/>
      <c r="S315" s="24"/>
      <c r="T315" s="16"/>
      <c r="U315" s="18"/>
      <c r="V315" s="16"/>
      <c r="W315" s="50" t="str">
        <f aca="true">IF(P315="","",TODAY()-P315)</f>
        <v/>
      </c>
      <c r="X315" s="51" t="str">
        <f aca="true">IF(D315="","",IF(AND(U315&lt;&gt;"",U315&lt;TODAY()),"Follow-up overdue",IF(AND(W315&lt;&gt;"",W315&gt;60),"No order 60+ days","OK")))</f>
        <v/>
      </c>
    </row>
    <row r="316" customFormat="false" ht="15" hidden="false" customHeight="false" outlineLevel="0" collapsed="false">
      <c r="A316" s="16" t="s">
        <v>1564</v>
      </c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8"/>
      <c r="M316" s="16"/>
      <c r="N316" s="16"/>
      <c r="O316" s="23"/>
      <c r="P316" s="18"/>
      <c r="Q316" s="23"/>
      <c r="R316" s="23"/>
      <c r="S316" s="24"/>
      <c r="T316" s="16"/>
      <c r="U316" s="18"/>
      <c r="V316" s="16"/>
      <c r="W316" s="50" t="str">
        <f aca="true">IF(P316="","",TODAY()-P316)</f>
        <v/>
      </c>
      <c r="X316" s="51" t="str">
        <f aca="true">IF(D316="","",IF(AND(U316&lt;&gt;"",U316&lt;TODAY()),"Follow-up overdue",IF(AND(W316&lt;&gt;"",W316&gt;60),"No order 60+ days","OK")))</f>
        <v/>
      </c>
    </row>
    <row r="317" customFormat="false" ht="15" hidden="false" customHeight="false" outlineLevel="0" collapsed="false">
      <c r="A317" s="16" t="s">
        <v>1565</v>
      </c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8"/>
      <c r="M317" s="16"/>
      <c r="N317" s="16"/>
      <c r="O317" s="23"/>
      <c r="P317" s="18"/>
      <c r="Q317" s="23"/>
      <c r="R317" s="23"/>
      <c r="S317" s="24"/>
      <c r="T317" s="16"/>
      <c r="U317" s="18"/>
      <c r="V317" s="16"/>
      <c r="W317" s="50" t="str">
        <f aca="true">IF(P317="","",TODAY()-P317)</f>
        <v/>
      </c>
      <c r="X317" s="51" t="str">
        <f aca="true">IF(D317="","",IF(AND(U317&lt;&gt;"",U317&lt;TODAY()),"Follow-up overdue",IF(AND(W317&lt;&gt;"",W317&gt;60),"No order 60+ days","OK")))</f>
        <v/>
      </c>
    </row>
    <row r="318" customFormat="false" ht="15" hidden="false" customHeight="false" outlineLevel="0" collapsed="false">
      <c r="A318" s="16" t="s">
        <v>1566</v>
      </c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8"/>
      <c r="M318" s="16"/>
      <c r="N318" s="16"/>
      <c r="O318" s="23"/>
      <c r="P318" s="18"/>
      <c r="Q318" s="23"/>
      <c r="R318" s="23"/>
      <c r="S318" s="24"/>
      <c r="T318" s="16"/>
      <c r="U318" s="18"/>
      <c r="V318" s="16"/>
      <c r="W318" s="50" t="str">
        <f aca="true">IF(P318="","",TODAY()-P318)</f>
        <v/>
      </c>
      <c r="X318" s="51" t="str">
        <f aca="true">IF(D318="","",IF(AND(U318&lt;&gt;"",U318&lt;TODAY()),"Follow-up overdue",IF(AND(W318&lt;&gt;"",W318&gt;60),"No order 60+ days","OK")))</f>
        <v/>
      </c>
    </row>
    <row r="319" customFormat="false" ht="15" hidden="false" customHeight="false" outlineLevel="0" collapsed="false">
      <c r="A319" s="16" t="s">
        <v>1567</v>
      </c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8"/>
      <c r="M319" s="16"/>
      <c r="N319" s="16"/>
      <c r="O319" s="23"/>
      <c r="P319" s="18"/>
      <c r="Q319" s="23"/>
      <c r="R319" s="23"/>
      <c r="S319" s="24"/>
      <c r="T319" s="16"/>
      <c r="U319" s="18"/>
      <c r="V319" s="16"/>
      <c r="W319" s="50" t="str">
        <f aca="true">IF(P319="","",TODAY()-P319)</f>
        <v/>
      </c>
      <c r="X319" s="51" t="str">
        <f aca="true">IF(D319="","",IF(AND(U319&lt;&gt;"",U319&lt;TODAY()),"Follow-up overdue",IF(AND(W319&lt;&gt;"",W319&gt;60),"No order 60+ days","OK")))</f>
        <v/>
      </c>
    </row>
    <row r="320" customFormat="false" ht="15" hidden="false" customHeight="false" outlineLevel="0" collapsed="false">
      <c r="A320" s="16" t="s">
        <v>1568</v>
      </c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8"/>
      <c r="M320" s="16"/>
      <c r="N320" s="16"/>
      <c r="O320" s="23"/>
      <c r="P320" s="18"/>
      <c r="Q320" s="23"/>
      <c r="R320" s="23"/>
      <c r="S320" s="24"/>
      <c r="T320" s="16"/>
      <c r="U320" s="18"/>
      <c r="V320" s="16"/>
      <c r="W320" s="50" t="str">
        <f aca="true">IF(P320="","",TODAY()-P320)</f>
        <v/>
      </c>
      <c r="X320" s="51" t="str">
        <f aca="true">IF(D320="","",IF(AND(U320&lt;&gt;"",U320&lt;TODAY()),"Follow-up overdue",IF(AND(W320&lt;&gt;"",W320&gt;60),"No order 60+ days","OK")))</f>
        <v/>
      </c>
    </row>
    <row r="321" customFormat="false" ht="15" hidden="false" customHeight="false" outlineLevel="0" collapsed="false">
      <c r="A321" s="16" t="s">
        <v>1569</v>
      </c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8"/>
      <c r="M321" s="16"/>
      <c r="N321" s="16"/>
      <c r="O321" s="23"/>
      <c r="P321" s="18"/>
      <c r="Q321" s="23"/>
      <c r="R321" s="23"/>
      <c r="S321" s="24"/>
      <c r="T321" s="16"/>
      <c r="U321" s="18"/>
      <c r="V321" s="16"/>
      <c r="W321" s="50" t="str">
        <f aca="true">IF(P321="","",TODAY()-P321)</f>
        <v/>
      </c>
      <c r="X321" s="51" t="str">
        <f aca="true">IF(D321="","",IF(AND(U321&lt;&gt;"",U321&lt;TODAY()),"Follow-up overdue",IF(AND(W321&lt;&gt;"",W321&gt;60),"No order 60+ days","OK")))</f>
        <v/>
      </c>
    </row>
    <row r="322" customFormat="false" ht="15" hidden="false" customHeight="false" outlineLevel="0" collapsed="false">
      <c r="A322" s="16" t="s">
        <v>1570</v>
      </c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8"/>
      <c r="M322" s="16"/>
      <c r="N322" s="16"/>
      <c r="O322" s="23"/>
      <c r="P322" s="18"/>
      <c r="Q322" s="23"/>
      <c r="R322" s="23"/>
      <c r="S322" s="24"/>
      <c r="T322" s="16"/>
      <c r="U322" s="18"/>
      <c r="V322" s="16"/>
      <c r="W322" s="50" t="str">
        <f aca="true">IF(P322="","",TODAY()-P322)</f>
        <v/>
      </c>
      <c r="X322" s="51" t="str">
        <f aca="true">IF(D322="","",IF(AND(U322&lt;&gt;"",U322&lt;TODAY()),"Follow-up overdue",IF(AND(W322&lt;&gt;"",W322&gt;60),"No order 60+ days","OK")))</f>
        <v/>
      </c>
    </row>
    <row r="323" customFormat="false" ht="15" hidden="false" customHeight="false" outlineLevel="0" collapsed="false">
      <c r="A323" s="16" t="s">
        <v>1571</v>
      </c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8"/>
      <c r="M323" s="16"/>
      <c r="N323" s="16"/>
      <c r="O323" s="23"/>
      <c r="P323" s="18"/>
      <c r="Q323" s="23"/>
      <c r="R323" s="23"/>
      <c r="S323" s="24"/>
      <c r="T323" s="16"/>
      <c r="U323" s="18"/>
      <c r="V323" s="16"/>
      <c r="W323" s="50" t="str">
        <f aca="true">IF(P323="","",TODAY()-P323)</f>
        <v/>
      </c>
      <c r="X323" s="51" t="str">
        <f aca="true">IF(D323="","",IF(AND(U323&lt;&gt;"",U323&lt;TODAY()),"Follow-up overdue",IF(AND(W323&lt;&gt;"",W323&gt;60),"No order 60+ days","OK")))</f>
        <v/>
      </c>
    </row>
    <row r="324" customFormat="false" ht="15" hidden="false" customHeight="false" outlineLevel="0" collapsed="false">
      <c r="A324" s="16" t="s">
        <v>1572</v>
      </c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8"/>
      <c r="M324" s="16"/>
      <c r="N324" s="16"/>
      <c r="O324" s="23"/>
      <c r="P324" s="18"/>
      <c r="Q324" s="23"/>
      <c r="R324" s="23"/>
      <c r="S324" s="24"/>
      <c r="T324" s="16"/>
      <c r="U324" s="18"/>
      <c r="V324" s="16"/>
      <c r="W324" s="50" t="str">
        <f aca="true">IF(P324="","",TODAY()-P324)</f>
        <v/>
      </c>
      <c r="X324" s="51" t="str">
        <f aca="true">IF(D324="","",IF(AND(U324&lt;&gt;"",U324&lt;TODAY()),"Follow-up overdue",IF(AND(W324&lt;&gt;"",W324&gt;60),"No order 60+ days","OK")))</f>
        <v/>
      </c>
    </row>
    <row r="325" customFormat="false" ht="15" hidden="false" customHeight="false" outlineLevel="0" collapsed="false">
      <c r="A325" s="16" t="s">
        <v>1573</v>
      </c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8"/>
      <c r="M325" s="16"/>
      <c r="N325" s="16"/>
      <c r="O325" s="23"/>
      <c r="P325" s="18"/>
      <c r="Q325" s="23"/>
      <c r="R325" s="23"/>
      <c r="S325" s="24"/>
      <c r="T325" s="16"/>
      <c r="U325" s="18"/>
      <c r="V325" s="16"/>
      <c r="W325" s="50" t="str">
        <f aca="true">IF(P325="","",TODAY()-P325)</f>
        <v/>
      </c>
      <c r="X325" s="51" t="str">
        <f aca="true">IF(D325="","",IF(AND(U325&lt;&gt;"",U325&lt;TODAY()),"Follow-up overdue",IF(AND(W325&lt;&gt;"",W325&gt;60),"No order 60+ days","OK")))</f>
        <v/>
      </c>
    </row>
    <row r="326" customFormat="false" ht="15" hidden="false" customHeight="false" outlineLevel="0" collapsed="false">
      <c r="A326" s="16" t="s">
        <v>1574</v>
      </c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8"/>
      <c r="M326" s="16"/>
      <c r="N326" s="16"/>
      <c r="O326" s="23"/>
      <c r="P326" s="18"/>
      <c r="Q326" s="23"/>
      <c r="R326" s="23"/>
      <c r="S326" s="24"/>
      <c r="T326" s="16"/>
      <c r="U326" s="18"/>
      <c r="V326" s="16"/>
      <c r="W326" s="50" t="str">
        <f aca="true">IF(P326="","",TODAY()-P326)</f>
        <v/>
      </c>
      <c r="X326" s="51" t="str">
        <f aca="true">IF(D326="","",IF(AND(U326&lt;&gt;"",U326&lt;TODAY()),"Follow-up overdue",IF(AND(W326&lt;&gt;"",W326&gt;60),"No order 60+ days","OK")))</f>
        <v/>
      </c>
    </row>
    <row r="327" customFormat="false" ht="15" hidden="false" customHeight="false" outlineLevel="0" collapsed="false">
      <c r="A327" s="16" t="s">
        <v>1575</v>
      </c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8"/>
      <c r="M327" s="16"/>
      <c r="N327" s="16"/>
      <c r="O327" s="23"/>
      <c r="P327" s="18"/>
      <c r="Q327" s="23"/>
      <c r="R327" s="23"/>
      <c r="S327" s="24"/>
      <c r="T327" s="16"/>
      <c r="U327" s="18"/>
      <c r="V327" s="16"/>
      <c r="W327" s="50" t="str">
        <f aca="true">IF(P327="","",TODAY()-P327)</f>
        <v/>
      </c>
      <c r="X327" s="51" t="str">
        <f aca="true">IF(D327="","",IF(AND(U327&lt;&gt;"",U327&lt;TODAY()),"Follow-up overdue",IF(AND(W327&lt;&gt;"",W327&gt;60),"No order 60+ days","OK")))</f>
        <v/>
      </c>
    </row>
    <row r="328" customFormat="false" ht="15" hidden="false" customHeight="false" outlineLevel="0" collapsed="false">
      <c r="A328" s="16" t="s">
        <v>1576</v>
      </c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8"/>
      <c r="M328" s="16"/>
      <c r="N328" s="16"/>
      <c r="O328" s="23"/>
      <c r="P328" s="18"/>
      <c r="Q328" s="23"/>
      <c r="R328" s="23"/>
      <c r="S328" s="24"/>
      <c r="T328" s="16"/>
      <c r="U328" s="18"/>
      <c r="V328" s="16"/>
      <c r="W328" s="50" t="str">
        <f aca="true">IF(P328="","",TODAY()-P328)</f>
        <v/>
      </c>
      <c r="X328" s="51" t="str">
        <f aca="true">IF(D328="","",IF(AND(U328&lt;&gt;"",U328&lt;TODAY()),"Follow-up overdue",IF(AND(W328&lt;&gt;"",W328&gt;60),"No order 60+ days","OK")))</f>
        <v/>
      </c>
    </row>
    <row r="329" customFormat="false" ht="15" hidden="false" customHeight="false" outlineLevel="0" collapsed="false">
      <c r="A329" s="16" t="s">
        <v>1577</v>
      </c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8"/>
      <c r="M329" s="16"/>
      <c r="N329" s="16"/>
      <c r="O329" s="23"/>
      <c r="P329" s="18"/>
      <c r="Q329" s="23"/>
      <c r="R329" s="23"/>
      <c r="S329" s="24"/>
      <c r="T329" s="16"/>
      <c r="U329" s="18"/>
      <c r="V329" s="16"/>
      <c r="W329" s="50" t="str">
        <f aca="true">IF(P329="","",TODAY()-P329)</f>
        <v/>
      </c>
      <c r="X329" s="51" t="str">
        <f aca="true">IF(D329="","",IF(AND(U329&lt;&gt;"",U329&lt;TODAY()),"Follow-up overdue",IF(AND(W329&lt;&gt;"",W329&gt;60),"No order 60+ days","OK")))</f>
        <v/>
      </c>
    </row>
    <row r="330" customFormat="false" ht="15" hidden="false" customHeight="false" outlineLevel="0" collapsed="false">
      <c r="A330" s="16" t="s">
        <v>1578</v>
      </c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8"/>
      <c r="M330" s="16"/>
      <c r="N330" s="16"/>
      <c r="O330" s="23"/>
      <c r="P330" s="18"/>
      <c r="Q330" s="23"/>
      <c r="R330" s="23"/>
      <c r="S330" s="24"/>
      <c r="T330" s="16"/>
      <c r="U330" s="18"/>
      <c r="V330" s="16"/>
      <c r="W330" s="50" t="str">
        <f aca="true">IF(P330="","",TODAY()-P330)</f>
        <v/>
      </c>
      <c r="X330" s="51" t="str">
        <f aca="true">IF(D330="","",IF(AND(U330&lt;&gt;"",U330&lt;TODAY()),"Follow-up overdue",IF(AND(W330&lt;&gt;"",W330&gt;60),"No order 60+ days","OK")))</f>
        <v/>
      </c>
    </row>
    <row r="331" customFormat="false" ht="15" hidden="false" customHeight="false" outlineLevel="0" collapsed="false">
      <c r="A331" s="16" t="s">
        <v>1579</v>
      </c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8"/>
      <c r="M331" s="16"/>
      <c r="N331" s="16"/>
      <c r="O331" s="23"/>
      <c r="P331" s="18"/>
      <c r="Q331" s="23"/>
      <c r="R331" s="23"/>
      <c r="S331" s="24"/>
      <c r="T331" s="16"/>
      <c r="U331" s="18"/>
      <c r="V331" s="16"/>
      <c r="W331" s="50" t="str">
        <f aca="true">IF(P331="","",TODAY()-P331)</f>
        <v/>
      </c>
      <c r="X331" s="51" t="str">
        <f aca="true">IF(D331="","",IF(AND(U331&lt;&gt;"",U331&lt;TODAY()),"Follow-up overdue",IF(AND(W331&lt;&gt;"",W331&gt;60),"No order 60+ days","OK")))</f>
        <v/>
      </c>
    </row>
    <row r="332" customFormat="false" ht="15" hidden="false" customHeight="false" outlineLevel="0" collapsed="false">
      <c r="A332" s="16" t="s">
        <v>1580</v>
      </c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8"/>
      <c r="M332" s="16"/>
      <c r="N332" s="16"/>
      <c r="O332" s="23"/>
      <c r="P332" s="18"/>
      <c r="Q332" s="23"/>
      <c r="R332" s="23"/>
      <c r="S332" s="24"/>
      <c r="T332" s="16"/>
      <c r="U332" s="18"/>
      <c r="V332" s="16"/>
      <c r="W332" s="50" t="str">
        <f aca="true">IF(P332="","",TODAY()-P332)</f>
        <v/>
      </c>
      <c r="X332" s="51" t="str">
        <f aca="true">IF(D332="","",IF(AND(U332&lt;&gt;"",U332&lt;TODAY()),"Follow-up overdue",IF(AND(W332&lt;&gt;"",W332&gt;60),"No order 60+ days","OK")))</f>
        <v/>
      </c>
    </row>
    <row r="333" customFormat="false" ht="15" hidden="false" customHeight="false" outlineLevel="0" collapsed="false">
      <c r="A333" s="16" t="s">
        <v>1581</v>
      </c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8"/>
      <c r="M333" s="16"/>
      <c r="N333" s="16"/>
      <c r="O333" s="23"/>
      <c r="P333" s="18"/>
      <c r="Q333" s="23"/>
      <c r="R333" s="23"/>
      <c r="S333" s="24"/>
      <c r="T333" s="16"/>
      <c r="U333" s="18"/>
      <c r="V333" s="16"/>
      <c r="W333" s="50" t="str">
        <f aca="true">IF(P333="","",TODAY()-P333)</f>
        <v/>
      </c>
      <c r="X333" s="51" t="str">
        <f aca="true">IF(D333="","",IF(AND(U333&lt;&gt;"",U333&lt;TODAY()),"Follow-up overdue",IF(AND(W333&lt;&gt;"",W333&gt;60),"No order 60+ days","OK")))</f>
        <v/>
      </c>
    </row>
    <row r="334" customFormat="false" ht="15" hidden="false" customHeight="false" outlineLevel="0" collapsed="false">
      <c r="A334" s="16" t="s">
        <v>1582</v>
      </c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8"/>
      <c r="M334" s="16"/>
      <c r="N334" s="16"/>
      <c r="O334" s="23"/>
      <c r="P334" s="18"/>
      <c r="Q334" s="23"/>
      <c r="R334" s="23"/>
      <c r="S334" s="24"/>
      <c r="T334" s="16"/>
      <c r="U334" s="18"/>
      <c r="V334" s="16"/>
      <c r="W334" s="50" t="str">
        <f aca="true">IF(P334="","",TODAY()-P334)</f>
        <v/>
      </c>
      <c r="X334" s="51" t="str">
        <f aca="true">IF(D334="","",IF(AND(U334&lt;&gt;"",U334&lt;TODAY()),"Follow-up overdue",IF(AND(W334&lt;&gt;"",W334&gt;60),"No order 60+ days","OK")))</f>
        <v/>
      </c>
    </row>
    <row r="335" customFormat="false" ht="15" hidden="false" customHeight="false" outlineLevel="0" collapsed="false">
      <c r="A335" s="16" t="s">
        <v>1583</v>
      </c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8"/>
      <c r="M335" s="16"/>
      <c r="N335" s="16"/>
      <c r="O335" s="23"/>
      <c r="P335" s="18"/>
      <c r="Q335" s="23"/>
      <c r="R335" s="23"/>
      <c r="S335" s="24"/>
      <c r="T335" s="16"/>
      <c r="U335" s="18"/>
      <c r="V335" s="16"/>
      <c r="W335" s="50" t="str">
        <f aca="true">IF(P335="","",TODAY()-P335)</f>
        <v/>
      </c>
      <c r="X335" s="51" t="str">
        <f aca="true">IF(D335="","",IF(AND(U335&lt;&gt;"",U335&lt;TODAY()),"Follow-up overdue",IF(AND(W335&lt;&gt;"",W335&gt;60),"No order 60+ days","OK")))</f>
        <v/>
      </c>
    </row>
    <row r="336" customFormat="false" ht="15" hidden="false" customHeight="false" outlineLevel="0" collapsed="false">
      <c r="A336" s="16" t="s">
        <v>1584</v>
      </c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8"/>
      <c r="M336" s="16"/>
      <c r="N336" s="16"/>
      <c r="O336" s="23"/>
      <c r="P336" s="18"/>
      <c r="Q336" s="23"/>
      <c r="R336" s="23"/>
      <c r="S336" s="24"/>
      <c r="T336" s="16"/>
      <c r="U336" s="18"/>
      <c r="V336" s="16"/>
      <c r="W336" s="50" t="str">
        <f aca="true">IF(P336="","",TODAY()-P336)</f>
        <v/>
      </c>
      <c r="X336" s="51" t="str">
        <f aca="true">IF(D336="","",IF(AND(U336&lt;&gt;"",U336&lt;TODAY()),"Follow-up overdue",IF(AND(W336&lt;&gt;"",W336&gt;60),"No order 60+ days","OK")))</f>
        <v/>
      </c>
    </row>
    <row r="337" customFormat="false" ht="15" hidden="false" customHeight="false" outlineLevel="0" collapsed="false">
      <c r="A337" s="16" t="s">
        <v>1585</v>
      </c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8"/>
      <c r="M337" s="16"/>
      <c r="N337" s="16"/>
      <c r="O337" s="23"/>
      <c r="P337" s="18"/>
      <c r="Q337" s="23"/>
      <c r="R337" s="23"/>
      <c r="S337" s="24"/>
      <c r="T337" s="16"/>
      <c r="U337" s="18"/>
      <c r="V337" s="16"/>
      <c r="W337" s="50" t="str">
        <f aca="true">IF(P337="","",TODAY()-P337)</f>
        <v/>
      </c>
      <c r="X337" s="51" t="str">
        <f aca="true">IF(D337="","",IF(AND(U337&lt;&gt;"",U337&lt;TODAY()),"Follow-up overdue",IF(AND(W337&lt;&gt;"",W337&gt;60),"No order 60+ days","OK")))</f>
        <v/>
      </c>
    </row>
    <row r="338" customFormat="false" ht="15" hidden="false" customHeight="false" outlineLevel="0" collapsed="false">
      <c r="A338" s="16" t="s">
        <v>1586</v>
      </c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8"/>
      <c r="M338" s="16"/>
      <c r="N338" s="16"/>
      <c r="O338" s="23"/>
      <c r="P338" s="18"/>
      <c r="Q338" s="23"/>
      <c r="R338" s="23"/>
      <c r="S338" s="24"/>
      <c r="T338" s="16"/>
      <c r="U338" s="18"/>
      <c r="V338" s="16"/>
      <c r="W338" s="50" t="str">
        <f aca="true">IF(P338="","",TODAY()-P338)</f>
        <v/>
      </c>
      <c r="X338" s="51" t="str">
        <f aca="true">IF(D338="","",IF(AND(U338&lt;&gt;"",U338&lt;TODAY()),"Follow-up overdue",IF(AND(W338&lt;&gt;"",W338&gt;60),"No order 60+ days","OK")))</f>
        <v/>
      </c>
    </row>
    <row r="339" customFormat="false" ht="15" hidden="false" customHeight="false" outlineLevel="0" collapsed="false">
      <c r="A339" s="16" t="s">
        <v>1587</v>
      </c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8"/>
      <c r="M339" s="16"/>
      <c r="N339" s="16"/>
      <c r="O339" s="23"/>
      <c r="P339" s="18"/>
      <c r="Q339" s="23"/>
      <c r="R339" s="23"/>
      <c r="S339" s="24"/>
      <c r="T339" s="16"/>
      <c r="U339" s="18"/>
      <c r="V339" s="16"/>
      <c r="W339" s="50" t="str">
        <f aca="true">IF(P339="","",TODAY()-P339)</f>
        <v/>
      </c>
      <c r="X339" s="51" t="str">
        <f aca="true">IF(D339="","",IF(AND(U339&lt;&gt;"",U339&lt;TODAY()),"Follow-up overdue",IF(AND(W339&lt;&gt;"",W339&gt;60),"No order 60+ days","OK")))</f>
        <v/>
      </c>
    </row>
    <row r="340" customFormat="false" ht="15" hidden="false" customHeight="false" outlineLevel="0" collapsed="false">
      <c r="A340" s="16" t="s">
        <v>1588</v>
      </c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8"/>
      <c r="M340" s="16"/>
      <c r="N340" s="16"/>
      <c r="O340" s="23"/>
      <c r="P340" s="18"/>
      <c r="Q340" s="23"/>
      <c r="R340" s="23"/>
      <c r="S340" s="24"/>
      <c r="T340" s="16"/>
      <c r="U340" s="18"/>
      <c r="V340" s="16"/>
      <c r="W340" s="50" t="str">
        <f aca="true">IF(P340="","",TODAY()-P340)</f>
        <v/>
      </c>
      <c r="X340" s="51" t="str">
        <f aca="true">IF(D340="","",IF(AND(U340&lt;&gt;"",U340&lt;TODAY()),"Follow-up overdue",IF(AND(W340&lt;&gt;"",W340&gt;60),"No order 60+ days","OK")))</f>
        <v/>
      </c>
    </row>
    <row r="341" customFormat="false" ht="15" hidden="false" customHeight="false" outlineLevel="0" collapsed="false">
      <c r="A341" s="16" t="s">
        <v>1589</v>
      </c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8"/>
      <c r="M341" s="16"/>
      <c r="N341" s="16"/>
      <c r="O341" s="23"/>
      <c r="P341" s="18"/>
      <c r="Q341" s="23"/>
      <c r="R341" s="23"/>
      <c r="S341" s="24"/>
      <c r="T341" s="16"/>
      <c r="U341" s="18"/>
      <c r="V341" s="16"/>
      <c r="W341" s="50" t="str">
        <f aca="true">IF(P341="","",TODAY()-P341)</f>
        <v/>
      </c>
      <c r="X341" s="51" t="str">
        <f aca="true">IF(D341="","",IF(AND(U341&lt;&gt;"",U341&lt;TODAY()),"Follow-up overdue",IF(AND(W341&lt;&gt;"",W341&gt;60),"No order 60+ days","OK")))</f>
        <v/>
      </c>
    </row>
    <row r="342" customFormat="false" ht="15" hidden="false" customHeight="false" outlineLevel="0" collapsed="false">
      <c r="A342" s="16" t="s">
        <v>1590</v>
      </c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8"/>
      <c r="M342" s="16"/>
      <c r="N342" s="16"/>
      <c r="O342" s="23"/>
      <c r="P342" s="18"/>
      <c r="Q342" s="23"/>
      <c r="R342" s="23"/>
      <c r="S342" s="24"/>
      <c r="T342" s="16"/>
      <c r="U342" s="18"/>
      <c r="V342" s="16"/>
      <c r="W342" s="50" t="str">
        <f aca="true">IF(P342="","",TODAY()-P342)</f>
        <v/>
      </c>
      <c r="X342" s="51" t="str">
        <f aca="true">IF(D342="","",IF(AND(U342&lt;&gt;"",U342&lt;TODAY()),"Follow-up overdue",IF(AND(W342&lt;&gt;"",W342&gt;60),"No order 60+ days","OK")))</f>
        <v/>
      </c>
    </row>
    <row r="343" customFormat="false" ht="15" hidden="false" customHeight="false" outlineLevel="0" collapsed="false">
      <c r="A343" s="16" t="s">
        <v>1591</v>
      </c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8"/>
      <c r="M343" s="16"/>
      <c r="N343" s="16"/>
      <c r="O343" s="23"/>
      <c r="P343" s="18"/>
      <c r="Q343" s="23"/>
      <c r="R343" s="23"/>
      <c r="S343" s="24"/>
      <c r="T343" s="16"/>
      <c r="U343" s="18"/>
      <c r="V343" s="16"/>
      <c r="W343" s="50" t="str">
        <f aca="true">IF(P343="","",TODAY()-P343)</f>
        <v/>
      </c>
      <c r="X343" s="51" t="str">
        <f aca="true">IF(D343="","",IF(AND(U343&lt;&gt;"",U343&lt;TODAY()),"Follow-up overdue",IF(AND(W343&lt;&gt;"",W343&gt;60),"No order 60+ days","OK")))</f>
        <v/>
      </c>
    </row>
    <row r="344" customFormat="false" ht="15" hidden="false" customHeight="false" outlineLevel="0" collapsed="false">
      <c r="A344" s="16" t="s">
        <v>1592</v>
      </c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8"/>
      <c r="M344" s="16"/>
      <c r="N344" s="16"/>
      <c r="O344" s="23"/>
      <c r="P344" s="18"/>
      <c r="Q344" s="23"/>
      <c r="R344" s="23"/>
      <c r="S344" s="24"/>
      <c r="T344" s="16"/>
      <c r="U344" s="18"/>
      <c r="V344" s="16"/>
      <c r="W344" s="50" t="str">
        <f aca="true">IF(P344="","",TODAY()-P344)</f>
        <v/>
      </c>
      <c r="X344" s="51" t="str">
        <f aca="true">IF(D344="","",IF(AND(U344&lt;&gt;"",U344&lt;TODAY()),"Follow-up overdue",IF(AND(W344&lt;&gt;"",W344&gt;60),"No order 60+ days","OK")))</f>
        <v/>
      </c>
    </row>
    <row r="345" customFormat="false" ht="15" hidden="false" customHeight="false" outlineLevel="0" collapsed="false">
      <c r="A345" s="16" t="s">
        <v>1593</v>
      </c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8"/>
      <c r="M345" s="16"/>
      <c r="N345" s="16"/>
      <c r="O345" s="23"/>
      <c r="P345" s="18"/>
      <c r="Q345" s="23"/>
      <c r="R345" s="23"/>
      <c r="S345" s="24"/>
      <c r="T345" s="16"/>
      <c r="U345" s="18"/>
      <c r="V345" s="16"/>
      <c r="W345" s="50" t="str">
        <f aca="true">IF(P345="","",TODAY()-P345)</f>
        <v/>
      </c>
      <c r="X345" s="51" t="str">
        <f aca="true">IF(D345="","",IF(AND(U345&lt;&gt;"",U345&lt;TODAY()),"Follow-up overdue",IF(AND(W345&lt;&gt;"",W345&gt;60),"No order 60+ days","OK")))</f>
        <v/>
      </c>
    </row>
    <row r="346" customFormat="false" ht="15" hidden="false" customHeight="false" outlineLevel="0" collapsed="false">
      <c r="A346" s="16" t="s">
        <v>1594</v>
      </c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8"/>
      <c r="M346" s="16"/>
      <c r="N346" s="16"/>
      <c r="O346" s="23"/>
      <c r="P346" s="18"/>
      <c r="Q346" s="23"/>
      <c r="R346" s="23"/>
      <c r="S346" s="24"/>
      <c r="T346" s="16"/>
      <c r="U346" s="18"/>
      <c r="V346" s="16"/>
      <c r="W346" s="50" t="str">
        <f aca="true">IF(P346="","",TODAY()-P346)</f>
        <v/>
      </c>
      <c r="X346" s="51" t="str">
        <f aca="true">IF(D346="","",IF(AND(U346&lt;&gt;"",U346&lt;TODAY()),"Follow-up overdue",IF(AND(W346&lt;&gt;"",W346&gt;60),"No order 60+ days","OK")))</f>
        <v/>
      </c>
    </row>
    <row r="347" customFormat="false" ht="15" hidden="false" customHeight="false" outlineLevel="0" collapsed="false">
      <c r="A347" s="16" t="s">
        <v>1595</v>
      </c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8"/>
      <c r="M347" s="16"/>
      <c r="N347" s="16"/>
      <c r="O347" s="23"/>
      <c r="P347" s="18"/>
      <c r="Q347" s="23"/>
      <c r="R347" s="23"/>
      <c r="S347" s="24"/>
      <c r="T347" s="16"/>
      <c r="U347" s="18"/>
      <c r="V347" s="16"/>
      <c r="W347" s="50" t="str">
        <f aca="true">IF(P347="","",TODAY()-P347)</f>
        <v/>
      </c>
      <c r="X347" s="51" t="str">
        <f aca="true">IF(D347="","",IF(AND(U347&lt;&gt;"",U347&lt;TODAY()),"Follow-up overdue",IF(AND(W347&lt;&gt;"",W347&gt;60),"No order 60+ days","OK")))</f>
        <v/>
      </c>
    </row>
    <row r="348" customFormat="false" ht="15" hidden="false" customHeight="false" outlineLevel="0" collapsed="false">
      <c r="A348" s="16" t="s">
        <v>1596</v>
      </c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8"/>
      <c r="M348" s="16"/>
      <c r="N348" s="16"/>
      <c r="O348" s="23"/>
      <c r="P348" s="18"/>
      <c r="Q348" s="23"/>
      <c r="R348" s="23"/>
      <c r="S348" s="24"/>
      <c r="T348" s="16"/>
      <c r="U348" s="18"/>
      <c r="V348" s="16"/>
      <c r="W348" s="50" t="str">
        <f aca="true">IF(P348="","",TODAY()-P348)</f>
        <v/>
      </c>
      <c r="X348" s="51" t="str">
        <f aca="true">IF(D348="","",IF(AND(U348&lt;&gt;"",U348&lt;TODAY()),"Follow-up overdue",IF(AND(W348&lt;&gt;"",W348&gt;60),"No order 60+ days","OK")))</f>
        <v/>
      </c>
    </row>
    <row r="349" customFormat="false" ht="15" hidden="false" customHeight="false" outlineLevel="0" collapsed="false">
      <c r="A349" s="16" t="s">
        <v>1597</v>
      </c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8"/>
      <c r="M349" s="16"/>
      <c r="N349" s="16"/>
      <c r="O349" s="23"/>
      <c r="P349" s="18"/>
      <c r="Q349" s="23"/>
      <c r="R349" s="23"/>
      <c r="S349" s="24"/>
      <c r="T349" s="16"/>
      <c r="U349" s="18"/>
      <c r="V349" s="16"/>
      <c r="W349" s="50" t="str">
        <f aca="true">IF(P349="","",TODAY()-P349)</f>
        <v/>
      </c>
      <c r="X349" s="51" t="str">
        <f aca="true">IF(D349="","",IF(AND(U349&lt;&gt;"",U349&lt;TODAY()),"Follow-up overdue",IF(AND(W349&lt;&gt;"",W349&gt;60),"No order 60+ days","OK")))</f>
        <v/>
      </c>
    </row>
    <row r="350" customFormat="false" ht="15" hidden="false" customHeight="false" outlineLevel="0" collapsed="false">
      <c r="A350" s="16" t="s">
        <v>1598</v>
      </c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8"/>
      <c r="M350" s="16"/>
      <c r="N350" s="16"/>
      <c r="O350" s="23"/>
      <c r="P350" s="18"/>
      <c r="Q350" s="23"/>
      <c r="R350" s="23"/>
      <c r="S350" s="24"/>
      <c r="T350" s="16"/>
      <c r="U350" s="18"/>
      <c r="V350" s="16"/>
      <c r="W350" s="50" t="str">
        <f aca="true">IF(P350="","",TODAY()-P350)</f>
        <v/>
      </c>
      <c r="X350" s="51" t="str">
        <f aca="true">IF(D350="","",IF(AND(U350&lt;&gt;"",U350&lt;TODAY()),"Follow-up overdue",IF(AND(W350&lt;&gt;"",W350&gt;60),"No order 60+ days","OK")))</f>
        <v/>
      </c>
    </row>
    <row r="351" customFormat="false" ht="15" hidden="false" customHeight="false" outlineLevel="0" collapsed="false">
      <c r="A351" s="16" t="s">
        <v>1599</v>
      </c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8"/>
      <c r="M351" s="16"/>
      <c r="N351" s="16"/>
      <c r="O351" s="23"/>
      <c r="P351" s="18"/>
      <c r="Q351" s="23"/>
      <c r="R351" s="23"/>
      <c r="S351" s="24"/>
      <c r="T351" s="16"/>
      <c r="U351" s="18"/>
      <c r="V351" s="16"/>
      <c r="W351" s="50" t="str">
        <f aca="true">IF(P351="","",TODAY()-P351)</f>
        <v/>
      </c>
      <c r="X351" s="51" t="str">
        <f aca="true">IF(D351="","",IF(AND(U351&lt;&gt;"",U351&lt;TODAY()),"Follow-up overdue",IF(AND(W351&lt;&gt;"",W351&gt;60),"No order 60+ days","OK")))</f>
        <v/>
      </c>
    </row>
    <row r="352" customFormat="false" ht="15" hidden="false" customHeight="false" outlineLevel="0" collapsed="false">
      <c r="A352" s="16" t="s">
        <v>1600</v>
      </c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8"/>
      <c r="M352" s="16"/>
      <c r="N352" s="16"/>
      <c r="O352" s="23"/>
      <c r="P352" s="18"/>
      <c r="Q352" s="23"/>
      <c r="R352" s="23"/>
      <c r="S352" s="24"/>
      <c r="T352" s="16"/>
      <c r="U352" s="18"/>
      <c r="V352" s="16"/>
      <c r="W352" s="50" t="str">
        <f aca="true">IF(P352="","",TODAY()-P352)</f>
        <v/>
      </c>
      <c r="X352" s="51" t="str">
        <f aca="true">IF(D352="","",IF(AND(U352&lt;&gt;"",U352&lt;TODAY()),"Follow-up overdue",IF(AND(W352&lt;&gt;"",W352&gt;60),"No order 60+ days","OK")))</f>
        <v/>
      </c>
    </row>
    <row r="353" customFormat="false" ht="15" hidden="false" customHeight="false" outlineLevel="0" collapsed="false">
      <c r="A353" s="16" t="s">
        <v>1601</v>
      </c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8"/>
      <c r="M353" s="16"/>
      <c r="N353" s="16"/>
      <c r="O353" s="23"/>
      <c r="P353" s="18"/>
      <c r="Q353" s="23"/>
      <c r="R353" s="23"/>
      <c r="S353" s="24"/>
      <c r="T353" s="16"/>
      <c r="U353" s="18"/>
      <c r="V353" s="16"/>
      <c r="W353" s="50" t="str">
        <f aca="true">IF(P353="","",TODAY()-P353)</f>
        <v/>
      </c>
      <c r="X353" s="51" t="str">
        <f aca="true">IF(D353="","",IF(AND(U353&lt;&gt;"",U353&lt;TODAY()),"Follow-up overdue",IF(AND(W353&lt;&gt;"",W353&gt;60),"No order 60+ days","OK")))</f>
        <v/>
      </c>
    </row>
    <row r="354" customFormat="false" ht="15" hidden="false" customHeight="false" outlineLevel="0" collapsed="false">
      <c r="A354" s="16" t="s">
        <v>1602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8"/>
      <c r="M354" s="16"/>
      <c r="N354" s="16"/>
      <c r="O354" s="23"/>
      <c r="P354" s="18"/>
      <c r="Q354" s="23"/>
      <c r="R354" s="23"/>
      <c r="S354" s="24"/>
      <c r="T354" s="16"/>
      <c r="U354" s="18"/>
      <c r="V354" s="16"/>
      <c r="W354" s="50" t="str">
        <f aca="true">IF(P354="","",TODAY()-P354)</f>
        <v/>
      </c>
      <c r="X354" s="51" t="str">
        <f aca="true">IF(D354="","",IF(AND(U354&lt;&gt;"",U354&lt;TODAY()),"Follow-up overdue",IF(AND(W354&lt;&gt;"",W354&gt;60),"No order 60+ days","OK")))</f>
        <v/>
      </c>
    </row>
    <row r="355" customFormat="false" ht="15" hidden="false" customHeight="false" outlineLevel="0" collapsed="false">
      <c r="A355" s="16" t="s">
        <v>1603</v>
      </c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8"/>
      <c r="M355" s="16"/>
      <c r="N355" s="16"/>
      <c r="O355" s="23"/>
      <c r="P355" s="18"/>
      <c r="Q355" s="23"/>
      <c r="R355" s="23"/>
      <c r="S355" s="24"/>
      <c r="T355" s="16"/>
      <c r="U355" s="18"/>
      <c r="V355" s="16"/>
      <c r="W355" s="50" t="str">
        <f aca="true">IF(P355="","",TODAY()-P355)</f>
        <v/>
      </c>
      <c r="X355" s="51" t="str">
        <f aca="true">IF(D355="","",IF(AND(U355&lt;&gt;"",U355&lt;TODAY()),"Follow-up overdue",IF(AND(W355&lt;&gt;"",W355&gt;60),"No order 60+ days","OK")))</f>
        <v/>
      </c>
    </row>
    <row r="356" customFormat="false" ht="15" hidden="false" customHeight="false" outlineLevel="0" collapsed="false">
      <c r="A356" s="16" t="s">
        <v>1604</v>
      </c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8"/>
      <c r="M356" s="16"/>
      <c r="N356" s="16"/>
      <c r="O356" s="23"/>
      <c r="P356" s="18"/>
      <c r="Q356" s="23"/>
      <c r="R356" s="23"/>
      <c r="S356" s="24"/>
      <c r="T356" s="16"/>
      <c r="U356" s="18"/>
      <c r="V356" s="16"/>
      <c r="W356" s="50" t="str">
        <f aca="true">IF(P356="","",TODAY()-P356)</f>
        <v/>
      </c>
      <c r="X356" s="51" t="str">
        <f aca="true">IF(D356="","",IF(AND(U356&lt;&gt;"",U356&lt;TODAY()),"Follow-up overdue",IF(AND(W356&lt;&gt;"",W356&gt;60),"No order 60+ days","OK")))</f>
        <v/>
      </c>
    </row>
    <row r="357" customFormat="false" ht="15" hidden="false" customHeight="false" outlineLevel="0" collapsed="false">
      <c r="A357" s="16" t="s">
        <v>1605</v>
      </c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8"/>
      <c r="M357" s="16"/>
      <c r="N357" s="16"/>
      <c r="O357" s="23"/>
      <c r="P357" s="18"/>
      <c r="Q357" s="23"/>
      <c r="R357" s="23"/>
      <c r="S357" s="24"/>
      <c r="T357" s="16"/>
      <c r="U357" s="18"/>
      <c r="V357" s="16"/>
      <c r="W357" s="50" t="str">
        <f aca="true">IF(P357="","",TODAY()-P357)</f>
        <v/>
      </c>
      <c r="X357" s="51" t="str">
        <f aca="true">IF(D357="","",IF(AND(U357&lt;&gt;"",U357&lt;TODAY()),"Follow-up overdue",IF(AND(W357&lt;&gt;"",W357&gt;60),"No order 60+ days","OK")))</f>
        <v/>
      </c>
    </row>
    <row r="358" customFormat="false" ht="15" hidden="false" customHeight="false" outlineLevel="0" collapsed="false">
      <c r="A358" s="16" t="s">
        <v>1606</v>
      </c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8"/>
      <c r="M358" s="16"/>
      <c r="N358" s="16"/>
      <c r="O358" s="23"/>
      <c r="P358" s="18"/>
      <c r="Q358" s="23"/>
      <c r="R358" s="23"/>
      <c r="S358" s="24"/>
      <c r="T358" s="16"/>
      <c r="U358" s="18"/>
      <c r="V358" s="16"/>
      <c r="W358" s="50" t="str">
        <f aca="true">IF(P358="","",TODAY()-P358)</f>
        <v/>
      </c>
      <c r="X358" s="51" t="str">
        <f aca="true">IF(D358="","",IF(AND(U358&lt;&gt;"",U358&lt;TODAY()),"Follow-up overdue",IF(AND(W358&lt;&gt;"",W358&gt;60),"No order 60+ days","OK")))</f>
        <v/>
      </c>
    </row>
    <row r="359" customFormat="false" ht="15" hidden="false" customHeight="false" outlineLevel="0" collapsed="false">
      <c r="A359" s="16" t="s">
        <v>1607</v>
      </c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8"/>
      <c r="M359" s="16"/>
      <c r="N359" s="16"/>
      <c r="O359" s="23"/>
      <c r="P359" s="18"/>
      <c r="Q359" s="23"/>
      <c r="R359" s="23"/>
      <c r="S359" s="24"/>
      <c r="T359" s="16"/>
      <c r="U359" s="18"/>
      <c r="V359" s="16"/>
      <c r="W359" s="50" t="str">
        <f aca="true">IF(P359="","",TODAY()-P359)</f>
        <v/>
      </c>
      <c r="X359" s="51" t="str">
        <f aca="true">IF(D359="","",IF(AND(U359&lt;&gt;"",U359&lt;TODAY()),"Follow-up overdue",IF(AND(W359&lt;&gt;"",W359&gt;60),"No order 60+ days","OK")))</f>
        <v/>
      </c>
    </row>
    <row r="360" customFormat="false" ht="15" hidden="false" customHeight="false" outlineLevel="0" collapsed="false">
      <c r="A360" s="16" t="s">
        <v>1608</v>
      </c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8"/>
      <c r="M360" s="16"/>
      <c r="N360" s="16"/>
      <c r="O360" s="23"/>
      <c r="P360" s="18"/>
      <c r="Q360" s="23"/>
      <c r="R360" s="23"/>
      <c r="S360" s="24"/>
      <c r="T360" s="16"/>
      <c r="U360" s="18"/>
      <c r="V360" s="16"/>
      <c r="W360" s="50" t="str">
        <f aca="true">IF(P360="","",TODAY()-P360)</f>
        <v/>
      </c>
      <c r="X360" s="51" t="str">
        <f aca="true">IF(D360="","",IF(AND(U360&lt;&gt;"",U360&lt;TODAY()),"Follow-up overdue",IF(AND(W360&lt;&gt;"",W360&gt;60),"No order 60+ days","OK")))</f>
        <v/>
      </c>
    </row>
    <row r="361" customFormat="false" ht="15" hidden="false" customHeight="false" outlineLevel="0" collapsed="false">
      <c r="A361" s="16" t="s">
        <v>1609</v>
      </c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8"/>
      <c r="M361" s="16"/>
      <c r="N361" s="16"/>
      <c r="O361" s="23"/>
      <c r="P361" s="18"/>
      <c r="Q361" s="23"/>
      <c r="R361" s="23"/>
      <c r="S361" s="24"/>
      <c r="T361" s="16"/>
      <c r="U361" s="18"/>
      <c r="V361" s="16"/>
      <c r="W361" s="50" t="str">
        <f aca="true">IF(P361="","",TODAY()-P361)</f>
        <v/>
      </c>
      <c r="X361" s="51" t="str">
        <f aca="true">IF(D361="","",IF(AND(U361&lt;&gt;"",U361&lt;TODAY()),"Follow-up overdue",IF(AND(W361&lt;&gt;"",W361&gt;60),"No order 60+ days","OK")))</f>
        <v/>
      </c>
    </row>
    <row r="362" customFormat="false" ht="15" hidden="false" customHeight="false" outlineLevel="0" collapsed="false">
      <c r="A362" s="16" t="s">
        <v>1610</v>
      </c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8"/>
      <c r="M362" s="16"/>
      <c r="N362" s="16"/>
      <c r="O362" s="23"/>
      <c r="P362" s="18"/>
      <c r="Q362" s="23"/>
      <c r="R362" s="23"/>
      <c r="S362" s="24"/>
      <c r="T362" s="16"/>
      <c r="U362" s="18"/>
      <c r="V362" s="16"/>
      <c r="W362" s="50" t="str">
        <f aca="true">IF(P362="","",TODAY()-P362)</f>
        <v/>
      </c>
      <c r="X362" s="51" t="str">
        <f aca="true">IF(D362="","",IF(AND(U362&lt;&gt;"",U362&lt;TODAY()),"Follow-up overdue",IF(AND(W362&lt;&gt;"",W362&gt;60),"No order 60+ days","OK")))</f>
        <v/>
      </c>
    </row>
    <row r="363" customFormat="false" ht="15" hidden="false" customHeight="false" outlineLevel="0" collapsed="false">
      <c r="A363" s="16" t="s">
        <v>1611</v>
      </c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8"/>
      <c r="M363" s="16"/>
      <c r="N363" s="16"/>
      <c r="O363" s="23"/>
      <c r="P363" s="18"/>
      <c r="Q363" s="23"/>
      <c r="R363" s="23"/>
      <c r="S363" s="24"/>
      <c r="T363" s="16"/>
      <c r="U363" s="18"/>
      <c r="V363" s="16"/>
      <c r="W363" s="50" t="str">
        <f aca="true">IF(P363="","",TODAY()-P363)</f>
        <v/>
      </c>
      <c r="X363" s="51" t="str">
        <f aca="true">IF(D363="","",IF(AND(U363&lt;&gt;"",U363&lt;TODAY()),"Follow-up overdue",IF(AND(W363&lt;&gt;"",W363&gt;60),"No order 60+ days","OK")))</f>
        <v/>
      </c>
    </row>
    <row r="364" customFormat="false" ht="15" hidden="false" customHeight="false" outlineLevel="0" collapsed="false">
      <c r="A364" s="16" t="s">
        <v>1612</v>
      </c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8"/>
      <c r="M364" s="16"/>
      <c r="N364" s="16"/>
      <c r="O364" s="23"/>
      <c r="P364" s="18"/>
      <c r="Q364" s="23"/>
      <c r="R364" s="23"/>
      <c r="S364" s="24"/>
      <c r="T364" s="16"/>
      <c r="U364" s="18"/>
      <c r="V364" s="16"/>
      <c r="W364" s="50" t="str">
        <f aca="true">IF(P364="","",TODAY()-P364)</f>
        <v/>
      </c>
      <c r="X364" s="51" t="str">
        <f aca="true">IF(D364="","",IF(AND(U364&lt;&gt;"",U364&lt;TODAY()),"Follow-up overdue",IF(AND(W364&lt;&gt;"",W364&gt;60),"No order 60+ days","OK")))</f>
        <v/>
      </c>
    </row>
    <row r="365" customFormat="false" ht="15" hidden="false" customHeight="false" outlineLevel="0" collapsed="false">
      <c r="A365" s="16" t="s">
        <v>1613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8"/>
      <c r="M365" s="16"/>
      <c r="N365" s="16"/>
      <c r="O365" s="23"/>
      <c r="P365" s="18"/>
      <c r="Q365" s="23"/>
      <c r="R365" s="23"/>
      <c r="S365" s="24"/>
      <c r="T365" s="16"/>
      <c r="U365" s="18"/>
      <c r="V365" s="16"/>
      <c r="W365" s="50" t="str">
        <f aca="true">IF(P365="","",TODAY()-P365)</f>
        <v/>
      </c>
      <c r="X365" s="51" t="str">
        <f aca="true">IF(D365="","",IF(AND(U365&lt;&gt;"",U365&lt;TODAY()),"Follow-up overdue",IF(AND(W365&lt;&gt;"",W365&gt;60),"No order 60+ days","OK")))</f>
        <v/>
      </c>
    </row>
    <row r="366" customFormat="false" ht="15" hidden="false" customHeight="false" outlineLevel="0" collapsed="false">
      <c r="A366" s="16" t="s">
        <v>1614</v>
      </c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8"/>
      <c r="M366" s="16"/>
      <c r="N366" s="16"/>
      <c r="O366" s="23"/>
      <c r="P366" s="18"/>
      <c r="Q366" s="23"/>
      <c r="R366" s="23"/>
      <c r="S366" s="24"/>
      <c r="T366" s="16"/>
      <c r="U366" s="18"/>
      <c r="V366" s="16"/>
      <c r="W366" s="50" t="str">
        <f aca="true">IF(P366="","",TODAY()-P366)</f>
        <v/>
      </c>
      <c r="X366" s="51" t="str">
        <f aca="true">IF(D366="","",IF(AND(U366&lt;&gt;"",U366&lt;TODAY()),"Follow-up overdue",IF(AND(W366&lt;&gt;"",W366&gt;60),"No order 60+ days","OK")))</f>
        <v/>
      </c>
    </row>
    <row r="367" customFormat="false" ht="15" hidden="false" customHeight="false" outlineLevel="0" collapsed="false">
      <c r="A367" s="16" t="s">
        <v>1615</v>
      </c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8"/>
      <c r="M367" s="16"/>
      <c r="N367" s="16"/>
      <c r="O367" s="23"/>
      <c r="P367" s="18"/>
      <c r="Q367" s="23"/>
      <c r="R367" s="23"/>
      <c r="S367" s="24"/>
      <c r="T367" s="16"/>
      <c r="U367" s="18"/>
      <c r="V367" s="16"/>
      <c r="W367" s="50" t="str">
        <f aca="true">IF(P367="","",TODAY()-P367)</f>
        <v/>
      </c>
      <c r="X367" s="51" t="str">
        <f aca="true">IF(D367="","",IF(AND(U367&lt;&gt;"",U367&lt;TODAY()),"Follow-up overdue",IF(AND(W367&lt;&gt;"",W367&gt;60),"No order 60+ days","OK")))</f>
        <v/>
      </c>
    </row>
    <row r="368" customFormat="false" ht="15" hidden="false" customHeight="false" outlineLevel="0" collapsed="false">
      <c r="A368" s="16" t="s">
        <v>1616</v>
      </c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8"/>
      <c r="M368" s="16"/>
      <c r="N368" s="16"/>
      <c r="O368" s="23"/>
      <c r="P368" s="18"/>
      <c r="Q368" s="23"/>
      <c r="R368" s="23"/>
      <c r="S368" s="24"/>
      <c r="T368" s="16"/>
      <c r="U368" s="18"/>
      <c r="V368" s="16"/>
      <c r="W368" s="50" t="str">
        <f aca="true">IF(P368="","",TODAY()-P368)</f>
        <v/>
      </c>
      <c r="X368" s="51" t="str">
        <f aca="true">IF(D368="","",IF(AND(U368&lt;&gt;"",U368&lt;TODAY()),"Follow-up overdue",IF(AND(W368&lt;&gt;"",W368&gt;60),"No order 60+ days","OK")))</f>
        <v/>
      </c>
    </row>
    <row r="369" customFormat="false" ht="15" hidden="false" customHeight="false" outlineLevel="0" collapsed="false">
      <c r="A369" s="16" t="s">
        <v>1617</v>
      </c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8"/>
      <c r="M369" s="16"/>
      <c r="N369" s="16"/>
      <c r="O369" s="23"/>
      <c r="P369" s="18"/>
      <c r="Q369" s="23"/>
      <c r="R369" s="23"/>
      <c r="S369" s="24"/>
      <c r="T369" s="16"/>
      <c r="U369" s="18"/>
      <c r="V369" s="16"/>
      <c r="W369" s="50" t="str">
        <f aca="true">IF(P369="","",TODAY()-P369)</f>
        <v/>
      </c>
      <c r="X369" s="51" t="str">
        <f aca="true">IF(D369="","",IF(AND(U369&lt;&gt;"",U369&lt;TODAY()),"Follow-up overdue",IF(AND(W369&lt;&gt;"",W369&gt;60),"No order 60+ days","OK")))</f>
        <v/>
      </c>
    </row>
    <row r="370" customFormat="false" ht="15" hidden="false" customHeight="false" outlineLevel="0" collapsed="false">
      <c r="A370" s="16" t="s">
        <v>1618</v>
      </c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8"/>
      <c r="M370" s="16"/>
      <c r="N370" s="16"/>
      <c r="O370" s="23"/>
      <c r="P370" s="18"/>
      <c r="Q370" s="23"/>
      <c r="R370" s="23"/>
      <c r="S370" s="24"/>
      <c r="T370" s="16"/>
      <c r="U370" s="18"/>
      <c r="V370" s="16"/>
      <c r="W370" s="50" t="str">
        <f aca="true">IF(P370="","",TODAY()-P370)</f>
        <v/>
      </c>
      <c r="X370" s="51" t="str">
        <f aca="true">IF(D370="","",IF(AND(U370&lt;&gt;"",U370&lt;TODAY()),"Follow-up overdue",IF(AND(W370&lt;&gt;"",W370&gt;60),"No order 60+ days","OK")))</f>
        <v/>
      </c>
    </row>
    <row r="371" customFormat="false" ht="15" hidden="false" customHeight="false" outlineLevel="0" collapsed="false">
      <c r="A371" s="16" t="s">
        <v>1619</v>
      </c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8"/>
      <c r="M371" s="16"/>
      <c r="N371" s="16"/>
      <c r="O371" s="23"/>
      <c r="P371" s="18"/>
      <c r="Q371" s="23"/>
      <c r="R371" s="23"/>
      <c r="S371" s="24"/>
      <c r="T371" s="16"/>
      <c r="U371" s="18"/>
      <c r="V371" s="16"/>
      <c r="W371" s="50" t="str">
        <f aca="true">IF(P371="","",TODAY()-P371)</f>
        <v/>
      </c>
      <c r="X371" s="51" t="str">
        <f aca="true">IF(D371="","",IF(AND(U371&lt;&gt;"",U371&lt;TODAY()),"Follow-up overdue",IF(AND(W371&lt;&gt;"",W371&gt;60),"No order 60+ days","OK")))</f>
        <v/>
      </c>
    </row>
    <row r="372" customFormat="false" ht="15" hidden="false" customHeight="false" outlineLevel="0" collapsed="false">
      <c r="A372" s="16" t="s">
        <v>1620</v>
      </c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8"/>
      <c r="M372" s="16"/>
      <c r="N372" s="16"/>
      <c r="O372" s="23"/>
      <c r="P372" s="18"/>
      <c r="Q372" s="23"/>
      <c r="R372" s="23"/>
      <c r="S372" s="24"/>
      <c r="T372" s="16"/>
      <c r="U372" s="18"/>
      <c r="V372" s="16"/>
      <c r="W372" s="50" t="str">
        <f aca="true">IF(P372="","",TODAY()-P372)</f>
        <v/>
      </c>
      <c r="X372" s="51" t="str">
        <f aca="true">IF(D372="","",IF(AND(U372&lt;&gt;"",U372&lt;TODAY()),"Follow-up overdue",IF(AND(W372&lt;&gt;"",W372&gt;60),"No order 60+ days","OK")))</f>
        <v/>
      </c>
    </row>
    <row r="373" customFormat="false" ht="15" hidden="false" customHeight="false" outlineLevel="0" collapsed="false">
      <c r="A373" s="16" t="s">
        <v>1621</v>
      </c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8"/>
      <c r="M373" s="16"/>
      <c r="N373" s="16"/>
      <c r="O373" s="23"/>
      <c r="P373" s="18"/>
      <c r="Q373" s="23"/>
      <c r="R373" s="23"/>
      <c r="S373" s="24"/>
      <c r="T373" s="16"/>
      <c r="U373" s="18"/>
      <c r="V373" s="16"/>
      <c r="W373" s="50" t="str">
        <f aca="true">IF(P373="","",TODAY()-P373)</f>
        <v/>
      </c>
      <c r="X373" s="51" t="str">
        <f aca="true">IF(D373="","",IF(AND(U373&lt;&gt;"",U373&lt;TODAY()),"Follow-up overdue",IF(AND(W373&lt;&gt;"",W373&gt;60),"No order 60+ days","OK")))</f>
        <v/>
      </c>
    </row>
    <row r="374" customFormat="false" ht="15" hidden="false" customHeight="false" outlineLevel="0" collapsed="false">
      <c r="A374" s="16" t="s">
        <v>1622</v>
      </c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8"/>
      <c r="M374" s="16"/>
      <c r="N374" s="16"/>
      <c r="O374" s="23"/>
      <c r="P374" s="18"/>
      <c r="Q374" s="23"/>
      <c r="R374" s="23"/>
      <c r="S374" s="24"/>
      <c r="T374" s="16"/>
      <c r="U374" s="18"/>
      <c r="V374" s="16"/>
      <c r="W374" s="50" t="str">
        <f aca="true">IF(P374="","",TODAY()-P374)</f>
        <v/>
      </c>
      <c r="X374" s="51" t="str">
        <f aca="true">IF(D374="","",IF(AND(U374&lt;&gt;"",U374&lt;TODAY()),"Follow-up overdue",IF(AND(W374&lt;&gt;"",W374&gt;60),"No order 60+ days","OK")))</f>
        <v/>
      </c>
    </row>
    <row r="375" customFormat="false" ht="15" hidden="false" customHeight="false" outlineLevel="0" collapsed="false">
      <c r="A375" s="16" t="s">
        <v>1623</v>
      </c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8"/>
      <c r="M375" s="16"/>
      <c r="N375" s="16"/>
      <c r="O375" s="23"/>
      <c r="P375" s="18"/>
      <c r="Q375" s="23"/>
      <c r="R375" s="23"/>
      <c r="S375" s="24"/>
      <c r="T375" s="16"/>
      <c r="U375" s="18"/>
      <c r="V375" s="16"/>
      <c r="W375" s="50" t="str">
        <f aca="true">IF(P375="","",TODAY()-P375)</f>
        <v/>
      </c>
      <c r="X375" s="51" t="str">
        <f aca="true">IF(D375="","",IF(AND(U375&lt;&gt;"",U375&lt;TODAY()),"Follow-up overdue",IF(AND(W375&lt;&gt;"",W375&gt;60),"No order 60+ days","OK")))</f>
        <v/>
      </c>
    </row>
    <row r="376" customFormat="false" ht="15" hidden="false" customHeight="false" outlineLevel="0" collapsed="false">
      <c r="A376" s="16" t="s">
        <v>1624</v>
      </c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8"/>
      <c r="M376" s="16"/>
      <c r="N376" s="16"/>
      <c r="O376" s="23"/>
      <c r="P376" s="18"/>
      <c r="Q376" s="23"/>
      <c r="R376" s="23"/>
      <c r="S376" s="24"/>
      <c r="T376" s="16"/>
      <c r="U376" s="18"/>
      <c r="V376" s="16"/>
      <c r="W376" s="50" t="str">
        <f aca="true">IF(P376="","",TODAY()-P376)</f>
        <v/>
      </c>
      <c r="X376" s="51" t="str">
        <f aca="true">IF(D376="","",IF(AND(U376&lt;&gt;"",U376&lt;TODAY()),"Follow-up overdue",IF(AND(W376&lt;&gt;"",W376&gt;60),"No order 60+ days","OK")))</f>
        <v/>
      </c>
    </row>
    <row r="377" customFormat="false" ht="15" hidden="false" customHeight="false" outlineLevel="0" collapsed="false">
      <c r="A377" s="16" t="s">
        <v>1625</v>
      </c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8"/>
      <c r="M377" s="16"/>
      <c r="N377" s="16"/>
      <c r="O377" s="23"/>
      <c r="P377" s="18"/>
      <c r="Q377" s="23"/>
      <c r="R377" s="23"/>
      <c r="S377" s="24"/>
      <c r="T377" s="16"/>
      <c r="U377" s="18"/>
      <c r="V377" s="16"/>
      <c r="W377" s="50" t="str">
        <f aca="true">IF(P377="","",TODAY()-P377)</f>
        <v/>
      </c>
      <c r="X377" s="51" t="str">
        <f aca="true">IF(D377="","",IF(AND(U377&lt;&gt;"",U377&lt;TODAY()),"Follow-up overdue",IF(AND(W377&lt;&gt;"",W377&gt;60),"No order 60+ days","OK")))</f>
        <v/>
      </c>
    </row>
    <row r="378" customFormat="false" ht="15" hidden="false" customHeight="false" outlineLevel="0" collapsed="false">
      <c r="A378" s="16" t="s">
        <v>1626</v>
      </c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8"/>
      <c r="M378" s="16"/>
      <c r="N378" s="16"/>
      <c r="O378" s="23"/>
      <c r="P378" s="18"/>
      <c r="Q378" s="23"/>
      <c r="R378" s="23"/>
      <c r="S378" s="24"/>
      <c r="T378" s="16"/>
      <c r="U378" s="18"/>
      <c r="V378" s="16"/>
      <c r="W378" s="50" t="str">
        <f aca="true">IF(P378="","",TODAY()-P378)</f>
        <v/>
      </c>
      <c r="X378" s="51" t="str">
        <f aca="true">IF(D378="","",IF(AND(U378&lt;&gt;"",U378&lt;TODAY()),"Follow-up overdue",IF(AND(W378&lt;&gt;"",W378&gt;60),"No order 60+ days","OK")))</f>
        <v/>
      </c>
    </row>
    <row r="379" customFormat="false" ht="15" hidden="false" customHeight="false" outlineLevel="0" collapsed="false">
      <c r="A379" s="16" t="s">
        <v>1627</v>
      </c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8"/>
      <c r="M379" s="16"/>
      <c r="N379" s="16"/>
      <c r="O379" s="23"/>
      <c r="P379" s="18"/>
      <c r="Q379" s="23"/>
      <c r="R379" s="23"/>
      <c r="S379" s="24"/>
      <c r="T379" s="16"/>
      <c r="U379" s="18"/>
      <c r="V379" s="16"/>
      <c r="W379" s="50" t="str">
        <f aca="true">IF(P379="","",TODAY()-P379)</f>
        <v/>
      </c>
      <c r="X379" s="51" t="str">
        <f aca="true">IF(D379="","",IF(AND(U379&lt;&gt;"",U379&lt;TODAY()),"Follow-up overdue",IF(AND(W379&lt;&gt;"",W379&gt;60),"No order 60+ days","OK")))</f>
        <v/>
      </c>
    </row>
    <row r="380" customFormat="false" ht="15" hidden="false" customHeight="false" outlineLevel="0" collapsed="false">
      <c r="A380" s="16" t="s">
        <v>1628</v>
      </c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8"/>
      <c r="M380" s="16"/>
      <c r="N380" s="16"/>
      <c r="O380" s="23"/>
      <c r="P380" s="18"/>
      <c r="Q380" s="23"/>
      <c r="R380" s="23"/>
      <c r="S380" s="24"/>
      <c r="T380" s="16"/>
      <c r="U380" s="18"/>
      <c r="V380" s="16"/>
      <c r="W380" s="50" t="str">
        <f aca="true">IF(P380="","",TODAY()-P380)</f>
        <v/>
      </c>
      <c r="X380" s="51" t="str">
        <f aca="true">IF(D380="","",IF(AND(U380&lt;&gt;"",U380&lt;TODAY()),"Follow-up overdue",IF(AND(W380&lt;&gt;"",W380&gt;60),"No order 60+ days","OK")))</f>
        <v/>
      </c>
    </row>
    <row r="381" customFormat="false" ht="15" hidden="false" customHeight="false" outlineLevel="0" collapsed="false">
      <c r="A381" s="16" t="s">
        <v>1629</v>
      </c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8"/>
      <c r="M381" s="16"/>
      <c r="N381" s="16"/>
      <c r="O381" s="23"/>
      <c r="P381" s="18"/>
      <c r="Q381" s="23"/>
      <c r="R381" s="23"/>
      <c r="S381" s="24"/>
      <c r="T381" s="16"/>
      <c r="U381" s="18"/>
      <c r="V381" s="16"/>
      <c r="W381" s="50" t="str">
        <f aca="true">IF(P381="","",TODAY()-P381)</f>
        <v/>
      </c>
      <c r="X381" s="51" t="str">
        <f aca="true">IF(D381="","",IF(AND(U381&lt;&gt;"",U381&lt;TODAY()),"Follow-up overdue",IF(AND(W381&lt;&gt;"",W381&gt;60),"No order 60+ days","OK")))</f>
        <v/>
      </c>
    </row>
    <row r="382" customFormat="false" ht="15" hidden="false" customHeight="false" outlineLevel="0" collapsed="false">
      <c r="A382" s="16" t="s">
        <v>1630</v>
      </c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8"/>
      <c r="M382" s="16"/>
      <c r="N382" s="16"/>
      <c r="O382" s="23"/>
      <c r="P382" s="18"/>
      <c r="Q382" s="23"/>
      <c r="R382" s="23"/>
      <c r="S382" s="24"/>
      <c r="T382" s="16"/>
      <c r="U382" s="18"/>
      <c r="V382" s="16"/>
      <c r="W382" s="50" t="str">
        <f aca="true">IF(P382="","",TODAY()-P382)</f>
        <v/>
      </c>
      <c r="X382" s="51" t="str">
        <f aca="true">IF(D382="","",IF(AND(U382&lt;&gt;"",U382&lt;TODAY()),"Follow-up overdue",IF(AND(W382&lt;&gt;"",W382&gt;60),"No order 60+ days","OK")))</f>
        <v/>
      </c>
    </row>
    <row r="383" customFormat="false" ht="15" hidden="false" customHeight="false" outlineLevel="0" collapsed="false">
      <c r="A383" s="16" t="s">
        <v>1631</v>
      </c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8"/>
      <c r="M383" s="16"/>
      <c r="N383" s="16"/>
      <c r="O383" s="23"/>
      <c r="P383" s="18"/>
      <c r="Q383" s="23"/>
      <c r="R383" s="23"/>
      <c r="S383" s="24"/>
      <c r="T383" s="16"/>
      <c r="U383" s="18"/>
      <c r="V383" s="16"/>
      <c r="W383" s="50" t="str">
        <f aca="true">IF(P383="","",TODAY()-P383)</f>
        <v/>
      </c>
      <c r="X383" s="51" t="str">
        <f aca="true">IF(D383="","",IF(AND(U383&lt;&gt;"",U383&lt;TODAY()),"Follow-up overdue",IF(AND(W383&lt;&gt;"",W383&gt;60),"No order 60+ days","OK")))</f>
        <v/>
      </c>
    </row>
    <row r="384" customFormat="false" ht="15" hidden="false" customHeight="false" outlineLevel="0" collapsed="false">
      <c r="A384" s="16" t="s">
        <v>1632</v>
      </c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8"/>
      <c r="M384" s="16"/>
      <c r="N384" s="16"/>
      <c r="O384" s="23"/>
      <c r="P384" s="18"/>
      <c r="Q384" s="23"/>
      <c r="R384" s="23"/>
      <c r="S384" s="24"/>
      <c r="T384" s="16"/>
      <c r="U384" s="18"/>
      <c r="V384" s="16"/>
      <c r="W384" s="50" t="str">
        <f aca="true">IF(P384="","",TODAY()-P384)</f>
        <v/>
      </c>
      <c r="X384" s="51" t="str">
        <f aca="true">IF(D384="","",IF(AND(U384&lt;&gt;"",U384&lt;TODAY()),"Follow-up overdue",IF(AND(W384&lt;&gt;"",W384&gt;60),"No order 60+ days","OK")))</f>
        <v/>
      </c>
    </row>
    <row r="385" customFormat="false" ht="15" hidden="false" customHeight="false" outlineLevel="0" collapsed="false">
      <c r="A385" s="16" t="s">
        <v>1633</v>
      </c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8"/>
      <c r="M385" s="16"/>
      <c r="N385" s="16"/>
      <c r="O385" s="23"/>
      <c r="P385" s="18"/>
      <c r="Q385" s="23"/>
      <c r="R385" s="23"/>
      <c r="S385" s="24"/>
      <c r="T385" s="16"/>
      <c r="U385" s="18"/>
      <c r="V385" s="16"/>
      <c r="W385" s="50" t="str">
        <f aca="true">IF(P385="","",TODAY()-P385)</f>
        <v/>
      </c>
      <c r="X385" s="51" t="str">
        <f aca="true">IF(D385="","",IF(AND(U385&lt;&gt;"",U385&lt;TODAY()),"Follow-up overdue",IF(AND(W385&lt;&gt;"",W385&gt;60),"No order 60+ days","OK")))</f>
        <v/>
      </c>
    </row>
    <row r="386" customFormat="false" ht="15" hidden="false" customHeight="false" outlineLevel="0" collapsed="false">
      <c r="A386" s="16" t="s">
        <v>1634</v>
      </c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8"/>
      <c r="M386" s="16"/>
      <c r="N386" s="16"/>
      <c r="O386" s="23"/>
      <c r="P386" s="18"/>
      <c r="Q386" s="23"/>
      <c r="R386" s="23"/>
      <c r="S386" s="24"/>
      <c r="T386" s="16"/>
      <c r="U386" s="18"/>
      <c r="V386" s="16"/>
      <c r="W386" s="50" t="str">
        <f aca="true">IF(P386="","",TODAY()-P386)</f>
        <v/>
      </c>
      <c r="X386" s="51" t="str">
        <f aca="true">IF(D386="","",IF(AND(U386&lt;&gt;"",U386&lt;TODAY()),"Follow-up overdue",IF(AND(W386&lt;&gt;"",W386&gt;60),"No order 60+ days","OK")))</f>
        <v/>
      </c>
    </row>
    <row r="387" customFormat="false" ht="15" hidden="false" customHeight="false" outlineLevel="0" collapsed="false">
      <c r="A387" s="16" t="s">
        <v>1635</v>
      </c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8"/>
      <c r="M387" s="16"/>
      <c r="N387" s="16"/>
      <c r="O387" s="23"/>
      <c r="P387" s="18"/>
      <c r="Q387" s="23"/>
      <c r="R387" s="23"/>
      <c r="S387" s="24"/>
      <c r="T387" s="16"/>
      <c r="U387" s="18"/>
      <c r="V387" s="16"/>
      <c r="W387" s="50" t="str">
        <f aca="true">IF(P387="","",TODAY()-P387)</f>
        <v/>
      </c>
      <c r="X387" s="51" t="str">
        <f aca="true">IF(D387="","",IF(AND(U387&lt;&gt;"",U387&lt;TODAY()),"Follow-up overdue",IF(AND(W387&lt;&gt;"",W387&gt;60),"No order 60+ days","OK")))</f>
        <v/>
      </c>
    </row>
    <row r="388" customFormat="false" ht="15" hidden="false" customHeight="false" outlineLevel="0" collapsed="false">
      <c r="A388" s="16" t="s">
        <v>1636</v>
      </c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8"/>
      <c r="M388" s="16"/>
      <c r="N388" s="16"/>
      <c r="O388" s="23"/>
      <c r="P388" s="18"/>
      <c r="Q388" s="23"/>
      <c r="R388" s="23"/>
      <c r="S388" s="24"/>
      <c r="T388" s="16"/>
      <c r="U388" s="18"/>
      <c r="V388" s="16"/>
      <c r="W388" s="50" t="str">
        <f aca="true">IF(P388="","",TODAY()-P388)</f>
        <v/>
      </c>
      <c r="X388" s="51" t="str">
        <f aca="true">IF(D388="","",IF(AND(U388&lt;&gt;"",U388&lt;TODAY()),"Follow-up overdue",IF(AND(W388&lt;&gt;"",W388&gt;60),"No order 60+ days","OK")))</f>
        <v/>
      </c>
    </row>
    <row r="389" customFormat="false" ht="15" hidden="false" customHeight="false" outlineLevel="0" collapsed="false">
      <c r="A389" s="16" t="s">
        <v>1637</v>
      </c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8"/>
      <c r="M389" s="16"/>
      <c r="N389" s="16"/>
      <c r="O389" s="23"/>
      <c r="P389" s="18"/>
      <c r="Q389" s="23"/>
      <c r="R389" s="23"/>
      <c r="S389" s="24"/>
      <c r="T389" s="16"/>
      <c r="U389" s="18"/>
      <c r="V389" s="16"/>
      <c r="W389" s="50" t="str">
        <f aca="true">IF(P389="","",TODAY()-P389)</f>
        <v/>
      </c>
      <c r="X389" s="51" t="str">
        <f aca="true">IF(D389="","",IF(AND(U389&lt;&gt;"",U389&lt;TODAY()),"Follow-up overdue",IF(AND(W389&lt;&gt;"",W389&gt;60),"No order 60+ days","OK")))</f>
        <v/>
      </c>
    </row>
    <row r="390" customFormat="false" ht="15" hidden="false" customHeight="false" outlineLevel="0" collapsed="false">
      <c r="A390" s="16" t="s">
        <v>1638</v>
      </c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8"/>
      <c r="M390" s="16"/>
      <c r="N390" s="16"/>
      <c r="O390" s="23"/>
      <c r="P390" s="18"/>
      <c r="Q390" s="23"/>
      <c r="R390" s="23"/>
      <c r="S390" s="24"/>
      <c r="T390" s="16"/>
      <c r="U390" s="18"/>
      <c r="V390" s="16"/>
      <c r="W390" s="50" t="str">
        <f aca="true">IF(P390="","",TODAY()-P390)</f>
        <v/>
      </c>
      <c r="X390" s="51" t="str">
        <f aca="true">IF(D390="","",IF(AND(U390&lt;&gt;"",U390&lt;TODAY()),"Follow-up overdue",IF(AND(W390&lt;&gt;"",W390&gt;60),"No order 60+ days","OK")))</f>
        <v/>
      </c>
    </row>
    <row r="391" customFormat="false" ht="15" hidden="false" customHeight="false" outlineLevel="0" collapsed="false">
      <c r="A391" s="16" t="s">
        <v>1639</v>
      </c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8"/>
      <c r="M391" s="16"/>
      <c r="N391" s="16"/>
      <c r="O391" s="23"/>
      <c r="P391" s="18"/>
      <c r="Q391" s="23"/>
      <c r="R391" s="23"/>
      <c r="S391" s="24"/>
      <c r="T391" s="16"/>
      <c r="U391" s="18"/>
      <c r="V391" s="16"/>
      <c r="W391" s="50" t="str">
        <f aca="true">IF(P391="","",TODAY()-P391)</f>
        <v/>
      </c>
      <c r="X391" s="51" t="str">
        <f aca="true">IF(D391="","",IF(AND(U391&lt;&gt;"",U391&lt;TODAY()),"Follow-up overdue",IF(AND(W391&lt;&gt;"",W391&gt;60),"No order 60+ days","OK")))</f>
        <v/>
      </c>
    </row>
    <row r="392" customFormat="false" ht="15" hidden="false" customHeight="false" outlineLevel="0" collapsed="false">
      <c r="A392" s="16" t="s">
        <v>1640</v>
      </c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8"/>
      <c r="M392" s="16"/>
      <c r="N392" s="16"/>
      <c r="O392" s="23"/>
      <c r="P392" s="18"/>
      <c r="Q392" s="23"/>
      <c r="R392" s="23"/>
      <c r="S392" s="24"/>
      <c r="T392" s="16"/>
      <c r="U392" s="18"/>
      <c r="V392" s="16"/>
      <c r="W392" s="50" t="str">
        <f aca="true">IF(P392="","",TODAY()-P392)</f>
        <v/>
      </c>
      <c r="X392" s="51" t="str">
        <f aca="true">IF(D392="","",IF(AND(U392&lt;&gt;"",U392&lt;TODAY()),"Follow-up overdue",IF(AND(W392&lt;&gt;"",W392&gt;60),"No order 60+ days","OK")))</f>
        <v/>
      </c>
    </row>
    <row r="393" customFormat="false" ht="15" hidden="false" customHeight="false" outlineLevel="0" collapsed="false">
      <c r="A393" s="16" t="s">
        <v>1641</v>
      </c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8"/>
      <c r="M393" s="16"/>
      <c r="N393" s="16"/>
      <c r="O393" s="23"/>
      <c r="P393" s="18"/>
      <c r="Q393" s="23"/>
      <c r="R393" s="23"/>
      <c r="S393" s="24"/>
      <c r="T393" s="16"/>
      <c r="U393" s="18"/>
      <c r="V393" s="16"/>
      <c r="W393" s="50" t="str">
        <f aca="true">IF(P393="","",TODAY()-P393)</f>
        <v/>
      </c>
      <c r="X393" s="51" t="str">
        <f aca="true">IF(D393="","",IF(AND(U393&lt;&gt;"",U393&lt;TODAY()),"Follow-up overdue",IF(AND(W393&lt;&gt;"",W393&gt;60),"No order 60+ days","OK")))</f>
        <v/>
      </c>
    </row>
    <row r="394" customFormat="false" ht="15" hidden="false" customHeight="false" outlineLevel="0" collapsed="false">
      <c r="A394" s="16" t="s">
        <v>1642</v>
      </c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8"/>
      <c r="M394" s="16"/>
      <c r="N394" s="16"/>
      <c r="O394" s="23"/>
      <c r="P394" s="18"/>
      <c r="Q394" s="23"/>
      <c r="R394" s="23"/>
      <c r="S394" s="24"/>
      <c r="T394" s="16"/>
      <c r="U394" s="18"/>
      <c r="V394" s="16"/>
      <c r="W394" s="50" t="str">
        <f aca="true">IF(P394="","",TODAY()-P394)</f>
        <v/>
      </c>
      <c r="X394" s="51" t="str">
        <f aca="true">IF(D394="","",IF(AND(U394&lt;&gt;"",U394&lt;TODAY()),"Follow-up overdue",IF(AND(W394&lt;&gt;"",W394&gt;60),"No order 60+ days","OK")))</f>
        <v/>
      </c>
    </row>
    <row r="395" customFormat="false" ht="15" hidden="false" customHeight="false" outlineLevel="0" collapsed="false">
      <c r="A395" s="16" t="s">
        <v>1643</v>
      </c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8"/>
      <c r="M395" s="16"/>
      <c r="N395" s="16"/>
      <c r="O395" s="23"/>
      <c r="P395" s="18"/>
      <c r="Q395" s="23"/>
      <c r="R395" s="23"/>
      <c r="S395" s="24"/>
      <c r="T395" s="16"/>
      <c r="U395" s="18"/>
      <c r="V395" s="16"/>
      <c r="W395" s="50" t="str">
        <f aca="true">IF(P395="","",TODAY()-P395)</f>
        <v/>
      </c>
      <c r="X395" s="51" t="str">
        <f aca="true">IF(D395="","",IF(AND(U395&lt;&gt;"",U395&lt;TODAY()),"Follow-up overdue",IF(AND(W395&lt;&gt;"",W395&gt;60),"No order 60+ days","OK")))</f>
        <v/>
      </c>
    </row>
    <row r="396" customFormat="false" ht="15" hidden="false" customHeight="false" outlineLevel="0" collapsed="false">
      <c r="A396" s="16" t="s">
        <v>1644</v>
      </c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8"/>
      <c r="M396" s="16"/>
      <c r="N396" s="16"/>
      <c r="O396" s="23"/>
      <c r="P396" s="18"/>
      <c r="Q396" s="23"/>
      <c r="R396" s="23"/>
      <c r="S396" s="24"/>
      <c r="T396" s="16"/>
      <c r="U396" s="18"/>
      <c r="V396" s="16"/>
      <c r="W396" s="50" t="str">
        <f aca="true">IF(P396="","",TODAY()-P396)</f>
        <v/>
      </c>
      <c r="X396" s="51" t="str">
        <f aca="true">IF(D396="","",IF(AND(U396&lt;&gt;"",U396&lt;TODAY()),"Follow-up overdue",IF(AND(W396&lt;&gt;"",W396&gt;60),"No order 60+ days","OK")))</f>
        <v/>
      </c>
    </row>
    <row r="397" customFormat="false" ht="15" hidden="false" customHeight="false" outlineLevel="0" collapsed="false">
      <c r="A397" s="16" t="s">
        <v>1645</v>
      </c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8"/>
      <c r="M397" s="16"/>
      <c r="N397" s="16"/>
      <c r="O397" s="23"/>
      <c r="P397" s="18"/>
      <c r="Q397" s="23"/>
      <c r="R397" s="23"/>
      <c r="S397" s="24"/>
      <c r="T397" s="16"/>
      <c r="U397" s="18"/>
      <c r="V397" s="16"/>
      <c r="W397" s="50" t="str">
        <f aca="true">IF(P397="","",TODAY()-P397)</f>
        <v/>
      </c>
      <c r="X397" s="51" t="str">
        <f aca="true">IF(D397="","",IF(AND(U397&lt;&gt;"",U397&lt;TODAY()),"Follow-up overdue",IF(AND(W397&lt;&gt;"",W397&gt;60),"No order 60+ days","OK")))</f>
        <v/>
      </c>
    </row>
    <row r="398" customFormat="false" ht="15" hidden="false" customHeight="false" outlineLevel="0" collapsed="false">
      <c r="A398" s="16" t="s">
        <v>1646</v>
      </c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8"/>
      <c r="M398" s="16"/>
      <c r="N398" s="16"/>
      <c r="O398" s="23"/>
      <c r="P398" s="18"/>
      <c r="Q398" s="23"/>
      <c r="R398" s="23"/>
      <c r="S398" s="24"/>
      <c r="T398" s="16"/>
      <c r="U398" s="18"/>
      <c r="V398" s="16"/>
      <c r="W398" s="50" t="str">
        <f aca="true">IF(P398="","",TODAY()-P398)</f>
        <v/>
      </c>
      <c r="X398" s="51" t="str">
        <f aca="true">IF(D398="","",IF(AND(U398&lt;&gt;"",U398&lt;TODAY()),"Follow-up overdue",IF(AND(W398&lt;&gt;"",W398&gt;60),"No order 60+ days","OK")))</f>
        <v/>
      </c>
    </row>
    <row r="399" customFormat="false" ht="15" hidden="false" customHeight="false" outlineLevel="0" collapsed="false">
      <c r="A399" s="16" t="s">
        <v>1647</v>
      </c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8"/>
      <c r="M399" s="16"/>
      <c r="N399" s="16"/>
      <c r="O399" s="23"/>
      <c r="P399" s="18"/>
      <c r="Q399" s="23"/>
      <c r="R399" s="23"/>
      <c r="S399" s="24"/>
      <c r="T399" s="16"/>
      <c r="U399" s="18"/>
      <c r="V399" s="16"/>
      <c r="W399" s="50" t="str">
        <f aca="true">IF(P399="","",TODAY()-P399)</f>
        <v/>
      </c>
      <c r="X399" s="51" t="str">
        <f aca="true">IF(D399="","",IF(AND(U399&lt;&gt;"",U399&lt;TODAY()),"Follow-up overdue",IF(AND(W399&lt;&gt;"",W399&gt;60),"No order 60+ days","OK")))</f>
        <v/>
      </c>
    </row>
    <row r="400" customFormat="false" ht="15" hidden="false" customHeight="false" outlineLevel="0" collapsed="false">
      <c r="A400" s="16" t="s">
        <v>1648</v>
      </c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8"/>
      <c r="M400" s="16"/>
      <c r="N400" s="16"/>
      <c r="O400" s="23"/>
      <c r="P400" s="18"/>
      <c r="Q400" s="23"/>
      <c r="R400" s="23"/>
      <c r="S400" s="24"/>
      <c r="T400" s="16"/>
      <c r="U400" s="18"/>
      <c r="V400" s="16"/>
      <c r="W400" s="50" t="str">
        <f aca="true">IF(P400="","",TODAY()-P400)</f>
        <v/>
      </c>
      <c r="X400" s="51" t="str">
        <f aca="true">IF(D400="","",IF(AND(U400&lt;&gt;"",U400&lt;TODAY()),"Follow-up overdue",IF(AND(W400&lt;&gt;"",W400&gt;60),"No order 60+ days","OK")))</f>
        <v/>
      </c>
    </row>
    <row r="401" customFormat="false" ht="15" hidden="false" customHeight="false" outlineLevel="0" collapsed="false">
      <c r="A401" s="16" t="s">
        <v>1649</v>
      </c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8"/>
      <c r="M401" s="16"/>
      <c r="N401" s="16"/>
      <c r="O401" s="23"/>
      <c r="P401" s="18"/>
      <c r="Q401" s="23"/>
      <c r="R401" s="23"/>
      <c r="S401" s="24"/>
      <c r="T401" s="16"/>
      <c r="U401" s="18"/>
      <c r="V401" s="16"/>
      <c r="W401" s="50" t="str">
        <f aca="true">IF(P401="","",TODAY()-P401)</f>
        <v/>
      </c>
      <c r="X401" s="51" t="str">
        <f aca="true">IF(D401="","",IF(AND(U401&lt;&gt;"",U401&lt;TODAY()),"Follow-up overdue",IF(AND(W401&lt;&gt;"",W401&gt;60),"No order 60+ days","OK")))</f>
        <v/>
      </c>
    </row>
    <row r="402" customFormat="false" ht="15" hidden="false" customHeight="false" outlineLevel="0" collapsed="false">
      <c r="A402" s="16" t="s">
        <v>1650</v>
      </c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8"/>
      <c r="M402" s="16"/>
      <c r="N402" s="16"/>
      <c r="O402" s="23"/>
      <c r="P402" s="18"/>
      <c r="Q402" s="23"/>
      <c r="R402" s="23"/>
      <c r="S402" s="24"/>
      <c r="T402" s="16"/>
      <c r="U402" s="18"/>
      <c r="V402" s="16"/>
      <c r="W402" s="50" t="str">
        <f aca="true">IF(P402="","",TODAY()-P402)</f>
        <v/>
      </c>
      <c r="X402" s="51" t="str">
        <f aca="true">IF(D402="","",IF(AND(U402&lt;&gt;"",U402&lt;TODAY()),"Follow-up overdue",IF(AND(W402&lt;&gt;"",W402&gt;60),"No order 60+ days","OK")))</f>
        <v/>
      </c>
    </row>
    <row r="403" customFormat="false" ht="15" hidden="false" customHeight="false" outlineLevel="0" collapsed="false">
      <c r="A403" s="16" t="s">
        <v>1651</v>
      </c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8"/>
      <c r="M403" s="16"/>
      <c r="N403" s="16"/>
      <c r="O403" s="23"/>
      <c r="P403" s="18"/>
      <c r="Q403" s="23"/>
      <c r="R403" s="23"/>
      <c r="S403" s="24"/>
      <c r="T403" s="16"/>
      <c r="U403" s="18"/>
      <c r="V403" s="16"/>
      <c r="W403" s="50" t="str">
        <f aca="true">IF(P403="","",TODAY()-P403)</f>
        <v/>
      </c>
      <c r="X403" s="51" t="str">
        <f aca="true">IF(D403="","",IF(AND(U403&lt;&gt;"",U403&lt;TODAY()),"Follow-up overdue",IF(AND(W403&lt;&gt;"",W403&gt;60),"No order 60+ days","OK")))</f>
        <v/>
      </c>
    </row>
    <row r="404" customFormat="false" ht="15" hidden="false" customHeight="false" outlineLevel="0" collapsed="false">
      <c r="A404" s="16" t="s">
        <v>1652</v>
      </c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8"/>
      <c r="M404" s="16"/>
      <c r="N404" s="16"/>
      <c r="O404" s="23"/>
      <c r="P404" s="18"/>
      <c r="Q404" s="23"/>
      <c r="R404" s="23"/>
      <c r="S404" s="24"/>
      <c r="T404" s="16"/>
      <c r="U404" s="18"/>
      <c r="V404" s="16"/>
      <c r="W404" s="50" t="str">
        <f aca="true">IF(P404="","",TODAY()-P404)</f>
        <v/>
      </c>
      <c r="X404" s="51" t="str">
        <f aca="true">IF(D404="","",IF(AND(U404&lt;&gt;"",U404&lt;TODAY()),"Follow-up overdue",IF(AND(W404&lt;&gt;"",W404&gt;60),"No order 60+ days","OK")))</f>
        <v/>
      </c>
    </row>
    <row r="405" customFormat="false" ht="15" hidden="false" customHeight="false" outlineLevel="0" collapsed="false">
      <c r="A405" s="16" t="s">
        <v>1653</v>
      </c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8"/>
      <c r="M405" s="16"/>
      <c r="N405" s="16"/>
      <c r="O405" s="23"/>
      <c r="P405" s="18"/>
      <c r="Q405" s="23"/>
      <c r="R405" s="23"/>
      <c r="S405" s="24"/>
      <c r="T405" s="16"/>
      <c r="U405" s="18"/>
      <c r="V405" s="16"/>
      <c r="W405" s="50" t="str">
        <f aca="true">IF(P405="","",TODAY()-P405)</f>
        <v/>
      </c>
      <c r="X405" s="51" t="str">
        <f aca="true">IF(D405="","",IF(AND(U405&lt;&gt;"",U405&lt;TODAY()),"Follow-up overdue",IF(AND(W405&lt;&gt;"",W405&gt;60),"No order 60+ days","OK")))</f>
        <v/>
      </c>
    </row>
    <row r="406" customFormat="false" ht="15" hidden="false" customHeight="false" outlineLevel="0" collapsed="false">
      <c r="A406" s="16" t="s">
        <v>1654</v>
      </c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8"/>
      <c r="M406" s="16"/>
      <c r="N406" s="16"/>
      <c r="O406" s="23"/>
      <c r="P406" s="18"/>
      <c r="Q406" s="23"/>
      <c r="R406" s="23"/>
      <c r="S406" s="24"/>
      <c r="T406" s="16"/>
      <c r="U406" s="18"/>
      <c r="V406" s="16"/>
      <c r="W406" s="50" t="str">
        <f aca="true">IF(P406="","",TODAY()-P406)</f>
        <v/>
      </c>
      <c r="X406" s="51" t="str">
        <f aca="true">IF(D406="","",IF(AND(U406&lt;&gt;"",U406&lt;TODAY()),"Follow-up overdue",IF(AND(W406&lt;&gt;"",W406&gt;60),"No order 60+ days","OK")))</f>
        <v/>
      </c>
    </row>
    <row r="407" customFormat="false" ht="15" hidden="false" customHeight="false" outlineLevel="0" collapsed="false">
      <c r="A407" s="16" t="s">
        <v>1655</v>
      </c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8"/>
      <c r="M407" s="16"/>
      <c r="N407" s="16"/>
      <c r="O407" s="23"/>
      <c r="P407" s="18"/>
      <c r="Q407" s="23"/>
      <c r="R407" s="23"/>
      <c r="S407" s="24"/>
      <c r="T407" s="16"/>
      <c r="U407" s="18"/>
      <c r="V407" s="16"/>
      <c r="W407" s="50" t="str">
        <f aca="true">IF(P407="","",TODAY()-P407)</f>
        <v/>
      </c>
      <c r="X407" s="51" t="str">
        <f aca="true">IF(D407="","",IF(AND(U407&lt;&gt;"",U407&lt;TODAY()),"Follow-up overdue",IF(AND(W407&lt;&gt;"",W407&gt;60),"No order 60+ days","OK")))</f>
        <v/>
      </c>
    </row>
    <row r="408" customFormat="false" ht="15" hidden="false" customHeight="false" outlineLevel="0" collapsed="false">
      <c r="A408" s="16" t="s">
        <v>1656</v>
      </c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8"/>
      <c r="M408" s="16"/>
      <c r="N408" s="16"/>
      <c r="O408" s="23"/>
      <c r="P408" s="18"/>
      <c r="Q408" s="23"/>
      <c r="R408" s="23"/>
      <c r="S408" s="24"/>
      <c r="T408" s="16"/>
      <c r="U408" s="18"/>
      <c r="V408" s="16"/>
      <c r="W408" s="50" t="str">
        <f aca="true">IF(P408="","",TODAY()-P408)</f>
        <v/>
      </c>
      <c r="X408" s="51" t="str">
        <f aca="true">IF(D408="","",IF(AND(U408&lt;&gt;"",U408&lt;TODAY()),"Follow-up overdue",IF(AND(W408&lt;&gt;"",W408&gt;60),"No order 60+ days","OK")))</f>
        <v/>
      </c>
    </row>
    <row r="409" customFormat="false" ht="15" hidden="false" customHeight="false" outlineLevel="0" collapsed="false">
      <c r="A409" s="16" t="s">
        <v>1657</v>
      </c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8"/>
      <c r="M409" s="16"/>
      <c r="N409" s="16"/>
      <c r="O409" s="23"/>
      <c r="P409" s="18"/>
      <c r="Q409" s="23"/>
      <c r="R409" s="23"/>
      <c r="S409" s="24"/>
      <c r="T409" s="16"/>
      <c r="U409" s="18"/>
      <c r="V409" s="16"/>
      <c r="W409" s="50" t="str">
        <f aca="true">IF(P409="","",TODAY()-P409)</f>
        <v/>
      </c>
      <c r="X409" s="51" t="str">
        <f aca="true">IF(D409="","",IF(AND(U409&lt;&gt;"",U409&lt;TODAY()),"Follow-up overdue",IF(AND(W409&lt;&gt;"",W409&gt;60),"No order 60+ days","OK")))</f>
        <v/>
      </c>
    </row>
    <row r="410" customFormat="false" ht="15" hidden="false" customHeight="false" outlineLevel="0" collapsed="false">
      <c r="A410" s="16" t="s">
        <v>1658</v>
      </c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8"/>
      <c r="M410" s="16"/>
      <c r="N410" s="16"/>
      <c r="O410" s="23"/>
      <c r="P410" s="18"/>
      <c r="Q410" s="23"/>
      <c r="R410" s="23"/>
      <c r="S410" s="24"/>
      <c r="T410" s="16"/>
      <c r="U410" s="18"/>
      <c r="V410" s="16"/>
      <c r="W410" s="50" t="str">
        <f aca="true">IF(P410="","",TODAY()-P410)</f>
        <v/>
      </c>
      <c r="X410" s="51" t="str">
        <f aca="true">IF(D410="","",IF(AND(U410&lt;&gt;"",U410&lt;TODAY()),"Follow-up overdue",IF(AND(W410&lt;&gt;"",W410&gt;60),"No order 60+ days","OK")))</f>
        <v/>
      </c>
    </row>
    <row r="411" customFormat="false" ht="15" hidden="false" customHeight="false" outlineLevel="0" collapsed="false">
      <c r="A411" s="16" t="s">
        <v>1659</v>
      </c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8"/>
      <c r="M411" s="16"/>
      <c r="N411" s="16"/>
      <c r="O411" s="23"/>
      <c r="P411" s="18"/>
      <c r="Q411" s="23"/>
      <c r="R411" s="23"/>
      <c r="S411" s="24"/>
      <c r="T411" s="16"/>
      <c r="U411" s="18"/>
      <c r="V411" s="16"/>
      <c r="W411" s="50" t="str">
        <f aca="true">IF(P411="","",TODAY()-P411)</f>
        <v/>
      </c>
      <c r="X411" s="51" t="str">
        <f aca="true">IF(D411="","",IF(AND(U411&lt;&gt;"",U411&lt;TODAY()),"Follow-up overdue",IF(AND(W411&lt;&gt;"",W411&gt;60),"No order 60+ days","OK")))</f>
        <v/>
      </c>
    </row>
    <row r="412" customFormat="false" ht="15" hidden="false" customHeight="false" outlineLevel="0" collapsed="false">
      <c r="A412" s="16" t="s">
        <v>1660</v>
      </c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8"/>
      <c r="M412" s="16"/>
      <c r="N412" s="16"/>
      <c r="O412" s="23"/>
      <c r="P412" s="18"/>
      <c r="Q412" s="23"/>
      <c r="R412" s="23"/>
      <c r="S412" s="24"/>
      <c r="T412" s="16"/>
      <c r="U412" s="18"/>
      <c r="V412" s="16"/>
      <c r="W412" s="50" t="str">
        <f aca="true">IF(P412="","",TODAY()-P412)</f>
        <v/>
      </c>
      <c r="X412" s="51" t="str">
        <f aca="true">IF(D412="","",IF(AND(U412&lt;&gt;"",U412&lt;TODAY()),"Follow-up overdue",IF(AND(W412&lt;&gt;"",W412&gt;60),"No order 60+ days","OK")))</f>
        <v/>
      </c>
    </row>
    <row r="413" customFormat="false" ht="15" hidden="false" customHeight="false" outlineLevel="0" collapsed="false">
      <c r="A413" s="16" t="s">
        <v>1661</v>
      </c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8"/>
      <c r="M413" s="16"/>
      <c r="N413" s="16"/>
      <c r="O413" s="23"/>
      <c r="P413" s="18"/>
      <c r="Q413" s="23"/>
      <c r="R413" s="23"/>
      <c r="S413" s="24"/>
      <c r="T413" s="16"/>
      <c r="U413" s="18"/>
      <c r="V413" s="16"/>
      <c r="W413" s="50" t="str">
        <f aca="true">IF(P413="","",TODAY()-P413)</f>
        <v/>
      </c>
      <c r="X413" s="51" t="str">
        <f aca="true">IF(D413="","",IF(AND(U413&lt;&gt;"",U413&lt;TODAY()),"Follow-up overdue",IF(AND(W413&lt;&gt;"",W413&gt;60),"No order 60+ days","OK")))</f>
        <v/>
      </c>
    </row>
    <row r="414" customFormat="false" ht="15" hidden="false" customHeight="false" outlineLevel="0" collapsed="false">
      <c r="A414" s="16" t="s">
        <v>1662</v>
      </c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8"/>
      <c r="M414" s="16"/>
      <c r="N414" s="16"/>
      <c r="O414" s="23"/>
      <c r="P414" s="18"/>
      <c r="Q414" s="23"/>
      <c r="R414" s="23"/>
      <c r="S414" s="24"/>
      <c r="T414" s="16"/>
      <c r="U414" s="18"/>
      <c r="V414" s="16"/>
      <c r="W414" s="50" t="str">
        <f aca="true">IF(P414="","",TODAY()-P414)</f>
        <v/>
      </c>
      <c r="X414" s="51" t="str">
        <f aca="true">IF(D414="","",IF(AND(U414&lt;&gt;"",U414&lt;TODAY()),"Follow-up overdue",IF(AND(W414&lt;&gt;"",W414&gt;60),"No order 60+ days","OK")))</f>
        <v/>
      </c>
    </row>
    <row r="415" customFormat="false" ht="15" hidden="false" customHeight="false" outlineLevel="0" collapsed="false">
      <c r="A415" s="16" t="s">
        <v>1663</v>
      </c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8"/>
      <c r="M415" s="16"/>
      <c r="N415" s="16"/>
      <c r="O415" s="23"/>
      <c r="P415" s="18"/>
      <c r="Q415" s="23"/>
      <c r="R415" s="23"/>
      <c r="S415" s="24"/>
      <c r="T415" s="16"/>
      <c r="U415" s="18"/>
      <c r="V415" s="16"/>
      <c r="W415" s="50" t="str">
        <f aca="true">IF(P415="","",TODAY()-P415)</f>
        <v/>
      </c>
      <c r="X415" s="51" t="str">
        <f aca="true">IF(D415="","",IF(AND(U415&lt;&gt;"",U415&lt;TODAY()),"Follow-up overdue",IF(AND(W415&lt;&gt;"",W415&gt;60),"No order 60+ days","OK")))</f>
        <v/>
      </c>
    </row>
    <row r="416" customFormat="false" ht="15" hidden="false" customHeight="false" outlineLevel="0" collapsed="false">
      <c r="A416" s="16" t="s">
        <v>1664</v>
      </c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8"/>
      <c r="M416" s="16"/>
      <c r="N416" s="16"/>
      <c r="O416" s="23"/>
      <c r="P416" s="18"/>
      <c r="Q416" s="23"/>
      <c r="R416" s="23"/>
      <c r="S416" s="24"/>
      <c r="T416" s="16"/>
      <c r="U416" s="18"/>
      <c r="V416" s="16"/>
      <c r="W416" s="50" t="str">
        <f aca="true">IF(P416="","",TODAY()-P416)</f>
        <v/>
      </c>
      <c r="X416" s="51" t="str">
        <f aca="true">IF(D416="","",IF(AND(U416&lt;&gt;"",U416&lt;TODAY()),"Follow-up overdue",IF(AND(W416&lt;&gt;"",W416&gt;60),"No order 60+ days","OK")))</f>
        <v/>
      </c>
    </row>
    <row r="417" customFormat="false" ht="15" hidden="false" customHeight="false" outlineLevel="0" collapsed="false">
      <c r="A417" s="16" t="s">
        <v>1665</v>
      </c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8"/>
      <c r="M417" s="16"/>
      <c r="N417" s="16"/>
      <c r="O417" s="23"/>
      <c r="P417" s="18"/>
      <c r="Q417" s="23"/>
      <c r="R417" s="23"/>
      <c r="S417" s="24"/>
      <c r="T417" s="16"/>
      <c r="U417" s="18"/>
      <c r="V417" s="16"/>
      <c r="W417" s="50" t="str">
        <f aca="true">IF(P417="","",TODAY()-P417)</f>
        <v/>
      </c>
      <c r="X417" s="51" t="str">
        <f aca="true">IF(D417="","",IF(AND(U417&lt;&gt;"",U417&lt;TODAY()),"Follow-up overdue",IF(AND(W417&lt;&gt;"",W417&gt;60),"No order 60+ days","OK")))</f>
        <v/>
      </c>
    </row>
    <row r="418" customFormat="false" ht="15" hidden="false" customHeight="false" outlineLevel="0" collapsed="false">
      <c r="A418" s="16" t="s">
        <v>1666</v>
      </c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8"/>
      <c r="M418" s="16"/>
      <c r="N418" s="16"/>
      <c r="O418" s="23"/>
      <c r="P418" s="18"/>
      <c r="Q418" s="23"/>
      <c r="R418" s="23"/>
      <c r="S418" s="24"/>
      <c r="T418" s="16"/>
      <c r="U418" s="18"/>
      <c r="V418" s="16"/>
      <c r="W418" s="50" t="str">
        <f aca="true">IF(P418="","",TODAY()-P418)</f>
        <v/>
      </c>
      <c r="X418" s="51" t="str">
        <f aca="true">IF(D418="","",IF(AND(U418&lt;&gt;"",U418&lt;TODAY()),"Follow-up overdue",IF(AND(W418&lt;&gt;"",W418&gt;60),"No order 60+ days","OK")))</f>
        <v/>
      </c>
    </row>
    <row r="419" customFormat="false" ht="15" hidden="false" customHeight="false" outlineLevel="0" collapsed="false">
      <c r="A419" s="16" t="s">
        <v>1667</v>
      </c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8"/>
      <c r="M419" s="16"/>
      <c r="N419" s="16"/>
      <c r="O419" s="23"/>
      <c r="P419" s="18"/>
      <c r="Q419" s="23"/>
      <c r="R419" s="23"/>
      <c r="S419" s="24"/>
      <c r="T419" s="16"/>
      <c r="U419" s="18"/>
      <c r="V419" s="16"/>
      <c r="W419" s="50" t="str">
        <f aca="true">IF(P419="","",TODAY()-P419)</f>
        <v/>
      </c>
      <c r="X419" s="51" t="str">
        <f aca="true">IF(D419="","",IF(AND(U419&lt;&gt;"",U419&lt;TODAY()),"Follow-up overdue",IF(AND(W419&lt;&gt;"",W419&gt;60),"No order 60+ days","OK")))</f>
        <v/>
      </c>
    </row>
    <row r="420" customFormat="false" ht="15" hidden="false" customHeight="false" outlineLevel="0" collapsed="false">
      <c r="A420" s="16" t="s">
        <v>1668</v>
      </c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8"/>
      <c r="M420" s="16"/>
      <c r="N420" s="16"/>
      <c r="O420" s="23"/>
      <c r="P420" s="18"/>
      <c r="Q420" s="23"/>
      <c r="R420" s="23"/>
      <c r="S420" s="24"/>
      <c r="T420" s="16"/>
      <c r="U420" s="18"/>
      <c r="V420" s="16"/>
      <c r="W420" s="50" t="str">
        <f aca="true">IF(P420="","",TODAY()-P420)</f>
        <v/>
      </c>
      <c r="X420" s="51" t="str">
        <f aca="true">IF(D420="","",IF(AND(U420&lt;&gt;"",U420&lt;TODAY()),"Follow-up overdue",IF(AND(W420&lt;&gt;"",W420&gt;60),"No order 60+ days","OK")))</f>
        <v/>
      </c>
    </row>
    <row r="421" customFormat="false" ht="15" hidden="false" customHeight="false" outlineLevel="0" collapsed="false">
      <c r="A421" s="16" t="s">
        <v>1669</v>
      </c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8"/>
      <c r="M421" s="16"/>
      <c r="N421" s="16"/>
      <c r="O421" s="23"/>
      <c r="P421" s="18"/>
      <c r="Q421" s="23"/>
      <c r="R421" s="23"/>
      <c r="S421" s="24"/>
      <c r="T421" s="16"/>
      <c r="U421" s="18"/>
      <c r="V421" s="16"/>
      <c r="W421" s="50" t="str">
        <f aca="true">IF(P421="","",TODAY()-P421)</f>
        <v/>
      </c>
      <c r="X421" s="51" t="str">
        <f aca="true">IF(D421="","",IF(AND(U421&lt;&gt;"",U421&lt;TODAY()),"Follow-up overdue",IF(AND(W421&lt;&gt;"",W421&gt;60),"No order 60+ days","OK")))</f>
        <v/>
      </c>
    </row>
    <row r="422" customFormat="false" ht="15" hidden="false" customHeight="false" outlineLevel="0" collapsed="false">
      <c r="A422" s="16" t="s">
        <v>1670</v>
      </c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8"/>
      <c r="M422" s="16"/>
      <c r="N422" s="16"/>
      <c r="O422" s="23"/>
      <c r="P422" s="18"/>
      <c r="Q422" s="23"/>
      <c r="R422" s="23"/>
      <c r="S422" s="24"/>
      <c r="T422" s="16"/>
      <c r="U422" s="18"/>
      <c r="V422" s="16"/>
      <c r="W422" s="50" t="str">
        <f aca="true">IF(P422="","",TODAY()-P422)</f>
        <v/>
      </c>
      <c r="X422" s="51" t="str">
        <f aca="true">IF(D422="","",IF(AND(U422&lt;&gt;"",U422&lt;TODAY()),"Follow-up overdue",IF(AND(W422&lt;&gt;"",W422&gt;60),"No order 60+ days","OK")))</f>
        <v/>
      </c>
    </row>
    <row r="423" customFormat="false" ht="15" hidden="false" customHeight="false" outlineLevel="0" collapsed="false">
      <c r="A423" s="16" t="s">
        <v>1671</v>
      </c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8"/>
      <c r="M423" s="16"/>
      <c r="N423" s="16"/>
      <c r="O423" s="23"/>
      <c r="P423" s="18"/>
      <c r="Q423" s="23"/>
      <c r="R423" s="23"/>
      <c r="S423" s="24"/>
      <c r="T423" s="16"/>
      <c r="U423" s="18"/>
      <c r="V423" s="16"/>
      <c r="W423" s="50" t="str">
        <f aca="true">IF(P423="","",TODAY()-P423)</f>
        <v/>
      </c>
      <c r="X423" s="51" t="str">
        <f aca="true">IF(D423="","",IF(AND(U423&lt;&gt;"",U423&lt;TODAY()),"Follow-up overdue",IF(AND(W423&lt;&gt;"",W423&gt;60),"No order 60+ days","OK")))</f>
        <v/>
      </c>
    </row>
    <row r="424" customFormat="false" ht="15" hidden="false" customHeight="false" outlineLevel="0" collapsed="false">
      <c r="A424" s="16" t="s">
        <v>1672</v>
      </c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8"/>
      <c r="M424" s="16"/>
      <c r="N424" s="16"/>
      <c r="O424" s="23"/>
      <c r="P424" s="18"/>
      <c r="Q424" s="23"/>
      <c r="R424" s="23"/>
      <c r="S424" s="24"/>
      <c r="T424" s="16"/>
      <c r="U424" s="18"/>
      <c r="V424" s="16"/>
      <c r="W424" s="50" t="str">
        <f aca="true">IF(P424="","",TODAY()-P424)</f>
        <v/>
      </c>
      <c r="X424" s="51" t="str">
        <f aca="true">IF(D424="","",IF(AND(U424&lt;&gt;"",U424&lt;TODAY()),"Follow-up overdue",IF(AND(W424&lt;&gt;"",W424&gt;60),"No order 60+ days","OK")))</f>
        <v/>
      </c>
    </row>
    <row r="425" customFormat="false" ht="15" hidden="false" customHeight="false" outlineLevel="0" collapsed="false">
      <c r="A425" s="16" t="s">
        <v>1673</v>
      </c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8"/>
      <c r="M425" s="16"/>
      <c r="N425" s="16"/>
      <c r="O425" s="23"/>
      <c r="P425" s="18"/>
      <c r="Q425" s="23"/>
      <c r="R425" s="23"/>
      <c r="S425" s="24"/>
      <c r="T425" s="16"/>
      <c r="U425" s="18"/>
      <c r="V425" s="16"/>
      <c r="W425" s="50" t="str">
        <f aca="true">IF(P425="","",TODAY()-P425)</f>
        <v/>
      </c>
      <c r="X425" s="51" t="str">
        <f aca="true">IF(D425="","",IF(AND(U425&lt;&gt;"",U425&lt;TODAY()),"Follow-up overdue",IF(AND(W425&lt;&gt;"",W425&gt;60),"No order 60+ days","OK")))</f>
        <v/>
      </c>
    </row>
    <row r="426" customFormat="false" ht="15" hidden="false" customHeight="false" outlineLevel="0" collapsed="false">
      <c r="A426" s="16" t="s">
        <v>1674</v>
      </c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8"/>
      <c r="M426" s="16"/>
      <c r="N426" s="16"/>
      <c r="O426" s="23"/>
      <c r="P426" s="18"/>
      <c r="Q426" s="23"/>
      <c r="R426" s="23"/>
      <c r="S426" s="24"/>
      <c r="T426" s="16"/>
      <c r="U426" s="18"/>
      <c r="V426" s="16"/>
      <c r="W426" s="50" t="str">
        <f aca="true">IF(P426="","",TODAY()-P426)</f>
        <v/>
      </c>
      <c r="X426" s="51" t="str">
        <f aca="true">IF(D426="","",IF(AND(U426&lt;&gt;"",U426&lt;TODAY()),"Follow-up overdue",IF(AND(W426&lt;&gt;"",W426&gt;60),"No order 60+ days","OK")))</f>
        <v/>
      </c>
    </row>
    <row r="427" customFormat="false" ht="15" hidden="false" customHeight="false" outlineLevel="0" collapsed="false">
      <c r="A427" s="16" t="s">
        <v>1675</v>
      </c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8"/>
      <c r="M427" s="16"/>
      <c r="N427" s="16"/>
      <c r="O427" s="23"/>
      <c r="P427" s="18"/>
      <c r="Q427" s="23"/>
      <c r="R427" s="23"/>
      <c r="S427" s="24"/>
      <c r="T427" s="16"/>
      <c r="U427" s="18"/>
      <c r="V427" s="16"/>
      <c r="W427" s="50" t="str">
        <f aca="true">IF(P427="","",TODAY()-P427)</f>
        <v/>
      </c>
      <c r="X427" s="51" t="str">
        <f aca="true">IF(D427="","",IF(AND(U427&lt;&gt;"",U427&lt;TODAY()),"Follow-up overdue",IF(AND(W427&lt;&gt;"",W427&gt;60),"No order 60+ days","OK")))</f>
        <v/>
      </c>
    </row>
    <row r="428" customFormat="false" ht="15" hidden="false" customHeight="false" outlineLevel="0" collapsed="false">
      <c r="A428" s="16" t="s">
        <v>1676</v>
      </c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8"/>
      <c r="M428" s="16"/>
      <c r="N428" s="16"/>
      <c r="O428" s="23"/>
      <c r="P428" s="18"/>
      <c r="Q428" s="23"/>
      <c r="R428" s="23"/>
      <c r="S428" s="24"/>
      <c r="T428" s="16"/>
      <c r="U428" s="18"/>
      <c r="V428" s="16"/>
      <c r="W428" s="50" t="str">
        <f aca="true">IF(P428="","",TODAY()-P428)</f>
        <v/>
      </c>
      <c r="X428" s="51" t="str">
        <f aca="true">IF(D428="","",IF(AND(U428&lt;&gt;"",U428&lt;TODAY()),"Follow-up overdue",IF(AND(W428&lt;&gt;"",W428&gt;60),"No order 60+ days","OK")))</f>
        <v/>
      </c>
    </row>
    <row r="429" customFormat="false" ht="15" hidden="false" customHeight="false" outlineLevel="0" collapsed="false">
      <c r="A429" s="16" t="s">
        <v>1677</v>
      </c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8"/>
      <c r="M429" s="16"/>
      <c r="N429" s="16"/>
      <c r="O429" s="23"/>
      <c r="P429" s="18"/>
      <c r="Q429" s="23"/>
      <c r="R429" s="23"/>
      <c r="S429" s="24"/>
      <c r="T429" s="16"/>
      <c r="U429" s="18"/>
      <c r="V429" s="16"/>
      <c r="W429" s="50" t="str">
        <f aca="true">IF(P429="","",TODAY()-P429)</f>
        <v/>
      </c>
      <c r="X429" s="51" t="str">
        <f aca="true">IF(D429="","",IF(AND(U429&lt;&gt;"",U429&lt;TODAY()),"Follow-up overdue",IF(AND(W429&lt;&gt;"",W429&gt;60),"No order 60+ days","OK")))</f>
        <v/>
      </c>
    </row>
    <row r="430" customFormat="false" ht="15" hidden="false" customHeight="false" outlineLevel="0" collapsed="false">
      <c r="A430" s="16" t="s">
        <v>1678</v>
      </c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8"/>
      <c r="M430" s="16"/>
      <c r="N430" s="16"/>
      <c r="O430" s="23"/>
      <c r="P430" s="18"/>
      <c r="Q430" s="23"/>
      <c r="R430" s="23"/>
      <c r="S430" s="24"/>
      <c r="T430" s="16"/>
      <c r="U430" s="18"/>
      <c r="V430" s="16"/>
      <c r="W430" s="50" t="str">
        <f aca="true">IF(P430="","",TODAY()-P430)</f>
        <v/>
      </c>
      <c r="X430" s="51" t="str">
        <f aca="true">IF(D430="","",IF(AND(U430&lt;&gt;"",U430&lt;TODAY()),"Follow-up overdue",IF(AND(W430&lt;&gt;"",W430&gt;60),"No order 60+ days","OK")))</f>
        <v/>
      </c>
    </row>
    <row r="431" customFormat="false" ht="15" hidden="false" customHeight="false" outlineLevel="0" collapsed="false">
      <c r="A431" s="16" t="s">
        <v>1679</v>
      </c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8"/>
      <c r="M431" s="16"/>
      <c r="N431" s="16"/>
      <c r="O431" s="23"/>
      <c r="P431" s="18"/>
      <c r="Q431" s="23"/>
      <c r="R431" s="23"/>
      <c r="S431" s="24"/>
      <c r="T431" s="16"/>
      <c r="U431" s="18"/>
      <c r="V431" s="16"/>
      <c r="W431" s="50" t="str">
        <f aca="true">IF(P431="","",TODAY()-P431)</f>
        <v/>
      </c>
      <c r="X431" s="51" t="str">
        <f aca="true">IF(D431="","",IF(AND(U431&lt;&gt;"",U431&lt;TODAY()),"Follow-up overdue",IF(AND(W431&lt;&gt;"",W431&gt;60),"No order 60+ days","OK")))</f>
        <v/>
      </c>
    </row>
    <row r="432" customFormat="false" ht="15" hidden="false" customHeight="false" outlineLevel="0" collapsed="false">
      <c r="A432" s="16" t="s">
        <v>1680</v>
      </c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8"/>
      <c r="M432" s="16"/>
      <c r="N432" s="16"/>
      <c r="O432" s="23"/>
      <c r="P432" s="18"/>
      <c r="Q432" s="23"/>
      <c r="R432" s="23"/>
      <c r="S432" s="24"/>
      <c r="T432" s="16"/>
      <c r="U432" s="18"/>
      <c r="V432" s="16"/>
      <c r="W432" s="50" t="str">
        <f aca="true">IF(P432="","",TODAY()-P432)</f>
        <v/>
      </c>
      <c r="X432" s="51" t="str">
        <f aca="true">IF(D432="","",IF(AND(U432&lt;&gt;"",U432&lt;TODAY()),"Follow-up overdue",IF(AND(W432&lt;&gt;"",W432&gt;60),"No order 60+ days","OK")))</f>
        <v/>
      </c>
    </row>
    <row r="433" customFormat="false" ht="15" hidden="false" customHeight="false" outlineLevel="0" collapsed="false">
      <c r="A433" s="16" t="s">
        <v>1681</v>
      </c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8"/>
      <c r="M433" s="16"/>
      <c r="N433" s="16"/>
      <c r="O433" s="23"/>
      <c r="P433" s="18"/>
      <c r="Q433" s="23"/>
      <c r="R433" s="23"/>
      <c r="S433" s="24"/>
      <c r="T433" s="16"/>
      <c r="U433" s="18"/>
      <c r="V433" s="16"/>
      <c r="W433" s="50" t="str">
        <f aca="true">IF(P433="","",TODAY()-P433)</f>
        <v/>
      </c>
      <c r="X433" s="51" t="str">
        <f aca="true">IF(D433="","",IF(AND(U433&lt;&gt;"",U433&lt;TODAY()),"Follow-up overdue",IF(AND(W433&lt;&gt;"",W433&gt;60),"No order 60+ days","OK")))</f>
        <v/>
      </c>
    </row>
    <row r="434" customFormat="false" ht="15" hidden="false" customHeight="false" outlineLevel="0" collapsed="false">
      <c r="A434" s="16" t="s">
        <v>1682</v>
      </c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8"/>
      <c r="M434" s="16"/>
      <c r="N434" s="16"/>
      <c r="O434" s="23"/>
      <c r="P434" s="18"/>
      <c r="Q434" s="23"/>
      <c r="R434" s="23"/>
      <c r="S434" s="24"/>
      <c r="T434" s="16"/>
      <c r="U434" s="18"/>
      <c r="V434" s="16"/>
      <c r="W434" s="50" t="str">
        <f aca="true">IF(P434="","",TODAY()-P434)</f>
        <v/>
      </c>
      <c r="X434" s="51" t="str">
        <f aca="true">IF(D434="","",IF(AND(U434&lt;&gt;"",U434&lt;TODAY()),"Follow-up overdue",IF(AND(W434&lt;&gt;"",W434&gt;60),"No order 60+ days","OK")))</f>
        <v/>
      </c>
    </row>
    <row r="435" customFormat="false" ht="15" hidden="false" customHeight="false" outlineLevel="0" collapsed="false">
      <c r="A435" s="16" t="s">
        <v>1683</v>
      </c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8"/>
      <c r="M435" s="16"/>
      <c r="N435" s="16"/>
      <c r="O435" s="23"/>
      <c r="P435" s="18"/>
      <c r="Q435" s="23"/>
      <c r="R435" s="23"/>
      <c r="S435" s="24"/>
      <c r="T435" s="16"/>
      <c r="U435" s="18"/>
      <c r="V435" s="16"/>
      <c r="W435" s="50" t="str">
        <f aca="true">IF(P435="","",TODAY()-P435)</f>
        <v/>
      </c>
      <c r="X435" s="51" t="str">
        <f aca="true">IF(D435="","",IF(AND(U435&lt;&gt;"",U435&lt;TODAY()),"Follow-up overdue",IF(AND(W435&lt;&gt;"",W435&gt;60),"No order 60+ days","OK")))</f>
        <v/>
      </c>
    </row>
    <row r="436" customFormat="false" ht="15" hidden="false" customHeight="false" outlineLevel="0" collapsed="false">
      <c r="A436" s="16" t="s">
        <v>1684</v>
      </c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8"/>
      <c r="M436" s="16"/>
      <c r="N436" s="16"/>
      <c r="O436" s="23"/>
      <c r="P436" s="18"/>
      <c r="Q436" s="23"/>
      <c r="R436" s="23"/>
      <c r="S436" s="24"/>
      <c r="T436" s="16"/>
      <c r="U436" s="18"/>
      <c r="V436" s="16"/>
      <c r="W436" s="50" t="str">
        <f aca="true">IF(P436="","",TODAY()-P436)</f>
        <v/>
      </c>
      <c r="X436" s="51" t="str">
        <f aca="true">IF(D436="","",IF(AND(U436&lt;&gt;"",U436&lt;TODAY()),"Follow-up overdue",IF(AND(W436&lt;&gt;"",W436&gt;60),"No order 60+ days","OK")))</f>
        <v/>
      </c>
    </row>
    <row r="437" customFormat="false" ht="15" hidden="false" customHeight="false" outlineLevel="0" collapsed="false">
      <c r="A437" s="16" t="s">
        <v>1685</v>
      </c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8"/>
      <c r="M437" s="16"/>
      <c r="N437" s="16"/>
      <c r="O437" s="23"/>
      <c r="P437" s="18"/>
      <c r="Q437" s="23"/>
      <c r="R437" s="23"/>
      <c r="S437" s="24"/>
      <c r="T437" s="16"/>
      <c r="U437" s="18"/>
      <c r="V437" s="16"/>
      <c r="W437" s="50" t="str">
        <f aca="true">IF(P437="","",TODAY()-P437)</f>
        <v/>
      </c>
      <c r="X437" s="51" t="str">
        <f aca="true">IF(D437="","",IF(AND(U437&lt;&gt;"",U437&lt;TODAY()),"Follow-up overdue",IF(AND(W437&lt;&gt;"",W437&gt;60),"No order 60+ days","OK")))</f>
        <v/>
      </c>
    </row>
    <row r="438" customFormat="false" ht="15" hidden="false" customHeight="false" outlineLevel="0" collapsed="false">
      <c r="A438" s="16" t="s">
        <v>1686</v>
      </c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8"/>
      <c r="M438" s="16"/>
      <c r="N438" s="16"/>
      <c r="O438" s="23"/>
      <c r="P438" s="18"/>
      <c r="Q438" s="23"/>
      <c r="R438" s="23"/>
      <c r="S438" s="24"/>
      <c r="T438" s="16"/>
      <c r="U438" s="18"/>
      <c r="V438" s="16"/>
      <c r="W438" s="50" t="str">
        <f aca="true">IF(P438="","",TODAY()-P438)</f>
        <v/>
      </c>
      <c r="X438" s="51" t="str">
        <f aca="true">IF(D438="","",IF(AND(U438&lt;&gt;"",U438&lt;TODAY()),"Follow-up overdue",IF(AND(W438&lt;&gt;"",W438&gt;60),"No order 60+ days","OK")))</f>
        <v/>
      </c>
    </row>
    <row r="439" customFormat="false" ht="15" hidden="false" customHeight="false" outlineLevel="0" collapsed="false">
      <c r="A439" s="16" t="s">
        <v>1687</v>
      </c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8"/>
      <c r="M439" s="16"/>
      <c r="N439" s="16"/>
      <c r="O439" s="23"/>
      <c r="P439" s="18"/>
      <c r="Q439" s="23"/>
      <c r="R439" s="23"/>
      <c r="S439" s="24"/>
      <c r="T439" s="16"/>
      <c r="U439" s="18"/>
      <c r="V439" s="16"/>
      <c r="W439" s="50" t="str">
        <f aca="true">IF(P439="","",TODAY()-P439)</f>
        <v/>
      </c>
      <c r="X439" s="51" t="str">
        <f aca="true">IF(D439="","",IF(AND(U439&lt;&gt;"",U439&lt;TODAY()),"Follow-up overdue",IF(AND(W439&lt;&gt;"",W439&gt;60),"No order 60+ days","OK")))</f>
        <v/>
      </c>
    </row>
    <row r="440" customFormat="false" ht="15" hidden="false" customHeight="false" outlineLevel="0" collapsed="false">
      <c r="A440" s="16" t="s">
        <v>1688</v>
      </c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8"/>
      <c r="M440" s="16"/>
      <c r="N440" s="16"/>
      <c r="O440" s="23"/>
      <c r="P440" s="18"/>
      <c r="Q440" s="23"/>
      <c r="R440" s="23"/>
      <c r="S440" s="24"/>
      <c r="T440" s="16"/>
      <c r="U440" s="18"/>
      <c r="V440" s="16"/>
      <c r="W440" s="50" t="str">
        <f aca="true">IF(P440="","",TODAY()-P440)</f>
        <v/>
      </c>
      <c r="X440" s="51" t="str">
        <f aca="true">IF(D440="","",IF(AND(U440&lt;&gt;"",U440&lt;TODAY()),"Follow-up overdue",IF(AND(W440&lt;&gt;"",W440&gt;60),"No order 60+ days","OK")))</f>
        <v/>
      </c>
    </row>
    <row r="441" customFormat="false" ht="15" hidden="false" customHeight="false" outlineLevel="0" collapsed="false">
      <c r="A441" s="16" t="s">
        <v>1689</v>
      </c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8"/>
      <c r="M441" s="16"/>
      <c r="N441" s="16"/>
      <c r="O441" s="23"/>
      <c r="P441" s="18"/>
      <c r="Q441" s="23"/>
      <c r="R441" s="23"/>
      <c r="S441" s="24"/>
      <c r="T441" s="16"/>
      <c r="U441" s="18"/>
      <c r="V441" s="16"/>
      <c r="W441" s="50" t="str">
        <f aca="true">IF(P441="","",TODAY()-P441)</f>
        <v/>
      </c>
      <c r="X441" s="51" t="str">
        <f aca="true">IF(D441="","",IF(AND(U441&lt;&gt;"",U441&lt;TODAY()),"Follow-up overdue",IF(AND(W441&lt;&gt;"",W441&gt;60),"No order 60+ days","OK")))</f>
        <v/>
      </c>
    </row>
    <row r="442" customFormat="false" ht="15" hidden="false" customHeight="false" outlineLevel="0" collapsed="false">
      <c r="A442" s="16" t="s">
        <v>1690</v>
      </c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8"/>
      <c r="M442" s="16"/>
      <c r="N442" s="16"/>
      <c r="O442" s="23"/>
      <c r="P442" s="18"/>
      <c r="Q442" s="23"/>
      <c r="R442" s="23"/>
      <c r="S442" s="24"/>
      <c r="T442" s="16"/>
      <c r="U442" s="18"/>
      <c r="V442" s="16"/>
      <c r="W442" s="50" t="str">
        <f aca="true">IF(P442="","",TODAY()-P442)</f>
        <v/>
      </c>
      <c r="X442" s="51" t="str">
        <f aca="true">IF(D442="","",IF(AND(U442&lt;&gt;"",U442&lt;TODAY()),"Follow-up overdue",IF(AND(W442&lt;&gt;"",W442&gt;60),"No order 60+ days","OK")))</f>
        <v/>
      </c>
    </row>
    <row r="443" customFormat="false" ht="15" hidden="false" customHeight="false" outlineLevel="0" collapsed="false">
      <c r="A443" s="16" t="s">
        <v>1691</v>
      </c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8"/>
      <c r="M443" s="16"/>
      <c r="N443" s="16"/>
      <c r="O443" s="23"/>
      <c r="P443" s="18"/>
      <c r="Q443" s="23"/>
      <c r="R443" s="23"/>
      <c r="S443" s="24"/>
      <c r="T443" s="16"/>
      <c r="U443" s="18"/>
      <c r="V443" s="16"/>
      <c r="W443" s="50" t="str">
        <f aca="true">IF(P443="","",TODAY()-P443)</f>
        <v/>
      </c>
      <c r="X443" s="51" t="str">
        <f aca="true">IF(D443="","",IF(AND(U443&lt;&gt;"",U443&lt;TODAY()),"Follow-up overdue",IF(AND(W443&lt;&gt;"",W443&gt;60),"No order 60+ days","OK")))</f>
        <v/>
      </c>
    </row>
    <row r="444" customFormat="false" ht="15" hidden="false" customHeight="false" outlineLevel="0" collapsed="false">
      <c r="A444" s="16" t="s">
        <v>1692</v>
      </c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8"/>
      <c r="M444" s="16"/>
      <c r="N444" s="16"/>
      <c r="O444" s="23"/>
      <c r="P444" s="18"/>
      <c r="Q444" s="23"/>
      <c r="R444" s="23"/>
      <c r="S444" s="24"/>
      <c r="T444" s="16"/>
      <c r="U444" s="18"/>
      <c r="V444" s="16"/>
      <c r="W444" s="50" t="str">
        <f aca="true">IF(P444="","",TODAY()-P444)</f>
        <v/>
      </c>
      <c r="X444" s="51" t="str">
        <f aca="true">IF(D444="","",IF(AND(U444&lt;&gt;"",U444&lt;TODAY()),"Follow-up overdue",IF(AND(W444&lt;&gt;"",W444&gt;60),"No order 60+ days","OK")))</f>
        <v/>
      </c>
    </row>
    <row r="445" customFormat="false" ht="15" hidden="false" customHeight="false" outlineLevel="0" collapsed="false">
      <c r="A445" s="16" t="s">
        <v>1693</v>
      </c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8"/>
      <c r="M445" s="16"/>
      <c r="N445" s="16"/>
      <c r="O445" s="23"/>
      <c r="P445" s="18"/>
      <c r="Q445" s="23"/>
      <c r="R445" s="23"/>
      <c r="S445" s="24"/>
      <c r="T445" s="16"/>
      <c r="U445" s="18"/>
      <c r="V445" s="16"/>
      <c r="W445" s="50" t="str">
        <f aca="true">IF(P445="","",TODAY()-P445)</f>
        <v/>
      </c>
      <c r="X445" s="51" t="str">
        <f aca="true">IF(D445="","",IF(AND(U445&lt;&gt;"",U445&lt;TODAY()),"Follow-up overdue",IF(AND(W445&lt;&gt;"",W445&gt;60),"No order 60+ days","OK")))</f>
        <v/>
      </c>
    </row>
    <row r="446" customFormat="false" ht="15" hidden="false" customHeight="false" outlineLevel="0" collapsed="false">
      <c r="A446" s="16" t="s">
        <v>1694</v>
      </c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8"/>
      <c r="M446" s="16"/>
      <c r="N446" s="16"/>
      <c r="O446" s="23"/>
      <c r="P446" s="18"/>
      <c r="Q446" s="23"/>
      <c r="R446" s="23"/>
      <c r="S446" s="24"/>
      <c r="T446" s="16"/>
      <c r="U446" s="18"/>
      <c r="V446" s="16"/>
      <c r="W446" s="50" t="str">
        <f aca="true">IF(P446="","",TODAY()-P446)</f>
        <v/>
      </c>
      <c r="X446" s="51" t="str">
        <f aca="true">IF(D446="","",IF(AND(U446&lt;&gt;"",U446&lt;TODAY()),"Follow-up overdue",IF(AND(W446&lt;&gt;"",W446&gt;60),"No order 60+ days","OK")))</f>
        <v/>
      </c>
    </row>
    <row r="447" customFormat="false" ht="15" hidden="false" customHeight="false" outlineLevel="0" collapsed="false">
      <c r="A447" s="16" t="s">
        <v>1695</v>
      </c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8"/>
      <c r="M447" s="16"/>
      <c r="N447" s="16"/>
      <c r="O447" s="23"/>
      <c r="P447" s="18"/>
      <c r="Q447" s="23"/>
      <c r="R447" s="23"/>
      <c r="S447" s="24"/>
      <c r="T447" s="16"/>
      <c r="U447" s="18"/>
      <c r="V447" s="16"/>
      <c r="W447" s="50" t="str">
        <f aca="true">IF(P447="","",TODAY()-P447)</f>
        <v/>
      </c>
      <c r="X447" s="51" t="str">
        <f aca="true">IF(D447="","",IF(AND(U447&lt;&gt;"",U447&lt;TODAY()),"Follow-up overdue",IF(AND(W447&lt;&gt;"",W447&gt;60),"No order 60+ days","OK")))</f>
        <v/>
      </c>
    </row>
    <row r="448" customFormat="false" ht="15" hidden="false" customHeight="false" outlineLevel="0" collapsed="false">
      <c r="A448" s="16" t="s">
        <v>1696</v>
      </c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8"/>
      <c r="M448" s="16"/>
      <c r="N448" s="16"/>
      <c r="O448" s="23"/>
      <c r="P448" s="18"/>
      <c r="Q448" s="23"/>
      <c r="R448" s="23"/>
      <c r="S448" s="24"/>
      <c r="T448" s="16"/>
      <c r="U448" s="18"/>
      <c r="V448" s="16"/>
      <c r="W448" s="50" t="str">
        <f aca="true">IF(P448="","",TODAY()-P448)</f>
        <v/>
      </c>
      <c r="X448" s="51" t="str">
        <f aca="true">IF(D448="","",IF(AND(U448&lt;&gt;"",U448&lt;TODAY()),"Follow-up overdue",IF(AND(W448&lt;&gt;"",W448&gt;60),"No order 60+ days","OK")))</f>
        <v/>
      </c>
    </row>
    <row r="449" customFormat="false" ht="15" hidden="false" customHeight="false" outlineLevel="0" collapsed="false">
      <c r="A449" s="16" t="s">
        <v>1697</v>
      </c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8"/>
      <c r="M449" s="16"/>
      <c r="N449" s="16"/>
      <c r="O449" s="23"/>
      <c r="P449" s="18"/>
      <c r="Q449" s="23"/>
      <c r="R449" s="23"/>
      <c r="S449" s="24"/>
      <c r="T449" s="16"/>
      <c r="U449" s="18"/>
      <c r="V449" s="16"/>
      <c r="W449" s="50" t="str">
        <f aca="true">IF(P449="","",TODAY()-P449)</f>
        <v/>
      </c>
      <c r="X449" s="51" t="str">
        <f aca="true">IF(D449="","",IF(AND(U449&lt;&gt;"",U449&lt;TODAY()),"Follow-up overdue",IF(AND(W449&lt;&gt;"",W449&gt;60),"No order 60+ days","OK")))</f>
        <v/>
      </c>
    </row>
    <row r="450" customFormat="false" ht="15" hidden="false" customHeight="false" outlineLevel="0" collapsed="false">
      <c r="A450" s="16" t="s">
        <v>1698</v>
      </c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8"/>
      <c r="M450" s="16"/>
      <c r="N450" s="16"/>
      <c r="O450" s="23"/>
      <c r="P450" s="18"/>
      <c r="Q450" s="23"/>
      <c r="R450" s="23"/>
      <c r="S450" s="24"/>
      <c r="T450" s="16"/>
      <c r="U450" s="18"/>
      <c r="V450" s="16"/>
      <c r="W450" s="50" t="str">
        <f aca="true">IF(P450="","",TODAY()-P450)</f>
        <v/>
      </c>
      <c r="X450" s="51" t="str">
        <f aca="true">IF(D450="","",IF(AND(U450&lt;&gt;"",U450&lt;TODAY()),"Follow-up overdue",IF(AND(W450&lt;&gt;"",W450&gt;60),"No order 60+ days","OK")))</f>
        <v/>
      </c>
    </row>
    <row r="451" customFormat="false" ht="15" hidden="false" customHeight="false" outlineLevel="0" collapsed="false">
      <c r="A451" s="16" t="s">
        <v>1699</v>
      </c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8"/>
      <c r="M451" s="16"/>
      <c r="N451" s="16"/>
      <c r="O451" s="23"/>
      <c r="P451" s="18"/>
      <c r="Q451" s="23"/>
      <c r="R451" s="23"/>
      <c r="S451" s="24"/>
      <c r="T451" s="16"/>
      <c r="U451" s="18"/>
      <c r="V451" s="16"/>
      <c r="W451" s="50" t="str">
        <f aca="true">IF(P451="","",TODAY()-P451)</f>
        <v/>
      </c>
      <c r="X451" s="51" t="str">
        <f aca="true">IF(D451="","",IF(AND(U451&lt;&gt;"",U451&lt;TODAY()),"Follow-up overdue",IF(AND(W451&lt;&gt;"",W451&gt;60),"No order 60+ days","OK")))</f>
        <v/>
      </c>
    </row>
    <row r="452" customFormat="false" ht="15" hidden="false" customHeight="false" outlineLevel="0" collapsed="false">
      <c r="A452" s="16" t="s">
        <v>1700</v>
      </c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8"/>
      <c r="M452" s="16"/>
      <c r="N452" s="16"/>
      <c r="O452" s="23"/>
      <c r="P452" s="18"/>
      <c r="Q452" s="23"/>
      <c r="R452" s="23"/>
      <c r="S452" s="24"/>
      <c r="T452" s="16"/>
      <c r="U452" s="18"/>
      <c r="V452" s="16"/>
      <c r="W452" s="50" t="str">
        <f aca="true">IF(P452="","",TODAY()-P452)</f>
        <v/>
      </c>
      <c r="X452" s="51" t="str">
        <f aca="true">IF(D452="","",IF(AND(U452&lt;&gt;"",U452&lt;TODAY()),"Follow-up overdue",IF(AND(W452&lt;&gt;"",W452&gt;60),"No order 60+ days","OK")))</f>
        <v/>
      </c>
    </row>
    <row r="453" customFormat="false" ht="15" hidden="false" customHeight="false" outlineLevel="0" collapsed="false">
      <c r="A453" s="16" t="s">
        <v>1701</v>
      </c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8"/>
      <c r="M453" s="16"/>
      <c r="N453" s="16"/>
      <c r="O453" s="23"/>
      <c r="P453" s="18"/>
      <c r="Q453" s="23"/>
      <c r="R453" s="23"/>
      <c r="S453" s="24"/>
      <c r="T453" s="16"/>
      <c r="U453" s="18"/>
      <c r="V453" s="16"/>
      <c r="W453" s="50" t="str">
        <f aca="true">IF(P453="","",TODAY()-P453)</f>
        <v/>
      </c>
      <c r="X453" s="51" t="str">
        <f aca="true">IF(D453="","",IF(AND(U453&lt;&gt;"",U453&lt;TODAY()),"Follow-up overdue",IF(AND(W453&lt;&gt;"",W453&gt;60),"No order 60+ days","OK")))</f>
        <v/>
      </c>
    </row>
    <row r="454" customFormat="false" ht="15" hidden="false" customHeight="false" outlineLevel="0" collapsed="false">
      <c r="A454" s="16" t="s">
        <v>1702</v>
      </c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8"/>
      <c r="M454" s="16"/>
      <c r="N454" s="16"/>
      <c r="O454" s="23"/>
      <c r="P454" s="18"/>
      <c r="Q454" s="23"/>
      <c r="R454" s="23"/>
      <c r="S454" s="24"/>
      <c r="T454" s="16"/>
      <c r="U454" s="18"/>
      <c r="V454" s="16"/>
      <c r="W454" s="50" t="str">
        <f aca="true">IF(P454="","",TODAY()-P454)</f>
        <v/>
      </c>
      <c r="X454" s="51" t="str">
        <f aca="true">IF(D454="","",IF(AND(U454&lt;&gt;"",U454&lt;TODAY()),"Follow-up overdue",IF(AND(W454&lt;&gt;"",W454&gt;60),"No order 60+ days","OK")))</f>
        <v/>
      </c>
    </row>
    <row r="455" customFormat="false" ht="15" hidden="false" customHeight="false" outlineLevel="0" collapsed="false">
      <c r="A455" s="16" t="s">
        <v>1703</v>
      </c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8"/>
      <c r="M455" s="16"/>
      <c r="N455" s="16"/>
      <c r="O455" s="23"/>
      <c r="P455" s="18"/>
      <c r="Q455" s="23"/>
      <c r="R455" s="23"/>
      <c r="S455" s="24"/>
      <c r="T455" s="16"/>
      <c r="U455" s="18"/>
      <c r="V455" s="16"/>
      <c r="W455" s="50" t="str">
        <f aca="true">IF(P455="","",TODAY()-P455)</f>
        <v/>
      </c>
      <c r="X455" s="51" t="str">
        <f aca="true">IF(D455="","",IF(AND(U455&lt;&gt;"",U455&lt;TODAY()),"Follow-up overdue",IF(AND(W455&lt;&gt;"",W455&gt;60),"No order 60+ days","OK")))</f>
        <v/>
      </c>
    </row>
    <row r="456" customFormat="false" ht="15" hidden="false" customHeight="false" outlineLevel="0" collapsed="false">
      <c r="A456" s="16" t="s">
        <v>1704</v>
      </c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8"/>
      <c r="M456" s="16"/>
      <c r="N456" s="16"/>
      <c r="O456" s="23"/>
      <c r="P456" s="18"/>
      <c r="Q456" s="23"/>
      <c r="R456" s="23"/>
      <c r="S456" s="24"/>
      <c r="T456" s="16"/>
      <c r="U456" s="18"/>
      <c r="V456" s="16"/>
      <c r="W456" s="50" t="str">
        <f aca="true">IF(P456="","",TODAY()-P456)</f>
        <v/>
      </c>
      <c r="X456" s="51" t="str">
        <f aca="true">IF(D456="","",IF(AND(U456&lt;&gt;"",U456&lt;TODAY()),"Follow-up overdue",IF(AND(W456&lt;&gt;"",W456&gt;60),"No order 60+ days","OK")))</f>
        <v/>
      </c>
    </row>
    <row r="457" customFormat="false" ht="15" hidden="false" customHeight="false" outlineLevel="0" collapsed="false">
      <c r="A457" s="16" t="s">
        <v>1705</v>
      </c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8"/>
      <c r="M457" s="16"/>
      <c r="N457" s="16"/>
      <c r="O457" s="23"/>
      <c r="P457" s="18"/>
      <c r="Q457" s="23"/>
      <c r="R457" s="23"/>
      <c r="S457" s="24"/>
      <c r="T457" s="16"/>
      <c r="U457" s="18"/>
      <c r="V457" s="16"/>
      <c r="W457" s="50" t="str">
        <f aca="true">IF(P457="","",TODAY()-P457)</f>
        <v/>
      </c>
      <c r="X457" s="51" t="str">
        <f aca="true">IF(D457="","",IF(AND(U457&lt;&gt;"",U457&lt;TODAY()),"Follow-up overdue",IF(AND(W457&lt;&gt;"",W457&gt;60),"No order 60+ days","OK")))</f>
        <v/>
      </c>
    </row>
    <row r="458" customFormat="false" ht="15" hidden="false" customHeight="false" outlineLevel="0" collapsed="false">
      <c r="A458" s="16" t="s">
        <v>1706</v>
      </c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8"/>
      <c r="M458" s="16"/>
      <c r="N458" s="16"/>
      <c r="O458" s="23"/>
      <c r="P458" s="18"/>
      <c r="Q458" s="23"/>
      <c r="R458" s="23"/>
      <c r="S458" s="24"/>
      <c r="T458" s="16"/>
      <c r="U458" s="18"/>
      <c r="V458" s="16"/>
      <c r="W458" s="50" t="str">
        <f aca="true">IF(P458="","",TODAY()-P458)</f>
        <v/>
      </c>
      <c r="X458" s="51" t="str">
        <f aca="true">IF(D458="","",IF(AND(U458&lt;&gt;"",U458&lt;TODAY()),"Follow-up overdue",IF(AND(W458&lt;&gt;"",W458&gt;60),"No order 60+ days","OK")))</f>
        <v/>
      </c>
    </row>
    <row r="459" customFormat="false" ht="15" hidden="false" customHeight="false" outlineLevel="0" collapsed="false">
      <c r="A459" s="16" t="s">
        <v>1707</v>
      </c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8"/>
      <c r="M459" s="16"/>
      <c r="N459" s="16"/>
      <c r="O459" s="23"/>
      <c r="P459" s="18"/>
      <c r="Q459" s="23"/>
      <c r="R459" s="23"/>
      <c r="S459" s="24"/>
      <c r="T459" s="16"/>
      <c r="U459" s="18"/>
      <c r="V459" s="16"/>
      <c r="W459" s="50" t="str">
        <f aca="true">IF(P459="","",TODAY()-P459)</f>
        <v/>
      </c>
      <c r="X459" s="51" t="str">
        <f aca="true">IF(D459="","",IF(AND(U459&lt;&gt;"",U459&lt;TODAY()),"Follow-up overdue",IF(AND(W459&lt;&gt;"",W459&gt;60),"No order 60+ days","OK")))</f>
        <v/>
      </c>
    </row>
    <row r="460" customFormat="false" ht="15" hidden="false" customHeight="false" outlineLevel="0" collapsed="false">
      <c r="A460" s="16" t="s">
        <v>1708</v>
      </c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8"/>
      <c r="M460" s="16"/>
      <c r="N460" s="16"/>
      <c r="O460" s="23"/>
      <c r="P460" s="18"/>
      <c r="Q460" s="23"/>
      <c r="R460" s="23"/>
      <c r="S460" s="24"/>
      <c r="T460" s="16"/>
      <c r="U460" s="18"/>
      <c r="V460" s="16"/>
      <c r="W460" s="50" t="str">
        <f aca="true">IF(P460="","",TODAY()-P460)</f>
        <v/>
      </c>
      <c r="X460" s="51" t="str">
        <f aca="true">IF(D460="","",IF(AND(U460&lt;&gt;"",U460&lt;TODAY()),"Follow-up overdue",IF(AND(W460&lt;&gt;"",W460&gt;60),"No order 60+ days","OK")))</f>
        <v/>
      </c>
    </row>
    <row r="461" customFormat="false" ht="15" hidden="false" customHeight="false" outlineLevel="0" collapsed="false">
      <c r="A461" s="16" t="s">
        <v>1709</v>
      </c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8"/>
      <c r="M461" s="16"/>
      <c r="N461" s="16"/>
      <c r="O461" s="23"/>
      <c r="P461" s="18"/>
      <c r="Q461" s="23"/>
      <c r="R461" s="23"/>
      <c r="S461" s="24"/>
      <c r="T461" s="16"/>
      <c r="U461" s="18"/>
      <c r="V461" s="16"/>
      <c r="W461" s="50" t="str">
        <f aca="true">IF(P461="","",TODAY()-P461)</f>
        <v/>
      </c>
      <c r="X461" s="51" t="str">
        <f aca="true">IF(D461="","",IF(AND(U461&lt;&gt;"",U461&lt;TODAY()),"Follow-up overdue",IF(AND(W461&lt;&gt;"",W461&gt;60),"No order 60+ days","OK")))</f>
        <v/>
      </c>
    </row>
    <row r="462" customFormat="false" ht="15" hidden="false" customHeight="false" outlineLevel="0" collapsed="false">
      <c r="A462" s="16" t="s">
        <v>1710</v>
      </c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8"/>
      <c r="M462" s="16"/>
      <c r="N462" s="16"/>
      <c r="O462" s="23"/>
      <c r="P462" s="18"/>
      <c r="Q462" s="23"/>
      <c r="R462" s="23"/>
      <c r="S462" s="24"/>
      <c r="T462" s="16"/>
      <c r="U462" s="18"/>
      <c r="V462" s="16"/>
      <c r="W462" s="50" t="str">
        <f aca="true">IF(P462="","",TODAY()-P462)</f>
        <v/>
      </c>
      <c r="X462" s="51" t="str">
        <f aca="true">IF(D462="","",IF(AND(U462&lt;&gt;"",U462&lt;TODAY()),"Follow-up overdue",IF(AND(W462&lt;&gt;"",W462&gt;60),"No order 60+ days","OK")))</f>
        <v/>
      </c>
    </row>
    <row r="463" customFormat="false" ht="15" hidden="false" customHeight="false" outlineLevel="0" collapsed="false">
      <c r="A463" s="16" t="s">
        <v>1711</v>
      </c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8"/>
      <c r="M463" s="16"/>
      <c r="N463" s="16"/>
      <c r="O463" s="23"/>
      <c r="P463" s="18"/>
      <c r="Q463" s="23"/>
      <c r="R463" s="23"/>
      <c r="S463" s="24"/>
      <c r="T463" s="16"/>
      <c r="U463" s="18"/>
      <c r="V463" s="16"/>
      <c r="W463" s="50" t="str">
        <f aca="true">IF(P463="","",TODAY()-P463)</f>
        <v/>
      </c>
      <c r="X463" s="51" t="str">
        <f aca="true">IF(D463="","",IF(AND(U463&lt;&gt;"",U463&lt;TODAY()),"Follow-up overdue",IF(AND(W463&lt;&gt;"",W463&gt;60),"No order 60+ days","OK")))</f>
        <v/>
      </c>
    </row>
    <row r="464" customFormat="false" ht="15" hidden="false" customHeight="false" outlineLevel="0" collapsed="false">
      <c r="A464" s="16" t="s">
        <v>1712</v>
      </c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8"/>
      <c r="M464" s="16"/>
      <c r="N464" s="16"/>
      <c r="O464" s="23"/>
      <c r="P464" s="18"/>
      <c r="Q464" s="23"/>
      <c r="R464" s="23"/>
      <c r="S464" s="24"/>
      <c r="T464" s="16"/>
      <c r="U464" s="18"/>
      <c r="V464" s="16"/>
      <c r="W464" s="50" t="str">
        <f aca="true">IF(P464="","",TODAY()-P464)</f>
        <v/>
      </c>
      <c r="X464" s="51" t="str">
        <f aca="true">IF(D464="","",IF(AND(U464&lt;&gt;"",U464&lt;TODAY()),"Follow-up overdue",IF(AND(W464&lt;&gt;"",W464&gt;60),"No order 60+ days","OK")))</f>
        <v/>
      </c>
    </row>
    <row r="465" customFormat="false" ht="15" hidden="false" customHeight="false" outlineLevel="0" collapsed="false">
      <c r="A465" s="16" t="s">
        <v>1713</v>
      </c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8"/>
      <c r="M465" s="16"/>
      <c r="N465" s="16"/>
      <c r="O465" s="23"/>
      <c r="P465" s="18"/>
      <c r="Q465" s="23"/>
      <c r="R465" s="23"/>
      <c r="S465" s="24"/>
      <c r="T465" s="16"/>
      <c r="U465" s="18"/>
      <c r="V465" s="16"/>
      <c r="W465" s="50" t="str">
        <f aca="true">IF(P465="","",TODAY()-P465)</f>
        <v/>
      </c>
      <c r="X465" s="51" t="str">
        <f aca="true">IF(D465="","",IF(AND(U465&lt;&gt;"",U465&lt;TODAY()),"Follow-up overdue",IF(AND(W465&lt;&gt;"",W465&gt;60),"No order 60+ days","OK")))</f>
        <v/>
      </c>
    </row>
    <row r="466" customFormat="false" ht="15" hidden="false" customHeight="false" outlineLevel="0" collapsed="false">
      <c r="A466" s="16" t="s">
        <v>1714</v>
      </c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8"/>
      <c r="M466" s="16"/>
      <c r="N466" s="16"/>
      <c r="O466" s="23"/>
      <c r="P466" s="18"/>
      <c r="Q466" s="23"/>
      <c r="R466" s="23"/>
      <c r="S466" s="24"/>
      <c r="T466" s="16"/>
      <c r="U466" s="18"/>
      <c r="V466" s="16"/>
      <c r="W466" s="50" t="str">
        <f aca="true">IF(P466="","",TODAY()-P466)</f>
        <v/>
      </c>
      <c r="X466" s="51" t="str">
        <f aca="true">IF(D466="","",IF(AND(U466&lt;&gt;"",U466&lt;TODAY()),"Follow-up overdue",IF(AND(W466&lt;&gt;"",W466&gt;60),"No order 60+ days","OK")))</f>
        <v/>
      </c>
    </row>
    <row r="467" customFormat="false" ht="15" hidden="false" customHeight="false" outlineLevel="0" collapsed="false">
      <c r="A467" s="16" t="s">
        <v>1715</v>
      </c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8"/>
      <c r="M467" s="16"/>
      <c r="N467" s="16"/>
      <c r="O467" s="23"/>
      <c r="P467" s="18"/>
      <c r="Q467" s="23"/>
      <c r="R467" s="23"/>
      <c r="S467" s="24"/>
      <c r="T467" s="16"/>
      <c r="U467" s="18"/>
      <c r="V467" s="16"/>
      <c r="W467" s="50" t="str">
        <f aca="true">IF(P467="","",TODAY()-P467)</f>
        <v/>
      </c>
      <c r="X467" s="51" t="str">
        <f aca="true">IF(D467="","",IF(AND(U467&lt;&gt;"",U467&lt;TODAY()),"Follow-up overdue",IF(AND(W467&lt;&gt;"",W467&gt;60),"No order 60+ days","OK")))</f>
        <v/>
      </c>
    </row>
    <row r="468" customFormat="false" ht="15" hidden="false" customHeight="false" outlineLevel="0" collapsed="false">
      <c r="A468" s="16" t="s">
        <v>1716</v>
      </c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8"/>
      <c r="M468" s="16"/>
      <c r="N468" s="16"/>
      <c r="O468" s="23"/>
      <c r="P468" s="18"/>
      <c r="Q468" s="23"/>
      <c r="R468" s="23"/>
      <c r="S468" s="24"/>
      <c r="T468" s="16"/>
      <c r="U468" s="18"/>
      <c r="V468" s="16"/>
      <c r="W468" s="50" t="str">
        <f aca="true">IF(P468="","",TODAY()-P468)</f>
        <v/>
      </c>
      <c r="X468" s="51" t="str">
        <f aca="true">IF(D468="","",IF(AND(U468&lt;&gt;"",U468&lt;TODAY()),"Follow-up overdue",IF(AND(W468&lt;&gt;"",W468&gt;60),"No order 60+ days","OK")))</f>
        <v/>
      </c>
    </row>
    <row r="469" customFormat="false" ht="15" hidden="false" customHeight="false" outlineLevel="0" collapsed="false">
      <c r="A469" s="16" t="s">
        <v>1717</v>
      </c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8"/>
      <c r="M469" s="16"/>
      <c r="N469" s="16"/>
      <c r="O469" s="23"/>
      <c r="P469" s="18"/>
      <c r="Q469" s="23"/>
      <c r="R469" s="23"/>
      <c r="S469" s="24"/>
      <c r="T469" s="16"/>
      <c r="U469" s="18"/>
      <c r="V469" s="16"/>
      <c r="W469" s="50" t="str">
        <f aca="true">IF(P469="","",TODAY()-P469)</f>
        <v/>
      </c>
      <c r="X469" s="51" t="str">
        <f aca="true">IF(D469="","",IF(AND(U469&lt;&gt;"",U469&lt;TODAY()),"Follow-up overdue",IF(AND(W469&lt;&gt;"",W469&gt;60),"No order 60+ days","OK")))</f>
        <v/>
      </c>
    </row>
    <row r="470" customFormat="false" ht="15" hidden="false" customHeight="false" outlineLevel="0" collapsed="false">
      <c r="A470" s="16" t="s">
        <v>1718</v>
      </c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8"/>
      <c r="M470" s="16"/>
      <c r="N470" s="16"/>
      <c r="O470" s="23"/>
      <c r="P470" s="18"/>
      <c r="Q470" s="23"/>
      <c r="R470" s="23"/>
      <c r="S470" s="24"/>
      <c r="T470" s="16"/>
      <c r="U470" s="18"/>
      <c r="V470" s="16"/>
      <c r="W470" s="50" t="str">
        <f aca="true">IF(P470="","",TODAY()-P470)</f>
        <v/>
      </c>
      <c r="X470" s="51" t="str">
        <f aca="true">IF(D470="","",IF(AND(U470&lt;&gt;"",U470&lt;TODAY()),"Follow-up overdue",IF(AND(W470&lt;&gt;"",W470&gt;60),"No order 60+ days","OK")))</f>
        <v/>
      </c>
    </row>
    <row r="471" customFormat="false" ht="15" hidden="false" customHeight="false" outlineLevel="0" collapsed="false">
      <c r="A471" s="16" t="s">
        <v>1719</v>
      </c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8"/>
      <c r="M471" s="16"/>
      <c r="N471" s="16"/>
      <c r="O471" s="23"/>
      <c r="P471" s="18"/>
      <c r="Q471" s="23"/>
      <c r="R471" s="23"/>
      <c r="S471" s="24"/>
      <c r="T471" s="16"/>
      <c r="U471" s="18"/>
      <c r="V471" s="16"/>
      <c r="W471" s="50" t="str">
        <f aca="true">IF(P471="","",TODAY()-P471)</f>
        <v/>
      </c>
      <c r="X471" s="51" t="str">
        <f aca="true">IF(D471="","",IF(AND(U471&lt;&gt;"",U471&lt;TODAY()),"Follow-up overdue",IF(AND(W471&lt;&gt;"",W471&gt;60),"No order 60+ days","OK")))</f>
        <v/>
      </c>
    </row>
    <row r="472" customFormat="false" ht="15" hidden="false" customHeight="false" outlineLevel="0" collapsed="false">
      <c r="A472" s="16" t="s">
        <v>1720</v>
      </c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8"/>
      <c r="M472" s="16"/>
      <c r="N472" s="16"/>
      <c r="O472" s="23"/>
      <c r="P472" s="18"/>
      <c r="Q472" s="23"/>
      <c r="R472" s="23"/>
      <c r="S472" s="24"/>
      <c r="T472" s="16"/>
      <c r="U472" s="18"/>
      <c r="V472" s="16"/>
      <c r="W472" s="50" t="str">
        <f aca="true">IF(P472="","",TODAY()-P472)</f>
        <v/>
      </c>
      <c r="X472" s="51" t="str">
        <f aca="true">IF(D472="","",IF(AND(U472&lt;&gt;"",U472&lt;TODAY()),"Follow-up overdue",IF(AND(W472&lt;&gt;"",W472&gt;60),"No order 60+ days","OK")))</f>
        <v/>
      </c>
    </row>
    <row r="473" customFormat="false" ht="15" hidden="false" customHeight="false" outlineLevel="0" collapsed="false">
      <c r="A473" s="16" t="s">
        <v>1721</v>
      </c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8"/>
      <c r="M473" s="16"/>
      <c r="N473" s="16"/>
      <c r="O473" s="23"/>
      <c r="P473" s="18"/>
      <c r="Q473" s="23"/>
      <c r="R473" s="23"/>
      <c r="S473" s="24"/>
      <c r="T473" s="16"/>
      <c r="U473" s="18"/>
      <c r="V473" s="16"/>
      <c r="W473" s="50" t="str">
        <f aca="true">IF(P473="","",TODAY()-P473)</f>
        <v/>
      </c>
      <c r="X473" s="51" t="str">
        <f aca="true">IF(D473="","",IF(AND(U473&lt;&gt;"",U473&lt;TODAY()),"Follow-up overdue",IF(AND(W473&lt;&gt;"",W473&gt;60),"No order 60+ days","OK")))</f>
        <v/>
      </c>
    </row>
    <row r="474" customFormat="false" ht="15" hidden="false" customHeight="false" outlineLevel="0" collapsed="false">
      <c r="A474" s="16" t="s">
        <v>1722</v>
      </c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8"/>
      <c r="M474" s="16"/>
      <c r="N474" s="16"/>
      <c r="O474" s="23"/>
      <c r="P474" s="18"/>
      <c r="Q474" s="23"/>
      <c r="R474" s="23"/>
      <c r="S474" s="24"/>
      <c r="T474" s="16"/>
      <c r="U474" s="18"/>
      <c r="V474" s="16"/>
      <c r="W474" s="50" t="str">
        <f aca="true">IF(P474="","",TODAY()-P474)</f>
        <v/>
      </c>
      <c r="X474" s="51" t="str">
        <f aca="true">IF(D474="","",IF(AND(U474&lt;&gt;"",U474&lt;TODAY()),"Follow-up overdue",IF(AND(W474&lt;&gt;"",W474&gt;60),"No order 60+ days","OK")))</f>
        <v/>
      </c>
    </row>
    <row r="475" customFormat="false" ht="15" hidden="false" customHeight="false" outlineLevel="0" collapsed="false">
      <c r="A475" s="16" t="s">
        <v>1723</v>
      </c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8"/>
      <c r="M475" s="16"/>
      <c r="N475" s="16"/>
      <c r="O475" s="23"/>
      <c r="P475" s="18"/>
      <c r="Q475" s="23"/>
      <c r="R475" s="23"/>
      <c r="S475" s="24"/>
      <c r="T475" s="16"/>
      <c r="U475" s="18"/>
      <c r="V475" s="16"/>
      <c r="W475" s="50" t="str">
        <f aca="true">IF(P475="","",TODAY()-P475)</f>
        <v/>
      </c>
      <c r="X475" s="51" t="str">
        <f aca="true">IF(D475="","",IF(AND(U475&lt;&gt;"",U475&lt;TODAY()),"Follow-up overdue",IF(AND(W475&lt;&gt;"",W475&gt;60),"No order 60+ days","OK")))</f>
        <v/>
      </c>
    </row>
    <row r="476" customFormat="false" ht="15" hidden="false" customHeight="false" outlineLevel="0" collapsed="false">
      <c r="A476" s="16" t="s">
        <v>1724</v>
      </c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8"/>
      <c r="M476" s="16"/>
      <c r="N476" s="16"/>
      <c r="O476" s="23"/>
      <c r="P476" s="18"/>
      <c r="Q476" s="23"/>
      <c r="R476" s="23"/>
      <c r="S476" s="24"/>
      <c r="T476" s="16"/>
      <c r="U476" s="18"/>
      <c r="V476" s="16"/>
      <c r="W476" s="50" t="str">
        <f aca="true">IF(P476="","",TODAY()-P476)</f>
        <v/>
      </c>
      <c r="X476" s="51" t="str">
        <f aca="true">IF(D476="","",IF(AND(U476&lt;&gt;"",U476&lt;TODAY()),"Follow-up overdue",IF(AND(W476&lt;&gt;"",W476&gt;60),"No order 60+ days","OK")))</f>
        <v/>
      </c>
    </row>
    <row r="477" customFormat="false" ht="15" hidden="false" customHeight="false" outlineLevel="0" collapsed="false">
      <c r="A477" s="16" t="s">
        <v>1725</v>
      </c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8"/>
      <c r="M477" s="16"/>
      <c r="N477" s="16"/>
      <c r="O477" s="23"/>
      <c r="P477" s="18"/>
      <c r="Q477" s="23"/>
      <c r="R477" s="23"/>
      <c r="S477" s="24"/>
      <c r="T477" s="16"/>
      <c r="U477" s="18"/>
      <c r="V477" s="16"/>
      <c r="W477" s="50" t="str">
        <f aca="true">IF(P477="","",TODAY()-P477)</f>
        <v/>
      </c>
      <c r="X477" s="51" t="str">
        <f aca="true">IF(D477="","",IF(AND(U477&lt;&gt;"",U477&lt;TODAY()),"Follow-up overdue",IF(AND(W477&lt;&gt;"",W477&gt;60),"No order 60+ days","OK")))</f>
        <v/>
      </c>
    </row>
    <row r="478" customFormat="false" ht="15" hidden="false" customHeight="false" outlineLevel="0" collapsed="false">
      <c r="A478" s="16" t="s">
        <v>1726</v>
      </c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8"/>
      <c r="M478" s="16"/>
      <c r="N478" s="16"/>
      <c r="O478" s="23"/>
      <c r="P478" s="18"/>
      <c r="Q478" s="23"/>
      <c r="R478" s="23"/>
      <c r="S478" s="24"/>
      <c r="T478" s="16"/>
      <c r="U478" s="18"/>
      <c r="V478" s="16"/>
      <c r="W478" s="50" t="str">
        <f aca="true">IF(P478="","",TODAY()-P478)</f>
        <v/>
      </c>
      <c r="X478" s="51" t="str">
        <f aca="true">IF(D478="","",IF(AND(U478&lt;&gt;"",U478&lt;TODAY()),"Follow-up overdue",IF(AND(W478&lt;&gt;"",W478&gt;60),"No order 60+ days","OK")))</f>
        <v/>
      </c>
    </row>
    <row r="479" customFormat="false" ht="15" hidden="false" customHeight="false" outlineLevel="0" collapsed="false">
      <c r="A479" s="16" t="s">
        <v>1727</v>
      </c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8"/>
      <c r="M479" s="16"/>
      <c r="N479" s="16"/>
      <c r="O479" s="23"/>
      <c r="P479" s="18"/>
      <c r="Q479" s="23"/>
      <c r="R479" s="23"/>
      <c r="S479" s="24"/>
      <c r="T479" s="16"/>
      <c r="U479" s="18"/>
      <c r="V479" s="16"/>
      <c r="W479" s="50" t="str">
        <f aca="true">IF(P479="","",TODAY()-P479)</f>
        <v/>
      </c>
      <c r="X479" s="51" t="str">
        <f aca="true">IF(D479="","",IF(AND(U479&lt;&gt;"",U479&lt;TODAY()),"Follow-up overdue",IF(AND(W479&lt;&gt;"",W479&gt;60),"No order 60+ days","OK")))</f>
        <v/>
      </c>
    </row>
    <row r="480" customFormat="false" ht="15" hidden="false" customHeight="false" outlineLevel="0" collapsed="false">
      <c r="A480" s="16" t="s">
        <v>1728</v>
      </c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8"/>
      <c r="M480" s="16"/>
      <c r="N480" s="16"/>
      <c r="O480" s="23"/>
      <c r="P480" s="18"/>
      <c r="Q480" s="23"/>
      <c r="R480" s="23"/>
      <c r="S480" s="24"/>
      <c r="T480" s="16"/>
      <c r="U480" s="18"/>
      <c r="V480" s="16"/>
      <c r="W480" s="50" t="str">
        <f aca="true">IF(P480="","",TODAY()-P480)</f>
        <v/>
      </c>
      <c r="X480" s="51" t="str">
        <f aca="true">IF(D480="","",IF(AND(U480&lt;&gt;"",U480&lt;TODAY()),"Follow-up overdue",IF(AND(W480&lt;&gt;"",W480&gt;60),"No order 60+ days","OK")))</f>
        <v/>
      </c>
    </row>
    <row r="481" customFormat="false" ht="15" hidden="false" customHeight="false" outlineLevel="0" collapsed="false">
      <c r="A481" s="16" t="s">
        <v>1729</v>
      </c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8"/>
      <c r="M481" s="16"/>
      <c r="N481" s="16"/>
      <c r="O481" s="23"/>
      <c r="P481" s="18"/>
      <c r="Q481" s="23"/>
      <c r="R481" s="23"/>
      <c r="S481" s="24"/>
      <c r="T481" s="16"/>
      <c r="U481" s="18"/>
      <c r="V481" s="16"/>
      <c r="W481" s="50" t="str">
        <f aca="true">IF(P481="","",TODAY()-P481)</f>
        <v/>
      </c>
      <c r="X481" s="51" t="str">
        <f aca="true">IF(D481="","",IF(AND(U481&lt;&gt;"",U481&lt;TODAY()),"Follow-up overdue",IF(AND(W481&lt;&gt;"",W481&gt;60),"No order 60+ days","OK")))</f>
        <v/>
      </c>
    </row>
    <row r="482" customFormat="false" ht="15" hidden="false" customHeight="false" outlineLevel="0" collapsed="false">
      <c r="A482" s="16" t="s">
        <v>1730</v>
      </c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8"/>
      <c r="M482" s="16"/>
      <c r="N482" s="16"/>
      <c r="O482" s="23"/>
      <c r="P482" s="18"/>
      <c r="Q482" s="23"/>
      <c r="R482" s="23"/>
      <c r="S482" s="24"/>
      <c r="T482" s="16"/>
      <c r="U482" s="18"/>
      <c r="V482" s="16"/>
      <c r="W482" s="50" t="str">
        <f aca="true">IF(P482="","",TODAY()-P482)</f>
        <v/>
      </c>
      <c r="X482" s="51" t="str">
        <f aca="true">IF(D482="","",IF(AND(U482&lt;&gt;"",U482&lt;TODAY()),"Follow-up overdue",IF(AND(W482&lt;&gt;"",W482&gt;60),"No order 60+ days","OK")))</f>
        <v/>
      </c>
    </row>
    <row r="483" customFormat="false" ht="15" hidden="false" customHeight="false" outlineLevel="0" collapsed="false">
      <c r="A483" s="16" t="s">
        <v>1731</v>
      </c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8"/>
      <c r="M483" s="16"/>
      <c r="N483" s="16"/>
      <c r="O483" s="23"/>
      <c r="P483" s="18"/>
      <c r="Q483" s="23"/>
      <c r="R483" s="23"/>
      <c r="S483" s="24"/>
      <c r="T483" s="16"/>
      <c r="U483" s="18"/>
      <c r="V483" s="16"/>
      <c r="W483" s="50" t="str">
        <f aca="true">IF(P483="","",TODAY()-P483)</f>
        <v/>
      </c>
      <c r="X483" s="51" t="str">
        <f aca="true">IF(D483="","",IF(AND(U483&lt;&gt;"",U483&lt;TODAY()),"Follow-up overdue",IF(AND(W483&lt;&gt;"",W483&gt;60),"No order 60+ days","OK")))</f>
        <v/>
      </c>
    </row>
    <row r="484" customFormat="false" ht="15" hidden="false" customHeight="false" outlineLevel="0" collapsed="false">
      <c r="A484" s="16" t="s">
        <v>1732</v>
      </c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8"/>
      <c r="M484" s="16"/>
      <c r="N484" s="16"/>
      <c r="O484" s="23"/>
      <c r="P484" s="18"/>
      <c r="Q484" s="23"/>
      <c r="R484" s="23"/>
      <c r="S484" s="24"/>
      <c r="T484" s="16"/>
      <c r="U484" s="18"/>
      <c r="V484" s="16"/>
      <c r="W484" s="50" t="str">
        <f aca="true">IF(P484="","",TODAY()-P484)</f>
        <v/>
      </c>
      <c r="X484" s="51" t="str">
        <f aca="true">IF(D484="","",IF(AND(U484&lt;&gt;"",U484&lt;TODAY()),"Follow-up overdue",IF(AND(W484&lt;&gt;"",W484&gt;60),"No order 60+ days","OK")))</f>
        <v/>
      </c>
    </row>
    <row r="485" customFormat="false" ht="15" hidden="false" customHeight="false" outlineLevel="0" collapsed="false">
      <c r="A485" s="16" t="s">
        <v>1733</v>
      </c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8"/>
      <c r="M485" s="16"/>
      <c r="N485" s="16"/>
      <c r="O485" s="23"/>
      <c r="P485" s="18"/>
      <c r="Q485" s="23"/>
      <c r="R485" s="23"/>
      <c r="S485" s="24"/>
      <c r="T485" s="16"/>
      <c r="U485" s="18"/>
      <c r="V485" s="16"/>
      <c r="W485" s="50" t="str">
        <f aca="true">IF(P485="","",TODAY()-P485)</f>
        <v/>
      </c>
      <c r="X485" s="51" t="str">
        <f aca="true">IF(D485="","",IF(AND(U485&lt;&gt;"",U485&lt;TODAY()),"Follow-up overdue",IF(AND(W485&lt;&gt;"",W485&gt;60),"No order 60+ days","OK")))</f>
        <v/>
      </c>
    </row>
    <row r="486" customFormat="false" ht="15" hidden="false" customHeight="false" outlineLevel="0" collapsed="false">
      <c r="A486" s="16" t="s">
        <v>1734</v>
      </c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8"/>
      <c r="M486" s="16"/>
      <c r="N486" s="16"/>
      <c r="O486" s="23"/>
      <c r="P486" s="18"/>
      <c r="Q486" s="23"/>
      <c r="R486" s="23"/>
      <c r="S486" s="24"/>
      <c r="T486" s="16"/>
      <c r="U486" s="18"/>
      <c r="V486" s="16"/>
      <c r="W486" s="50" t="str">
        <f aca="true">IF(P486="","",TODAY()-P486)</f>
        <v/>
      </c>
      <c r="X486" s="51" t="str">
        <f aca="true">IF(D486="","",IF(AND(U486&lt;&gt;"",U486&lt;TODAY()),"Follow-up overdue",IF(AND(W486&lt;&gt;"",W486&gt;60),"No order 60+ days","OK")))</f>
        <v/>
      </c>
    </row>
    <row r="487" customFormat="false" ht="15" hidden="false" customHeight="false" outlineLevel="0" collapsed="false">
      <c r="A487" s="16" t="s">
        <v>1735</v>
      </c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8"/>
      <c r="M487" s="16"/>
      <c r="N487" s="16"/>
      <c r="O487" s="23"/>
      <c r="P487" s="18"/>
      <c r="Q487" s="23"/>
      <c r="R487" s="23"/>
      <c r="S487" s="24"/>
      <c r="T487" s="16"/>
      <c r="U487" s="18"/>
      <c r="V487" s="16"/>
      <c r="W487" s="50" t="str">
        <f aca="true">IF(P487="","",TODAY()-P487)</f>
        <v/>
      </c>
      <c r="X487" s="51" t="str">
        <f aca="true">IF(D487="","",IF(AND(U487&lt;&gt;"",U487&lt;TODAY()),"Follow-up overdue",IF(AND(W487&lt;&gt;"",W487&gt;60),"No order 60+ days","OK")))</f>
        <v/>
      </c>
    </row>
    <row r="488" customFormat="false" ht="15" hidden="false" customHeight="false" outlineLevel="0" collapsed="false">
      <c r="A488" s="16" t="s">
        <v>1736</v>
      </c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8"/>
      <c r="M488" s="16"/>
      <c r="N488" s="16"/>
      <c r="O488" s="23"/>
      <c r="P488" s="18"/>
      <c r="Q488" s="23"/>
      <c r="R488" s="23"/>
      <c r="S488" s="24"/>
      <c r="T488" s="16"/>
      <c r="U488" s="18"/>
      <c r="V488" s="16"/>
      <c r="W488" s="50" t="str">
        <f aca="true">IF(P488="","",TODAY()-P488)</f>
        <v/>
      </c>
      <c r="X488" s="51" t="str">
        <f aca="true">IF(D488="","",IF(AND(U488&lt;&gt;"",U488&lt;TODAY()),"Follow-up overdue",IF(AND(W488&lt;&gt;"",W488&gt;60),"No order 60+ days","OK")))</f>
        <v/>
      </c>
    </row>
    <row r="489" customFormat="false" ht="15" hidden="false" customHeight="false" outlineLevel="0" collapsed="false">
      <c r="A489" s="16" t="s">
        <v>1737</v>
      </c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8"/>
      <c r="M489" s="16"/>
      <c r="N489" s="16"/>
      <c r="O489" s="23"/>
      <c r="P489" s="18"/>
      <c r="Q489" s="23"/>
      <c r="R489" s="23"/>
      <c r="S489" s="24"/>
      <c r="T489" s="16"/>
      <c r="U489" s="18"/>
      <c r="V489" s="16"/>
      <c r="W489" s="50" t="str">
        <f aca="true">IF(P489="","",TODAY()-P489)</f>
        <v/>
      </c>
      <c r="X489" s="51" t="str">
        <f aca="true">IF(D489="","",IF(AND(U489&lt;&gt;"",U489&lt;TODAY()),"Follow-up overdue",IF(AND(W489&lt;&gt;"",W489&gt;60),"No order 60+ days","OK")))</f>
        <v/>
      </c>
    </row>
    <row r="490" customFormat="false" ht="15" hidden="false" customHeight="false" outlineLevel="0" collapsed="false">
      <c r="A490" s="16" t="s">
        <v>1738</v>
      </c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8"/>
      <c r="M490" s="16"/>
      <c r="N490" s="16"/>
      <c r="O490" s="23"/>
      <c r="P490" s="18"/>
      <c r="Q490" s="23"/>
      <c r="R490" s="23"/>
      <c r="S490" s="24"/>
      <c r="T490" s="16"/>
      <c r="U490" s="18"/>
      <c r="V490" s="16"/>
      <c r="W490" s="50" t="str">
        <f aca="true">IF(P490="","",TODAY()-P490)</f>
        <v/>
      </c>
      <c r="X490" s="51" t="str">
        <f aca="true">IF(D490="","",IF(AND(U490&lt;&gt;"",U490&lt;TODAY()),"Follow-up overdue",IF(AND(W490&lt;&gt;"",W490&gt;60),"No order 60+ days","OK")))</f>
        <v/>
      </c>
    </row>
    <row r="491" customFormat="false" ht="15" hidden="false" customHeight="false" outlineLevel="0" collapsed="false">
      <c r="A491" s="16" t="s">
        <v>1739</v>
      </c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8"/>
      <c r="M491" s="16"/>
      <c r="N491" s="16"/>
      <c r="O491" s="23"/>
      <c r="P491" s="18"/>
      <c r="Q491" s="23"/>
      <c r="R491" s="23"/>
      <c r="S491" s="24"/>
      <c r="T491" s="16"/>
      <c r="U491" s="18"/>
      <c r="V491" s="16"/>
      <c r="W491" s="50" t="str">
        <f aca="true">IF(P491="","",TODAY()-P491)</f>
        <v/>
      </c>
      <c r="X491" s="51" t="str">
        <f aca="true">IF(D491="","",IF(AND(U491&lt;&gt;"",U491&lt;TODAY()),"Follow-up overdue",IF(AND(W491&lt;&gt;"",W491&gt;60),"No order 60+ days","OK")))</f>
        <v/>
      </c>
    </row>
    <row r="492" customFormat="false" ht="15" hidden="false" customHeight="false" outlineLevel="0" collapsed="false">
      <c r="A492" s="16" t="s">
        <v>1740</v>
      </c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8"/>
      <c r="M492" s="16"/>
      <c r="N492" s="16"/>
      <c r="O492" s="23"/>
      <c r="P492" s="18"/>
      <c r="Q492" s="23"/>
      <c r="R492" s="23"/>
      <c r="S492" s="24"/>
      <c r="T492" s="16"/>
      <c r="U492" s="18"/>
      <c r="V492" s="16"/>
      <c r="W492" s="50" t="str">
        <f aca="true">IF(P492="","",TODAY()-P492)</f>
        <v/>
      </c>
      <c r="X492" s="51" t="str">
        <f aca="true">IF(D492="","",IF(AND(U492&lt;&gt;"",U492&lt;TODAY()),"Follow-up overdue",IF(AND(W492&lt;&gt;"",W492&gt;60),"No order 60+ days","OK")))</f>
        <v/>
      </c>
    </row>
    <row r="493" customFormat="false" ht="15" hidden="false" customHeight="false" outlineLevel="0" collapsed="false">
      <c r="A493" s="16" t="s">
        <v>1741</v>
      </c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8"/>
      <c r="M493" s="16"/>
      <c r="N493" s="16"/>
      <c r="O493" s="23"/>
      <c r="P493" s="18"/>
      <c r="Q493" s="23"/>
      <c r="R493" s="23"/>
      <c r="S493" s="24"/>
      <c r="T493" s="16"/>
      <c r="U493" s="18"/>
      <c r="V493" s="16"/>
      <c r="W493" s="50" t="str">
        <f aca="true">IF(P493="","",TODAY()-P493)</f>
        <v/>
      </c>
      <c r="X493" s="51" t="str">
        <f aca="true">IF(D493="","",IF(AND(U493&lt;&gt;"",U493&lt;TODAY()),"Follow-up overdue",IF(AND(W493&lt;&gt;"",W493&gt;60),"No order 60+ days","OK")))</f>
        <v/>
      </c>
    </row>
    <row r="494" customFormat="false" ht="15" hidden="false" customHeight="false" outlineLevel="0" collapsed="false">
      <c r="A494" s="16" t="s">
        <v>1742</v>
      </c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8"/>
      <c r="M494" s="16"/>
      <c r="N494" s="16"/>
      <c r="O494" s="23"/>
      <c r="P494" s="18"/>
      <c r="Q494" s="23"/>
      <c r="R494" s="23"/>
      <c r="S494" s="24"/>
      <c r="T494" s="16"/>
      <c r="U494" s="18"/>
      <c r="V494" s="16"/>
      <c r="W494" s="50" t="str">
        <f aca="true">IF(P494="","",TODAY()-P494)</f>
        <v/>
      </c>
      <c r="X494" s="51" t="str">
        <f aca="true">IF(D494="","",IF(AND(U494&lt;&gt;"",U494&lt;TODAY()),"Follow-up overdue",IF(AND(W494&lt;&gt;"",W494&gt;60),"No order 60+ days","OK")))</f>
        <v/>
      </c>
    </row>
    <row r="495" customFormat="false" ht="15" hidden="false" customHeight="false" outlineLevel="0" collapsed="false">
      <c r="A495" s="16" t="s">
        <v>1743</v>
      </c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8"/>
      <c r="M495" s="16"/>
      <c r="N495" s="16"/>
      <c r="O495" s="23"/>
      <c r="P495" s="18"/>
      <c r="Q495" s="23"/>
      <c r="R495" s="23"/>
      <c r="S495" s="24"/>
      <c r="T495" s="16"/>
      <c r="U495" s="18"/>
      <c r="V495" s="16"/>
      <c r="W495" s="50" t="str">
        <f aca="true">IF(P495="","",TODAY()-P495)</f>
        <v/>
      </c>
      <c r="X495" s="51" t="str">
        <f aca="true">IF(D495="","",IF(AND(U495&lt;&gt;"",U495&lt;TODAY()),"Follow-up overdue",IF(AND(W495&lt;&gt;"",W495&gt;60),"No order 60+ days","OK")))</f>
        <v/>
      </c>
    </row>
    <row r="496" customFormat="false" ht="15" hidden="false" customHeight="false" outlineLevel="0" collapsed="false">
      <c r="A496" s="16" t="s">
        <v>1744</v>
      </c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8"/>
      <c r="M496" s="16"/>
      <c r="N496" s="16"/>
      <c r="O496" s="23"/>
      <c r="P496" s="18"/>
      <c r="Q496" s="23"/>
      <c r="R496" s="23"/>
      <c r="S496" s="24"/>
      <c r="T496" s="16"/>
      <c r="U496" s="18"/>
      <c r="V496" s="16"/>
      <c r="W496" s="50" t="str">
        <f aca="true">IF(P496="","",TODAY()-P496)</f>
        <v/>
      </c>
      <c r="X496" s="51" t="str">
        <f aca="true">IF(D496="","",IF(AND(U496&lt;&gt;"",U496&lt;TODAY()),"Follow-up overdue",IF(AND(W496&lt;&gt;"",W496&gt;60),"No order 60+ days","OK")))</f>
        <v/>
      </c>
    </row>
    <row r="497" customFormat="false" ht="15" hidden="false" customHeight="false" outlineLevel="0" collapsed="false">
      <c r="A497" s="16" t="s">
        <v>1745</v>
      </c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8"/>
      <c r="M497" s="16"/>
      <c r="N497" s="16"/>
      <c r="O497" s="23"/>
      <c r="P497" s="18"/>
      <c r="Q497" s="23"/>
      <c r="R497" s="23"/>
      <c r="S497" s="24"/>
      <c r="T497" s="16"/>
      <c r="U497" s="18"/>
      <c r="V497" s="16"/>
      <c r="W497" s="50" t="str">
        <f aca="true">IF(P497="","",TODAY()-P497)</f>
        <v/>
      </c>
      <c r="X497" s="51" t="str">
        <f aca="true">IF(D497="","",IF(AND(U497&lt;&gt;"",U497&lt;TODAY()),"Follow-up overdue",IF(AND(W497&lt;&gt;"",W497&gt;60),"No order 60+ days","OK")))</f>
        <v/>
      </c>
    </row>
    <row r="498" customFormat="false" ht="15" hidden="false" customHeight="false" outlineLevel="0" collapsed="false">
      <c r="A498" s="16" t="s">
        <v>1746</v>
      </c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8"/>
      <c r="M498" s="16"/>
      <c r="N498" s="16"/>
      <c r="O498" s="23"/>
      <c r="P498" s="18"/>
      <c r="Q498" s="23"/>
      <c r="R498" s="23"/>
      <c r="S498" s="24"/>
      <c r="T498" s="16"/>
      <c r="U498" s="18"/>
      <c r="V498" s="16"/>
      <c r="W498" s="50" t="str">
        <f aca="true">IF(P498="","",TODAY()-P498)</f>
        <v/>
      </c>
      <c r="X498" s="51" t="str">
        <f aca="true">IF(D498="","",IF(AND(U498&lt;&gt;"",U498&lt;TODAY()),"Follow-up overdue",IF(AND(W498&lt;&gt;"",W498&gt;60),"No order 60+ days","OK")))</f>
        <v/>
      </c>
    </row>
    <row r="499" customFormat="false" ht="15" hidden="false" customHeight="false" outlineLevel="0" collapsed="false">
      <c r="A499" s="16" t="s">
        <v>1747</v>
      </c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8"/>
      <c r="M499" s="16"/>
      <c r="N499" s="16"/>
      <c r="O499" s="23"/>
      <c r="P499" s="18"/>
      <c r="Q499" s="23"/>
      <c r="R499" s="23"/>
      <c r="S499" s="24"/>
      <c r="T499" s="16"/>
      <c r="U499" s="18"/>
      <c r="V499" s="16"/>
      <c r="W499" s="50" t="str">
        <f aca="true">IF(P499="","",TODAY()-P499)</f>
        <v/>
      </c>
      <c r="X499" s="51" t="str">
        <f aca="true">IF(D499="","",IF(AND(U499&lt;&gt;"",U499&lt;TODAY()),"Follow-up overdue",IF(AND(W499&lt;&gt;"",W499&gt;60),"No order 60+ days","OK")))</f>
        <v/>
      </c>
    </row>
    <row r="500" customFormat="false" ht="15" hidden="false" customHeight="false" outlineLevel="0" collapsed="false">
      <c r="A500" s="16" t="s">
        <v>1748</v>
      </c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8"/>
      <c r="M500" s="16"/>
      <c r="N500" s="16"/>
      <c r="O500" s="23"/>
      <c r="P500" s="18"/>
      <c r="Q500" s="23"/>
      <c r="R500" s="23"/>
      <c r="S500" s="24"/>
      <c r="T500" s="16"/>
      <c r="U500" s="18"/>
      <c r="V500" s="16"/>
      <c r="W500" s="50" t="str">
        <f aca="true">IF(P500="","",TODAY()-P500)</f>
        <v/>
      </c>
      <c r="X500" s="51" t="str">
        <f aca="true">IF(D500="","",IF(AND(U500&lt;&gt;"",U500&lt;TODAY()),"Follow-up overdue",IF(AND(W500&lt;&gt;"",W500&gt;60),"No order 60+ days","OK")))</f>
        <v/>
      </c>
    </row>
    <row r="501" customFormat="false" ht="15" hidden="false" customHeight="false" outlineLevel="0" collapsed="false">
      <c r="A501" s="16" t="s">
        <v>1749</v>
      </c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8"/>
      <c r="M501" s="16"/>
      <c r="N501" s="16"/>
      <c r="O501" s="23"/>
      <c r="P501" s="18"/>
      <c r="Q501" s="23"/>
      <c r="R501" s="23"/>
      <c r="S501" s="24"/>
      <c r="T501" s="16"/>
      <c r="U501" s="18"/>
      <c r="V501" s="16"/>
      <c r="W501" s="50" t="str">
        <f aca="true">IF(P501="","",TODAY()-P501)</f>
        <v/>
      </c>
      <c r="X501" s="51" t="str">
        <f aca="true">IF(D501="","",IF(AND(U501&lt;&gt;"",U501&lt;TODAY()),"Follow-up overdue",IF(AND(W501&lt;&gt;"",W501&gt;60),"No order 60+ days","OK")))</f>
        <v/>
      </c>
    </row>
    <row r="502" customFormat="false" ht="15" hidden="false" customHeight="false" outlineLevel="0" collapsed="false">
      <c r="A502" s="16" t="s">
        <v>1750</v>
      </c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8"/>
      <c r="M502" s="16"/>
      <c r="N502" s="16"/>
      <c r="O502" s="23"/>
      <c r="P502" s="18"/>
      <c r="Q502" s="23"/>
      <c r="R502" s="23"/>
      <c r="S502" s="24"/>
      <c r="T502" s="16"/>
      <c r="U502" s="18"/>
      <c r="V502" s="16"/>
      <c r="W502" s="50" t="str">
        <f aca="true">IF(P502="","",TODAY()-P502)</f>
        <v/>
      </c>
      <c r="X502" s="51" t="str">
        <f aca="true">IF(D502="","",IF(AND(U502&lt;&gt;"",U502&lt;TODAY()),"Follow-up overdue",IF(AND(W502&lt;&gt;"",W502&gt;60),"No order 60+ days","OK")))</f>
        <v/>
      </c>
    </row>
    <row r="503" customFormat="false" ht="15" hidden="false" customHeight="false" outlineLevel="0" collapsed="false">
      <c r="A503" s="16" t="s">
        <v>1751</v>
      </c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8"/>
      <c r="M503" s="16"/>
      <c r="N503" s="16"/>
      <c r="O503" s="23"/>
      <c r="P503" s="18"/>
      <c r="Q503" s="23"/>
      <c r="R503" s="23"/>
      <c r="S503" s="24"/>
      <c r="T503" s="16"/>
      <c r="U503" s="18"/>
      <c r="V503" s="16"/>
      <c r="W503" s="50" t="str">
        <f aca="true">IF(P503="","",TODAY()-P503)</f>
        <v/>
      </c>
      <c r="X503" s="51" t="str">
        <f aca="true">IF(D503="","",IF(AND(U503&lt;&gt;"",U503&lt;TODAY()),"Follow-up overdue",IF(AND(W503&lt;&gt;"",W503&gt;60),"No order 60+ days","OK")))</f>
        <v/>
      </c>
    </row>
    <row r="504" customFormat="false" ht="15" hidden="false" customHeight="false" outlineLevel="0" collapsed="false">
      <c r="A504" s="16" t="s">
        <v>1752</v>
      </c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8"/>
      <c r="M504" s="16"/>
      <c r="N504" s="16"/>
      <c r="O504" s="23"/>
      <c r="P504" s="18"/>
      <c r="Q504" s="23"/>
      <c r="R504" s="23"/>
      <c r="S504" s="24"/>
      <c r="T504" s="16"/>
      <c r="U504" s="18"/>
      <c r="V504" s="16"/>
      <c r="W504" s="50" t="str">
        <f aca="true">IF(P504="","",TODAY()-P504)</f>
        <v/>
      </c>
      <c r="X504" s="51" t="str">
        <f aca="true">IF(D504="","",IF(AND(U504&lt;&gt;"",U504&lt;TODAY()),"Follow-up overdue",IF(AND(W504&lt;&gt;"",W504&gt;60),"No order 60+ days","OK")))</f>
        <v/>
      </c>
    </row>
  </sheetData>
  <autoFilter ref="A4:X504"/>
  <conditionalFormatting sqref="T5:T504">
    <cfRule type="cellIs" priority="2" operator="equal" aboveAverage="0" equalAverage="0" bottom="0" percent="0" rank="0" text="" dxfId="18">
      <formula>"Active"</formula>
    </cfRule>
    <cfRule type="cellIs" priority="3" operator="equal" aboveAverage="0" equalAverage="0" bottom="0" percent="0" rank="0" text="" dxfId="22">
      <formula>"At Risk"</formula>
    </cfRule>
    <cfRule type="cellIs" priority="4" operator="equal" aboveAverage="0" equalAverage="0" bottom="0" percent="0" rank="0" text="" dxfId="19">
      <formula>"Inactive"</formula>
    </cfRule>
    <cfRule type="cellIs" priority="5" operator="equal" aboveAverage="0" equalAverage="0" bottom="0" percent="0" rank="0" text="" dxfId="0">
      <formula>"Suspended"</formula>
    </cfRule>
  </conditionalFormatting>
  <conditionalFormatting sqref="X5:X504">
    <cfRule type="expression" priority="6" aboveAverage="0" equalAverage="0" bottom="0" percent="0" rank="0" text="" dxfId="2">
      <formula>AND(X5&lt;&gt;"",X5&lt;&gt;"OK")</formula>
    </cfRule>
    <cfRule type="cellIs" priority="7" operator="equal" aboveAverage="0" equalAverage="0" bottom="0" percent="0" rank="0" text="" dxfId="18">
      <formula>"OK"</formula>
    </cfRule>
  </conditionalFormatting>
  <dataValidations count="7">
    <dataValidation allowBlank="true" errorStyle="stop" operator="between" showDropDown="false" showErrorMessage="false" showInputMessage="false" sqref="B5:B504" type="list">
      <formula1>Lists!$B$5:$B$34</formula1>
      <formula2>0</formula2>
    </dataValidation>
    <dataValidation allowBlank="true" error="Not in the list — add it to the Lists / Geography sheet if it is a new value." errorStyle="warning" errorTitle="New value" operator="between" showDropDown="false" showErrorMessage="false" showInputMessage="false" sqref="C5:C504" type="list">
      <formula1>Geography!$B$5:$B$304</formula1>
      <formula2>0</formula2>
    </dataValidation>
    <dataValidation allowBlank="true" errorStyle="stop" operator="between" showDropDown="false" showErrorMessage="false" showInputMessage="false" sqref="E5:E504" type="list">
      <formula1>Lists!$C$5:$C$19</formula1>
      <formula2>0</formula2>
    </dataValidation>
    <dataValidation allowBlank="true" errorStyle="stop" operator="between" showDropDown="false" showErrorMessage="false" showInputMessage="false" sqref="K5:K504" type="list">
      <formula1>Lists!$A$5:$A$14</formula1>
      <formula2>0</formula2>
    </dataValidation>
    <dataValidation allowBlank="true" errorStyle="stop" operator="between" showDropDown="false" showErrorMessage="false" showInputMessage="false" sqref="N5:N504" type="list">
      <formula1>Lists!$J$5:$J$19</formula1>
      <formula2>0</formula2>
    </dataValidation>
    <dataValidation allowBlank="true" errorStyle="stop" operator="between" showDropDown="false" showErrorMessage="false" showInputMessage="false" sqref="T5:T504" type="list">
      <formula1>Lists!$I$5:$I$19</formula1>
      <formula2>0</formula2>
    </dataValidation>
    <dataValidation allowBlank="true" error="Enter a date, e.g. 02.10.2026" errorStyle="stop" operator="greaterThan" showDropDown="false" showErrorMessage="false" showInputMessage="false" sqref="L5:L504 P5:P504 U5:U5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3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44"/>
    <col collapsed="false" customWidth="true" hidden="false" outlineLevel="0" max="11" min="11" style="0" width="28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30" t="s">
        <v>1753</v>
      </c>
    </row>
    <row r="2" customFormat="false" ht="15" hidden="false" customHeight="false" outlineLevel="0" collapsed="false">
      <c r="A2" s="2" t="s">
        <v>1754</v>
      </c>
    </row>
    <row r="4" customFormat="false" ht="31.5" hidden="false" customHeight="true" outlineLevel="0" collapsed="false">
      <c r="A4" s="41" t="s">
        <v>22</v>
      </c>
      <c r="B4" s="41" t="s">
        <v>208</v>
      </c>
      <c r="C4" s="41" t="s">
        <v>1755</v>
      </c>
      <c r="D4" s="41" t="s">
        <v>209</v>
      </c>
      <c r="E4" s="41" t="s">
        <v>35</v>
      </c>
      <c r="F4" s="41" t="s">
        <v>159</v>
      </c>
      <c r="G4" s="41" t="s">
        <v>1756</v>
      </c>
      <c r="H4" s="41" t="s">
        <v>211</v>
      </c>
      <c r="I4" s="41" t="s">
        <v>81</v>
      </c>
      <c r="J4" s="41" t="s">
        <v>1757</v>
      </c>
      <c r="K4" s="41" t="s">
        <v>1758</v>
      </c>
      <c r="L4" s="41" t="s">
        <v>1759</v>
      </c>
    </row>
    <row r="5" customFormat="false" ht="15" hidden="false" customHeight="false" outlineLevel="0" collapsed="false">
      <c r="A5" s="46" t="n">
        <v>46296</v>
      </c>
      <c r="B5" s="45" t="s">
        <v>85</v>
      </c>
      <c r="C5" s="45" t="s">
        <v>224</v>
      </c>
      <c r="D5" s="51" t="str">
        <f aca="false">IF(C5="","",IFERROR(IF(LEFT(C5,1)="L",INDEX('Leads Pipeline'!$F$5:$F$1004,MATCH(C5,'Leads Pipeline'!$A$5:$A$1004,0)),INDEX('Active Clients'!$D$5:$D$504,MATCH(C5,'Active Clients'!$A$5:$A$504,0)))&amp;"","ID not found"))</f>
        <v>EXAMPLE Auto Parts Trading</v>
      </c>
      <c r="E5" s="51" t="str">
        <f aca="false">IF(C5="","",IFERROR(IF(LEFT(C5,1)="L",INDEX('Leads Pipeline'!$D$5:$D$1004,MATCH(C5,'Leads Pipeline'!$A$5:$A$1004,0)),INDEX('Active Clients'!$B$5:$B$504,MATCH(C5,'Active Clients'!$A$5:$A$504,0)))&amp;"","ID not found"))</f>
        <v>Saudi Arabia</v>
      </c>
      <c r="F5" s="51" t="str">
        <f aca="false">IF(C5="","",IFERROR(IF(LEFT(C5,1)="L",INDEX('Leads Pipeline'!$E$5:$E$1004,MATCH(C5,'Leads Pipeline'!$A$5:$A$1004,0)),INDEX('Active Clients'!$C$5:$C$504,MATCH(C5,'Active Clients'!$A$5:$A$504,0)))&amp;"","ID not found"))</f>
        <v>Riyadh</v>
      </c>
      <c r="G5" s="45" t="s">
        <v>91</v>
      </c>
      <c r="H5" s="45" t="s">
        <v>226</v>
      </c>
      <c r="I5" s="45" t="s">
        <v>92</v>
      </c>
      <c r="J5" s="45" t="s">
        <v>1760</v>
      </c>
      <c r="K5" s="45" t="s">
        <v>1761</v>
      </c>
      <c r="L5" s="46" t="n">
        <v>46301</v>
      </c>
    </row>
    <row r="6" customFormat="false" ht="15" hidden="false" customHeight="false" outlineLevel="0" collapsed="false">
      <c r="A6" s="18"/>
      <c r="B6" s="16"/>
      <c r="C6" s="16"/>
      <c r="D6" s="51" t="str">
        <f aca="false">IF(C6="","",IFERROR(IF(LEFT(C6,1)="L",INDEX('Leads Pipeline'!$F$5:$F$1004,MATCH(C6,'Leads Pipeline'!$A$5:$A$1004,0)),INDEX('Active Clients'!$D$5:$D$504,MATCH(C6,'Active Clients'!$A$5:$A$504,0)))&amp;"","ID not found"))</f>
        <v/>
      </c>
      <c r="E6" s="51" t="str">
        <f aca="false">IF(C6="","",IFERROR(IF(LEFT(C6,1)="L",INDEX('Leads Pipeline'!$D$5:$D$1004,MATCH(C6,'Leads Pipeline'!$A$5:$A$1004,0)),INDEX('Active Clients'!$B$5:$B$504,MATCH(C6,'Active Clients'!$A$5:$A$504,0)))&amp;"","ID not found"))</f>
        <v/>
      </c>
      <c r="F6" s="51" t="str">
        <f aca="false">IF(C6="","",IFERROR(IF(LEFT(C6,1)="L",INDEX('Leads Pipeline'!$E$5:$E$1004,MATCH(C6,'Leads Pipeline'!$A$5:$A$1004,0)),INDEX('Active Clients'!$C$5:$C$504,MATCH(C6,'Active Clients'!$A$5:$A$504,0)))&amp;"","ID not found"))</f>
        <v/>
      </c>
      <c r="G6" s="16"/>
      <c r="H6" s="16"/>
      <c r="I6" s="16"/>
      <c r="J6" s="16"/>
      <c r="K6" s="16"/>
      <c r="L6" s="18"/>
    </row>
    <row r="7" customFormat="false" ht="15" hidden="false" customHeight="false" outlineLevel="0" collapsed="false">
      <c r="A7" s="18"/>
      <c r="B7" s="16"/>
      <c r="C7" s="16"/>
      <c r="D7" s="51" t="str">
        <f aca="false">IF(C7="","",IFERROR(IF(LEFT(C7,1)="L",INDEX('Leads Pipeline'!$F$5:$F$1004,MATCH(C7,'Leads Pipeline'!$A$5:$A$1004,0)),INDEX('Active Clients'!$D$5:$D$504,MATCH(C7,'Active Clients'!$A$5:$A$504,0)))&amp;"","ID not found"))</f>
        <v/>
      </c>
      <c r="E7" s="51" t="str">
        <f aca="false">IF(C7="","",IFERROR(IF(LEFT(C7,1)="L",INDEX('Leads Pipeline'!$D$5:$D$1004,MATCH(C7,'Leads Pipeline'!$A$5:$A$1004,0)),INDEX('Active Clients'!$B$5:$B$504,MATCH(C7,'Active Clients'!$A$5:$A$504,0)))&amp;"","ID not found"))</f>
        <v/>
      </c>
      <c r="F7" s="51" t="str">
        <f aca="false">IF(C7="","",IFERROR(IF(LEFT(C7,1)="L",INDEX('Leads Pipeline'!$E$5:$E$1004,MATCH(C7,'Leads Pipeline'!$A$5:$A$1004,0)),INDEX('Active Clients'!$C$5:$C$504,MATCH(C7,'Active Clients'!$A$5:$A$504,0)))&amp;"","ID not found"))</f>
        <v/>
      </c>
      <c r="G7" s="16"/>
      <c r="H7" s="16"/>
      <c r="I7" s="16"/>
      <c r="J7" s="16"/>
      <c r="K7" s="16"/>
      <c r="L7" s="18"/>
    </row>
    <row r="8" customFormat="false" ht="15" hidden="false" customHeight="false" outlineLevel="0" collapsed="false">
      <c r="A8" s="18"/>
      <c r="B8" s="16"/>
      <c r="C8" s="16"/>
      <c r="D8" s="51" t="str">
        <f aca="false">IF(C8="","",IFERROR(IF(LEFT(C8,1)="L",INDEX('Leads Pipeline'!$F$5:$F$1004,MATCH(C8,'Leads Pipeline'!$A$5:$A$1004,0)),INDEX('Active Clients'!$D$5:$D$504,MATCH(C8,'Active Clients'!$A$5:$A$504,0)))&amp;"","ID not found"))</f>
        <v/>
      </c>
      <c r="E8" s="51" t="str">
        <f aca="false">IF(C8="","",IFERROR(IF(LEFT(C8,1)="L",INDEX('Leads Pipeline'!$D$5:$D$1004,MATCH(C8,'Leads Pipeline'!$A$5:$A$1004,0)),INDEX('Active Clients'!$B$5:$B$504,MATCH(C8,'Active Clients'!$A$5:$A$504,0)))&amp;"","ID not found"))</f>
        <v/>
      </c>
      <c r="F8" s="51" t="str">
        <f aca="false">IF(C8="","",IFERROR(IF(LEFT(C8,1)="L",INDEX('Leads Pipeline'!$E$5:$E$1004,MATCH(C8,'Leads Pipeline'!$A$5:$A$1004,0)),INDEX('Active Clients'!$C$5:$C$504,MATCH(C8,'Active Clients'!$A$5:$A$504,0)))&amp;"","ID not found"))</f>
        <v/>
      </c>
      <c r="G8" s="16"/>
      <c r="H8" s="16"/>
      <c r="I8" s="16"/>
      <c r="J8" s="16"/>
      <c r="K8" s="16"/>
      <c r="L8" s="18"/>
    </row>
    <row r="9" customFormat="false" ht="15" hidden="false" customHeight="false" outlineLevel="0" collapsed="false">
      <c r="A9" s="18"/>
      <c r="B9" s="16"/>
      <c r="C9" s="16"/>
      <c r="D9" s="51" t="str">
        <f aca="false">IF(C9="","",IFERROR(IF(LEFT(C9,1)="L",INDEX('Leads Pipeline'!$F$5:$F$1004,MATCH(C9,'Leads Pipeline'!$A$5:$A$1004,0)),INDEX('Active Clients'!$D$5:$D$504,MATCH(C9,'Active Clients'!$A$5:$A$504,0)))&amp;"","ID not found"))</f>
        <v/>
      </c>
      <c r="E9" s="51" t="str">
        <f aca="false">IF(C9="","",IFERROR(IF(LEFT(C9,1)="L",INDEX('Leads Pipeline'!$D$5:$D$1004,MATCH(C9,'Leads Pipeline'!$A$5:$A$1004,0)),INDEX('Active Clients'!$B$5:$B$504,MATCH(C9,'Active Clients'!$A$5:$A$504,0)))&amp;"","ID not found"))</f>
        <v/>
      </c>
      <c r="F9" s="51" t="str">
        <f aca="false">IF(C9="","",IFERROR(IF(LEFT(C9,1)="L",INDEX('Leads Pipeline'!$E$5:$E$1004,MATCH(C9,'Leads Pipeline'!$A$5:$A$1004,0)),INDEX('Active Clients'!$C$5:$C$504,MATCH(C9,'Active Clients'!$A$5:$A$504,0)))&amp;"","ID not found"))</f>
        <v/>
      </c>
      <c r="G9" s="16"/>
      <c r="H9" s="16"/>
      <c r="I9" s="16"/>
      <c r="J9" s="16"/>
      <c r="K9" s="16"/>
      <c r="L9" s="18"/>
    </row>
    <row r="10" customFormat="false" ht="15" hidden="false" customHeight="false" outlineLevel="0" collapsed="false">
      <c r="A10" s="18"/>
      <c r="B10" s="16"/>
      <c r="C10" s="16"/>
      <c r="D10" s="51" t="str">
        <f aca="false">IF(C10="","",IFERROR(IF(LEFT(C10,1)="L",INDEX('Leads Pipeline'!$F$5:$F$1004,MATCH(C10,'Leads Pipeline'!$A$5:$A$1004,0)),INDEX('Active Clients'!$D$5:$D$504,MATCH(C10,'Active Clients'!$A$5:$A$504,0)))&amp;"","ID not found"))</f>
        <v/>
      </c>
      <c r="E10" s="51" t="str">
        <f aca="false">IF(C10="","",IFERROR(IF(LEFT(C10,1)="L",INDEX('Leads Pipeline'!$D$5:$D$1004,MATCH(C10,'Leads Pipeline'!$A$5:$A$1004,0)),INDEX('Active Clients'!$B$5:$B$504,MATCH(C10,'Active Clients'!$A$5:$A$504,0)))&amp;"","ID not found"))</f>
        <v/>
      </c>
      <c r="F10" s="51" t="str">
        <f aca="false">IF(C10="","",IFERROR(IF(LEFT(C10,1)="L",INDEX('Leads Pipeline'!$E$5:$E$1004,MATCH(C10,'Leads Pipeline'!$A$5:$A$1004,0)),INDEX('Active Clients'!$C$5:$C$504,MATCH(C10,'Active Clients'!$A$5:$A$504,0)))&amp;"","ID not found"))</f>
        <v/>
      </c>
      <c r="G10" s="16"/>
      <c r="H10" s="16"/>
      <c r="I10" s="16"/>
      <c r="J10" s="16"/>
      <c r="K10" s="16"/>
      <c r="L10" s="18"/>
    </row>
    <row r="11" customFormat="false" ht="15" hidden="false" customHeight="false" outlineLevel="0" collapsed="false">
      <c r="A11" s="18"/>
      <c r="B11" s="16"/>
      <c r="C11" s="16"/>
      <c r="D11" s="51" t="str">
        <f aca="false">IF(C11="","",IFERROR(IF(LEFT(C11,1)="L",INDEX('Leads Pipeline'!$F$5:$F$1004,MATCH(C11,'Leads Pipeline'!$A$5:$A$1004,0)),INDEX('Active Clients'!$D$5:$D$504,MATCH(C11,'Active Clients'!$A$5:$A$504,0)))&amp;"","ID not found"))</f>
        <v/>
      </c>
      <c r="E11" s="51" t="str">
        <f aca="false">IF(C11="","",IFERROR(IF(LEFT(C11,1)="L",INDEX('Leads Pipeline'!$D$5:$D$1004,MATCH(C11,'Leads Pipeline'!$A$5:$A$1004,0)),INDEX('Active Clients'!$B$5:$B$504,MATCH(C11,'Active Clients'!$A$5:$A$504,0)))&amp;"","ID not found"))</f>
        <v/>
      </c>
      <c r="F11" s="51" t="str">
        <f aca="false">IF(C11="","",IFERROR(IF(LEFT(C11,1)="L",INDEX('Leads Pipeline'!$E$5:$E$1004,MATCH(C11,'Leads Pipeline'!$A$5:$A$1004,0)),INDEX('Active Clients'!$C$5:$C$504,MATCH(C11,'Active Clients'!$A$5:$A$504,0)))&amp;"","ID not found"))</f>
        <v/>
      </c>
      <c r="G11" s="16"/>
      <c r="H11" s="16"/>
      <c r="I11" s="16"/>
      <c r="J11" s="16"/>
      <c r="K11" s="16"/>
      <c r="L11" s="18"/>
    </row>
    <row r="12" customFormat="false" ht="15" hidden="false" customHeight="false" outlineLevel="0" collapsed="false">
      <c r="A12" s="18"/>
      <c r="B12" s="16"/>
      <c r="C12" s="16"/>
      <c r="D12" s="51" t="str">
        <f aca="false">IF(C12="","",IFERROR(IF(LEFT(C12,1)="L",INDEX('Leads Pipeline'!$F$5:$F$1004,MATCH(C12,'Leads Pipeline'!$A$5:$A$1004,0)),INDEX('Active Clients'!$D$5:$D$504,MATCH(C12,'Active Clients'!$A$5:$A$504,0)))&amp;"","ID not found"))</f>
        <v/>
      </c>
      <c r="E12" s="51" t="str">
        <f aca="false">IF(C12="","",IFERROR(IF(LEFT(C12,1)="L",INDEX('Leads Pipeline'!$D$5:$D$1004,MATCH(C12,'Leads Pipeline'!$A$5:$A$1004,0)),INDEX('Active Clients'!$B$5:$B$504,MATCH(C12,'Active Clients'!$A$5:$A$504,0)))&amp;"","ID not found"))</f>
        <v/>
      </c>
      <c r="F12" s="51" t="str">
        <f aca="false">IF(C12="","",IFERROR(IF(LEFT(C12,1)="L",INDEX('Leads Pipeline'!$E$5:$E$1004,MATCH(C12,'Leads Pipeline'!$A$5:$A$1004,0)),INDEX('Active Clients'!$C$5:$C$504,MATCH(C12,'Active Clients'!$A$5:$A$504,0)))&amp;"","ID not found"))</f>
        <v/>
      </c>
      <c r="G12" s="16"/>
      <c r="H12" s="16"/>
      <c r="I12" s="16"/>
      <c r="J12" s="16"/>
      <c r="K12" s="16"/>
      <c r="L12" s="18"/>
    </row>
    <row r="13" customFormat="false" ht="15" hidden="false" customHeight="false" outlineLevel="0" collapsed="false">
      <c r="A13" s="18"/>
      <c r="B13" s="16"/>
      <c r="C13" s="16"/>
      <c r="D13" s="51" t="str">
        <f aca="false">IF(C13="","",IFERROR(IF(LEFT(C13,1)="L",INDEX('Leads Pipeline'!$F$5:$F$1004,MATCH(C13,'Leads Pipeline'!$A$5:$A$1004,0)),INDEX('Active Clients'!$D$5:$D$504,MATCH(C13,'Active Clients'!$A$5:$A$504,0)))&amp;"","ID not found"))</f>
        <v/>
      </c>
      <c r="E13" s="51" t="str">
        <f aca="false">IF(C13="","",IFERROR(IF(LEFT(C13,1)="L",INDEX('Leads Pipeline'!$D$5:$D$1004,MATCH(C13,'Leads Pipeline'!$A$5:$A$1004,0)),INDEX('Active Clients'!$B$5:$B$504,MATCH(C13,'Active Clients'!$A$5:$A$504,0)))&amp;"","ID not found"))</f>
        <v/>
      </c>
      <c r="F13" s="51" t="str">
        <f aca="false">IF(C13="","",IFERROR(IF(LEFT(C13,1)="L",INDEX('Leads Pipeline'!$E$5:$E$1004,MATCH(C13,'Leads Pipeline'!$A$5:$A$1004,0)),INDEX('Active Clients'!$C$5:$C$504,MATCH(C13,'Active Clients'!$A$5:$A$504,0)))&amp;"","ID not found"))</f>
        <v/>
      </c>
      <c r="G13" s="16"/>
      <c r="H13" s="16"/>
      <c r="I13" s="16"/>
      <c r="J13" s="16"/>
      <c r="K13" s="16"/>
      <c r="L13" s="18"/>
    </row>
    <row r="14" customFormat="false" ht="15" hidden="false" customHeight="false" outlineLevel="0" collapsed="false">
      <c r="A14" s="18"/>
      <c r="B14" s="16"/>
      <c r="C14" s="16"/>
      <c r="D14" s="51" t="str">
        <f aca="false">IF(C14="","",IFERROR(IF(LEFT(C14,1)="L",INDEX('Leads Pipeline'!$F$5:$F$1004,MATCH(C14,'Leads Pipeline'!$A$5:$A$1004,0)),INDEX('Active Clients'!$D$5:$D$504,MATCH(C14,'Active Clients'!$A$5:$A$504,0)))&amp;"","ID not found"))</f>
        <v/>
      </c>
      <c r="E14" s="51" t="str">
        <f aca="false">IF(C14="","",IFERROR(IF(LEFT(C14,1)="L",INDEX('Leads Pipeline'!$D$5:$D$1004,MATCH(C14,'Leads Pipeline'!$A$5:$A$1004,0)),INDEX('Active Clients'!$B$5:$B$504,MATCH(C14,'Active Clients'!$A$5:$A$504,0)))&amp;"","ID not found"))</f>
        <v/>
      </c>
      <c r="F14" s="51" t="str">
        <f aca="false">IF(C14="","",IFERROR(IF(LEFT(C14,1)="L",INDEX('Leads Pipeline'!$E$5:$E$1004,MATCH(C14,'Leads Pipeline'!$A$5:$A$1004,0)),INDEX('Active Clients'!$C$5:$C$504,MATCH(C14,'Active Clients'!$A$5:$A$504,0)))&amp;"","ID not found"))</f>
        <v/>
      </c>
      <c r="G14" s="16"/>
      <c r="H14" s="16"/>
      <c r="I14" s="16"/>
      <c r="J14" s="16"/>
      <c r="K14" s="16"/>
      <c r="L14" s="18"/>
    </row>
    <row r="15" customFormat="false" ht="15" hidden="false" customHeight="false" outlineLevel="0" collapsed="false">
      <c r="A15" s="18"/>
      <c r="B15" s="16"/>
      <c r="C15" s="16"/>
      <c r="D15" s="51" t="str">
        <f aca="false">IF(C15="","",IFERROR(IF(LEFT(C15,1)="L",INDEX('Leads Pipeline'!$F$5:$F$1004,MATCH(C15,'Leads Pipeline'!$A$5:$A$1004,0)),INDEX('Active Clients'!$D$5:$D$504,MATCH(C15,'Active Clients'!$A$5:$A$504,0)))&amp;"","ID not found"))</f>
        <v/>
      </c>
      <c r="E15" s="51" t="str">
        <f aca="false">IF(C15="","",IFERROR(IF(LEFT(C15,1)="L",INDEX('Leads Pipeline'!$D$5:$D$1004,MATCH(C15,'Leads Pipeline'!$A$5:$A$1004,0)),INDEX('Active Clients'!$B$5:$B$504,MATCH(C15,'Active Clients'!$A$5:$A$504,0)))&amp;"","ID not found"))</f>
        <v/>
      </c>
      <c r="F15" s="51" t="str">
        <f aca="false">IF(C15="","",IFERROR(IF(LEFT(C15,1)="L",INDEX('Leads Pipeline'!$E$5:$E$1004,MATCH(C15,'Leads Pipeline'!$A$5:$A$1004,0)),INDEX('Active Clients'!$C$5:$C$504,MATCH(C15,'Active Clients'!$A$5:$A$504,0)))&amp;"","ID not found"))</f>
        <v/>
      </c>
      <c r="G15" s="16"/>
      <c r="H15" s="16"/>
      <c r="I15" s="16"/>
      <c r="J15" s="16"/>
      <c r="K15" s="16"/>
      <c r="L15" s="18"/>
    </row>
    <row r="16" customFormat="false" ht="15" hidden="false" customHeight="false" outlineLevel="0" collapsed="false">
      <c r="A16" s="18"/>
      <c r="B16" s="16"/>
      <c r="C16" s="16"/>
      <c r="D16" s="51" t="str">
        <f aca="false">IF(C16="","",IFERROR(IF(LEFT(C16,1)="L",INDEX('Leads Pipeline'!$F$5:$F$1004,MATCH(C16,'Leads Pipeline'!$A$5:$A$1004,0)),INDEX('Active Clients'!$D$5:$D$504,MATCH(C16,'Active Clients'!$A$5:$A$504,0)))&amp;"","ID not found"))</f>
        <v/>
      </c>
      <c r="E16" s="51" t="str">
        <f aca="false">IF(C16="","",IFERROR(IF(LEFT(C16,1)="L",INDEX('Leads Pipeline'!$D$5:$D$1004,MATCH(C16,'Leads Pipeline'!$A$5:$A$1004,0)),INDEX('Active Clients'!$B$5:$B$504,MATCH(C16,'Active Clients'!$A$5:$A$504,0)))&amp;"","ID not found"))</f>
        <v/>
      </c>
      <c r="F16" s="51" t="str">
        <f aca="false">IF(C16="","",IFERROR(IF(LEFT(C16,1)="L",INDEX('Leads Pipeline'!$E$5:$E$1004,MATCH(C16,'Leads Pipeline'!$A$5:$A$1004,0)),INDEX('Active Clients'!$C$5:$C$504,MATCH(C16,'Active Clients'!$A$5:$A$504,0)))&amp;"","ID not found"))</f>
        <v/>
      </c>
      <c r="G16" s="16"/>
      <c r="H16" s="16"/>
      <c r="I16" s="16"/>
      <c r="J16" s="16"/>
      <c r="K16" s="16"/>
      <c r="L16" s="18"/>
    </row>
    <row r="17" customFormat="false" ht="15" hidden="false" customHeight="false" outlineLevel="0" collapsed="false">
      <c r="A17" s="18"/>
      <c r="B17" s="16"/>
      <c r="C17" s="16"/>
      <c r="D17" s="51" t="str">
        <f aca="false">IF(C17="","",IFERROR(IF(LEFT(C17,1)="L",INDEX('Leads Pipeline'!$F$5:$F$1004,MATCH(C17,'Leads Pipeline'!$A$5:$A$1004,0)),INDEX('Active Clients'!$D$5:$D$504,MATCH(C17,'Active Clients'!$A$5:$A$504,0)))&amp;"","ID not found"))</f>
        <v/>
      </c>
      <c r="E17" s="51" t="str">
        <f aca="false">IF(C17="","",IFERROR(IF(LEFT(C17,1)="L",INDEX('Leads Pipeline'!$D$5:$D$1004,MATCH(C17,'Leads Pipeline'!$A$5:$A$1004,0)),INDEX('Active Clients'!$B$5:$B$504,MATCH(C17,'Active Clients'!$A$5:$A$504,0)))&amp;"","ID not found"))</f>
        <v/>
      </c>
      <c r="F17" s="51" t="str">
        <f aca="false">IF(C17="","",IFERROR(IF(LEFT(C17,1)="L",INDEX('Leads Pipeline'!$E$5:$E$1004,MATCH(C17,'Leads Pipeline'!$A$5:$A$1004,0)),INDEX('Active Clients'!$C$5:$C$504,MATCH(C17,'Active Clients'!$A$5:$A$504,0)))&amp;"","ID not found"))</f>
        <v/>
      </c>
      <c r="G17" s="16"/>
      <c r="H17" s="16"/>
      <c r="I17" s="16"/>
      <c r="J17" s="16"/>
      <c r="K17" s="16"/>
      <c r="L17" s="18"/>
    </row>
    <row r="18" customFormat="false" ht="15" hidden="false" customHeight="false" outlineLevel="0" collapsed="false">
      <c r="A18" s="18"/>
      <c r="B18" s="16"/>
      <c r="C18" s="16"/>
      <c r="D18" s="51" t="str">
        <f aca="false">IF(C18="","",IFERROR(IF(LEFT(C18,1)="L",INDEX('Leads Pipeline'!$F$5:$F$1004,MATCH(C18,'Leads Pipeline'!$A$5:$A$1004,0)),INDEX('Active Clients'!$D$5:$D$504,MATCH(C18,'Active Clients'!$A$5:$A$504,0)))&amp;"","ID not found"))</f>
        <v/>
      </c>
      <c r="E18" s="51" t="str">
        <f aca="false">IF(C18="","",IFERROR(IF(LEFT(C18,1)="L",INDEX('Leads Pipeline'!$D$5:$D$1004,MATCH(C18,'Leads Pipeline'!$A$5:$A$1004,0)),INDEX('Active Clients'!$B$5:$B$504,MATCH(C18,'Active Clients'!$A$5:$A$504,0)))&amp;"","ID not found"))</f>
        <v/>
      </c>
      <c r="F18" s="51" t="str">
        <f aca="false">IF(C18="","",IFERROR(IF(LEFT(C18,1)="L",INDEX('Leads Pipeline'!$E$5:$E$1004,MATCH(C18,'Leads Pipeline'!$A$5:$A$1004,0)),INDEX('Active Clients'!$C$5:$C$504,MATCH(C18,'Active Clients'!$A$5:$A$504,0)))&amp;"","ID not found"))</f>
        <v/>
      </c>
      <c r="G18" s="16"/>
      <c r="H18" s="16"/>
      <c r="I18" s="16"/>
      <c r="J18" s="16"/>
      <c r="K18" s="16"/>
      <c r="L18" s="18"/>
    </row>
    <row r="19" customFormat="false" ht="15" hidden="false" customHeight="false" outlineLevel="0" collapsed="false">
      <c r="A19" s="18"/>
      <c r="B19" s="16"/>
      <c r="C19" s="16"/>
      <c r="D19" s="51" t="str">
        <f aca="false">IF(C19="","",IFERROR(IF(LEFT(C19,1)="L",INDEX('Leads Pipeline'!$F$5:$F$1004,MATCH(C19,'Leads Pipeline'!$A$5:$A$1004,0)),INDEX('Active Clients'!$D$5:$D$504,MATCH(C19,'Active Clients'!$A$5:$A$504,0)))&amp;"","ID not found"))</f>
        <v/>
      </c>
      <c r="E19" s="51" t="str">
        <f aca="false">IF(C19="","",IFERROR(IF(LEFT(C19,1)="L",INDEX('Leads Pipeline'!$D$5:$D$1004,MATCH(C19,'Leads Pipeline'!$A$5:$A$1004,0)),INDEX('Active Clients'!$B$5:$B$504,MATCH(C19,'Active Clients'!$A$5:$A$504,0)))&amp;"","ID not found"))</f>
        <v/>
      </c>
      <c r="F19" s="51" t="str">
        <f aca="false">IF(C19="","",IFERROR(IF(LEFT(C19,1)="L",INDEX('Leads Pipeline'!$E$5:$E$1004,MATCH(C19,'Leads Pipeline'!$A$5:$A$1004,0)),INDEX('Active Clients'!$C$5:$C$504,MATCH(C19,'Active Clients'!$A$5:$A$504,0)))&amp;"","ID not found"))</f>
        <v/>
      </c>
      <c r="G19" s="16"/>
      <c r="H19" s="16"/>
      <c r="I19" s="16"/>
      <c r="J19" s="16"/>
      <c r="K19" s="16"/>
      <c r="L19" s="18"/>
    </row>
    <row r="20" customFormat="false" ht="15" hidden="false" customHeight="false" outlineLevel="0" collapsed="false">
      <c r="A20" s="18"/>
      <c r="B20" s="16"/>
      <c r="C20" s="16"/>
      <c r="D20" s="51" t="str">
        <f aca="false">IF(C20="","",IFERROR(IF(LEFT(C20,1)="L",INDEX('Leads Pipeline'!$F$5:$F$1004,MATCH(C20,'Leads Pipeline'!$A$5:$A$1004,0)),INDEX('Active Clients'!$D$5:$D$504,MATCH(C20,'Active Clients'!$A$5:$A$504,0)))&amp;"","ID not found"))</f>
        <v/>
      </c>
      <c r="E20" s="51" t="str">
        <f aca="false">IF(C20="","",IFERROR(IF(LEFT(C20,1)="L",INDEX('Leads Pipeline'!$D$5:$D$1004,MATCH(C20,'Leads Pipeline'!$A$5:$A$1004,0)),INDEX('Active Clients'!$B$5:$B$504,MATCH(C20,'Active Clients'!$A$5:$A$504,0)))&amp;"","ID not found"))</f>
        <v/>
      </c>
      <c r="F20" s="51" t="str">
        <f aca="false">IF(C20="","",IFERROR(IF(LEFT(C20,1)="L",INDEX('Leads Pipeline'!$E$5:$E$1004,MATCH(C20,'Leads Pipeline'!$A$5:$A$1004,0)),INDEX('Active Clients'!$C$5:$C$504,MATCH(C20,'Active Clients'!$A$5:$A$504,0)))&amp;"","ID not found"))</f>
        <v/>
      </c>
      <c r="G20" s="16"/>
      <c r="H20" s="16"/>
      <c r="I20" s="16"/>
      <c r="J20" s="16"/>
      <c r="K20" s="16"/>
      <c r="L20" s="18"/>
    </row>
    <row r="21" customFormat="false" ht="15" hidden="false" customHeight="false" outlineLevel="0" collapsed="false">
      <c r="A21" s="18"/>
      <c r="B21" s="16"/>
      <c r="C21" s="16"/>
      <c r="D21" s="51" t="str">
        <f aca="false">IF(C21="","",IFERROR(IF(LEFT(C21,1)="L",INDEX('Leads Pipeline'!$F$5:$F$1004,MATCH(C21,'Leads Pipeline'!$A$5:$A$1004,0)),INDEX('Active Clients'!$D$5:$D$504,MATCH(C21,'Active Clients'!$A$5:$A$504,0)))&amp;"","ID not found"))</f>
        <v/>
      </c>
      <c r="E21" s="51" t="str">
        <f aca="false">IF(C21="","",IFERROR(IF(LEFT(C21,1)="L",INDEX('Leads Pipeline'!$D$5:$D$1004,MATCH(C21,'Leads Pipeline'!$A$5:$A$1004,0)),INDEX('Active Clients'!$B$5:$B$504,MATCH(C21,'Active Clients'!$A$5:$A$504,0)))&amp;"","ID not found"))</f>
        <v/>
      </c>
      <c r="F21" s="51" t="str">
        <f aca="false">IF(C21="","",IFERROR(IF(LEFT(C21,1)="L",INDEX('Leads Pipeline'!$E$5:$E$1004,MATCH(C21,'Leads Pipeline'!$A$5:$A$1004,0)),INDEX('Active Clients'!$C$5:$C$504,MATCH(C21,'Active Clients'!$A$5:$A$504,0)))&amp;"","ID not found"))</f>
        <v/>
      </c>
      <c r="G21" s="16"/>
      <c r="H21" s="16"/>
      <c r="I21" s="16"/>
      <c r="J21" s="16"/>
      <c r="K21" s="16"/>
      <c r="L21" s="18"/>
    </row>
    <row r="22" customFormat="false" ht="15" hidden="false" customHeight="false" outlineLevel="0" collapsed="false">
      <c r="A22" s="18"/>
      <c r="B22" s="16"/>
      <c r="C22" s="16"/>
      <c r="D22" s="51" t="str">
        <f aca="false">IF(C22="","",IFERROR(IF(LEFT(C22,1)="L",INDEX('Leads Pipeline'!$F$5:$F$1004,MATCH(C22,'Leads Pipeline'!$A$5:$A$1004,0)),INDEX('Active Clients'!$D$5:$D$504,MATCH(C22,'Active Clients'!$A$5:$A$504,0)))&amp;"","ID not found"))</f>
        <v/>
      </c>
      <c r="E22" s="51" t="str">
        <f aca="false">IF(C22="","",IFERROR(IF(LEFT(C22,1)="L",INDEX('Leads Pipeline'!$D$5:$D$1004,MATCH(C22,'Leads Pipeline'!$A$5:$A$1004,0)),INDEX('Active Clients'!$B$5:$B$504,MATCH(C22,'Active Clients'!$A$5:$A$504,0)))&amp;"","ID not found"))</f>
        <v/>
      </c>
      <c r="F22" s="51" t="str">
        <f aca="false">IF(C22="","",IFERROR(IF(LEFT(C22,1)="L",INDEX('Leads Pipeline'!$E$5:$E$1004,MATCH(C22,'Leads Pipeline'!$A$5:$A$1004,0)),INDEX('Active Clients'!$C$5:$C$504,MATCH(C22,'Active Clients'!$A$5:$A$504,0)))&amp;"","ID not found"))</f>
        <v/>
      </c>
      <c r="G22" s="16"/>
      <c r="H22" s="16"/>
      <c r="I22" s="16"/>
      <c r="J22" s="16"/>
      <c r="K22" s="16"/>
      <c r="L22" s="18"/>
    </row>
    <row r="23" customFormat="false" ht="15" hidden="false" customHeight="false" outlineLevel="0" collapsed="false">
      <c r="A23" s="18"/>
      <c r="B23" s="16"/>
      <c r="C23" s="16"/>
      <c r="D23" s="51" t="str">
        <f aca="false">IF(C23="","",IFERROR(IF(LEFT(C23,1)="L",INDEX('Leads Pipeline'!$F$5:$F$1004,MATCH(C23,'Leads Pipeline'!$A$5:$A$1004,0)),INDEX('Active Clients'!$D$5:$D$504,MATCH(C23,'Active Clients'!$A$5:$A$504,0)))&amp;"","ID not found"))</f>
        <v/>
      </c>
      <c r="E23" s="51" t="str">
        <f aca="false">IF(C23="","",IFERROR(IF(LEFT(C23,1)="L",INDEX('Leads Pipeline'!$D$5:$D$1004,MATCH(C23,'Leads Pipeline'!$A$5:$A$1004,0)),INDEX('Active Clients'!$B$5:$B$504,MATCH(C23,'Active Clients'!$A$5:$A$504,0)))&amp;"","ID not found"))</f>
        <v/>
      </c>
      <c r="F23" s="51" t="str">
        <f aca="false">IF(C23="","",IFERROR(IF(LEFT(C23,1)="L",INDEX('Leads Pipeline'!$E$5:$E$1004,MATCH(C23,'Leads Pipeline'!$A$5:$A$1004,0)),INDEX('Active Clients'!$C$5:$C$504,MATCH(C23,'Active Clients'!$A$5:$A$504,0)))&amp;"","ID not found"))</f>
        <v/>
      </c>
      <c r="G23" s="16"/>
      <c r="H23" s="16"/>
      <c r="I23" s="16"/>
      <c r="J23" s="16"/>
      <c r="K23" s="16"/>
      <c r="L23" s="18"/>
    </row>
    <row r="24" customFormat="false" ht="15" hidden="false" customHeight="false" outlineLevel="0" collapsed="false">
      <c r="A24" s="18"/>
      <c r="B24" s="16"/>
      <c r="C24" s="16"/>
      <c r="D24" s="51" t="str">
        <f aca="false">IF(C24="","",IFERROR(IF(LEFT(C24,1)="L",INDEX('Leads Pipeline'!$F$5:$F$1004,MATCH(C24,'Leads Pipeline'!$A$5:$A$1004,0)),INDEX('Active Clients'!$D$5:$D$504,MATCH(C24,'Active Clients'!$A$5:$A$504,0)))&amp;"","ID not found"))</f>
        <v/>
      </c>
      <c r="E24" s="51" t="str">
        <f aca="false">IF(C24="","",IFERROR(IF(LEFT(C24,1)="L",INDEX('Leads Pipeline'!$D$5:$D$1004,MATCH(C24,'Leads Pipeline'!$A$5:$A$1004,0)),INDEX('Active Clients'!$B$5:$B$504,MATCH(C24,'Active Clients'!$A$5:$A$504,0)))&amp;"","ID not found"))</f>
        <v/>
      </c>
      <c r="F24" s="51" t="str">
        <f aca="false">IF(C24="","",IFERROR(IF(LEFT(C24,1)="L",INDEX('Leads Pipeline'!$E$5:$E$1004,MATCH(C24,'Leads Pipeline'!$A$5:$A$1004,0)),INDEX('Active Clients'!$C$5:$C$504,MATCH(C24,'Active Clients'!$A$5:$A$504,0)))&amp;"","ID not found"))</f>
        <v/>
      </c>
      <c r="G24" s="16"/>
      <c r="H24" s="16"/>
      <c r="I24" s="16"/>
      <c r="J24" s="16"/>
      <c r="K24" s="16"/>
      <c r="L24" s="18"/>
    </row>
    <row r="25" customFormat="false" ht="15" hidden="false" customHeight="false" outlineLevel="0" collapsed="false">
      <c r="A25" s="18"/>
      <c r="B25" s="16"/>
      <c r="C25" s="16"/>
      <c r="D25" s="51" t="str">
        <f aca="false">IF(C25="","",IFERROR(IF(LEFT(C25,1)="L",INDEX('Leads Pipeline'!$F$5:$F$1004,MATCH(C25,'Leads Pipeline'!$A$5:$A$1004,0)),INDEX('Active Clients'!$D$5:$D$504,MATCH(C25,'Active Clients'!$A$5:$A$504,0)))&amp;"","ID not found"))</f>
        <v/>
      </c>
      <c r="E25" s="51" t="str">
        <f aca="false">IF(C25="","",IFERROR(IF(LEFT(C25,1)="L",INDEX('Leads Pipeline'!$D$5:$D$1004,MATCH(C25,'Leads Pipeline'!$A$5:$A$1004,0)),INDEX('Active Clients'!$B$5:$B$504,MATCH(C25,'Active Clients'!$A$5:$A$504,0)))&amp;"","ID not found"))</f>
        <v/>
      </c>
      <c r="F25" s="51" t="str">
        <f aca="false">IF(C25="","",IFERROR(IF(LEFT(C25,1)="L",INDEX('Leads Pipeline'!$E$5:$E$1004,MATCH(C25,'Leads Pipeline'!$A$5:$A$1004,0)),INDEX('Active Clients'!$C$5:$C$504,MATCH(C25,'Active Clients'!$A$5:$A$504,0)))&amp;"","ID not found"))</f>
        <v/>
      </c>
      <c r="G25" s="16"/>
      <c r="H25" s="16"/>
      <c r="I25" s="16"/>
      <c r="J25" s="16"/>
      <c r="K25" s="16"/>
      <c r="L25" s="18"/>
    </row>
    <row r="26" customFormat="false" ht="15" hidden="false" customHeight="false" outlineLevel="0" collapsed="false">
      <c r="A26" s="18"/>
      <c r="B26" s="16"/>
      <c r="C26" s="16"/>
      <c r="D26" s="51" t="str">
        <f aca="false">IF(C26="","",IFERROR(IF(LEFT(C26,1)="L",INDEX('Leads Pipeline'!$F$5:$F$1004,MATCH(C26,'Leads Pipeline'!$A$5:$A$1004,0)),INDEX('Active Clients'!$D$5:$D$504,MATCH(C26,'Active Clients'!$A$5:$A$504,0)))&amp;"","ID not found"))</f>
        <v/>
      </c>
      <c r="E26" s="51" t="str">
        <f aca="false">IF(C26="","",IFERROR(IF(LEFT(C26,1)="L",INDEX('Leads Pipeline'!$D$5:$D$1004,MATCH(C26,'Leads Pipeline'!$A$5:$A$1004,0)),INDEX('Active Clients'!$B$5:$B$504,MATCH(C26,'Active Clients'!$A$5:$A$504,0)))&amp;"","ID not found"))</f>
        <v/>
      </c>
      <c r="F26" s="51" t="str">
        <f aca="false">IF(C26="","",IFERROR(IF(LEFT(C26,1)="L",INDEX('Leads Pipeline'!$E$5:$E$1004,MATCH(C26,'Leads Pipeline'!$A$5:$A$1004,0)),INDEX('Active Clients'!$C$5:$C$504,MATCH(C26,'Active Clients'!$A$5:$A$504,0)))&amp;"","ID not found"))</f>
        <v/>
      </c>
      <c r="G26" s="16"/>
      <c r="H26" s="16"/>
      <c r="I26" s="16"/>
      <c r="J26" s="16"/>
      <c r="K26" s="16"/>
      <c r="L26" s="18"/>
    </row>
    <row r="27" customFormat="false" ht="15" hidden="false" customHeight="false" outlineLevel="0" collapsed="false">
      <c r="A27" s="18"/>
      <c r="B27" s="16"/>
      <c r="C27" s="16"/>
      <c r="D27" s="51" t="str">
        <f aca="false">IF(C27="","",IFERROR(IF(LEFT(C27,1)="L",INDEX('Leads Pipeline'!$F$5:$F$1004,MATCH(C27,'Leads Pipeline'!$A$5:$A$1004,0)),INDEX('Active Clients'!$D$5:$D$504,MATCH(C27,'Active Clients'!$A$5:$A$504,0)))&amp;"","ID not found"))</f>
        <v/>
      </c>
      <c r="E27" s="51" t="str">
        <f aca="false">IF(C27="","",IFERROR(IF(LEFT(C27,1)="L",INDEX('Leads Pipeline'!$D$5:$D$1004,MATCH(C27,'Leads Pipeline'!$A$5:$A$1004,0)),INDEX('Active Clients'!$B$5:$B$504,MATCH(C27,'Active Clients'!$A$5:$A$504,0)))&amp;"","ID not found"))</f>
        <v/>
      </c>
      <c r="F27" s="51" t="str">
        <f aca="false">IF(C27="","",IFERROR(IF(LEFT(C27,1)="L",INDEX('Leads Pipeline'!$E$5:$E$1004,MATCH(C27,'Leads Pipeline'!$A$5:$A$1004,0)),INDEX('Active Clients'!$C$5:$C$504,MATCH(C27,'Active Clients'!$A$5:$A$504,0)))&amp;"","ID not found"))</f>
        <v/>
      </c>
      <c r="G27" s="16"/>
      <c r="H27" s="16"/>
      <c r="I27" s="16"/>
      <c r="J27" s="16"/>
      <c r="K27" s="16"/>
      <c r="L27" s="18"/>
    </row>
    <row r="28" customFormat="false" ht="15" hidden="false" customHeight="false" outlineLevel="0" collapsed="false">
      <c r="A28" s="18"/>
      <c r="B28" s="16"/>
      <c r="C28" s="16"/>
      <c r="D28" s="51" t="str">
        <f aca="false">IF(C28="","",IFERROR(IF(LEFT(C28,1)="L",INDEX('Leads Pipeline'!$F$5:$F$1004,MATCH(C28,'Leads Pipeline'!$A$5:$A$1004,0)),INDEX('Active Clients'!$D$5:$D$504,MATCH(C28,'Active Clients'!$A$5:$A$504,0)))&amp;"","ID not found"))</f>
        <v/>
      </c>
      <c r="E28" s="51" t="str">
        <f aca="false">IF(C28="","",IFERROR(IF(LEFT(C28,1)="L",INDEX('Leads Pipeline'!$D$5:$D$1004,MATCH(C28,'Leads Pipeline'!$A$5:$A$1004,0)),INDEX('Active Clients'!$B$5:$B$504,MATCH(C28,'Active Clients'!$A$5:$A$504,0)))&amp;"","ID not found"))</f>
        <v/>
      </c>
      <c r="F28" s="51" t="str">
        <f aca="false">IF(C28="","",IFERROR(IF(LEFT(C28,1)="L",INDEX('Leads Pipeline'!$E$5:$E$1004,MATCH(C28,'Leads Pipeline'!$A$5:$A$1004,0)),INDEX('Active Clients'!$C$5:$C$504,MATCH(C28,'Active Clients'!$A$5:$A$504,0)))&amp;"","ID not found"))</f>
        <v/>
      </c>
      <c r="G28" s="16"/>
      <c r="H28" s="16"/>
      <c r="I28" s="16"/>
      <c r="J28" s="16"/>
      <c r="K28" s="16"/>
      <c r="L28" s="18"/>
    </row>
    <row r="29" customFormat="false" ht="15" hidden="false" customHeight="false" outlineLevel="0" collapsed="false">
      <c r="A29" s="18"/>
      <c r="B29" s="16"/>
      <c r="C29" s="16"/>
      <c r="D29" s="51" t="str">
        <f aca="false">IF(C29="","",IFERROR(IF(LEFT(C29,1)="L",INDEX('Leads Pipeline'!$F$5:$F$1004,MATCH(C29,'Leads Pipeline'!$A$5:$A$1004,0)),INDEX('Active Clients'!$D$5:$D$504,MATCH(C29,'Active Clients'!$A$5:$A$504,0)))&amp;"","ID not found"))</f>
        <v/>
      </c>
      <c r="E29" s="51" t="str">
        <f aca="false">IF(C29="","",IFERROR(IF(LEFT(C29,1)="L",INDEX('Leads Pipeline'!$D$5:$D$1004,MATCH(C29,'Leads Pipeline'!$A$5:$A$1004,0)),INDEX('Active Clients'!$B$5:$B$504,MATCH(C29,'Active Clients'!$A$5:$A$504,0)))&amp;"","ID not found"))</f>
        <v/>
      </c>
      <c r="F29" s="51" t="str">
        <f aca="false">IF(C29="","",IFERROR(IF(LEFT(C29,1)="L",INDEX('Leads Pipeline'!$E$5:$E$1004,MATCH(C29,'Leads Pipeline'!$A$5:$A$1004,0)),INDEX('Active Clients'!$C$5:$C$504,MATCH(C29,'Active Clients'!$A$5:$A$504,0)))&amp;"","ID not found"))</f>
        <v/>
      </c>
      <c r="G29" s="16"/>
      <c r="H29" s="16"/>
      <c r="I29" s="16"/>
      <c r="J29" s="16"/>
      <c r="K29" s="16"/>
      <c r="L29" s="18"/>
    </row>
    <row r="30" customFormat="false" ht="15" hidden="false" customHeight="false" outlineLevel="0" collapsed="false">
      <c r="A30" s="18"/>
      <c r="B30" s="16"/>
      <c r="C30" s="16"/>
      <c r="D30" s="51" t="str">
        <f aca="false">IF(C30="","",IFERROR(IF(LEFT(C30,1)="L",INDEX('Leads Pipeline'!$F$5:$F$1004,MATCH(C30,'Leads Pipeline'!$A$5:$A$1004,0)),INDEX('Active Clients'!$D$5:$D$504,MATCH(C30,'Active Clients'!$A$5:$A$504,0)))&amp;"","ID not found"))</f>
        <v/>
      </c>
      <c r="E30" s="51" t="str">
        <f aca="false">IF(C30="","",IFERROR(IF(LEFT(C30,1)="L",INDEX('Leads Pipeline'!$D$5:$D$1004,MATCH(C30,'Leads Pipeline'!$A$5:$A$1004,0)),INDEX('Active Clients'!$B$5:$B$504,MATCH(C30,'Active Clients'!$A$5:$A$504,0)))&amp;"","ID not found"))</f>
        <v/>
      </c>
      <c r="F30" s="51" t="str">
        <f aca="false">IF(C30="","",IFERROR(IF(LEFT(C30,1)="L",INDEX('Leads Pipeline'!$E$5:$E$1004,MATCH(C30,'Leads Pipeline'!$A$5:$A$1004,0)),INDEX('Active Clients'!$C$5:$C$504,MATCH(C30,'Active Clients'!$A$5:$A$504,0)))&amp;"","ID not found"))</f>
        <v/>
      </c>
      <c r="G30" s="16"/>
      <c r="H30" s="16"/>
      <c r="I30" s="16"/>
      <c r="J30" s="16"/>
      <c r="K30" s="16"/>
      <c r="L30" s="18"/>
    </row>
    <row r="31" customFormat="false" ht="15" hidden="false" customHeight="false" outlineLevel="0" collapsed="false">
      <c r="A31" s="18"/>
      <c r="B31" s="16"/>
      <c r="C31" s="16"/>
      <c r="D31" s="51" t="str">
        <f aca="false">IF(C31="","",IFERROR(IF(LEFT(C31,1)="L",INDEX('Leads Pipeline'!$F$5:$F$1004,MATCH(C31,'Leads Pipeline'!$A$5:$A$1004,0)),INDEX('Active Clients'!$D$5:$D$504,MATCH(C31,'Active Clients'!$A$5:$A$504,0)))&amp;"","ID not found"))</f>
        <v/>
      </c>
      <c r="E31" s="51" t="str">
        <f aca="false">IF(C31="","",IFERROR(IF(LEFT(C31,1)="L",INDEX('Leads Pipeline'!$D$5:$D$1004,MATCH(C31,'Leads Pipeline'!$A$5:$A$1004,0)),INDEX('Active Clients'!$B$5:$B$504,MATCH(C31,'Active Clients'!$A$5:$A$504,0)))&amp;"","ID not found"))</f>
        <v/>
      </c>
      <c r="F31" s="51" t="str">
        <f aca="false">IF(C31="","",IFERROR(IF(LEFT(C31,1)="L",INDEX('Leads Pipeline'!$E$5:$E$1004,MATCH(C31,'Leads Pipeline'!$A$5:$A$1004,0)),INDEX('Active Clients'!$C$5:$C$504,MATCH(C31,'Active Clients'!$A$5:$A$504,0)))&amp;"","ID not found"))</f>
        <v/>
      </c>
      <c r="G31" s="16"/>
      <c r="H31" s="16"/>
      <c r="I31" s="16"/>
      <c r="J31" s="16"/>
      <c r="K31" s="16"/>
      <c r="L31" s="18"/>
    </row>
    <row r="32" customFormat="false" ht="15" hidden="false" customHeight="false" outlineLevel="0" collapsed="false">
      <c r="A32" s="18"/>
      <c r="B32" s="16"/>
      <c r="C32" s="16"/>
      <c r="D32" s="51" t="str">
        <f aca="false">IF(C32="","",IFERROR(IF(LEFT(C32,1)="L",INDEX('Leads Pipeline'!$F$5:$F$1004,MATCH(C32,'Leads Pipeline'!$A$5:$A$1004,0)),INDEX('Active Clients'!$D$5:$D$504,MATCH(C32,'Active Clients'!$A$5:$A$504,0)))&amp;"","ID not found"))</f>
        <v/>
      </c>
      <c r="E32" s="51" t="str">
        <f aca="false">IF(C32="","",IFERROR(IF(LEFT(C32,1)="L",INDEX('Leads Pipeline'!$D$5:$D$1004,MATCH(C32,'Leads Pipeline'!$A$5:$A$1004,0)),INDEX('Active Clients'!$B$5:$B$504,MATCH(C32,'Active Clients'!$A$5:$A$504,0)))&amp;"","ID not found"))</f>
        <v/>
      </c>
      <c r="F32" s="51" t="str">
        <f aca="false">IF(C32="","",IFERROR(IF(LEFT(C32,1)="L",INDEX('Leads Pipeline'!$E$5:$E$1004,MATCH(C32,'Leads Pipeline'!$A$5:$A$1004,0)),INDEX('Active Clients'!$C$5:$C$504,MATCH(C32,'Active Clients'!$A$5:$A$504,0)))&amp;"","ID not found"))</f>
        <v/>
      </c>
      <c r="G32" s="16"/>
      <c r="H32" s="16"/>
      <c r="I32" s="16"/>
      <c r="J32" s="16"/>
      <c r="K32" s="16"/>
      <c r="L32" s="18"/>
    </row>
    <row r="33" customFormat="false" ht="15" hidden="false" customHeight="false" outlineLevel="0" collapsed="false">
      <c r="A33" s="18"/>
      <c r="B33" s="16"/>
      <c r="C33" s="16"/>
      <c r="D33" s="51" t="str">
        <f aca="false">IF(C33="","",IFERROR(IF(LEFT(C33,1)="L",INDEX('Leads Pipeline'!$F$5:$F$1004,MATCH(C33,'Leads Pipeline'!$A$5:$A$1004,0)),INDEX('Active Clients'!$D$5:$D$504,MATCH(C33,'Active Clients'!$A$5:$A$504,0)))&amp;"","ID not found"))</f>
        <v/>
      </c>
      <c r="E33" s="51" t="str">
        <f aca="false">IF(C33="","",IFERROR(IF(LEFT(C33,1)="L",INDEX('Leads Pipeline'!$D$5:$D$1004,MATCH(C33,'Leads Pipeline'!$A$5:$A$1004,0)),INDEX('Active Clients'!$B$5:$B$504,MATCH(C33,'Active Clients'!$A$5:$A$504,0)))&amp;"","ID not found"))</f>
        <v/>
      </c>
      <c r="F33" s="51" t="str">
        <f aca="false">IF(C33="","",IFERROR(IF(LEFT(C33,1)="L",INDEX('Leads Pipeline'!$E$5:$E$1004,MATCH(C33,'Leads Pipeline'!$A$5:$A$1004,0)),INDEX('Active Clients'!$C$5:$C$504,MATCH(C33,'Active Clients'!$A$5:$A$504,0)))&amp;"","ID not found"))</f>
        <v/>
      </c>
      <c r="G33" s="16"/>
      <c r="H33" s="16"/>
      <c r="I33" s="16"/>
      <c r="J33" s="16"/>
      <c r="K33" s="16"/>
      <c r="L33" s="18"/>
    </row>
    <row r="34" customFormat="false" ht="15" hidden="false" customHeight="false" outlineLevel="0" collapsed="false">
      <c r="A34" s="18"/>
      <c r="B34" s="16"/>
      <c r="C34" s="16"/>
      <c r="D34" s="51" t="str">
        <f aca="false">IF(C34="","",IFERROR(IF(LEFT(C34,1)="L",INDEX('Leads Pipeline'!$F$5:$F$1004,MATCH(C34,'Leads Pipeline'!$A$5:$A$1004,0)),INDEX('Active Clients'!$D$5:$D$504,MATCH(C34,'Active Clients'!$A$5:$A$504,0)))&amp;"","ID not found"))</f>
        <v/>
      </c>
      <c r="E34" s="51" t="str">
        <f aca="false">IF(C34="","",IFERROR(IF(LEFT(C34,1)="L",INDEX('Leads Pipeline'!$D$5:$D$1004,MATCH(C34,'Leads Pipeline'!$A$5:$A$1004,0)),INDEX('Active Clients'!$B$5:$B$504,MATCH(C34,'Active Clients'!$A$5:$A$504,0)))&amp;"","ID not found"))</f>
        <v/>
      </c>
      <c r="F34" s="51" t="str">
        <f aca="false">IF(C34="","",IFERROR(IF(LEFT(C34,1)="L",INDEX('Leads Pipeline'!$E$5:$E$1004,MATCH(C34,'Leads Pipeline'!$A$5:$A$1004,0)),INDEX('Active Clients'!$C$5:$C$504,MATCH(C34,'Active Clients'!$A$5:$A$504,0)))&amp;"","ID not found"))</f>
        <v/>
      </c>
      <c r="G34" s="16"/>
      <c r="H34" s="16"/>
      <c r="I34" s="16"/>
      <c r="J34" s="16"/>
      <c r="K34" s="16"/>
      <c r="L34" s="18"/>
    </row>
    <row r="35" customFormat="false" ht="15" hidden="false" customHeight="false" outlineLevel="0" collapsed="false">
      <c r="A35" s="18"/>
      <c r="B35" s="16"/>
      <c r="C35" s="16"/>
      <c r="D35" s="51" t="str">
        <f aca="false">IF(C35="","",IFERROR(IF(LEFT(C35,1)="L",INDEX('Leads Pipeline'!$F$5:$F$1004,MATCH(C35,'Leads Pipeline'!$A$5:$A$1004,0)),INDEX('Active Clients'!$D$5:$D$504,MATCH(C35,'Active Clients'!$A$5:$A$504,0)))&amp;"","ID not found"))</f>
        <v/>
      </c>
      <c r="E35" s="51" t="str">
        <f aca="false">IF(C35="","",IFERROR(IF(LEFT(C35,1)="L",INDEX('Leads Pipeline'!$D$5:$D$1004,MATCH(C35,'Leads Pipeline'!$A$5:$A$1004,0)),INDEX('Active Clients'!$B$5:$B$504,MATCH(C35,'Active Clients'!$A$5:$A$504,0)))&amp;"","ID not found"))</f>
        <v/>
      </c>
      <c r="F35" s="51" t="str">
        <f aca="false">IF(C35="","",IFERROR(IF(LEFT(C35,1)="L",INDEX('Leads Pipeline'!$E$5:$E$1004,MATCH(C35,'Leads Pipeline'!$A$5:$A$1004,0)),INDEX('Active Clients'!$C$5:$C$504,MATCH(C35,'Active Clients'!$A$5:$A$504,0)))&amp;"","ID not found"))</f>
        <v/>
      </c>
      <c r="G35" s="16"/>
      <c r="H35" s="16"/>
      <c r="I35" s="16"/>
      <c r="J35" s="16"/>
      <c r="K35" s="16"/>
      <c r="L35" s="18"/>
    </row>
    <row r="36" customFormat="false" ht="15" hidden="false" customHeight="false" outlineLevel="0" collapsed="false">
      <c r="A36" s="18"/>
      <c r="B36" s="16"/>
      <c r="C36" s="16"/>
      <c r="D36" s="51" t="str">
        <f aca="false">IF(C36="","",IFERROR(IF(LEFT(C36,1)="L",INDEX('Leads Pipeline'!$F$5:$F$1004,MATCH(C36,'Leads Pipeline'!$A$5:$A$1004,0)),INDEX('Active Clients'!$D$5:$D$504,MATCH(C36,'Active Clients'!$A$5:$A$504,0)))&amp;"","ID not found"))</f>
        <v/>
      </c>
      <c r="E36" s="51" t="str">
        <f aca="false">IF(C36="","",IFERROR(IF(LEFT(C36,1)="L",INDEX('Leads Pipeline'!$D$5:$D$1004,MATCH(C36,'Leads Pipeline'!$A$5:$A$1004,0)),INDEX('Active Clients'!$B$5:$B$504,MATCH(C36,'Active Clients'!$A$5:$A$504,0)))&amp;"","ID not found"))</f>
        <v/>
      </c>
      <c r="F36" s="51" t="str">
        <f aca="false">IF(C36="","",IFERROR(IF(LEFT(C36,1)="L",INDEX('Leads Pipeline'!$E$5:$E$1004,MATCH(C36,'Leads Pipeline'!$A$5:$A$1004,0)),INDEX('Active Clients'!$C$5:$C$504,MATCH(C36,'Active Clients'!$A$5:$A$504,0)))&amp;"","ID not found"))</f>
        <v/>
      </c>
      <c r="G36" s="16"/>
      <c r="H36" s="16"/>
      <c r="I36" s="16"/>
      <c r="J36" s="16"/>
      <c r="K36" s="16"/>
      <c r="L36" s="18"/>
    </row>
    <row r="37" customFormat="false" ht="15" hidden="false" customHeight="false" outlineLevel="0" collapsed="false">
      <c r="A37" s="18"/>
      <c r="B37" s="16"/>
      <c r="C37" s="16"/>
      <c r="D37" s="51" t="str">
        <f aca="false">IF(C37="","",IFERROR(IF(LEFT(C37,1)="L",INDEX('Leads Pipeline'!$F$5:$F$1004,MATCH(C37,'Leads Pipeline'!$A$5:$A$1004,0)),INDEX('Active Clients'!$D$5:$D$504,MATCH(C37,'Active Clients'!$A$5:$A$504,0)))&amp;"","ID not found"))</f>
        <v/>
      </c>
      <c r="E37" s="51" t="str">
        <f aca="false">IF(C37="","",IFERROR(IF(LEFT(C37,1)="L",INDEX('Leads Pipeline'!$D$5:$D$1004,MATCH(C37,'Leads Pipeline'!$A$5:$A$1004,0)),INDEX('Active Clients'!$B$5:$B$504,MATCH(C37,'Active Clients'!$A$5:$A$504,0)))&amp;"","ID not found"))</f>
        <v/>
      </c>
      <c r="F37" s="51" t="str">
        <f aca="false">IF(C37="","",IFERROR(IF(LEFT(C37,1)="L",INDEX('Leads Pipeline'!$E$5:$E$1004,MATCH(C37,'Leads Pipeline'!$A$5:$A$1004,0)),INDEX('Active Clients'!$C$5:$C$504,MATCH(C37,'Active Clients'!$A$5:$A$504,0)))&amp;"","ID not found"))</f>
        <v/>
      </c>
      <c r="G37" s="16"/>
      <c r="H37" s="16"/>
      <c r="I37" s="16"/>
      <c r="J37" s="16"/>
      <c r="K37" s="16"/>
      <c r="L37" s="18"/>
    </row>
    <row r="38" customFormat="false" ht="15" hidden="false" customHeight="false" outlineLevel="0" collapsed="false">
      <c r="A38" s="18"/>
      <c r="B38" s="16"/>
      <c r="C38" s="16"/>
      <c r="D38" s="51" t="str">
        <f aca="false">IF(C38="","",IFERROR(IF(LEFT(C38,1)="L",INDEX('Leads Pipeline'!$F$5:$F$1004,MATCH(C38,'Leads Pipeline'!$A$5:$A$1004,0)),INDEX('Active Clients'!$D$5:$D$504,MATCH(C38,'Active Clients'!$A$5:$A$504,0)))&amp;"","ID not found"))</f>
        <v/>
      </c>
      <c r="E38" s="51" t="str">
        <f aca="false">IF(C38="","",IFERROR(IF(LEFT(C38,1)="L",INDEX('Leads Pipeline'!$D$5:$D$1004,MATCH(C38,'Leads Pipeline'!$A$5:$A$1004,0)),INDEX('Active Clients'!$B$5:$B$504,MATCH(C38,'Active Clients'!$A$5:$A$504,0)))&amp;"","ID not found"))</f>
        <v/>
      </c>
      <c r="F38" s="51" t="str">
        <f aca="false">IF(C38="","",IFERROR(IF(LEFT(C38,1)="L",INDEX('Leads Pipeline'!$E$5:$E$1004,MATCH(C38,'Leads Pipeline'!$A$5:$A$1004,0)),INDEX('Active Clients'!$C$5:$C$504,MATCH(C38,'Active Clients'!$A$5:$A$504,0)))&amp;"","ID not found"))</f>
        <v/>
      </c>
      <c r="G38" s="16"/>
      <c r="H38" s="16"/>
      <c r="I38" s="16"/>
      <c r="J38" s="16"/>
      <c r="K38" s="16"/>
      <c r="L38" s="18"/>
    </row>
    <row r="39" customFormat="false" ht="15" hidden="false" customHeight="false" outlineLevel="0" collapsed="false">
      <c r="A39" s="18"/>
      <c r="B39" s="16"/>
      <c r="C39" s="16"/>
      <c r="D39" s="51" t="str">
        <f aca="false">IF(C39="","",IFERROR(IF(LEFT(C39,1)="L",INDEX('Leads Pipeline'!$F$5:$F$1004,MATCH(C39,'Leads Pipeline'!$A$5:$A$1004,0)),INDEX('Active Clients'!$D$5:$D$504,MATCH(C39,'Active Clients'!$A$5:$A$504,0)))&amp;"","ID not found"))</f>
        <v/>
      </c>
      <c r="E39" s="51" t="str">
        <f aca="false">IF(C39="","",IFERROR(IF(LEFT(C39,1)="L",INDEX('Leads Pipeline'!$D$5:$D$1004,MATCH(C39,'Leads Pipeline'!$A$5:$A$1004,0)),INDEX('Active Clients'!$B$5:$B$504,MATCH(C39,'Active Clients'!$A$5:$A$504,0)))&amp;"","ID not found"))</f>
        <v/>
      </c>
      <c r="F39" s="51" t="str">
        <f aca="false">IF(C39="","",IFERROR(IF(LEFT(C39,1)="L",INDEX('Leads Pipeline'!$E$5:$E$1004,MATCH(C39,'Leads Pipeline'!$A$5:$A$1004,0)),INDEX('Active Clients'!$C$5:$C$504,MATCH(C39,'Active Clients'!$A$5:$A$504,0)))&amp;"","ID not found"))</f>
        <v/>
      </c>
      <c r="G39" s="16"/>
      <c r="H39" s="16"/>
      <c r="I39" s="16"/>
      <c r="J39" s="16"/>
      <c r="K39" s="16"/>
      <c r="L39" s="18"/>
    </row>
    <row r="40" customFormat="false" ht="15" hidden="false" customHeight="false" outlineLevel="0" collapsed="false">
      <c r="A40" s="18"/>
      <c r="B40" s="16"/>
      <c r="C40" s="16"/>
      <c r="D40" s="51" t="str">
        <f aca="false">IF(C40="","",IFERROR(IF(LEFT(C40,1)="L",INDEX('Leads Pipeline'!$F$5:$F$1004,MATCH(C40,'Leads Pipeline'!$A$5:$A$1004,0)),INDEX('Active Clients'!$D$5:$D$504,MATCH(C40,'Active Clients'!$A$5:$A$504,0)))&amp;"","ID not found"))</f>
        <v/>
      </c>
      <c r="E40" s="51" t="str">
        <f aca="false">IF(C40="","",IFERROR(IF(LEFT(C40,1)="L",INDEX('Leads Pipeline'!$D$5:$D$1004,MATCH(C40,'Leads Pipeline'!$A$5:$A$1004,0)),INDEX('Active Clients'!$B$5:$B$504,MATCH(C40,'Active Clients'!$A$5:$A$504,0)))&amp;"","ID not found"))</f>
        <v/>
      </c>
      <c r="F40" s="51" t="str">
        <f aca="false">IF(C40="","",IFERROR(IF(LEFT(C40,1)="L",INDEX('Leads Pipeline'!$E$5:$E$1004,MATCH(C40,'Leads Pipeline'!$A$5:$A$1004,0)),INDEX('Active Clients'!$C$5:$C$504,MATCH(C40,'Active Clients'!$A$5:$A$504,0)))&amp;"","ID not found"))</f>
        <v/>
      </c>
      <c r="G40" s="16"/>
      <c r="H40" s="16"/>
      <c r="I40" s="16"/>
      <c r="J40" s="16"/>
      <c r="K40" s="16"/>
      <c r="L40" s="18"/>
    </row>
    <row r="41" customFormat="false" ht="15" hidden="false" customHeight="false" outlineLevel="0" collapsed="false">
      <c r="A41" s="18"/>
      <c r="B41" s="16"/>
      <c r="C41" s="16"/>
      <c r="D41" s="51" t="str">
        <f aca="false">IF(C41="","",IFERROR(IF(LEFT(C41,1)="L",INDEX('Leads Pipeline'!$F$5:$F$1004,MATCH(C41,'Leads Pipeline'!$A$5:$A$1004,0)),INDEX('Active Clients'!$D$5:$D$504,MATCH(C41,'Active Clients'!$A$5:$A$504,0)))&amp;"","ID not found"))</f>
        <v/>
      </c>
      <c r="E41" s="51" t="str">
        <f aca="false">IF(C41="","",IFERROR(IF(LEFT(C41,1)="L",INDEX('Leads Pipeline'!$D$5:$D$1004,MATCH(C41,'Leads Pipeline'!$A$5:$A$1004,0)),INDEX('Active Clients'!$B$5:$B$504,MATCH(C41,'Active Clients'!$A$5:$A$504,0)))&amp;"","ID not found"))</f>
        <v/>
      </c>
      <c r="F41" s="51" t="str">
        <f aca="false">IF(C41="","",IFERROR(IF(LEFT(C41,1)="L",INDEX('Leads Pipeline'!$E$5:$E$1004,MATCH(C41,'Leads Pipeline'!$A$5:$A$1004,0)),INDEX('Active Clients'!$C$5:$C$504,MATCH(C41,'Active Clients'!$A$5:$A$504,0)))&amp;"","ID not found"))</f>
        <v/>
      </c>
      <c r="G41" s="16"/>
      <c r="H41" s="16"/>
      <c r="I41" s="16"/>
      <c r="J41" s="16"/>
      <c r="K41" s="16"/>
      <c r="L41" s="18"/>
    </row>
    <row r="42" customFormat="false" ht="15" hidden="false" customHeight="false" outlineLevel="0" collapsed="false">
      <c r="A42" s="18"/>
      <c r="B42" s="16"/>
      <c r="C42" s="16"/>
      <c r="D42" s="51" t="str">
        <f aca="false">IF(C42="","",IFERROR(IF(LEFT(C42,1)="L",INDEX('Leads Pipeline'!$F$5:$F$1004,MATCH(C42,'Leads Pipeline'!$A$5:$A$1004,0)),INDEX('Active Clients'!$D$5:$D$504,MATCH(C42,'Active Clients'!$A$5:$A$504,0)))&amp;"","ID not found"))</f>
        <v/>
      </c>
      <c r="E42" s="51" t="str">
        <f aca="false">IF(C42="","",IFERROR(IF(LEFT(C42,1)="L",INDEX('Leads Pipeline'!$D$5:$D$1004,MATCH(C42,'Leads Pipeline'!$A$5:$A$1004,0)),INDEX('Active Clients'!$B$5:$B$504,MATCH(C42,'Active Clients'!$A$5:$A$504,0)))&amp;"","ID not found"))</f>
        <v/>
      </c>
      <c r="F42" s="51" t="str">
        <f aca="false">IF(C42="","",IFERROR(IF(LEFT(C42,1)="L",INDEX('Leads Pipeline'!$E$5:$E$1004,MATCH(C42,'Leads Pipeline'!$A$5:$A$1004,0)),INDEX('Active Clients'!$C$5:$C$504,MATCH(C42,'Active Clients'!$A$5:$A$504,0)))&amp;"","ID not found"))</f>
        <v/>
      </c>
      <c r="G42" s="16"/>
      <c r="H42" s="16"/>
      <c r="I42" s="16"/>
      <c r="J42" s="16"/>
      <c r="K42" s="16"/>
      <c r="L42" s="18"/>
    </row>
    <row r="43" customFormat="false" ht="15" hidden="false" customHeight="false" outlineLevel="0" collapsed="false">
      <c r="A43" s="18"/>
      <c r="B43" s="16"/>
      <c r="C43" s="16"/>
      <c r="D43" s="51" t="str">
        <f aca="false">IF(C43="","",IFERROR(IF(LEFT(C43,1)="L",INDEX('Leads Pipeline'!$F$5:$F$1004,MATCH(C43,'Leads Pipeline'!$A$5:$A$1004,0)),INDEX('Active Clients'!$D$5:$D$504,MATCH(C43,'Active Clients'!$A$5:$A$504,0)))&amp;"","ID not found"))</f>
        <v/>
      </c>
      <c r="E43" s="51" t="str">
        <f aca="false">IF(C43="","",IFERROR(IF(LEFT(C43,1)="L",INDEX('Leads Pipeline'!$D$5:$D$1004,MATCH(C43,'Leads Pipeline'!$A$5:$A$1004,0)),INDEX('Active Clients'!$B$5:$B$504,MATCH(C43,'Active Clients'!$A$5:$A$504,0)))&amp;"","ID not found"))</f>
        <v/>
      </c>
      <c r="F43" s="51" t="str">
        <f aca="false">IF(C43="","",IFERROR(IF(LEFT(C43,1)="L",INDEX('Leads Pipeline'!$E$5:$E$1004,MATCH(C43,'Leads Pipeline'!$A$5:$A$1004,0)),INDEX('Active Clients'!$C$5:$C$504,MATCH(C43,'Active Clients'!$A$5:$A$504,0)))&amp;"","ID not found"))</f>
        <v/>
      </c>
      <c r="G43" s="16"/>
      <c r="H43" s="16"/>
      <c r="I43" s="16"/>
      <c r="J43" s="16"/>
      <c r="K43" s="16"/>
      <c r="L43" s="18"/>
    </row>
    <row r="44" customFormat="false" ht="15" hidden="false" customHeight="false" outlineLevel="0" collapsed="false">
      <c r="A44" s="18"/>
      <c r="B44" s="16"/>
      <c r="C44" s="16"/>
      <c r="D44" s="51" t="str">
        <f aca="false">IF(C44="","",IFERROR(IF(LEFT(C44,1)="L",INDEX('Leads Pipeline'!$F$5:$F$1004,MATCH(C44,'Leads Pipeline'!$A$5:$A$1004,0)),INDEX('Active Clients'!$D$5:$D$504,MATCH(C44,'Active Clients'!$A$5:$A$504,0)))&amp;"","ID not found"))</f>
        <v/>
      </c>
      <c r="E44" s="51" t="str">
        <f aca="false">IF(C44="","",IFERROR(IF(LEFT(C44,1)="L",INDEX('Leads Pipeline'!$D$5:$D$1004,MATCH(C44,'Leads Pipeline'!$A$5:$A$1004,0)),INDEX('Active Clients'!$B$5:$B$504,MATCH(C44,'Active Clients'!$A$5:$A$504,0)))&amp;"","ID not found"))</f>
        <v/>
      </c>
      <c r="F44" s="51" t="str">
        <f aca="false">IF(C44="","",IFERROR(IF(LEFT(C44,1)="L",INDEX('Leads Pipeline'!$E$5:$E$1004,MATCH(C44,'Leads Pipeline'!$A$5:$A$1004,0)),INDEX('Active Clients'!$C$5:$C$504,MATCH(C44,'Active Clients'!$A$5:$A$504,0)))&amp;"","ID not found"))</f>
        <v/>
      </c>
      <c r="G44" s="16"/>
      <c r="H44" s="16"/>
      <c r="I44" s="16"/>
      <c r="J44" s="16"/>
      <c r="K44" s="16"/>
      <c r="L44" s="18"/>
    </row>
    <row r="45" customFormat="false" ht="15" hidden="false" customHeight="false" outlineLevel="0" collapsed="false">
      <c r="A45" s="18"/>
      <c r="B45" s="16"/>
      <c r="C45" s="16"/>
      <c r="D45" s="51" t="str">
        <f aca="false">IF(C45="","",IFERROR(IF(LEFT(C45,1)="L",INDEX('Leads Pipeline'!$F$5:$F$1004,MATCH(C45,'Leads Pipeline'!$A$5:$A$1004,0)),INDEX('Active Clients'!$D$5:$D$504,MATCH(C45,'Active Clients'!$A$5:$A$504,0)))&amp;"","ID not found"))</f>
        <v/>
      </c>
      <c r="E45" s="51" t="str">
        <f aca="false">IF(C45="","",IFERROR(IF(LEFT(C45,1)="L",INDEX('Leads Pipeline'!$D$5:$D$1004,MATCH(C45,'Leads Pipeline'!$A$5:$A$1004,0)),INDEX('Active Clients'!$B$5:$B$504,MATCH(C45,'Active Clients'!$A$5:$A$504,0)))&amp;"","ID not found"))</f>
        <v/>
      </c>
      <c r="F45" s="51" t="str">
        <f aca="false">IF(C45="","",IFERROR(IF(LEFT(C45,1)="L",INDEX('Leads Pipeline'!$E$5:$E$1004,MATCH(C45,'Leads Pipeline'!$A$5:$A$1004,0)),INDEX('Active Clients'!$C$5:$C$504,MATCH(C45,'Active Clients'!$A$5:$A$504,0)))&amp;"","ID not found"))</f>
        <v/>
      </c>
      <c r="G45" s="16"/>
      <c r="H45" s="16"/>
      <c r="I45" s="16"/>
      <c r="J45" s="16"/>
      <c r="K45" s="16"/>
      <c r="L45" s="18"/>
    </row>
    <row r="46" customFormat="false" ht="15" hidden="false" customHeight="false" outlineLevel="0" collapsed="false">
      <c r="A46" s="18"/>
      <c r="B46" s="16"/>
      <c r="C46" s="16"/>
      <c r="D46" s="51" t="str">
        <f aca="false">IF(C46="","",IFERROR(IF(LEFT(C46,1)="L",INDEX('Leads Pipeline'!$F$5:$F$1004,MATCH(C46,'Leads Pipeline'!$A$5:$A$1004,0)),INDEX('Active Clients'!$D$5:$D$504,MATCH(C46,'Active Clients'!$A$5:$A$504,0)))&amp;"","ID not found"))</f>
        <v/>
      </c>
      <c r="E46" s="51" t="str">
        <f aca="false">IF(C46="","",IFERROR(IF(LEFT(C46,1)="L",INDEX('Leads Pipeline'!$D$5:$D$1004,MATCH(C46,'Leads Pipeline'!$A$5:$A$1004,0)),INDEX('Active Clients'!$B$5:$B$504,MATCH(C46,'Active Clients'!$A$5:$A$504,0)))&amp;"","ID not found"))</f>
        <v/>
      </c>
      <c r="F46" s="51" t="str">
        <f aca="false">IF(C46="","",IFERROR(IF(LEFT(C46,1)="L",INDEX('Leads Pipeline'!$E$5:$E$1004,MATCH(C46,'Leads Pipeline'!$A$5:$A$1004,0)),INDEX('Active Clients'!$C$5:$C$504,MATCH(C46,'Active Clients'!$A$5:$A$504,0)))&amp;"","ID not found"))</f>
        <v/>
      </c>
      <c r="G46" s="16"/>
      <c r="H46" s="16"/>
      <c r="I46" s="16"/>
      <c r="J46" s="16"/>
      <c r="K46" s="16"/>
      <c r="L46" s="18"/>
    </row>
    <row r="47" customFormat="false" ht="15" hidden="false" customHeight="false" outlineLevel="0" collapsed="false">
      <c r="A47" s="18"/>
      <c r="B47" s="16"/>
      <c r="C47" s="16"/>
      <c r="D47" s="51" t="str">
        <f aca="false">IF(C47="","",IFERROR(IF(LEFT(C47,1)="L",INDEX('Leads Pipeline'!$F$5:$F$1004,MATCH(C47,'Leads Pipeline'!$A$5:$A$1004,0)),INDEX('Active Clients'!$D$5:$D$504,MATCH(C47,'Active Clients'!$A$5:$A$504,0)))&amp;"","ID not found"))</f>
        <v/>
      </c>
      <c r="E47" s="51" t="str">
        <f aca="false">IF(C47="","",IFERROR(IF(LEFT(C47,1)="L",INDEX('Leads Pipeline'!$D$5:$D$1004,MATCH(C47,'Leads Pipeline'!$A$5:$A$1004,0)),INDEX('Active Clients'!$B$5:$B$504,MATCH(C47,'Active Clients'!$A$5:$A$504,0)))&amp;"","ID not found"))</f>
        <v/>
      </c>
      <c r="F47" s="51" t="str">
        <f aca="false">IF(C47="","",IFERROR(IF(LEFT(C47,1)="L",INDEX('Leads Pipeline'!$E$5:$E$1004,MATCH(C47,'Leads Pipeline'!$A$5:$A$1004,0)),INDEX('Active Clients'!$C$5:$C$504,MATCH(C47,'Active Clients'!$A$5:$A$504,0)))&amp;"","ID not found"))</f>
        <v/>
      </c>
      <c r="G47" s="16"/>
      <c r="H47" s="16"/>
      <c r="I47" s="16"/>
      <c r="J47" s="16"/>
      <c r="K47" s="16"/>
      <c r="L47" s="18"/>
    </row>
    <row r="48" customFormat="false" ht="15" hidden="false" customHeight="false" outlineLevel="0" collapsed="false">
      <c r="A48" s="18"/>
      <c r="B48" s="16"/>
      <c r="C48" s="16"/>
      <c r="D48" s="51" t="str">
        <f aca="false">IF(C48="","",IFERROR(IF(LEFT(C48,1)="L",INDEX('Leads Pipeline'!$F$5:$F$1004,MATCH(C48,'Leads Pipeline'!$A$5:$A$1004,0)),INDEX('Active Clients'!$D$5:$D$504,MATCH(C48,'Active Clients'!$A$5:$A$504,0)))&amp;"","ID not found"))</f>
        <v/>
      </c>
      <c r="E48" s="51" t="str">
        <f aca="false">IF(C48="","",IFERROR(IF(LEFT(C48,1)="L",INDEX('Leads Pipeline'!$D$5:$D$1004,MATCH(C48,'Leads Pipeline'!$A$5:$A$1004,0)),INDEX('Active Clients'!$B$5:$B$504,MATCH(C48,'Active Clients'!$A$5:$A$504,0)))&amp;"","ID not found"))</f>
        <v/>
      </c>
      <c r="F48" s="51" t="str">
        <f aca="false">IF(C48="","",IFERROR(IF(LEFT(C48,1)="L",INDEX('Leads Pipeline'!$E$5:$E$1004,MATCH(C48,'Leads Pipeline'!$A$5:$A$1004,0)),INDEX('Active Clients'!$C$5:$C$504,MATCH(C48,'Active Clients'!$A$5:$A$504,0)))&amp;"","ID not found"))</f>
        <v/>
      </c>
      <c r="G48" s="16"/>
      <c r="H48" s="16"/>
      <c r="I48" s="16"/>
      <c r="J48" s="16"/>
      <c r="K48" s="16"/>
      <c r="L48" s="18"/>
    </row>
    <row r="49" customFormat="false" ht="15" hidden="false" customHeight="false" outlineLevel="0" collapsed="false">
      <c r="A49" s="18"/>
      <c r="B49" s="16"/>
      <c r="C49" s="16"/>
      <c r="D49" s="51" t="str">
        <f aca="false">IF(C49="","",IFERROR(IF(LEFT(C49,1)="L",INDEX('Leads Pipeline'!$F$5:$F$1004,MATCH(C49,'Leads Pipeline'!$A$5:$A$1004,0)),INDEX('Active Clients'!$D$5:$D$504,MATCH(C49,'Active Clients'!$A$5:$A$504,0)))&amp;"","ID not found"))</f>
        <v/>
      </c>
      <c r="E49" s="51" t="str">
        <f aca="false">IF(C49="","",IFERROR(IF(LEFT(C49,1)="L",INDEX('Leads Pipeline'!$D$5:$D$1004,MATCH(C49,'Leads Pipeline'!$A$5:$A$1004,0)),INDEX('Active Clients'!$B$5:$B$504,MATCH(C49,'Active Clients'!$A$5:$A$504,0)))&amp;"","ID not found"))</f>
        <v/>
      </c>
      <c r="F49" s="51" t="str">
        <f aca="false">IF(C49="","",IFERROR(IF(LEFT(C49,1)="L",INDEX('Leads Pipeline'!$E$5:$E$1004,MATCH(C49,'Leads Pipeline'!$A$5:$A$1004,0)),INDEX('Active Clients'!$C$5:$C$504,MATCH(C49,'Active Clients'!$A$5:$A$504,0)))&amp;"","ID not found"))</f>
        <v/>
      </c>
      <c r="G49" s="16"/>
      <c r="H49" s="16"/>
      <c r="I49" s="16"/>
      <c r="J49" s="16"/>
      <c r="K49" s="16"/>
      <c r="L49" s="18"/>
    </row>
    <row r="50" customFormat="false" ht="15" hidden="false" customHeight="false" outlineLevel="0" collapsed="false">
      <c r="A50" s="18"/>
      <c r="B50" s="16"/>
      <c r="C50" s="16"/>
      <c r="D50" s="51" t="str">
        <f aca="false">IF(C50="","",IFERROR(IF(LEFT(C50,1)="L",INDEX('Leads Pipeline'!$F$5:$F$1004,MATCH(C50,'Leads Pipeline'!$A$5:$A$1004,0)),INDEX('Active Clients'!$D$5:$D$504,MATCH(C50,'Active Clients'!$A$5:$A$504,0)))&amp;"","ID not found"))</f>
        <v/>
      </c>
      <c r="E50" s="51" t="str">
        <f aca="false">IF(C50="","",IFERROR(IF(LEFT(C50,1)="L",INDEX('Leads Pipeline'!$D$5:$D$1004,MATCH(C50,'Leads Pipeline'!$A$5:$A$1004,0)),INDEX('Active Clients'!$B$5:$B$504,MATCH(C50,'Active Clients'!$A$5:$A$504,0)))&amp;"","ID not found"))</f>
        <v/>
      </c>
      <c r="F50" s="51" t="str">
        <f aca="false">IF(C50="","",IFERROR(IF(LEFT(C50,1)="L",INDEX('Leads Pipeline'!$E$5:$E$1004,MATCH(C50,'Leads Pipeline'!$A$5:$A$1004,0)),INDEX('Active Clients'!$C$5:$C$504,MATCH(C50,'Active Clients'!$A$5:$A$504,0)))&amp;"","ID not found"))</f>
        <v/>
      </c>
      <c r="G50" s="16"/>
      <c r="H50" s="16"/>
      <c r="I50" s="16"/>
      <c r="J50" s="16"/>
      <c r="K50" s="16"/>
      <c r="L50" s="18"/>
    </row>
    <row r="51" customFormat="false" ht="15" hidden="false" customHeight="false" outlineLevel="0" collapsed="false">
      <c r="A51" s="18"/>
      <c r="B51" s="16"/>
      <c r="C51" s="16"/>
      <c r="D51" s="51" t="str">
        <f aca="false">IF(C51="","",IFERROR(IF(LEFT(C51,1)="L",INDEX('Leads Pipeline'!$F$5:$F$1004,MATCH(C51,'Leads Pipeline'!$A$5:$A$1004,0)),INDEX('Active Clients'!$D$5:$D$504,MATCH(C51,'Active Clients'!$A$5:$A$504,0)))&amp;"","ID not found"))</f>
        <v/>
      </c>
      <c r="E51" s="51" t="str">
        <f aca="false">IF(C51="","",IFERROR(IF(LEFT(C51,1)="L",INDEX('Leads Pipeline'!$D$5:$D$1004,MATCH(C51,'Leads Pipeline'!$A$5:$A$1004,0)),INDEX('Active Clients'!$B$5:$B$504,MATCH(C51,'Active Clients'!$A$5:$A$504,0)))&amp;"","ID not found"))</f>
        <v/>
      </c>
      <c r="F51" s="51" t="str">
        <f aca="false">IF(C51="","",IFERROR(IF(LEFT(C51,1)="L",INDEX('Leads Pipeline'!$E$5:$E$1004,MATCH(C51,'Leads Pipeline'!$A$5:$A$1004,0)),INDEX('Active Clients'!$C$5:$C$504,MATCH(C51,'Active Clients'!$A$5:$A$504,0)))&amp;"","ID not found"))</f>
        <v/>
      </c>
      <c r="G51" s="16"/>
      <c r="H51" s="16"/>
      <c r="I51" s="16"/>
      <c r="J51" s="16"/>
      <c r="K51" s="16"/>
      <c r="L51" s="18"/>
    </row>
    <row r="52" customFormat="false" ht="15" hidden="false" customHeight="false" outlineLevel="0" collapsed="false">
      <c r="A52" s="18"/>
      <c r="B52" s="16"/>
      <c r="C52" s="16"/>
      <c r="D52" s="51" t="str">
        <f aca="false">IF(C52="","",IFERROR(IF(LEFT(C52,1)="L",INDEX('Leads Pipeline'!$F$5:$F$1004,MATCH(C52,'Leads Pipeline'!$A$5:$A$1004,0)),INDEX('Active Clients'!$D$5:$D$504,MATCH(C52,'Active Clients'!$A$5:$A$504,0)))&amp;"","ID not found"))</f>
        <v/>
      </c>
      <c r="E52" s="51" t="str">
        <f aca="false">IF(C52="","",IFERROR(IF(LEFT(C52,1)="L",INDEX('Leads Pipeline'!$D$5:$D$1004,MATCH(C52,'Leads Pipeline'!$A$5:$A$1004,0)),INDEX('Active Clients'!$B$5:$B$504,MATCH(C52,'Active Clients'!$A$5:$A$504,0)))&amp;"","ID not found"))</f>
        <v/>
      </c>
      <c r="F52" s="51" t="str">
        <f aca="false">IF(C52="","",IFERROR(IF(LEFT(C52,1)="L",INDEX('Leads Pipeline'!$E$5:$E$1004,MATCH(C52,'Leads Pipeline'!$A$5:$A$1004,0)),INDEX('Active Clients'!$C$5:$C$504,MATCH(C52,'Active Clients'!$A$5:$A$504,0)))&amp;"","ID not found"))</f>
        <v/>
      </c>
      <c r="G52" s="16"/>
      <c r="H52" s="16"/>
      <c r="I52" s="16"/>
      <c r="J52" s="16"/>
      <c r="K52" s="16"/>
      <c r="L52" s="18"/>
    </row>
    <row r="53" customFormat="false" ht="15" hidden="false" customHeight="false" outlineLevel="0" collapsed="false">
      <c r="A53" s="18"/>
      <c r="B53" s="16"/>
      <c r="C53" s="16"/>
      <c r="D53" s="51" t="str">
        <f aca="false">IF(C53="","",IFERROR(IF(LEFT(C53,1)="L",INDEX('Leads Pipeline'!$F$5:$F$1004,MATCH(C53,'Leads Pipeline'!$A$5:$A$1004,0)),INDEX('Active Clients'!$D$5:$D$504,MATCH(C53,'Active Clients'!$A$5:$A$504,0)))&amp;"","ID not found"))</f>
        <v/>
      </c>
      <c r="E53" s="51" t="str">
        <f aca="false">IF(C53="","",IFERROR(IF(LEFT(C53,1)="L",INDEX('Leads Pipeline'!$D$5:$D$1004,MATCH(C53,'Leads Pipeline'!$A$5:$A$1004,0)),INDEX('Active Clients'!$B$5:$B$504,MATCH(C53,'Active Clients'!$A$5:$A$504,0)))&amp;"","ID not found"))</f>
        <v/>
      </c>
      <c r="F53" s="51" t="str">
        <f aca="false">IF(C53="","",IFERROR(IF(LEFT(C53,1)="L",INDEX('Leads Pipeline'!$E$5:$E$1004,MATCH(C53,'Leads Pipeline'!$A$5:$A$1004,0)),INDEX('Active Clients'!$C$5:$C$504,MATCH(C53,'Active Clients'!$A$5:$A$504,0)))&amp;"","ID not found"))</f>
        <v/>
      </c>
      <c r="G53" s="16"/>
      <c r="H53" s="16"/>
      <c r="I53" s="16"/>
      <c r="J53" s="16"/>
      <c r="K53" s="16"/>
      <c r="L53" s="18"/>
    </row>
    <row r="54" customFormat="false" ht="15" hidden="false" customHeight="false" outlineLevel="0" collapsed="false">
      <c r="A54" s="18"/>
      <c r="B54" s="16"/>
      <c r="C54" s="16"/>
      <c r="D54" s="51" t="str">
        <f aca="false">IF(C54="","",IFERROR(IF(LEFT(C54,1)="L",INDEX('Leads Pipeline'!$F$5:$F$1004,MATCH(C54,'Leads Pipeline'!$A$5:$A$1004,0)),INDEX('Active Clients'!$D$5:$D$504,MATCH(C54,'Active Clients'!$A$5:$A$504,0)))&amp;"","ID not found"))</f>
        <v/>
      </c>
      <c r="E54" s="51" t="str">
        <f aca="false">IF(C54="","",IFERROR(IF(LEFT(C54,1)="L",INDEX('Leads Pipeline'!$D$5:$D$1004,MATCH(C54,'Leads Pipeline'!$A$5:$A$1004,0)),INDEX('Active Clients'!$B$5:$B$504,MATCH(C54,'Active Clients'!$A$5:$A$504,0)))&amp;"","ID not found"))</f>
        <v/>
      </c>
      <c r="F54" s="51" t="str">
        <f aca="false">IF(C54="","",IFERROR(IF(LEFT(C54,1)="L",INDEX('Leads Pipeline'!$E$5:$E$1004,MATCH(C54,'Leads Pipeline'!$A$5:$A$1004,0)),INDEX('Active Clients'!$C$5:$C$504,MATCH(C54,'Active Clients'!$A$5:$A$504,0)))&amp;"","ID not found"))</f>
        <v/>
      </c>
      <c r="G54" s="16"/>
      <c r="H54" s="16"/>
      <c r="I54" s="16"/>
      <c r="J54" s="16"/>
      <c r="K54" s="16"/>
      <c r="L54" s="18"/>
    </row>
    <row r="55" customFormat="false" ht="15" hidden="false" customHeight="false" outlineLevel="0" collapsed="false">
      <c r="A55" s="18"/>
      <c r="B55" s="16"/>
      <c r="C55" s="16"/>
      <c r="D55" s="51" t="str">
        <f aca="false">IF(C55="","",IFERROR(IF(LEFT(C55,1)="L",INDEX('Leads Pipeline'!$F$5:$F$1004,MATCH(C55,'Leads Pipeline'!$A$5:$A$1004,0)),INDEX('Active Clients'!$D$5:$D$504,MATCH(C55,'Active Clients'!$A$5:$A$504,0)))&amp;"","ID not found"))</f>
        <v/>
      </c>
      <c r="E55" s="51" t="str">
        <f aca="false">IF(C55="","",IFERROR(IF(LEFT(C55,1)="L",INDEX('Leads Pipeline'!$D$5:$D$1004,MATCH(C55,'Leads Pipeline'!$A$5:$A$1004,0)),INDEX('Active Clients'!$B$5:$B$504,MATCH(C55,'Active Clients'!$A$5:$A$504,0)))&amp;"","ID not found"))</f>
        <v/>
      </c>
      <c r="F55" s="51" t="str">
        <f aca="false">IF(C55="","",IFERROR(IF(LEFT(C55,1)="L",INDEX('Leads Pipeline'!$E$5:$E$1004,MATCH(C55,'Leads Pipeline'!$A$5:$A$1004,0)),INDEX('Active Clients'!$C$5:$C$504,MATCH(C55,'Active Clients'!$A$5:$A$504,0)))&amp;"","ID not found"))</f>
        <v/>
      </c>
      <c r="G55" s="16"/>
      <c r="H55" s="16"/>
      <c r="I55" s="16"/>
      <c r="J55" s="16"/>
      <c r="K55" s="16"/>
      <c r="L55" s="18"/>
    </row>
    <row r="56" customFormat="false" ht="15" hidden="false" customHeight="false" outlineLevel="0" collapsed="false">
      <c r="A56" s="18"/>
      <c r="B56" s="16"/>
      <c r="C56" s="16"/>
      <c r="D56" s="51" t="str">
        <f aca="false">IF(C56="","",IFERROR(IF(LEFT(C56,1)="L",INDEX('Leads Pipeline'!$F$5:$F$1004,MATCH(C56,'Leads Pipeline'!$A$5:$A$1004,0)),INDEX('Active Clients'!$D$5:$D$504,MATCH(C56,'Active Clients'!$A$5:$A$504,0)))&amp;"","ID not found"))</f>
        <v/>
      </c>
      <c r="E56" s="51" t="str">
        <f aca="false">IF(C56="","",IFERROR(IF(LEFT(C56,1)="L",INDEX('Leads Pipeline'!$D$5:$D$1004,MATCH(C56,'Leads Pipeline'!$A$5:$A$1004,0)),INDEX('Active Clients'!$B$5:$B$504,MATCH(C56,'Active Clients'!$A$5:$A$504,0)))&amp;"","ID not found"))</f>
        <v/>
      </c>
      <c r="F56" s="51" t="str">
        <f aca="false">IF(C56="","",IFERROR(IF(LEFT(C56,1)="L",INDEX('Leads Pipeline'!$E$5:$E$1004,MATCH(C56,'Leads Pipeline'!$A$5:$A$1004,0)),INDEX('Active Clients'!$C$5:$C$504,MATCH(C56,'Active Clients'!$A$5:$A$504,0)))&amp;"","ID not found"))</f>
        <v/>
      </c>
      <c r="G56" s="16"/>
      <c r="H56" s="16"/>
      <c r="I56" s="16"/>
      <c r="J56" s="16"/>
      <c r="K56" s="16"/>
      <c r="L56" s="18"/>
    </row>
    <row r="57" customFormat="false" ht="15" hidden="false" customHeight="false" outlineLevel="0" collapsed="false">
      <c r="A57" s="18"/>
      <c r="B57" s="16"/>
      <c r="C57" s="16"/>
      <c r="D57" s="51" t="str">
        <f aca="false">IF(C57="","",IFERROR(IF(LEFT(C57,1)="L",INDEX('Leads Pipeline'!$F$5:$F$1004,MATCH(C57,'Leads Pipeline'!$A$5:$A$1004,0)),INDEX('Active Clients'!$D$5:$D$504,MATCH(C57,'Active Clients'!$A$5:$A$504,0)))&amp;"","ID not found"))</f>
        <v/>
      </c>
      <c r="E57" s="51" t="str">
        <f aca="false">IF(C57="","",IFERROR(IF(LEFT(C57,1)="L",INDEX('Leads Pipeline'!$D$5:$D$1004,MATCH(C57,'Leads Pipeline'!$A$5:$A$1004,0)),INDEX('Active Clients'!$B$5:$B$504,MATCH(C57,'Active Clients'!$A$5:$A$504,0)))&amp;"","ID not found"))</f>
        <v/>
      </c>
      <c r="F57" s="51" t="str">
        <f aca="false">IF(C57="","",IFERROR(IF(LEFT(C57,1)="L",INDEX('Leads Pipeline'!$E$5:$E$1004,MATCH(C57,'Leads Pipeline'!$A$5:$A$1004,0)),INDEX('Active Clients'!$C$5:$C$504,MATCH(C57,'Active Clients'!$A$5:$A$504,0)))&amp;"","ID not found"))</f>
        <v/>
      </c>
      <c r="G57" s="16"/>
      <c r="H57" s="16"/>
      <c r="I57" s="16"/>
      <c r="J57" s="16"/>
      <c r="K57" s="16"/>
      <c r="L57" s="18"/>
    </row>
    <row r="58" customFormat="false" ht="15" hidden="false" customHeight="false" outlineLevel="0" collapsed="false">
      <c r="A58" s="18"/>
      <c r="B58" s="16"/>
      <c r="C58" s="16"/>
      <c r="D58" s="51" t="str">
        <f aca="false">IF(C58="","",IFERROR(IF(LEFT(C58,1)="L",INDEX('Leads Pipeline'!$F$5:$F$1004,MATCH(C58,'Leads Pipeline'!$A$5:$A$1004,0)),INDEX('Active Clients'!$D$5:$D$504,MATCH(C58,'Active Clients'!$A$5:$A$504,0)))&amp;"","ID not found"))</f>
        <v/>
      </c>
      <c r="E58" s="51" t="str">
        <f aca="false">IF(C58="","",IFERROR(IF(LEFT(C58,1)="L",INDEX('Leads Pipeline'!$D$5:$D$1004,MATCH(C58,'Leads Pipeline'!$A$5:$A$1004,0)),INDEX('Active Clients'!$B$5:$B$504,MATCH(C58,'Active Clients'!$A$5:$A$504,0)))&amp;"","ID not found"))</f>
        <v/>
      </c>
      <c r="F58" s="51" t="str">
        <f aca="false">IF(C58="","",IFERROR(IF(LEFT(C58,1)="L",INDEX('Leads Pipeline'!$E$5:$E$1004,MATCH(C58,'Leads Pipeline'!$A$5:$A$1004,0)),INDEX('Active Clients'!$C$5:$C$504,MATCH(C58,'Active Clients'!$A$5:$A$504,0)))&amp;"","ID not found"))</f>
        <v/>
      </c>
      <c r="G58" s="16"/>
      <c r="H58" s="16"/>
      <c r="I58" s="16"/>
      <c r="J58" s="16"/>
      <c r="K58" s="16"/>
      <c r="L58" s="18"/>
    </row>
    <row r="59" customFormat="false" ht="15" hidden="false" customHeight="false" outlineLevel="0" collapsed="false">
      <c r="A59" s="18"/>
      <c r="B59" s="16"/>
      <c r="C59" s="16"/>
      <c r="D59" s="51" t="str">
        <f aca="false">IF(C59="","",IFERROR(IF(LEFT(C59,1)="L",INDEX('Leads Pipeline'!$F$5:$F$1004,MATCH(C59,'Leads Pipeline'!$A$5:$A$1004,0)),INDEX('Active Clients'!$D$5:$D$504,MATCH(C59,'Active Clients'!$A$5:$A$504,0)))&amp;"","ID not found"))</f>
        <v/>
      </c>
      <c r="E59" s="51" t="str">
        <f aca="false">IF(C59="","",IFERROR(IF(LEFT(C59,1)="L",INDEX('Leads Pipeline'!$D$5:$D$1004,MATCH(C59,'Leads Pipeline'!$A$5:$A$1004,0)),INDEX('Active Clients'!$B$5:$B$504,MATCH(C59,'Active Clients'!$A$5:$A$504,0)))&amp;"","ID not found"))</f>
        <v/>
      </c>
      <c r="F59" s="51" t="str">
        <f aca="false">IF(C59="","",IFERROR(IF(LEFT(C59,1)="L",INDEX('Leads Pipeline'!$E$5:$E$1004,MATCH(C59,'Leads Pipeline'!$A$5:$A$1004,0)),INDEX('Active Clients'!$C$5:$C$504,MATCH(C59,'Active Clients'!$A$5:$A$504,0)))&amp;"","ID not found"))</f>
        <v/>
      </c>
      <c r="G59" s="16"/>
      <c r="H59" s="16"/>
      <c r="I59" s="16"/>
      <c r="J59" s="16"/>
      <c r="K59" s="16"/>
      <c r="L59" s="18"/>
    </row>
    <row r="60" customFormat="false" ht="15" hidden="false" customHeight="false" outlineLevel="0" collapsed="false">
      <c r="A60" s="18"/>
      <c r="B60" s="16"/>
      <c r="C60" s="16"/>
      <c r="D60" s="51" t="str">
        <f aca="false">IF(C60="","",IFERROR(IF(LEFT(C60,1)="L",INDEX('Leads Pipeline'!$F$5:$F$1004,MATCH(C60,'Leads Pipeline'!$A$5:$A$1004,0)),INDEX('Active Clients'!$D$5:$D$504,MATCH(C60,'Active Clients'!$A$5:$A$504,0)))&amp;"","ID not found"))</f>
        <v/>
      </c>
      <c r="E60" s="51" t="str">
        <f aca="false">IF(C60="","",IFERROR(IF(LEFT(C60,1)="L",INDEX('Leads Pipeline'!$D$5:$D$1004,MATCH(C60,'Leads Pipeline'!$A$5:$A$1004,0)),INDEX('Active Clients'!$B$5:$B$504,MATCH(C60,'Active Clients'!$A$5:$A$504,0)))&amp;"","ID not found"))</f>
        <v/>
      </c>
      <c r="F60" s="51" t="str">
        <f aca="false">IF(C60="","",IFERROR(IF(LEFT(C60,1)="L",INDEX('Leads Pipeline'!$E$5:$E$1004,MATCH(C60,'Leads Pipeline'!$A$5:$A$1004,0)),INDEX('Active Clients'!$C$5:$C$504,MATCH(C60,'Active Clients'!$A$5:$A$504,0)))&amp;"","ID not found"))</f>
        <v/>
      </c>
      <c r="G60" s="16"/>
      <c r="H60" s="16"/>
      <c r="I60" s="16"/>
      <c r="J60" s="16"/>
      <c r="K60" s="16"/>
      <c r="L60" s="18"/>
    </row>
    <row r="61" customFormat="false" ht="15" hidden="false" customHeight="false" outlineLevel="0" collapsed="false">
      <c r="A61" s="18"/>
      <c r="B61" s="16"/>
      <c r="C61" s="16"/>
      <c r="D61" s="51" t="str">
        <f aca="false">IF(C61="","",IFERROR(IF(LEFT(C61,1)="L",INDEX('Leads Pipeline'!$F$5:$F$1004,MATCH(C61,'Leads Pipeline'!$A$5:$A$1004,0)),INDEX('Active Clients'!$D$5:$D$504,MATCH(C61,'Active Clients'!$A$5:$A$504,0)))&amp;"","ID not found"))</f>
        <v/>
      </c>
      <c r="E61" s="51" t="str">
        <f aca="false">IF(C61="","",IFERROR(IF(LEFT(C61,1)="L",INDEX('Leads Pipeline'!$D$5:$D$1004,MATCH(C61,'Leads Pipeline'!$A$5:$A$1004,0)),INDEX('Active Clients'!$B$5:$B$504,MATCH(C61,'Active Clients'!$A$5:$A$504,0)))&amp;"","ID not found"))</f>
        <v/>
      </c>
      <c r="F61" s="51" t="str">
        <f aca="false">IF(C61="","",IFERROR(IF(LEFT(C61,1)="L",INDEX('Leads Pipeline'!$E$5:$E$1004,MATCH(C61,'Leads Pipeline'!$A$5:$A$1004,0)),INDEX('Active Clients'!$C$5:$C$504,MATCH(C61,'Active Clients'!$A$5:$A$504,0)))&amp;"","ID not found"))</f>
        <v/>
      </c>
      <c r="G61" s="16"/>
      <c r="H61" s="16"/>
      <c r="I61" s="16"/>
      <c r="J61" s="16"/>
      <c r="K61" s="16"/>
      <c r="L61" s="18"/>
    </row>
    <row r="62" customFormat="false" ht="15" hidden="false" customHeight="false" outlineLevel="0" collapsed="false">
      <c r="A62" s="18"/>
      <c r="B62" s="16"/>
      <c r="C62" s="16"/>
      <c r="D62" s="51" t="str">
        <f aca="false">IF(C62="","",IFERROR(IF(LEFT(C62,1)="L",INDEX('Leads Pipeline'!$F$5:$F$1004,MATCH(C62,'Leads Pipeline'!$A$5:$A$1004,0)),INDEX('Active Clients'!$D$5:$D$504,MATCH(C62,'Active Clients'!$A$5:$A$504,0)))&amp;"","ID not found"))</f>
        <v/>
      </c>
      <c r="E62" s="51" t="str">
        <f aca="false">IF(C62="","",IFERROR(IF(LEFT(C62,1)="L",INDEX('Leads Pipeline'!$D$5:$D$1004,MATCH(C62,'Leads Pipeline'!$A$5:$A$1004,0)),INDEX('Active Clients'!$B$5:$B$504,MATCH(C62,'Active Clients'!$A$5:$A$504,0)))&amp;"","ID not found"))</f>
        <v/>
      </c>
      <c r="F62" s="51" t="str">
        <f aca="false">IF(C62="","",IFERROR(IF(LEFT(C62,1)="L",INDEX('Leads Pipeline'!$E$5:$E$1004,MATCH(C62,'Leads Pipeline'!$A$5:$A$1004,0)),INDEX('Active Clients'!$C$5:$C$504,MATCH(C62,'Active Clients'!$A$5:$A$504,0)))&amp;"","ID not found"))</f>
        <v/>
      </c>
      <c r="G62" s="16"/>
      <c r="H62" s="16"/>
      <c r="I62" s="16"/>
      <c r="J62" s="16"/>
      <c r="K62" s="16"/>
      <c r="L62" s="18"/>
    </row>
    <row r="63" customFormat="false" ht="15" hidden="false" customHeight="false" outlineLevel="0" collapsed="false">
      <c r="A63" s="18"/>
      <c r="B63" s="16"/>
      <c r="C63" s="16"/>
      <c r="D63" s="51" t="str">
        <f aca="false">IF(C63="","",IFERROR(IF(LEFT(C63,1)="L",INDEX('Leads Pipeline'!$F$5:$F$1004,MATCH(C63,'Leads Pipeline'!$A$5:$A$1004,0)),INDEX('Active Clients'!$D$5:$D$504,MATCH(C63,'Active Clients'!$A$5:$A$504,0)))&amp;"","ID not found"))</f>
        <v/>
      </c>
      <c r="E63" s="51" t="str">
        <f aca="false">IF(C63="","",IFERROR(IF(LEFT(C63,1)="L",INDEX('Leads Pipeline'!$D$5:$D$1004,MATCH(C63,'Leads Pipeline'!$A$5:$A$1004,0)),INDEX('Active Clients'!$B$5:$B$504,MATCH(C63,'Active Clients'!$A$5:$A$504,0)))&amp;"","ID not found"))</f>
        <v/>
      </c>
      <c r="F63" s="51" t="str">
        <f aca="false">IF(C63="","",IFERROR(IF(LEFT(C63,1)="L",INDEX('Leads Pipeline'!$E$5:$E$1004,MATCH(C63,'Leads Pipeline'!$A$5:$A$1004,0)),INDEX('Active Clients'!$C$5:$C$504,MATCH(C63,'Active Clients'!$A$5:$A$504,0)))&amp;"","ID not found"))</f>
        <v/>
      </c>
      <c r="G63" s="16"/>
      <c r="H63" s="16"/>
      <c r="I63" s="16"/>
      <c r="J63" s="16"/>
      <c r="K63" s="16"/>
      <c r="L63" s="18"/>
    </row>
    <row r="64" customFormat="false" ht="15" hidden="false" customHeight="false" outlineLevel="0" collapsed="false">
      <c r="A64" s="18"/>
      <c r="B64" s="16"/>
      <c r="C64" s="16"/>
      <c r="D64" s="51" t="str">
        <f aca="false">IF(C64="","",IFERROR(IF(LEFT(C64,1)="L",INDEX('Leads Pipeline'!$F$5:$F$1004,MATCH(C64,'Leads Pipeline'!$A$5:$A$1004,0)),INDEX('Active Clients'!$D$5:$D$504,MATCH(C64,'Active Clients'!$A$5:$A$504,0)))&amp;"","ID not found"))</f>
        <v/>
      </c>
      <c r="E64" s="51" t="str">
        <f aca="false">IF(C64="","",IFERROR(IF(LEFT(C64,1)="L",INDEX('Leads Pipeline'!$D$5:$D$1004,MATCH(C64,'Leads Pipeline'!$A$5:$A$1004,0)),INDEX('Active Clients'!$B$5:$B$504,MATCH(C64,'Active Clients'!$A$5:$A$504,0)))&amp;"","ID not found"))</f>
        <v/>
      </c>
      <c r="F64" s="51" t="str">
        <f aca="false">IF(C64="","",IFERROR(IF(LEFT(C64,1)="L",INDEX('Leads Pipeline'!$E$5:$E$1004,MATCH(C64,'Leads Pipeline'!$A$5:$A$1004,0)),INDEX('Active Clients'!$C$5:$C$504,MATCH(C64,'Active Clients'!$A$5:$A$504,0)))&amp;"","ID not found"))</f>
        <v/>
      </c>
      <c r="G64" s="16"/>
      <c r="H64" s="16"/>
      <c r="I64" s="16"/>
      <c r="J64" s="16"/>
      <c r="K64" s="16"/>
      <c r="L64" s="18"/>
    </row>
    <row r="65" customFormat="false" ht="15" hidden="false" customHeight="false" outlineLevel="0" collapsed="false">
      <c r="A65" s="18"/>
      <c r="B65" s="16"/>
      <c r="C65" s="16"/>
      <c r="D65" s="51" t="str">
        <f aca="false">IF(C65="","",IFERROR(IF(LEFT(C65,1)="L",INDEX('Leads Pipeline'!$F$5:$F$1004,MATCH(C65,'Leads Pipeline'!$A$5:$A$1004,0)),INDEX('Active Clients'!$D$5:$D$504,MATCH(C65,'Active Clients'!$A$5:$A$504,0)))&amp;"","ID not found"))</f>
        <v/>
      </c>
      <c r="E65" s="51" t="str">
        <f aca="false">IF(C65="","",IFERROR(IF(LEFT(C65,1)="L",INDEX('Leads Pipeline'!$D$5:$D$1004,MATCH(C65,'Leads Pipeline'!$A$5:$A$1004,0)),INDEX('Active Clients'!$B$5:$B$504,MATCH(C65,'Active Clients'!$A$5:$A$504,0)))&amp;"","ID not found"))</f>
        <v/>
      </c>
      <c r="F65" s="51" t="str">
        <f aca="false">IF(C65="","",IFERROR(IF(LEFT(C65,1)="L",INDEX('Leads Pipeline'!$E$5:$E$1004,MATCH(C65,'Leads Pipeline'!$A$5:$A$1004,0)),INDEX('Active Clients'!$C$5:$C$504,MATCH(C65,'Active Clients'!$A$5:$A$504,0)))&amp;"","ID not found"))</f>
        <v/>
      </c>
      <c r="G65" s="16"/>
      <c r="H65" s="16"/>
      <c r="I65" s="16"/>
      <c r="J65" s="16"/>
      <c r="K65" s="16"/>
      <c r="L65" s="18"/>
    </row>
    <row r="66" customFormat="false" ht="15" hidden="false" customHeight="false" outlineLevel="0" collapsed="false">
      <c r="A66" s="18"/>
      <c r="B66" s="16"/>
      <c r="C66" s="16"/>
      <c r="D66" s="51" t="str">
        <f aca="false">IF(C66="","",IFERROR(IF(LEFT(C66,1)="L",INDEX('Leads Pipeline'!$F$5:$F$1004,MATCH(C66,'Leads Pipeline'!$A$5:$A$1004,0)),INDEX('Active Clients'!$D$5:$D$504,MATCH(C66,'Active Clients'!$A$5:$A$504,0)))&amp;"","ID not found"))</f>
        <v/>
      </c>
      <c r="E66" s="51" t="str">
        <f aca="false">IF(C66="","",IFERROR(IF(LEFT(C66,1)="L",INDEX('Leads Pipeline'!$D$5:$D$1004,MATCH(C66,'Leads Pipeline'!$A$5:$A$1004,0)),INDEX('Active Clients'!$B$5:$B$504,MATCH(C66,'Active Clients'!$A$5:$A$504,0)))&amp;"","ID not found"))</f>
        <v/>
      </c>
      <c r="F66" s="51" t="str">
        <f aca="false">IF(C66="","",IFERROR(IF(LEFT(C66,1)="L",INDEX('Leads Pipeline'!$E$5:$E$1004,MATCH(C66,'Leads Pipeline'!$A$5:$A$1004,0)),INDEX('Active Clients'!$C$5:$C$504,MATCH(C66,'Active Clients'!$A$5:$A$504,0)))&amp;"","ID not found"))</f>
        <v/>
      </c>
      <c r="G66" s="16"/>
      <c r="H66" s="16"/>
      <c r="I66" s="16"/>
      <c r="J66" s="16"/>
      <c r="K66" s="16"/>
      <c r="L66" s="18"/>
    </row>
    <row r="67" customFormat="false" ht="15" hidden="false" customHeight="false" outlineLevel="0" collapsed="false">
      <c r="A67" s="18"/>
      <c r="B67" s="16"/>
      <c r="C67" s="16"/>
      <c r="D67" s="51" t="str">
        <f aca="false">IF(C67="","",IFERROR(IF(LEFT(C67,1)="L",INDEX('Leads Pipeline'!$F$5:$F$1004,MATCH(C67,'Leads Pipeline'!$A$5:$A$1004,0)),INDEX('Active Clients'!$D$5:$D$504,MATCH(C67,'Active Clients'!$A$5:$A$504,0)))&amp;"","ID not found"))</f>
        <v/>
      </c>
      <c r="E67" s="51" t="str">
        <f aca="false">IF(C67="","",IFERROR(IF(LEFT(C67,1)="L",INDEX('Leads Pipeline'!$D$5:$D$1004,MATCH(C67,'Leads Pipeline'!$A$5:$A$1004,0)),INDEX('Active Clients'!$B$5:$B$504,MATCH(C67,'Active Clients'!$A$5:$A$504,0)))&amp;"","ID not found"))</f>
        <v/>
      </c>
      <c r="F67" s="51" t="str">
        <f aca="false">IF(C67="","",IFERROR(IF(LEFT(C67,1)="L",INDEX('Leads Pipeline'!$E$5:$E$1004,MATCH(C67,'Leads Pipeline'!$A$5:$A$1004,0)),INDEX('Active Clients'!$C$5:$C$504,MATCH(C67,'Active Clients'!$A$5:$A$504,0)))&amp;"","ID not found"))</f>
        <v/>
      </c>
      <c r="G67" s="16"/>
      <c r="H67" s="16"/>
      <c r="I67" s="16"/>
      <c r="J67" s="16"/>
      <c r="K67" s="16"/>
      <c r="L67" s="18"/>
    </row>
    <row r="68" customFormat="false" ht="15" hidden="false" customHeight="false" outlineLevel="0" collapsed="false">
      <c r="A68" s="18"/>
      <c r="B68" s="16"/>
      <c r="C68" s="16"/>
      <c r="D68" s="51" t="str">
        <f aca="false">IF(C68="","",IFERROR(IF(LEFT(C68,1)="L",INDEX('Leads Pipeline'!$F$5:$F$1004,MATCH(C68,'Leads Pipeline'!$A$5:$A$1004,0)),INDEX('Active Clients'!$D$5:$D$504,MATCH(C68,'Active Clients'!$A$5:$A$504,0)))&amp;"","ID not found"))</f>
        <v/>
      </c>
      <c r="E68" s="51" t="str">
        <f aca="false">IF(C68="","",IFERROR(IF(LEFT(C68,1)="L",INDEX('Leads Pipeline'!$D$5:$D$1004,MATCH(C68,'Leads Pipeline'!$A$5:$A$1004,0)),INDEX('Active Clients'!$B$5:$B$504,MATCH(C68,'Active Clients'!$A$5:$A$504,0)))&amp;"","ID not found"))</f>
        <v/>
      </c>
      <c r="F68" s="51" t="str">
        <f aca="false">IF(C68="","",IFERROR(IF(LEFT(C68,1)="L",INDEX('Leads Pipeline'!$E$5:$E$1004,MATCH(C68,'Leads Pipeline'!$A$5:$A$1004,0)),INDEX('Active Clients'!$C$5:$C$504,MATCH(C68,'Active Clients'!$A$5:$A$504,0)))&amp;"","ID not found"))</f>
        <v/>
      </c>
      <c r="G68" s="16"/>
      <c r="H68" s="16"/>
      <c r="I68" s="16"/>
      <c r="J68" s="16"/>
      <c r="K68" s="16"/>
      <c r="L68" s="18"/>
    </row>
    <row r="69" customFormat="false" ht="15" hidden="false" customHeight="false" outlineLevel="0" collapsed="false">
      <c r="A69" s="18"/>
      <c r="B69" s="16"/>
      <c r="C69" s="16"/>
      <c r="D69" s="51" t="str">
        <f aca="false">IF(C69="","",IFERROR(IF(LEFT(C69,1)="L",INDEX('Leads Pipeline'!$F$5:$F$1004,MATCH(C69,'Leads Pipeline'!$A$5:$A$1004,0)),INDEX('Active Clients'!$D$5:$D$504,MATCH(C69,'Active Clients'!$A$5:$A$504,0)))&amp;"","ID not found"))</f>
        <v/>
      </c>
      <c r="E69" s="51" t="str">
        <f aca="false">IF(C69="","",IFERROR(IF(LEFT(C69,1)="L",INDEX('Leads Pipeline'!$D$5:$D$1004,MATCH(C69,'Leads Pipeline'!$A$5:$A$1004,0)),INDEX('Active Clients'!$B$5:$B$504,MATCH(C69,'Active Clients'!$A$5:$A$504,0)))&amp;"","ID not found"))</f>
        <v/>
      </c>
      <c r="F69" s="51" t="str">
        <f aca="false">IF(C69="","",IFERROR(IF(LEFT(C69,1)="L",INDEX('Leads Pipeline'!$E$5:$E$1004,MATCH(C69,'Leads Pipeline'!$A$5:$A$1004,0)),INDEX('Active Clients'!$C$5:$C$504,MATCH(C69,'Active Clients'!$A$5:$A$504,0)))&amp;"","ID not found"))</f>
        <v/>
      </c>
      <c r="G69" s="16"/>
      <c r="H69" s="16"/>
      <c r="I69" s="16"/>
      <c r="J69" s="16"/>
      <c r="K69" s="16"/>
      <c r="L69" s="18"/>
    </row>
    <row r="70" customFormat="false" ht="15" hidden="false" customHeight="false" outlineLevel="0" collapsed="false">
      <c r="A70" s="18"/>
      <c r="B70" s="16"/>
      <c r="C70" s="16"/>
      <c r="D70" s="51" t="str">
        <f aca="false">IF(C70="","",IFERROR(IF(LEFT(C70,1)="L",INDEX('Leads Pipeline'!$F$5:$F$1004,MATCH(C70,'Leads Pipeline'!$A$5:$A$1004,0)),INDEX('Active Clients'!$D$5:$D$504,MATCH(C70,'Active Clients'!$A$5:$A$504,0)))&amp;"","ID not found"))</f>
        <v/>
      </c>
      <c r="E70" s="51" t="str">
        <f aca="false">IF(C70="","",IFERROR(IF(LEFT(C70,1)="L",INDEX('Leads Pipeline'!$D$5:$D$1004,MATCH(C70,'Leads Pipeline'!$A$5:$A$1004,0)),INDEX('Active Clients'!$B$5:$B$504,MATCH(C70,'Active Clients'!$A$5:$A$504,0)))&amp;"","ID not found"))</f>
        <v/>
      </c>
      <c r="F70" s="51" t="str">
        <f aca="false">IF(C70="","",IFERROR(IF(LEFT(C70,1)="L",INDEX('Leads Pipeline'!$E$5:$E$1004,MATCH(C70,'Leads Pipeline'!$A$5:$A$1004,0)),INDEX('Active Clients'!$C$5:$C$504,MATCH(C70,'Active Clients'!$A$5:$A$504,0)))&amp;"","ID not found"))</f>
        <v/>
      </c>
      <c r="G70" s="16"/>
      <c r="H70" s="16"/>
      <c r="I70" s="16"/>
      <c r="J70" s="16"/>
      <c r="K70" s="16"/>
      <c r="L70" s="18"/>
    </row>
    <row r="71" customFormat="false" ht="15" hidden="false" customHeight="false" outlineLevel="0" collapsed="false">
      <c r="A71" s="18"/>
      <c r="B71" s="16"/>
      <c r="C71" s="16"/>
      <c r="D71" s="51" t="str">
        <f aca="false">IF(C71="","",IFERROR(IF(LEFT(C71,1)="L",INDEX('Leads Pipeline'!$F$5:$F$1004,MATCH(C71,'Leads Pipeline'!$A$5:$A$1004,0)),INDEX('Active Clients'!$D$5:$D$504,MATCH(C71,'Active Clients'!$A$5:$A$504,0)))&amp;"","ID not found"))</f>
        <v/>
      </c>
      <c r="E71" s="51" t="str">
        <f aca="false">IF(C71="","",IFERROR(IF(LEFT(C71,1)="L",INDEX('Leads Pipeline'!$D$5:$D$1004,MATCH(C71,'Leads Pipeline'!$A$5:$A$1004,0)),INDEX('Active Clients'!$B$5:$B$504,MATCH(C71,'Active Clients'!$A$5:$A$504,0)))&amp;"","ID not found"))</f>
        <v/>
      </c>
      <c r="F71" s="51" t="str">
        <f aca="false">IF(C71="","",IFERROR(IF(LEFT(C71,1)="L",INDEX('Leads Pipeline'!$E$5:$E$1004,MATCH(C71,'Leads Pipeline'!$A$5:$A$1004,0)),INDEX('Active Clients'!$C$5:$C$504,MATCH(C71,'Active Clients'!$A$5:$A$504,0)))&amp;"","ID not found"))</f>
        <v/>
      </c>
      <c r="G71" s="16"/>
      <c r="H71" s="16"/>
      <c r="I71" s="16"/>
      <c r="J71" s="16"/>
      <c r="K71" s="16"/>
      <c r="L71" s="18"/>
    </row>
    <row r="72" customFormat="false" ht="15" hidden="false" customHeight="false" outlineLevel="0" collapsed="false">
      <c r="A72" s="18"/>
      <c r="B72" s="16"/>
      <c r="C72" s="16"/>
      <c r="D72" s="51" t="str">
        <f aca="false">IF(C72="","",IFERROR(IF(LEFT(C72,1)="L",INDEX('Leads Pipeline'!$F$5:$F$1004,MATCH(C72,'Leads Pipeline'!$A$5:$A$1004,0)),INDEX('Active Clients'!$D$5:$D$504,MATCH(C72,'Active Clients'!$A$5:$A$504,0)))&amp;"","ID not found"))</f>
        <v/>
      </c>
      <c r="E72" s="51" t="str">
        <f aca="false">IF(C72="","",IFERROR(IF(LEFT(C72,1)="L",INDEX('Leads Pipeline'!$D$5:$D$1004,MATCH(C72,'Leads Pipeline'!$A$5:$A$1004,0)),INDEX('Active Clients'!$B$5:$B$504,MATCH(C72,'Active Clients'!$A$5:$A$504,0)))&amp;"","ID not found"))</f>
        <v/>
      </c>
      <c r="F72" s="51" t="str">
        <f aca="false">IF(C72="","",IFERROR(IF(LEFT(C72,1)="L",INDEX('Leads Pipeline'!$E$5:$E$1004,MATCH(C72,'Leads Pipeline'!$A$5:$A$1004,0)),INDEX('Active Clients'!$C$5:$C$504,MATCH(C72,'Active Clients'!$A$5:$A$504,0)))&amp;"","ID not found"))</f>
        <v/>
      </c>
      <c r="G72" s="16"/>
      <c r="H72" s="16"/>
      <c r="I72" s="16"/>
      <c r="J72" s="16"/>
      <c r="K72" s="16"/>
      <c r="L72" s="18"/>
    </row>
    <row r="73" customFormat="false" ht="15" hidden="false" customHeight="false" outlineLevel="0" collapsed="false">
      <c r="A73" s="18"/>
      <c r="B73" s="16"/>
      <c r="C73" s="16"/>
      <c r="D73" s="51" t="str">
        <f aca="false">IF(C73="","",IFERROR(IF(LEFT(C73,1)="L",INDEX('Leads Pipeline'!$F$5:$F$1004,MATCH(C73,'Leads Pipeline'!$A$5:$A$1004,0)),INDEX('Active Clients'!$D$5:$D$504,MATCH(C73,'Active Clients'!$A$5:$A$504,0)))&amp;"","ID not found"))</f>
        <v/>
      </c>
      <c r="E73" s="51" t="str">
        <f aca="false">IF(C73="","",IFERROR(IF(LEFT(C73,1)="L",INDEX('Leads Pipeline'!$D$5:$D$1004,MATCH(C73,'Leads Pipeline'!$A$5:$A$1004,0)),INDEX('Active Clients'!$B$5:$B$504,MATCH(C73,'Active Clients'!$A$5:$A$504,0)))&amp;"","ID not found"))</f>
        <v/>
      </c>
      <c r="F73" s="51" t="str">
        <f aca="false">IF(C73="","",IFERROR(IF(LEFT(C73,1)="L",INDEX('Leads Pipeline'!$E$5:$E$1004,MATCH(C73,'Leads Pipeline'!$A$5:$A$1004,0)),INDEX('Active Clients'!$C$5:$C$504,MATCH(C73,'Active Clients'!$A$5:$A$504,0)))&amp;"","ID not found"))</f>
        <v/>
      </c>
      <c r="G73" s="16"/>
      <c r="H73" s="16"/>
      <c r="I73" s="16"/>
      <c r="J73" s="16"/>
      <c r="K73" s="16"/>
      <c r="L73" s="18"/>
    </row>
    <row r="74" customFormat="false" ht="15" hidden="false" customHeight="false" outlineLevel="0" collapsed="false">
      <c r="A74" s="18"/>
      <c r="B74" s="16"/>
      <c r="C74" s="16"/>
      <c r="D74" s="51" t="str">
        <f aca="false">IF(C74="","",IFERROR(IF(LEFT(C74,1)="L",INDEX('Leads Pipeline'!$F$5:$F$1004,MATCH(C74,'Leads Pipeline'!$A$5:$A$1004,0)),INDEX('Active Clients'!$D$5:$D$504,MATCH(C74,'Active Clients'!$A$5:$A$504,0)))&amp;"","ID not found"))</f>
        <v/>
      </c>
      <c r="E74" s="51" t="str">
        <f aca="false">IF(C74="","",IFERROR(IF(LEFT(C74,1)="L",INDEX('Leads Pipeline'!$D$5:$D$1004,MATCH(C74,'Leads Pipeline'!$A$5:$A$1004,0)),INDEX('Active Clients'!$B$5:$B$504,MATCH(C74,'Active Clients'!$A$5:$A$504,0)))&amp;"","ID not found"))</f>
        <v/>
      </c>
      <c r="F74" s="51" t="str">
        <f aca="false">IF(C74="","",IFERROR(IF(LEFT(C74,1)="L",INDEX('Leads Pipeline'!$E$5:$E$1004,MATCH(C74,'Leads Pipeline'!$A$5:$A$1004,0)),INDEX('Active Clients'!$C$5:$C$504,MATCH(C74,'Active Clients'!$A$5:$A$504,0)))&amp;"","ID not found"))</f>
        <v/>
      </c>
      <c r="G74" s="16"/>
      <c r="H74" s="16"/>
      <c r="I74" s="16"/>
      <c r="J74" s="16"/>
      <c r="K74" s="16"/>
      <c r="L74" s="18"/>
    </row>
    <row r="75" customFormat="false" ht="15" hidden="false" customHeight="false" outlineLevel="0" collapsed="false">
      <c r="A75" s="18"/>
      <c r="B75" s="16"/>
      <c r="C75" s="16"/>
      <c r="D75" s="51" t="str">
        <f aca="false">IF(C75="","",IFERROR(IF(LEFT(C75,1)="L",INDEX('Leads Pipeline'!$F$5:$F$1004,MATCH(C75,'Leads Pipeline'!$A$5:$A$1004,0)),INDEX('Active Clients'!$D$5:$D$504,MATCH(C75,'Active Clients'!$A$5:$A$504,0)))&amp;"","ID not found"))</f>
        <v/>
      </c>
      <c r="E75" s="51" t="str">
        <f aca="false">IF(C75="","",IFERROR(IF(LEFT(C75,1)="L",INDEX('Leads Pipeline'!$D$5:$D$1004,MATCH(C75,'Leads Pipeline'!$A$5:$A$1004,0)),INDEX('Active Clients'!$B$5:$B$504,MATCH(C75,'Active Clients'!$A$5:$A$504,0)))&amp;"","ID not found"))</f>
        <v/>
      </c>
      <c r="F75" s="51" t="str">
        <f aca="false">IF(C75="","",IFERROR(IF(LEFT(C75,1)="L",INDEX('Leads Pipeline'!$E$5:$E$1004,MATCH(C75,'Leads Pipeline'!$A$5:$A$1004,0)),INDEX('Active Clients'!$C$5:$C$504,MATCH(C75,'Active Clients'!$A$5:$A$504,0)))&amp;"","ID not found"))</f>
        <v/>
      </c>
      <c r="G75" s="16"/>
      <c r="H75" s="16"/>
      <c r="I75" s="16"/>
      <c r="J75" s="16"/>
      <c r="K75" s="16"/>
      <c r="L75" s="18"/>
    </row>
    <row r="76" customFormat="false" ht="15" hidden="false" customHeight="false" outlineLevel="0" collapsed="false">
      <c r="A76" s="18"/>
      <c r="B76" s="16"/>
      <c r="C76" s="16"/>
      <c r="D76" s="51" t="str">
        <f aca="false">IF(C76="","",IFERROR(IF(LEFT(C76,1)="L",INDEX('Leads Pipeline'!$F$5:$F$1004,MATCH(C76,'Leads Pipeline'!$A$5:$A$1004,0)),INDEX('Active Clients'!$D$5:$D$504,MATCH(C76,'Active Clients'!$A$5:$A$504,0)))&amp;"","ID not found"))</f>
        <v/>
      </c>
      <c r="E76" s="51" t="str">
        <f aca="false">IF(C76="","",IFERROR(IF(LEFT(C76,1)="L",INDEX('Leads Pipeline'!$D$5:$D$1004,MATCH(C76,'Leads Pipeline'!$A$5:$A$1004,0)),INDEX('Active Clients'!$B$5:$B$504,MATCH(C76,'Active Clients'!$A$5:$A$504,0)))&amp;"","ID not found"))</f>
        <v/>
      </c>
      <c r="F76" s="51" t="str">
        <f aca="false">IF(C76="","",IFERROR(IF(LEFT(C76,1)="L",INDEX('Leads Pipeline'!$E$5:$E$1004,MATCH(C76,'Leads Pipeline'!$A$5:$A$1004,0)),INDEX('Active Clients'!$C$5:$C$504,MATCH(C76,'Active Clients'!$A$5:$A$504,0)))&amp;"","ID not found"))</f>
        <v/>
      </c>
      <c r="G76" s="16"/>
      <c r="H76" s="16"/>
      <c r="I76" s="16"/>
      <c r="J76" s="16"/>
      <c r="K76" s="16"/>
      <c r="L76" s="18"/>
    </row>
    <row r="77" customFormat="false" ht="15" hidden="false" customHeight="false" outlineLevel="0" collapsed="false">
      <c r="A77" s="18"/>
      <c r="B77" s="16"/>
      <c r="C77" s="16"/>
      <c r="D77" s="51" t="str">
        <f aca="false">IF(C77="","",IFERROR(IF(LEFT(C77,1)="L",INDEX('Leads Pipeline'!$F$5:$F$1004,MATCH(C77,'Leads Pipeline'!$A$5:$A$1004,0)),INDEX('Active Clients'!$D$5:$D$504,MATCH(C77,'Active Clients'!$A$5:$A$504,0)))&amp;"","ID not found"))</f>
        <v/>
      </c>
      <c r="E77" s="51" t="str">
        <f aca="false">IF(C77="","",IFERROR(IF(LEFT(C77,1)="L",INDEX('Leads Pipeline'!$D$5:$D$1004,MATCH(C77,'Leads Pipeline'!$A$5:$A$1004,0)),INDEX('Active Clients'!$B$5:$B$504,MATCH(C77,'Active Clients'!$A$5:$A$504,0)))&amp;"","ID not found"))</f>
        <v/>
      </c>
      <c r="F77" s="51" t="str">
        <f aca="false">IF(C77="","",IFERROR(IF(LEFT(C77,1)="L",INDEX('Leads Pipeline'!$E$5:$E$1004,MATCH(C77,'Leads Pipeline'!$A$5:$A$1004,0)),INDEX('Active Clients'!$C$5:$C$504,MATCH(C77,'Active Clients'!$A$5:$A$504,0)))&amp;"","ID not found"))</f>
        <v/>
      </c>
      <c r="G77" s="16"/>
      <c r="H77" s="16"/>
      <c r="I77" s="16"/>
      <c r="J77" s="16"/>
      <c r="K77" s="16"/>
      <c r="L77" s="18"/>
    </row>
    <row r="78" customFormat="false" ht="15" hidden="false" customHeight="false" outlineLevel="0" collapsed="false">
      <c r="A78" s="18"/>
      <c r="B78" s="16"/>
      <c r="C78" s="16"/>
      <c r="D78" s="51" t="str">
        <f aca="false">IF(C78="","",IFERROR(IF(LEFT(C78,1)="L",INDEX('Leads Pipeline'!$F$5:$F$1004,MATCH(C78,'Leads Pipeline'!$A$5:$A$1004,0)),INDEX('Active Clients'!$D$5:$D$504,MATCH(C78,'Active Clients'!$A$5:$A$504,0)))&amp;"","ID not found"))</f>
        <v/>
      </c>
      <c r="E78" s="51" t="str">
        <f aca="false">IF(C78="","",IFERROR(IF(LEFT(C78,1)="L",INDEX('Leads Pipeline'!$D$5:$D$1004,MATCH(C78,'Leads Pipeline'!$A$5:$A$1004,0)),INDEX('Active Clients'!$B$5:$B$504,MATCH(C78,'Active Clients'!$A$5:$A$504,0)))&amp;"","ID not found"))</f>
        <v/>
      </c>
      <c r="F78" s="51" t="str">
        <f aca="false">IF(C78="","",IFERROR(IF(LEFT(C78,1)="L",INDEX('Leads Pipeline'!$E$5:$E$1004,MATCH(C78,'Leads Pipeline'!$A$5:$A$1004,0)),INDEX('Active Clients'!$C$5:$C$504,MATCH(C78,'Active Clients'!$A$5:$A$504,0)))&amp;"","ID not found"))</f>
        <v/>
      </c>
      <c r="G78" s="16"/>
      <c r="H78" s="16"/>
      <c r="I78" s="16"/>
      <c r="J78" s="16"/>
      <c r="K78" s="16"/>
      <c r="L78" s="18"/>
    </row>
    <row r="79" customFormat="false" ht="15" hidden="false" customHeight="false" outlineLevel="0" collapsed="false">
      <c r="A79" s="18"/>
      <c r="B79" s="16"/>
      <c r="C79" s="16"/>
      <c r="D79" s="51" t="str">
        <f aca="false">IF(C79="","",IFERROR(IF(LEFT(C79,1)="L",INDEX('Leads Pipeline'!$F$5:$F$1004,MATCH(C79,'Leads Pipeline'!$A$5:$A$1004,0)),INDEX('Active Clients'!$D$5:$D$504,MATCH(C79,'Active Clients'!$A$5:$A$504,0)))&amp;"","ID not found"))</f>
        <v/>
      </c>
      <c r="E79" s="51" t="str">
        <f aca="false">IF(C79="","",IFERROR(IF(LEFT(C79,1)="L",INDEX('Leads Pipeline'!$D$5:$D$1004,MATCH(C79,'Leads Pipeline'!$A$5:$A$1004,0)),INDEX('Active Clients'!$B$5:$B$504,MATCH(C79,'Active Clients'!$A$5:$A$504,0)))&amp;"","ID not found"))</f>
        <v/>
      </c>
      <c r="F79" s="51" t="str">
        <f aca="false">IF(C79="","",IFERROR(IF(LEFT(C79,1)="L",INDEX('Leads Pipeline'!$E$5:$E$1004,MATCH(C79,'Leads Pipeline'!$A$5:$A$1004,0)),INDEX('Active Clients'!$C$5:$C$504,MATCH(C79,'Active Clients'!$A$5:$A$504,0)))&amp;"","ID not found"))</f>
        <v/>
      </c>
      <c r="G79" s="16"/>
      <c r="H79" s="16"/>
      <c r="I79" s="16"/>
      <c r="J79" s="16"/>
      <c r="K79" s="16"/>
      <c r="L79" s="18"/>
    </row>
    <row r="80" customFormat="false" ht="15" hidden="false" customHeight="false" outlineLevel="0" collapsed="false">
      <c r="A80" s="18"/>
      <c r="B80" s="16"/>
      <c r="C80" s="16"/>
      <c r="D80" s="51" t="str">
        <f aca="false">IF(C80="","",IFERROR(IF(LEFT(C80,1)="L",INDEX('Leads Pipeline'!$F$5:$F$1004,MATCH(C80,'Leads Pipeline'!$A$5:$A$1004,0)),INDEX('Active Clients'!$D$5:$D$504,MATCH(C80,'Active Clients'!$A$5:$A$504,0)))&amp;"","ID not found"))</f>
        <v/>
      </c>
      <c r="E80" s="51" t="str">
        <f aca="false">IF(C80="","",IFERROR(IF(LEFT(C80,1)="L",INDEX('Leads Pipeline'!$D$5:$D$1004,MATCH(C80,'Leads Pipeline'!$A$5:$A$1004,0)),INDEX('Active Clients'!$B$5:$B$504,MATCH(C80,'Active Clients'!$A$5:$A$504,0)))&amp;"","ID not found"))</f>
        <v/>
      </c>
      <c r="F80" s="51" t="str">
        <f aca="false">IF(C80="","",IFERROR(IF(LEFT(C80,1)="L",INDEX('Leads Pipeline'!$E$5:$E$1004,MATCH(C80,'Leads Pipeline'!$A$5:$A$1004,0)),INDEX('Active Clients'!$C$5:$C$504,MATCH(C80,'Active Clients'!$A$5:$A$504,0)))&amp;"","ID not found"))</f>
        <v/>
      </c>
      <c r="G80" s="16"/>
      <c r="H80" s="16"/>
      <c r="I80" s="16"/>
      <c r="J80" s="16"/>
      <c r="K80" s="16"/>
      <c r="L80" s="18"/>
    </row>
    <row r="81" customFormat="false" ht="15" hidden="false" customHeight="false" outlineLevel="0" collapsed="false">
      <c r="A81" s="18"/>
      <c r="B81" s="16"/>
      <c r="C81" s="16"/>
      <c r="D81" s="51" t="str">
        <f aca="false">IF(C81="","",IFERROR(IF(LEFT(C81,1)="L",INDEX('Leads Pipeline'!$F$5:$F$1004,MATCH(C81,'Leads Pipeline'!$A$5:$A$1004,0)),INDEX('Active Clients'!$D$5:$D$504,MATCH(C81,'Active Clients'!$A$5:$A$504,0)))&amp;"","ID not found"))</f>
        <v/>
      </c>
      <c r="E81" s="51" t="str">
        <f aca="false">IF(C81="","",IFERROR(IF(LEFT(C81,1)="L",INDEX('Leads Pipeline'!$D$5:$D$1004,MATCH(C81,'Leads Pipeline'!$A$5:$A$1004,0)),INDEX('Active Clients'!$B$5:$B$504,MATCH(C81,'Active Clients'!$A$5:$A$504,0)))&amp;"","ID not found"))</f>
        <v/>
      </c>
      <c r="F81" s="51" t="str">
        <f aca="false">IF(C81="","",IFERROR(IF(LEFT(C81,1)="L",INDEX('Leads Pipeline'!$E$5:$E$1004,MATCH(C81,'Leads Pipeline'!$A$5:$A$1004,0)),INDEX('Active Clients'!$C$5:$C$504,MATCH(C81,'Active Clients'!$A$5:$A$504,0)))&amp;"","ID not found"))</f>
        <v/>
      </c>
      <c r="G81" s="16"/>
      <c r="H81" s="16"/>
      <c r="I81" s="16"/>
      <c r="J81" s="16"/>
      <c r="K81" s="16"/>
      <c r="L81" s="18"/>
    </row>
    <row r="82" customFormat="false" ht="15" hidden="false" customHeight="false" outlineLevel="0" collapsed="false">
      <c r="A82" s="18"/>
      <c r="B82" s="16"/>
      <c r="C82" s="16"/>
      <c r="D82" s="51" t="str">
        <f aca="false">IF(C82="","",IFERROR(IF(LEFT(C82,1)="L",INDEX('Leads Pipeline'!$F$5:$F$1004,MATCH(C82,'Leads Pipeline'!$A$5:$A$1004,0)),INDEX('Active Clients'!$D$5:$D$504,MATCH(C82,'Active Clients'!$A$5:$A$504,0)))&amp;"","ID not found"))</f>
        <v/>
      </c>
      <c r="E82" s="51" t="str">
        <f aca="false">IF(C82="","",IFERROR(IF(LEFT(C82,1)="L",INDEX('Leads Pipeline'!$D$5:$D$1004,MATCH(C82,'Leads Pipeline'!$A$5:$A$1004,0)),INDEX('Active Clients'!$B$5:$B$504,MATCH(C82,'Active Clients'!$A$5:$A$504,0)))&amp;"","ID not found"))</f>
        <v/>
      </c>
      <c r="F82" s="51" t="str">
        <f aca="false">IF(C82="","",IFERROR(IF(LEFT(C82,1)="L",INDEX('Leads Pipeline'!$E$5:$E$1004,MATCH(C82,'Leads Pipeline'!$A$5:$A$1004,0)),INDEX('Active Clients'!$C$5:$C$504,MATCH(C82,'Active Clients'!$A$5:$A$504,0)))&amp;"","ID not found"))</f>
        <v/>
      </c>
      <c r="G82" s="16"/>
      <c r="H82" s="16"/>
      <c r="I82" s="16"/>
      <c r="J82" s="16"/>
      <c r="K82" s="16"/>
      <c r="L82" s="18"/>
    </row>
    <row r="83" customFormat="false" ht="15" hidden="false" customHeight="false" outlineLevel="0" collapsed="false">
      <c r="A83" s="18"/>
      <c r="B83" s="16"/>
      <c r="C83" s="16"/>
      <c r="D83" s="51" t="str">
        <f aca="false">IF(C83="","",IFERROR(IF(LEFT(C83,1)="L",INDEX('Leads Pipeline'!$F$5:$F$1004,MATCH(C83,'Leads Pipeline'!$A$5:$A$1004,0)),INDEX('Active Clients'!$D$5:$D$504,MATCH(C83,'Active Clients'!$A$5:$A$504,0)))&amp;"","ID not found"))</f>
        <v/>
      </c>
      <c r="E83" s="51" t="str">
        <f aca="false">IF(C83="","",IFERROR(IF(LEFT(C83,1)="L",INDEX('Leads Pipeline'!$D$5:$D$1004,MATCH(C83,'Leads Pipeline'!$A$5:$A$1004,0)),INDEX('Active Clients'!$B$5:$B$504,MATCH(C83,'Active Clients'!$A$5:$A$504,0)))&amp;"","ID not found"))</f>
        <v/>
      </c>
      <c r="F83" s="51" t="str">
        <f aca="false">IF(C83="","",IFERROR(IF(LEFT(C83,1)="L",INDEX('Leads Pipeline'!$E$5:$E$1004,MATCH(C83,'Leads Pipeline'!$A$5:$A$1004,0)),INDEX('Active Clients'!$C$5:$C$504,MATCH(C83,'Active Clients'!$A$5:$A$504,0)))&amp;"","ID not found"))</f>
        <v/>
      </c>
      <c r="G83" s="16"/>
      <c r="H83" s="16"/>
      <c r="I83" s="16"/>
      <c r="J83" s="16"/>
      <c r="K83" s="16"/>
      <c r="L83" s="18"/>
    </row>
    <row r="84" customFormat="false" ht="15" hidden="false" customHeight="false" outlineLevel="0" collapsed="false">
      <c r="A84" s="18"/>
      <c r="B84" s="16"/>
      <c r="C84" s="16"/>
      <c r="D84" s="51" t="str">
        <f aca="false">IF(C84="","",IFERROR(IF(LEFT(C84,1)="L",INDEX('Leads Pipeline'!$F$5:$F$1004,MATCH(C84,'Leads Pipeline'!$A$5:$A$1004,0)),INDEX('Active Clients'!$D$5:$D$504,MATCH(C84,'Active Clients'!$A$5:$A$504,0)))&amp;"","ID not found"))</f>
        <v/>
      </c>
      <c r="E84" s="51" t="str">
        <f aca="false">IF(C84="","",IFERROR(IF(LEFT(C84,1)="L",INDEX('Leads Pipeline'!$D$5:$D$1004,MATCH(C84,'Leads Pipeline'!$A$5:$A$1004,0)),INDEX('Active Clients'!$B$5:$B$504,MATCH(C84,'Active Clients'!$A$5:$A$504,0)))&amp;"","ID not found"))</f>
        <v/>
      </c>
      <c r="F84" s="51" t="str">
        <f aca="false">IF(C84="","",IFERROR(IF(LEFT(C84,1)="L",INDEX('Leads Pipeline'!$E$5:$E$1004,MATCH(C84,'Leads Pipeline'!$A$5:$A$1004,0)),INDEX('Active Clients'!$C$5:$C$504,MATCH(C84,'Active Clients'!$A$5:$A$504,0)))&amp;"","ID not found"))</f>
        <v/>
      </c>
      <c r="G84" s="16"/>
      <c r="H84" s="16"/>
      <c r="I84" s="16"/>
      <c r="J84" s="16"/>
      <c r="K84" s="16"/>
      <c r="L84" s="18"/>
    </row>
    <row r="85" customFormat="false" ht="15" hidden="false" customHeight="false" outlineLevel="0" collapsed="false">
      <c r="A85" s="18"/>
      <c r="B85" s="16"/>
      <c r="C85" s="16"/>
      <c r="D85" s="51" t="str">
        <f aca="false">IF(C85="","",IFERROR(IF(LEFT(C85,1)="L",INDEX('Leads Pipeline'!$F$5:$F$1004,MATCH(C85,'Leads Pipeline'!$A$5:$A$1004,0)),INDEX('Active Clients'!$D$5:$D$504,MATCH(C85,'Active Clients'!$A$5:$A$504,0)))&amp;"","ID not found"))</f>
        <v/>
      </c>
      <c r="E85" s="51" t="str">
        <f aca="false">IF(C85="","",IFERROR(IF(LEFT(C85,1)="L",INDEX('Leads Pipeline'!$D$5:$D$1004,MATCH(C85,'Leads Pipeline'!$A$5:$A$1004,0)),INDEX('Active Clients'!$B$5:$B$504,MATCH(C85,'Active Clients'!$A$5:$A$504,0)))&amp;"","ID not found"))</f>
        <v/>
      </c>
      <c r="F85" s="51" t="str">
        <f aca="false">IF(C85="","",IFERROR(IF(LEFT(C85,1)="L",INDEX('Leads Pipeline'!$E$5:$E$1004,MATCH(C85,'Leads Pipeline'!$A$5:$A$1004,0)),INDEX('Active Clients'!$C$5:$C$504,MATCH(C85,'Active Clients'!$A$5:$A$504,0)))&amp;"","ID not found"))</f>
        <v/>
      </c>
      <c r="G85" s="16"/>
      <c r="H85" s="16"/>
      <c r="I85" s="16"/>
      <c r="J85" s="16"/>
      <c r="K85" s="16"/>
      <c r="L85" s="18"/>
    </row>
    <row r="86" customFormat="false" ht="15" hidden="false" customHeight="false" outlineLevel="0" collapsed="false">
      <c r="A86" s="18"/>
      <c r="B86" s="16"/>
      <c r="C86" s="16"/>
      <c r="D86" s="51" t="str">
        <f aca="false">IF(C86="","",IFERROR(IF(LEFT(C86,1)="L",INDEX('Leads Pipeline'!$F$5:$F$1004,MATCH(C86,'Leads Pipeline'!$A$5:$A$1004,0)),INDEX('Active Clients'!$D$5:$D$504,MATCH(C86,'Active Clients'!$A$5:$A$504,0)))&amp;"","ID not found"))</f>
        <v/>
      </c>
      <c r="E86" s="51" t="str">
        <f aca="false">IF(C86="","",IFERROR(IF(LEFT(C86,1)="L",INDEX('Leads Pipeline'!$D$5:$D$1004,MATCH(C86,'Leads Pipeline'!$A$5:$A$1004,0)),INDEX('Active Clients'!$B$5:$B$504,MATCH(C86,'Active Clients'!$A$5:$A$504,0)))&amp;"","ID not found"))</f>
        <v/>
      </c>
      <c r="F86" s="51" t="str">
        <f aca="false">IF(C86="","",IFERROR(IF(LEFT(C86,1)="L",INDEX('Leads Pipeline'!$E$5:$E$1004,MATCH(C86,'Leads Pipeline'!$A$5:$A$1004,0)),INDEX('Active Clients'!$C$5:$C$504,MATCH(C86,'Active Clients'!$A$5:$A$504,0)))&amp;"","ID not found"))</f>
        <v/>
      </c>
      <c r="G86" s="16"/>
      <c r="H86" s="16"/>
      <c r="I86" s="16"/>
      <c r="J86" s="16"/>
      <c r="K86" s="16"/>
      <c r="L86" s="18"/>
    </row>
    <row r="87" customFormat="false" ht="15" hidden="false" customHeight="false" outlineLevel="0" collapsed="false">
      <c r="A87" s="18"/>
      <c r="B87" s="16"/>
      <c r="C87" s="16"/>
      <c r="D87" s="51" t="str">
        <f aca="false">IF(C87="","",IFERROR(IF(LEFT(C87,1)="L",INDEX('Leads Pipeline'!$F$5:$F$1004,MATCH(C87,'Leads Pipeline'!$A$5:$A$1004,0)),INDEX('Active Clients'!$D$5:$D$504,MATCH(C87,'Active Clients'!$A$5:$A$504,0)))&amp;"","ID not found"))</f>
        <v/>
      </c>
      <c r="E87" s="51" t="str">
        <f aca="false">IF(C87="","",IFERROR(IF(LEFT(C87,1)="L",INDEX('Leads Pipeline'!$D$5:$D$1004,MATCH(C87,'Leads Pipeline'!$A$5:$A$1004,0)),INDEX('Active Clients'!$B$5:$B$504,MATCH(C87,'Active Clients'!$A$5:$A$504,0)))&amp;"","ID not found"))</f>
        <v/>
      </c>
      <c r="F87" s="51" t="str">
        <f aca="false">IF(C87="","",IFERROR(IF(LEFT(C87,1)="L",INDEX('Leads Pipeline'!$E$5:$E$1004,MATCH(C87,'Leads Pipeline'!$A$5:$A$1004,0)),INDEX('Active Clients'!$C$5:$C$504,MATCH(C87,'Active Clients'!$A$5:$A$504,0)))&amp;"","ID not found"))</f>
        <v/>
      </c>
      <c r="G87" s="16"/>
      <c r="H87" s="16"/>
      <c r="I87" s="16"/>
      <c r="J87" s="16"/>
      <c r="K87" s="16"/>
      <c r="L87" s="18"/>
    </row>
    <row r="88" customFormat="false" ht="15" hidden="false" customHeight="false" outlineLevel="0" collapsed="false">
      <c r="A88" s="18"/>
      <c r="B88" s="16"/>
      <c r="C88" s="16"/>
      <c r="D88" s="51" t="str">
        <f aca="false">IF(C88="","",IFERROR(IF(LEFT(C88,1)="L",INDEX('Leads Pipeline'!$F$5:$F$1004,MATCH(C88,'Leads Pipeline'!$A$5:$A$1004,0)),INDEX('Active Clients'!$D$5:$D$504,MATCH(C88,'Active Clients'!$A$5:$A$504,0)))&amp;"","ID not found"))</f>
        <v/>
      </c>
      <c r="E88" s="51" t="str">
        <f aca="false">IF(C88="","",IFERROR(IF(LEFT(C88,1)="L",INDEX('Leads Pipeline'!$D$5:$D$1004,MATCH(C88,'Leads Pipeline'!$A$5:$A$1004,0)),INDEX('Active Clients'!$B$5:$B$504,MATCH(C88,'Active Clients'!$A$5:$A$504,0)))&amp;"","ID not found"))</f>
        <v/>
      </c>
      <c r="F88" s="51" t="str">
        <f aca="false">IF(C88="","",IFERROR(IF(LEFT(C88,1)="L",INDEX('Leads Pipeline'!$E$5:$E$1004,MATCH(C88,'Leads Pipeline'!$A$5:$A$1004,0)),INDEX('Active Clients'!$C$5:$C$504,MATCH(C88,'Active Clients'!$A$5:$A$504,0)))&amp;"","ID not found"))</f>
        <v/>
      </c>
      <c r="G88" s="16"/>
      <c r="H88" s="16"/>
      <c r="I88" s="16"/>
      <c r="J88" s="16"/>
      <c r="K88" s="16"/>
      <c r="L88" s="18"/>
    </row>
    <row r="89" customFormat="false" ht="15" hidden="false" customHeight="false" outlineLevel="0" collapsed="false">
      <c r="A89" s="18"/>
      <c r="B89" s="16"/>
      <c r="C89" s="16"/>
      <c r="D89" s="51" t="str">
        <f aca="false">IF(C89="","",IFERROR(IF(LEFT(C89,1)="L",INDEX('Leads Pipeline'!$F$5:$F$1004,MATCH(C89,'Leads Pipeline'!$A$5:$A$1004,0)),INDEX('Active Clients'!$D$5:$D$504,MATCH(C89,'Active Clients'!$A$5:$A$504,0)))&amp;"","ID not found"))</f>
        <v/>
      </c>
      <c r="E89" s="51" t="str">
        <f aca="false">IF(C89="","",IFERROR(IF(LEFT(C89,1)="L",INDEX('Leads Pipeline'!$D$5:$D$1004,MATCH(C89,'Leads Pipeline'!$A$5:$A$1004,0)),INDEX('Active Clients'!$B$5:$B$504,MATCH(C89,'Active Clients'!$A$5:$A$504,0)))&amp;"","ID not found"))</f>
        <v/>
      </c>
      <c r="F89" s="51" t="str">
        <f aca="false">IF(C89="","",IFERROR(IF(LEFT(C89,1)="L",INDEX('Leads Pipeline'!$E$5:$E$1004,MATCH(C89,'Leads Pipeline'!$A$5:$A$1004,0)),INDEX('Active Clients'!$C$5:$C$504,MATCH(C89,'Active Clients'!$A$5:$A$504,0)))&amp;"","ID not found"))</f>
        <v/>
      </c>
      <c r="G89" s="16"/>
      <c r="H89" s="16"/>
      <c r="I89" s="16"/>
      <c r="J89" s="16"/>
      <c r="K89" s="16"/>
      <c r="L89" s="18"/>
    </row>
    <row r="90" customFormat="false" ht="15" hidden="false" customHeight="false" outlineLevel="0" collapsed="false">
      <c r="A90" s="18"/>
      <c r="B90" s="16"/>
      <c r="C90" s="16"/>
      <c r="D90" s="51" t="str">
        <f aca="false">IF(C90="","",IFERROR(IF(LEFT(C90,1)="L",INDEX('Leads Pipeline'!$F$5:$F$1004,MATCH(C90,'Leads Pipeline'!$A$5:$A$1004,0)),INDEX('Active Clients'!$D$5:$D$504,MATCH(C90,'Active Clients'!$A$5:$A$504,0)))&amp;"","ID not found"))</f>
        <v/>
      </c>
      <c r="E90" s="51" t="str">
        <f aca="false">IF(C90="","",IFERROR(IF(LEFT(C90,1)="L",INDEX('Leads Pipeline'!$D$5:$D$1004,MATCH(C90,'Leads Pipeline'!$A$5:$A$1004,0)),INDEX('Active Clients'!$B$5:$B$504,MATCH(C90,'Active Clients'!$A$5:$A$504,0)))&amp;"","ID not found"))</f>
        <v/>
      </c>
      <c r="F90" s="51" t="str">
        <f aca="false">IF(C90="","",IFERROR(IF(LEFT(C90,1)="L",INDEX('Leads Pipeline'!$E$5:$E$1004,MATCH(C90,'Leads Pipeline'!$A$5:$A$1004,0)),INDEX('Active Clients'!$C$5:$C$504,MATCH(C90,'Active Clients'!$A$5:$A$504,0)))&amp;"","ID not found"))</f>
        <v/>
      </c>
      <c r="G90" s="16"/>
      <c r="H90" s="16"/>
      <c r="I90" s="16"/>
      <c r="J90" s="16"/>
      <c r="K90" s="16"/>
      <c r="L90" s="18"/>
    </row>
    <row r="91" customFormat="false" ht="15" hidden="false" customHeight="false" outlineLevel="0" collapsed="false">
      <c r="A91" s="18"/>
      <c r="B91" s="16"/>
      <c r="C91" s="16"/>
      <c r="D91" s="51" t="str">
        <f aca="false">IF(C91="","",IFERROR(IF(LEFT(C91,1)="L",INDEX('Leads Pipeline'!$F$5:$F$1004,MATCH(C91,'Leads Pipeline'!$A$5:$A$1004,0)),INDEX('Active Clients'!$D$5:$D$504,MATCH(C91,'Active Clients'!$A$5:$A$504,0)))&amp;"","ID not found"))</f>
        <v/>
      </c>
      <c r="E91" s="51" t="str">
        <f aca="false">IF(C91="","",IFERROR(IF(LEFT(C91,1)="L",INDEX('Leads Pipeline'!$D$5:$D$1004,MATCH(C91,'Leads Pipeline'!$A$5:$A$1004,0)),INDEX('Active Clients'!$B$5:$B$504,MATCH(C91,'Active Clients'!$A$5:$A$504,0)))&amp;"","ID not found"))</f>
        <v/>
      </c>
      <c r="F91" s="51" t="str">
        <f aca="false">IF(C91="","",IFERROR(IF(LEFT(C91,1)="L",INDEX('Leads Pipeline'!$E$5:$E$1004,MATCH(C91,'Leads Pipeline'!$A$5:$A$1004,0)),INDEX('Active Clients'!$C$5:$C$504,MATCH(C91,'Active Clients'!$A$5:$A$504,0)))&amp;"","ID not found"))</f>
        <v/>
      </c>
      <c r="G91" s="16"/>
      <c r="H91" s="16"/>
      <c r="I91" s="16"/>
      <c r="J91" s="16"/>
      <c r="K91" s="16"/>
      <c r="L91" s="18"/>
    </row>
    <row r="92" customFormat="false" ht="15" hidden="false" customHeight="false" outlineLevel="0" collapsed="false">
      <c r="A92" s="18"/>
      <c r="B92" s="16"/>
      <c r="C92" s="16"/>
      <c r="D92" s="51" t="str">
        <f aca="false">IF(C92="","",IFERROR(IF(LEFT(C92,1)="L",INDEX('Leads Pipeline'!$F$5:$F$1004,MATCH(C92,'Leads Pipeline'!$A$5:$A$1004,0)),INDEX('Active Clients'!$D$5:$D$504,MATCH(C92,'Active Clients'!$A$5:$A$504,0)))&amp;"","ID not found"))</f>
        <v/>
      </c>
      <c r="E92" s="51" t="str">
        <f aca="false">IF(C92="","",IFERROR(IF(LEFT(C92,1)="L",INDEX('Leads Pipeline'!$D$5:$D$1004,MATCH(C92,'Leads Pipeline'!$A$5:$A$1004,0)),INDEX('Active Clients'!$B$5:$B$504,MATCH(C92,'Active Clients'!$A$5:$A$504,0)))&amp;"","ID not found"))</f>
        <v/>
      </c>
      <c r="F92" s="51" t="str">
        <f aca="false">IF(C92="","",IFERROR(IF(LEFT(C92,1)="L",INDEX('Leads Pipeline'!$E$5:$E$1004,MATCH(C92,'Leads Pipeline'!$A$5:$A$1004,0)),INDEX('Active Clients'!$C$5:$C$504,MATCH(C92,'Active Clients'!$A$5:$A$504,0)))&amp;"","ID not found"))</f>
        <v/>
      </c>
      <c r="G92" s="16"/>
      <c r="H92" s="16"/>
      <c r="I92" s="16"/>
      <c r="J92" s="16"/>
      <c r="K92" s="16"/>
      <c r="L92" s="18"/>
    </row>
    <row r="93" customFormat="false" ht="15" hidden="false" customHeight="false" outlineLevel="0" collapsed="false">
      <c r="A93" s="18"/>
      <c r="B93" s="16"/>
      <c r="C93" s="16"/>
      <c r="D93" s="51" t="str">
        <f aca="false">IF(C93="","",IFERROR(IF(LEFT(C93,1)="L",INDEX('Leads Pipeline'!$F$5:$F$1004,MATCH(C93,'Leads Pipeline'!$A$5:$A$1004,0)),INDEX('Active Clients'!$D$5:$D$504,MATCH(C93,'Active Clients'!$A$5:$A$504,0)))&amp;"","ID not found"))</f>
        <v/>
      </c>
      <c r="E93" s="51" t="str">
        <f aca="false">IF(C93="","",IFERROR(IF(LEFT(C93,1)="L",INDEX('Leads Pipeline'!$D$5:$D$1004,MATCH(C93,'Leads Pipeline'!$A$5:$A$1004,0)),INDEX('Active Clients'!$B$5:$B$504,MATCH(C93,'Active Clients'!$A$5:$A$504,0)))&amp;"","ID not found"))</f>
        <v/>
      </c>
      <c r="F93" s="51" t="str">
        <f aca="false">IF(C93="","",IFERROR(IF(LEFT(C93,1)="L",INDEX('Leads Pipeline'!$E$5:$E$1004,MATCH(C93,'Leads Pipeline'!$A$5:$A$1004,0)),INDEX('Active Clients'!$C$5:$C$504,MATCH(C93,'Active Clients'!$A$5:$A$504,0)))&amp;"","ID not found"))</f>
        <v/>
      </c>
      <c r="G93" s="16"/>
      <c r="H93" s="16"/>
      <c r="I93" s="16"/>
      <c r="J93" s="16"/>
      <c r="K93" s="16"/>
      <c r="L93" s="18"/>
    </row>
    <row r="94" customFormat="false" ht="15" hidden="false" customHeight="false" outlineLevel="0" collapsed="false">
      <c r="A94" s="18"/>
      <c r="B94" s="16"/>
      <c r="C94" s="16"/>
      <c r="D94" s="51" t="str">
        <f aca="false">IF(C94="","",IFERROR(IF(LEFT(C94,1)="L",INDEX('Leads Pipeline'!$F$5:$F$1004,MATCH(C94,'Leads Pipeline'!$A$5:$A$1004,0)),INDEX('Active Clients'!$D$5:$D$504,MATCH(C94,'Active Clients'!$A$5:$A$504,0)))&amp;"","ID not found"))</f>
        <v/>
      </c>
      <c r="E94" s="51" t="str">
        <f aca="false">IF(C94="","",IFERROR(IF(LEFT(C94,1)="L",INDEX('Leads Pipeline'!$D$5:$D$1004,MATCH(C94,'Leads Pipeline'!$A$5:$A$1004,0)),INDEX('Active Clients'!$B$5:$B$504,MATCH(C94,'Active Clients'!$A$5:$A$504,0)))&amp;"","ID not found"))</f>
        <v/>
      </c>
      <c r="F94" s="51" t="str">
        <f aca="false">IF(C94="","",IFERROR(IF(LEFT(C94,1)="L",INDEX('Leads Pipeline'!$E$5:$E$1004,MATCH(C94,'Leads Pipeline'!$A$5:$A$1004,0)),INDEX('Active Clients'!$C$5:$C$504,MATCH(C94,'Active Clients'!$A$5:$A$504,0)))&amp;"","ID not found"))</f>
        <v/>
      </c>
      <c r="G94" s="16"/>
      <c r="H94" s="16"/>
      <c r="I94" s="16"/>
      <c r="J94" s="16"/>
      <c r="K94" s="16"/>
      <c r="L94" s="18"/>
    </row>
    <row r="95" customFormat="false" ht="15" hidden="false" customHeight="false" outlineLevel="0" collapsed="false">
      <c r="A95" s="18"/>
      <c r="B95" s="16"/>
      <c r="C95" s="16"/>
      <c r="D95" s="51" t="str">
        <f aca="false">IF(C95="","",IFERROR(IF(LEFT(C95,1)="L",INDEX('Leads Pipeline'!$F$5:$F$1004,MATCH(C95,'Leads Pipeline'!$A$5:$A$1004,0)),INDEX('Active Clients'!$D$5:$D$504,MATCH(C95,'Active Clients'!$A$5:$A$504,0)))&amp;"","ID not found"))</f>
        <v/>
      </c>
      <c r="E95" s="51" t="str">
        <f aca="false">IF(C95="","",IFERROR(IF(LEFT(C95,1)="L",INDEX('Leads Pipeline'!$D$5:$D$1004,MATCH(C95,'Leads Pipeline'!$A$5:$A$1004,0)),INDEX('Active Clients'!$B$5:$B$504,MATCH(C95,'Active Clients'!$A$5:$A$504,0)))&amp;"","ID not found"))</f>
        <v/>
      </c>
      <c r="F95" s="51" t="str">
        <f aca="false">IF(C95="","",IFERROR(IF(LEFT(C95,1)="L",INDEX('Leads Pipeline'!$E$5:$E$1004,MATCH(C95,'Leads Pipeline'!$A$5:$A$1004,0)),INDEX('Active Clients'!$C$5:$C$504,MATCH(C95,'Active Clients'!$A$5:$A$504,0)))&amp;"","ID not found"))</f>
        <v/>
      </c>
      <c r="G95" s="16"/>
      <c r="H95" s="16"/>
      <c r="I95" s="16"/>
      <c r="J95" s="16"/>
      <c r="K95" s="16"/>
      <c r="L95" s="18"/>
    </row>
    <row r="96" customFormat="false" ht="15" hidden="false" customHeight="false" outlineLevel="0" collapsed="false">
      <c r="A96" s="18"/>
      <c r="B96" s="16"/>
      <c r="C96" s="16"/>
      <c r="D96" s="51" t="str">
        <f aca="false">IF(C96="","",IFERROR(IF(LEFT(C96,1)="L",INDEX('Leads Pipeline'!$F$5:$F$1004,MATCH(C96,'Leads Pipeline'!$A$5:$A$1004,0)),INDEX('Active Clients'!$D$5:$D$504,MATCH(C96,'Active Clients'!$A$5:$A$504,0)))&amp;"","ID not found"))</f>
        <v/>
      </c>
      <c r="E96" s="51" t="str">
        <f aca="false">IF(C96="","",IFERROR(IF(LEFT(C96,1)="L",INDEX('Leads Pipeline'!$D$5:$D$1004,MATCH(C96,'Leads Pipeline'!$A$5:$A$1004,0)),INDEX('Active Clients'!$B$5:$B$504,MATCH(C96,'Active Clients'!$A$5:$A$504,0)))&amp;"","ID not found"))</f>
        <v/>
      </c>
      <c r="F96" s="51" t="str">
        <f aca="false">IF(C96="","",IFERROR(IF(LEFT(C96,1)="L",INDEX('Leads Pipeline'!$E$5:$E$1004,MATCH(C96,'Leads Pipeline'!$A$5:$A$1004,0)),INDEX('Active Clients'!$C$5:$C$504,MATCH(C96,'Active Clients'!$A$5:$A$504,0)))&amp;"","ID not found"))</f>
        <v/>
      </c>
      <c r="G96" s="16"/>
      <c r="H96" s="16"/>
      <c r="I96" s="16"/>
      <c r="J96" s="16"/>
      <c r="K96" s="16"/>
      <c r="L96" s="18"/>
    </row>
    <row r="97" customFormat="false" ht="15" hidden="false" customHeight="false" outlineLevel="0" collapsed="false">
      <c r="A97" s="18"/>
      <c r="B97" s="16"/>
      <c r="C97" s="16"/>
      <c r="D97" s="51" t="str">
        <f aca="false">IF(C97="","",IFERROR(IF(LEFT(C97,1)="L",INDEX('Leads Pipeline'!$F$5:$F$1004,MATCH(C97,'Leads Pipeline'!$A$5:$A$1004,0)),INDEX('Active Clients'!$D$5:$D$504,MATCH(C97,'Active Clients'!$A$5:$A$504,0)))&amp;"","ID not found"))</f>
        <v/>
      </c>
      <c r="E97" s="51" t="str">
        <f aca="false">IF(C97="","",IFERROR(IF(LEFT(C97,1)="L",INDEX('Leads Pipeline'!$D$5:$D$1004,MATCH(C97,'Leads Pipeline'!$A$5:$A$1004,0)),INDEX('Active Clients'!$B$5:$B$504,MATCH(C97,'Active Clients'!$A$5:$A$504,0)))&amp;"","ID not found"))</f>
        <v/>
      </c>
      <c r="F97" s="51" t="str">
        <f aca="false">IF(C97="","",IFERROR(IF(LEFT(C97,1)="L",INDEX('Leads Pipeline'!$E$5:$E$1004,MATCH(C97,'Leads Pipeline'!$A$5:$A$1004,0)),INDEX('Active Clients'!$C$5:$C$504,MATCH(C97,'Active Clients'!$A$5:$A$504,0)))&amp;"","ID not found"))</f>
        <v/>
      </c>
      <c r="G97" s="16"/>
      <c r="H97" s="16"/>
      <c r="I97" s="16"/>
      <c r="J97" s="16"/>
      <c r="K97" s="16"/>
      <c r="L97" s="18"/>
    </row>
    <row r="98" customFormat="false" ht="15" hidden="false" customHeight="false" outlineLevel="0" collapsed="false">
      <c r="A98" s="18"/>
      <c r="B98" s="16"/>
      <c r="C98" s="16"/>
      <c r="D98" s="51" t="str">
        <f aca="false">IF(C98="","",IFERROR(IF(LEFT(C98,1)="L",INDEX('Leads Pipeline'!$F$5:$F$1004,MATCH(C98,'Leads Pipeline'!$A$5:$A$1004,0)),INDEX('Active Clients'!$D$5:$D$504,MATCH(C98,'Active Clients'!$A$5:$A$504,0)))&amp;"","ID not found"))</f>
        <v/>
      </c>
      <c r="E98" s="51" t="str">
        <f aca="false">IF(C98="","",IFERROR(IF(LEFT(C98,1)="L",INDEX('Leads Pipeline'!$D$5:$D$1004,MATCH(C98,'Leads Pipeline'!$A$5:$A$1004,0)),INDEX('Active Clients'!$B$5:$B$504,MATCH(C98,'Active Clients'!$A$5:$A$504,0)))&amp;"","ID not found"))</f>
        <v/>
      </c>
      <c r="F98" s="51" t="str">
        <f aca="false">IF(C98="","",IFERROR(IF(LEFT(C98,1)="L",INDEX('Leads Pipeline'!$E$5:$E$1004,MATCH(C98,'Leads Pipeline'!$A$5:$A$1004,0)),INDEX('Active Clients'!$C$5:$C$504,MATCH(C98,'Active Clients'!$A$5:$A$504,0)))&amp;"","ID not found"))</f>
        <v/>
      </c>
      <c r="G98" s="16"/>
      <c r="H98" s="16"/>
      <c r="I98" s="16"/>
      <c r="J98" s="16"/>
      <c r="K98" s="16"/>
      <c r="L98" s="18"/>
    </row>
    <row r="99" customFormat="false" ht="15" hidden="false" customHeight="false" outlineLevel="0" collapsed="false">
      <c r="A99" s="18"/>
      <c r="B99" s="16"/>
      <c r="C99" s="16"/>
      <c r="D99" s="51" t="str">
        <f aca="false">IF(C99="","",IFERROR(IF(LEFT(C99,1)="L",INDEX('Leads Pipeline'!$F$5:$F$1004,MATCH(C99,'Leads Pipeline'!$A$5:$A$1004,0)),INDEX('Active Clients'!$D$5:$D$504,MATCH(C99,'Active Clients'!$A$5:$A$504,0)))&amp;"","ID not found"))</f>
        <v/>
      </c>
      <c r="E99" s="51" t="str">
        <f aca="false">IF(C99="","",IFERROR(IF(LEFT(C99,1)="L",INDEX('Leads Pipeline'!$D$5:$D$1004,MATCH(C99,'Leads Pipeline'!$A$5:$A$1004,0)),INDEX('Active Clients'!$B$5:$B$504,MATCH(C99,'Active Clients'!$A$5:$A$504,0)))&amp;"","ID not found"))</f>
        <v/>
      </c>
      <c r="F99" s="51" t="str">
        <f aca="false">IF(C99="","",IFERROR(IF(LEFT(C99,1)="L",INDEX('Leads Pipeline'!$E$5:$E$1004,MATCH(C99,'Leads Pipeline'!$A$5:$A$1004,0)),INDEX('Active Clients'!$C$5:$C$504,MATCH(C99,'Active Clients'!$A$5:$A$504,0)))&amp;"","ID not found"))</f>
        <v/>
      </c>
      <c r="G99" s="16"/>
      <c r="H99" s="16"/>
      <c r="I99" s="16"/>
      <c r="J99" s="16"/>
      <c r="K99" s="16"/>
      <c r="L99" s="18"/>
    </row>
    <row r="100" customFormat="false" ht="15" hidden="false" customHeight="false" outlineLevel="0" collapsed="false">
      <c r="A100" s="18"/>
      <c r="B100" s="16"/>
      <c r="C100" s="16"/>
      <c r="D100" s="51" t="str">
        <f aca="false">IF(C100="","",IFERROR(IF(LEFT(C100,1)="L",INDEX('Leads Pipeline'!$F$5:$F$1004,MATCH(C100,'Leads Pipeline'!$A$5:$A$1004,0)),INDEX('Active Clients'!$D$5:$D$504,MATCH(C100,'Active Clients'!$A$5:$A$504,0)))&amp;"","ID not found"))</f>
        <v/>
      </c>
      <c r="E100" s="51" t="str">
        <f aca="false">IF(C100="","",IFERROR(IF(LEFT(C100,1)="L",INDEX('Leads Pipeline'!$D$5:$D$1004,MATCH(C100,'Leads Pipeline'!$A$5:$A$1004,0)),INDEX('Active Clients'!$B$5:$B$504,MATCH(C100,'Active Clients'!$A$5:$A$504,0)))&amp;"","ID not found"))</f>
        <v/>
      </c>
      <c r="F100" s="51" t="str">
        <f aca="false">IF(C100="","",IFERROR(IF(LEFT(C100,1)="L",INDEX('Leads Pipeline'!$E$5:$E$1004,MATCH(C100,'Leads Pipeline'!$A$5:$A$1004,0)),INDEX('Active Clients'!$C$5:$C$504,MATCH(C100,'Active Clients'!$A$5:$A$504,0)))&amp;"","ID not found"))</f>
        <v/>
      </c>
      <c r="G100" s="16"/>
      <c r="H100" s="16"/>
      <c r="I100" s="16"/>
      <c r="J100" s="16"/>
      <c r="K100" s="16"/>
      <c r="L100" s="18"/>
    </row>
    <row r="101" customFormat="false" ht="15" hidden="false" customHeight="false" outlineLevel="0" collapsed="false">
      <c r="A101" s="18"/>
      <c r="B101" s="16"/>
      <c r="C101" s="16"/>
      <c r="D101" s="51" t="str">
        <f aca="false">IF(C101="","",IFERROR(IF(LEFT(C101,1)="L",INDEX('Leads Pipeline'!$F$5:$F$1004,MATCH(C101,'Leads Pipeline'!$A$5:$A$1004,0)),INDEX('Active Clients'!$D$5:$D$504,MATCH(C101,'Active Clients'!$A$5:$A$504,0)))&amp;"","ID not found"))</f>
        <v/>
      </c>
      <c r="E101" s="51" t="str">
        <f aca="false">IF(C101="","",IFERROR(IF(LEFT(C101,1)="L",INDEX('Leads Pipeline'!$D$5:$D$1004,MATCH(C101,'Leads Pipeline'!$A$5:$A$1004,0)),INDEX('Active Clients'!$B$5:$B$504,MATCH(C101,'Active Clients'!$A$5:$A$504,0)))&amp;"","ID not found"))</f>
        <v/>
      </c>
      <c r="F101" s="51" t="str">
        <f aca="false">IF(C101="","",IFERROR(IF(LEFT(C101,1)="L",INDEX('Leads Pipeline'!$E$5:$E$1004,MATCH(C101,'Leads Pipeline'!$A$5:$A$1004,0)),INDEX('Active Clients'!$C$5:$C$504,MATCH(C101,'Active Clients'!$A$5:$A$504,0)))&amp;"","ID not found"))</f>
        <v/>
      </c>
      <c r="G101" s="16"/>
      <c r="H101" s="16"/>
      <c r="I101" s="16"/>
      <c r="J101" s="16"/>
      <c r="K101" s="16"/>
      <c r="L101" s="18"/>
    </row>
    <row r="102" customFormat="false" ht="15" hidden="false" customHeight="false" outlineLevel="0" collapsed="false">
      <c r="A102" s="18"/>
      <c r="B102" s="16"/>
      <c r="C102" s="16"/>
      <c r="D102" s="51" t="str">
        <f aca="false">IF(C102="","",IFERROR(IF(LEFT(C102,1)="L",INDEX('Leads Pipeline'!$F$5:$F$1004,MATCH(C102,'Leads Pipeline'!$A$5:$A$1004,0)),INDEX('Active Clients'!$D$5:$D$504,MATCH(C102,'Active Clients'!$A$5:$A$504,0)))&amp;"","ID not found"))</f>
        <v/>
      </c>
      <c r="E102" s="51" t="str">
        <f aca="false">IF(C102="","",IFERROR(IF(LEFT(C102,1)="L",INDEX('Leads Pipeline'!$D$5:$D$1004,MATCH(C102,'Leads Pipeline'!$A$5:$A$1004,0)),INDEX('Active Clients'!$B$5:$B$504,MATCH(C102,'Active Clients'!$A$5:$A$504,0)))&amp;"","ID not found"))</f>
        <v/>
      </c>
      <c r="F102" s="51" t="str">
        <f aca="false">IF(C102="","",IFERROR(IF(LEFT(C102,1)="L",INDEX('Leads Pipeline'!$E$5:$E$1004,MATCH(C102,'Leads Pipeline'!$A$5:$A$1004,0)),INDEX('Active Clients'!$C$5:$C$504,MATCH(C102,'Active Clients'!$A$5:$A$504,0)))&amp;"","ID not found"))</f>
        <v/>
      </c>
      <c r="G102" s="16"/>
      <c r="H102" s="16"/>
      <c r="I102" s="16"/>
      <c r="J102" s="16"/>
      <c r="K102" s="16"/>
      <c r="L102" s="18"/>
    </row>
    <row r="103" customFormat="false" ht="15" hidden="false" customHeight="false" outlineLevel="0" collapsed="false">
      <c r="A103" s="18"/>
      <c r="B103" s="16"/>
      <c r="C103" s="16"/>
      <c r="D103" s="51" t="str">
        <f aca="false">IF(C103="","",IFERROR(IF(LEFT(C103,1)="L",INDEX('Leads Pipeline'!$F$5:$F$1004,MATCH(C103,'Leads Pipeline'!$A$5:$A$1004,0)),INDEX('Active Clients'!$D$5:$D$504,MATCH(C103,'Active Clients'!$A$5:$A$504,0)))&amp;"","ID not found"))</f>
        <v/>
      </c>
      <c r="E103" s="51" t="str">
        <f aca="false">IF(C103="","",IFERROR(IF(LEFT(C103,1)="L",INDEX('Leads Pipeline'!$D$5:$D$1004,MATCH(C103,'Leads Pipeline'!$A$5:$A$1004,0)),INDEX('Active Clients'!$B$5:$B$504,MATCH(C103,'Active Clients'!$A$5:$A$504,0)))&amp;"","ID not found"))</f>
        <v/>
      </c>
      <c r="F103" s="51" t="str">
        <f aca="false">IF(C103="","",IFERROR(IF(LEFT(C103,1)="L",INDEX('Leads Pipeline'!$E$5:$E$1004,MATCH(C103,'Leads Pipeline'!$A$5:$A$1004,0)),INDEX('Active Clients'!$C$5:$C$504,MATCH(C103,'Active Clients'!$A$5:$A$504,0)))&amp;"","ID not found"))</f>
        <v/>
      </c>
      <c r="G103" s="16"/>
      <c r="H103" s="16"/>
      <c r="I103" s="16"/>
      <c r="J103" s="16"/>
      <c r="K103" s="16"/>
      <c r="L103" s="18"/>
    </row>
    <row r="104" customFormat="false" ht="15" hidden="false" customHeight="false" outlineLevel="0" collapsed="false">
      <c r="A104" s="18"/>
      <c r="B104" s="16"/>
      <c r="C104" s="16"/>
      <c r="D104" s="51" t="str">
        <f aca="false">IF(C104="","",IFERROR(IF(LEFT(C104,1)="L",INDEX('Leads Pipeline'!$F$5:$F$1004,MATCH(C104,'Leads Pipeline'!$A$5:$A$1004,0)),INDEX('Active Clients'!$D$5:$D$504,MATCH(C104,'Active Clients'!$A$5:$A$504,0)))&amp;"","ID not found"))</f>
        <v/>
      </c>
      <c r="E104" s="51" t="str">
        <f aca="false">IF(C104="","",IFERROR(IF(LEFT(C104,1)="L",INDEX('Leads Pipeline'!$D$5:$D$1004,MATCH(C104,'Leads Pipeline'!$A$5:$A$1004,0)),INDEX('Active Clients'!$B$5:$B$504,MATCH(C104,'Active Clients'!$A$5:$A$504,0)))&amp;"","ID not found"))</f>
        <v/>
      </c>
      <c r="F104" s="51" t="str">
        <f aca="false">IF(C104="","",IFERROR(IF(LEFT(C104,1)="L",INDEX('Leads Pipeline'!$E$5:$E$1004,MATCH(C104,'Leads Pipeline'!$A$5:$A$1004,0)),INDEX('Active Clients'!$C$5:$C$504,MATCH(C104,'Active Clients'!$A$5:$A$504,0)))&amp;"","ID not found"))</f>
        <v/>
      </c>
      <c r="G104" s="16"/>
      <c r="H104" s="16"/>
      <c r="I104" s="16"/>
      <c r="J104" s="16"/>
      <c r="K104" s="16"/>
      <c r="L104" s="18"/>
    </row>
    <row r="105" customFormat="false" ht="15" hidden="false" customHeight="false" outlineLevel="0" collapsed="false">
      <c r="A105" s="18"/>
      <c r="B105" s="16"/>
      <c r="C105" s="16"/>
      <c r="D105" s="51" t="str">
        <f aca="false">IF(C105="","",IFERROR(IF(LEFT(C105,1)="L",INDEX('Leads Pipeline'!$F$5:$F$1004,MATCH(C105,'Leads Pipeline'!$A$5:$A$1004,0)),INDEX('Active Clients'!$D$5:$D$504,MATCH(C105,'Active Clients'!$A$5:$A$504,0)))&amp;"","ID not found"))</f>
        <v/>
      </c>
      <c r="E105" s="51" t="str">
        <f aca="false">IF(C105="","",IFERROR(IF(LEFT(C105,1)="L",INDEX('Leads Pipeline'!$D$5:$D$1004,MATCH(C105,'Leads Pipeline'!$A$5:$A$1004,0)),INDEX('Active Clients'!$B$5:$B$504,MATCH(C105,'Active Clients'!$A$5:$A$504,0)))&amp;"","ID not found"))</f>
        <v/>
      </c>
      <c r="F105" s="51" t="str">
        <f aca="false">IF(C105="","",IFERROR(IF(LEFT(C105,1)="L",INDEX('Leads Pipeline'!$E$5:$E$1004,MATCH(C105,'Leads Pipeline'!$A$5:$A$1004,0)),INDEX('Active Clients'!$C$5:$C$504,MATCH(C105,'Active Clients'!$A$5:$A$504,0)))&amp;"","ID not found"))</f>
        <v/>
      </c>
      <c r="G105" s="16"/>
      <c r="H105" s="16"/>
      <c r="I105" s="16"/>
      <c r="J105" s="16"/>
      <c r="K105" s="16"/>
      <c r="L105" s="18"/>
    </row>
    <row r="106" customFormat="false" ht="15" hidden="false" customHeight="false" outlineLevel="0" collapsed="false">
      <c r="A106" s="18"/>
      <c r="B106" s="16"/>
      <c r="C106" s="16"/>
      <c r="D106" s="51" t="str">
        <f aca="false">IF(C106="","",IFERROR(IF(LEFT(C106,1)="L",INDEX('Leads Pipeline'!$F$5:$F$1004,MATCH(C106,'Leads Pipeline'!$A$5:$A$1004,0)),INDEX('Active Clients'!$D$5:$D$504,MATCH(C106,'Active Clients'!$A$5:$A$504,0)))&amp;"","ID not found"))</f>
        <v/>
      </c>
      <c r="E106" s="51" t="str">
        <f aca="false">IF(C106="","",IFERROR(IF(LEFT(C106,1)="L",INDEX('Leads Pipeline'!$D$5:$D$1004,MATCH(C106,'Leads Pipeline'!$A$5:$A$1004,0)),INDEX('Active Clients'!$B$5:$B$504,MATCH(C106,'Active Clients'!$A$5:$A$504,0)))&amp;"","ID not found"))</f>
        <v/>
      </c>
      <c r="F106" s="51" t="str">
        <f aca="false">IF(C106="","",IFERROR(IF(LEFT(C106,1)="L",INDEX('Leads Pipeline'!$E$5:$E$1004,MATCH(C106,'Leads Pipeline'!$A$5:$A$1004,0)),INDEX('Active Clients'!$C$5:$C$504,MATCH(C106,'Active Clients'!$A$5:$A$504,0)))&amp;"","ID not found"))</f>
        <v/>
      </c>
      <c r="G106" s="16"/>
      <c r="H106" s="16"/>
      <c r="I106" s="16"/>
      <c r="J106" s="16"/>
      <c r="K106" s="16"/>
      <c r="L106" s="18"/>
    </row>
    <row r="107" customFormat="false" ht="15" hidden="false" customHeight="false" outlineLevel="0" collapsed="false">
      <c r="A107" s="18"/>
      <c r="B107" s="16"/>
      <c r="C107" s="16"/>
      <c r="D107" s="51" t="str">
        <f aca="false">IF(C107="","",IFERROR(IF(LEFT(C107,1)="L",INDEX('Leads Pipeline'!$F$5:$F$1004,MATCH(C107,'Leads Pipeline'!$A$5:$A$1004,0)),INDEX('Active Clients'!$D$5:$D$504,MATCH(C107,'Active Clients'!$A$5:$A$504,0)))&amp;"","ID not found"))</f>
        <v/>
      </c>
      <c r="E107" s="51" t="str">
        <f aca="false">IF(C107="","",IFERROR(IF(LEFT(C107,1)="L",INDEX('Leads Pipeline'!$D$5:$D$1004,MATCH(C107,'Leads Pipeline'!$A$5:$A$1004,0)),INDEX('Active Clients'!$B$5:$B$504,MATCH(C107,'Active Clients'!$A$5:$A$504,0)))&amp;"","ID not found"))</f>
        <v/>
      </c>
      <c r="F107" s="51" t="str">
        <f aca="false">IF(C107="","",IFERROR(IF(LEFT(C107,1)="L",INDEX('Leads Pipeline'!$E$5:$E$1004,MATCH(C107,'Leads Pipeline'!$A$5:$A$1004,0)),INDEX('Active Clients'!$C$5:$C$504,MATCH(C107,'Active Clients'!$A$5:$A$504,0)))&amp;"","ID not found"))</f>
        <v/>
      </c>
      <c r="G107" s="16"/>
      <c r="H107" s="16"/>
      <c r="I107" s="16"/>
      <c r="J107" s="16"/>
      <c r="K107" s="16"/>
      <c r="L107" s="18"/>
    </row>
    <row r="108" customFormat="false" ht="15" hidden="false" customHeight="false" outlineLevel="0" collapsed="false">
      <c r="A108" s="18"/>
      <c r="B108" s="16"/>
      <c r="C108" s="16"/>
      <c r="D108" s="51" t="str">
        <f aca="false">IF(C108="","",IFERROR(IF(LEFT(C108,1)="L",INDEX('Leads Pipeline'!$F$5:$F$1004,MATCH(C108,'Leads Pipeline'!$A$5:$A$1004,0)),INDEX('Active Clients'!$D$5:$D$504,MATCH(C108,'Active Clients'!$A$5:$A$504,0)))&amp;"","ID not found"))</f>
        <v/>
      </c>
      <c r="E108" s="51" t="str">
        <f aca="false">IF(C108="","",IFERROR(IF(LEFT(C108,1)="L",INDEX('Leads Pipeline'!$D$5:$D$1004,MATCH(C108,'Leads Pipeline'!$A$5:$A$1004,0)),INDEX('Active Clients'!$B$5:$B$504,MATCH(C108,'Active Clients'!$A$5:$A$504,0)))&amp;"","ID not found"))</f>
        <v/>
      </c>
      <c r="F108" s="51" t="str">
        <f aca="false">IF(C108="","",IFERROR(IF(LEFT(C108,1)="L",INDEX('Leads Pipeline'!$E$5:$E$1004,MATCH(C108,'Leads Pipeline'!$A$5:$A$1004,0)),INDEX('Active Clients'!$C$5:$C$504,MATCH(C108,'Active Clients'!$A$5:$A$504,0)))&amp;"","ID not found"))</f>
        <v/>
      </c>
      <c r="G108" s="16"/>
      <c r="H108" s="16"/>
      <c r="I108" s="16"/>
      <c r="J108" s="16"/>
      <c r="K108" s="16"/>
      <c r="L108" s="18"/>
    </row>
    <row r="109" customFormat="false" ht="15" hidden="false" customHeight="false" outlineLevel="0" collapsed="false">
      <c r="A109" s="18"/>
      <c r="B109" s="16"/>
      <c r="C109" s="16"/>
      <c r="D109" s="51" t="str">
        <f aca="false">IF(C109="","",IFERROR(IF(LEFT(C109,1)="L",INDEX('Leads Pipeline'!$F$5:$F$1004,MATCH(C109,'Leads Pipeline'!$A$5:$A$1004,0)),INDEX('Active Clients'!$D$5:$D$504,MATCH(C109,'Active Clients'!$A$5:$A$504,0)))&amp;"","ID not found"))</f>
        <v/>
      </c>
      <c r="E109" s="51" t="str">
        <f aca="false">IF(C109="","",IFERROR(IF(LEFT(C109,1)="L",INDEX('Leads Pipeline'!$D$5:$D$1004,MATCH(C109,'Leads Pipeline'!$A$5:$A$1004,0)),INDEX('Active Clients'!$B$5:$B$504,MATCH(C109,'Active Clients'!$A$5:$A$504,0)))&amp;"","ID not found"))</f>
        <v/>
      </c>
      <c r="F109" s="51" t="str">
        <f aca="false">IF(C109="","",IFERROR(IF(LEFT(C109,1)="L",INDEX('Leads Pipeline'!$E$5:$E$1004,MATCH(C109,'Leads Pipeline'!$A$5:$A$1004,0)),INDEX('Active Clients'!$C$5:$C$504,MATCH(C109,'Active Clients'!$A$5:$A$504,0)))&amp;"","ID not found"))</f>
        <v/>
      </c>
      <c r="G109" s="16"/>
      <c r="H109" s="16"/>
      <c r="I109" s="16"/>
      <c r="J109" s="16"/>
      <c r="K109" s="16"/>
      <c r="L109" s="18"/>
    </row>
    <row r="110" customFormat="false" ht="15" hidden="false" customHeight="false" outlineLevel="0" collapsed="false">
      <c r="A110" s="18"/>
      <c r="B110" s="16"/>
      <c r="C110" s="16"/>
      <c r="D110" s="51" t="str">
        <f aca="false">IF(C110="","",IFERROR(IF(LEFT(C110,1)="L",INDEX('Leads Pipeline'!$F$5:$F$1004,MATCH(C110,'Leads Pipeline'!$A$5:$A$1004,0)),INDEX('Active Clients'!$D$5:$D$504,MATCH(C110,'Active Clients'!$A$5:$A$504,0)))&amp;"","ID not found"))</f>
        <v/>
      </c>
      <c r="E110" s="51" t="str">
        <f aca="false">IF(C110="","",IFERROR(IF(LEFT(C110,1)="L",INDEX('Leads Pipeline'!$D$5:$D$1004,MATCH(C110,'Leads Pipeline'!$A$5:$A$1004,0)),INDEX('Active Clients'!$B$5:$B$504,MATCH(C110,'Active Clients'!$A$5:$A$504,0)))&amp;"","ID not found"))</f>
        <v/>
      </c>
      <c r="F110" s="51" t="str">
        <f aca="false">IF(C110="","",IFERROR(IF(LEFT(C110,1)="L",INDEX('Leads Pipeline'!$E$5:$E$1004,MATCH(C110,'Leads Pipeline'!$A$5:$A$1004,0)),INDEX('Active Clients'!$C$5:$C$504,MATCH(C110,'Active Clients'!$A$5:$A$504,0)))&amp;"","ID not found"))</f>
        <v/>
      </c>
      <c r="G110" s="16"/>
      <c r="H110" s="16"/>
      <c r="I110" s="16"/>
      <c r="J110" s="16"/>
      <c r="K110" s="16"/>
      <c r="L110" s="18"/>
    </row>
    <row r="111" customFormat="false" ht="15" hidden="false" customHeight="false" outlineLevel="0" collapsed="false">
      <c r="A111" s="18"/>
      <c r="B111" s="16"/>
      <c r="C111" s="16"/>
      <c r="D111" s="51" t="str">
        <f aca="false">IF(C111="","",IFERROR(IF(LEFT(C111,1)="L",INDEX('Leads Pipeline'!$F$5:$F$1004,MATCH(C111,'Leads Pipeline'!$A$5:$A$1004,0)),INDEX('Active Clients'!$D$5:$D$504,MATCH(C111,'Active Clients'!$A$5:$A$504,0)))&amp;"","ID not found"))</f>
        <v/>
      </c>
      <c r="E111" s="51" t="str">
        <f aca="false">IF(C111="","",IFERROR(IF(LEFT(C111,1)="L",INDEX('Leads Pipeline'!$D$5:$D$1004,MATCH(C111,'Leads Pipeline'!$A$5:$A$1004,0)),INDEX('Active Clients'!$B$5:$B$504,MATCH(C111,'Active Clients'!$A$5:$A$504,0)))&amp;"","ID not found"))</f>
        <v/>
      </c>
      <c r="F111" s="51" t="str">
        <f aca="false">IF(C111="","",IFERROR(IF(LEFT(C111,1)="L",INDEX('Leads Pipeline'!$E$5:$E$1004,MATCH(C111,'Leads Pipeline'!$A$5:$A$1004,0)),INDEX('Active Clients'!$C$5:$C$504,MATCH(C111,'Active Clients'!$A$5:$A$504,0)))&amp;"","ID not found"))</f>
        <v/>
      </c>
      <c r="G111" s="16"/>
      <c r="H111" s="16"/>
      <c r="I111" s="16"/>
      <c r="J111" s="16"/>
      <c r="K111" s="16"/>
      <c r="L111" s="18"/>
    </row>
    <row r="112" customFormat="false" ht="15" hidden="false" customHeight="false" outlineLevel="0" collapsed="false">
      <c r="A112" s="18"/>
      <c r="B112" s="16"/>
      <c r="C112" s="16"/>
      <c r="D112" s="51" t="str">
        <f aca="false">IF(C112="","",IFERROR(IF(LEFT(C112,1)="L",INDEX('Leads Pipeline'!$F$5:$F$1004,MATCH(C112,'Leads Pipeline'!$A$5:$A$1004,0)),INDEX('Active Clients'!$D$5:$D$504,MATCH(C112,'Active Clients'!$A$5:$A$504,0)))&amp;"","ID not found"))</f>
        <v/>
      </c>
      <c r="E112" s="51" t="str">
        <f aca="false">IF(C112="","",IFERROR(IF(LEFT(C112,1)="L",INDEX('Leads Pipeline'!$D$5:$D$1004,MATCH(C112,'Leads Pipeline'!$A$5:$A$1004,0)),INDEX('Active Clients'!$B$5:$B$504,MATCH(C112,'Active Clients'!$A$5:$A$504,0)))&amp;"","ID not found"))</f>
        <v/>
      </c>
      <c r="F112" s="51" t="str">
        <f aca="false">IF(C112="","",IFERROR(IF(LEFT(C112,1)="L",INDEX('Leads Pipeline'!$E$5:$E$1004,MATCH(C112,'Leads Pipeline'!$A$5:$A$1004,0)),INDEX('Active Clients'!$C$5:$C$504,MATCH(C112,'Active Clients'!$A$5:$A$504,0)))&amp;"","ID not found"))</f>
        <v/>
      </c>
      <c r="G112" s="16"/>
      <c r="H112" s="16"/>
      <c r="I112" s="16"/>
      <c r="J112" s="16"/>
      <c r="K112" s="16"/>
      <c r="L112" s="18"/>
    </row>
    <row r="113" customFormat="false" ht="15" hidden="false" customHeight="false" outlineLevel="0" collapsed="false">
      <c r="A113" s="18"/>
      <c r="B113" s="16"/>
      <c r="C113" s="16"/>
      <c r="D113" s="51" t="str">
        <f aca="false">IF(C113="","",IFERROR(IF(LEFT(C113,1)="L",INDEX('Leads Pipeline'!$F$5:$F$1004,MATCH(C113,'Leads Pipeline'!$A$5:$A$1004,0)),INDEX('Active Clients'!$D$5:$D$504,MATCH(C113,'Active Clients'!$A$5:$A$504,0)))&amp;"","ID not found"))</f>
        <v/>
      </c>
      <c r="E113" s="51" t="str">
        <f aca="false">IF(C113="","",IFERROR(IF(LEFT(C113,1)="L",INDEX('Leads Pipeline'!$D$5:$D$1004,MATCH(C113,'Leads Pipeline'!$A$5:$A$1004,0)),INDEX('Active Clients'!$B$5:$B$504,MATCH(C113,'Active Clients'!$A$5:$A$504,0)))&amp;"","ID not found"))</f>
        <v/>
      </c>
      <c r="F113" s="51" t="str">
        <f aca="false">IF(C113="","",IFERROR(IF(LEFT(C113,1)="L",INDEX('Leads Pipeline'!$E$5:$E$1004,MATCH(C113,'Leads Pipeline'!$A$5:$A$1004,0)),INDEX('Active Clients'!$C$5:$C$504,MATCH(C113,'Active Clients'!$A$5:$A$504,0)))&amp;"","ID not found"))</f>
        <v/>
      </c>
      <c r="G113" s="16"/>
      <c r="H113" s="16"/>
      <c r="I113" s="16"/>
      <c r="J113" s="16"/>
      <c r="K113" s="16"/>
      <c r="L113" s="18"/>
    </row>
    <row r="114" customFormat="false" ht="15" hidden="false" customHeight="false" outlineLevel="0" collapsed="false">
      <c r="A114" s="18"/>
      <c r="B114" s="16"/>
      <c r="C114" s="16"/>
      <c r="D114" s="51" t="str">
        <f aca="false">IF(C114="","",IFERROR(IF(LEFT(C114,1)="L",INDEX('Leads Pipeline'!$F$5:$F$1004,MATCH(C114,'Leads Pipeline'!$A$5:$A$1004,0)),INDEX('Active Clients'!$D$5:$D$504,MATCH(C114,'Active Clients'!$A$5:$A$504,0)))&amp;"","ID not found"))</f>
        <v/>
      </c>
      <c r="E114" s="51" t="str">
        <f aca="false">IF(C114="","",IFERROR(IF(LEFT(C114,1)="L",INDEX('Leads Pipeline'!$D$5:$D$1004,MATCH(C114,'Leads Pipeline'!$A$5:$A$1004,0)),INDEX('Active Clients'!$B$5:$B$504,MATCH(C114,'Active Clients'!$A$5:$A$504,0)))&amp;"","ID not found"))</f>
        <v/>
      </c>
      <c r="F114" s="51" t="str">
        <f aca="false">IF(C114="","",IFERROR(IF(LEFT(C114,1)="L",INDEX('Leads Pipeline'!$E$5:$E$1004,MATCH(C114,'Leads Pipeline'!$A$5:$A$1004,0)),INDEX('Active Clients'!$C$5:$C$504,MATCH(C114,'Active Clients'!$A$5:$A$504,0)))&amp;"","ID not found"))</f>
        <v/>
      </c>
      <c r="G114" s="16"/>
      <c r="H114" s="16"/>
      <c r="I114" s="16"/>
      <c r="J114" s="16"/>
      <c r="K114" s="16"/>
      <c r="L114" s="18"/>
    </row>
    <row r="115" customFormat="false" ht="15" hidden="false" customHeight="false" outlineLevel="0" collapsed="false">
      <c r="A115" s="18"/>
      <c r="B115" s="16"/>
      <c r="C115" s="16"/>
      <c r="D115" s="51" t="str">
        <f aca="false">IF(C115="","",IFERROR(IF(LEFT(C115,1)="L",INDEX('Leads Pipeline'!$F$5:$F$1004,MATCH(C115,'Leads Pipeline'!$A$5:$A$1004,0)),INDEX('Active Clients'!$D$5:$D$504,MATCH(C115,'Active Clients'!$A$5:$A$504,0)))&amp;"","ID not found"))</f>
        <v/>
      </c>
      <c r="E115" s="51" t="str">
        <f aca="false">IF(C115="","",IFERROR(IF(LEFT(C115,1)="L",INDEX('Leads Pipeline'!$D$5:$D$1004,MATCH(C115,'Leads Pipeline'!$A$5:$A$1004,0)),INDEX('Active Clients'!$B$5:$B$504,MATCH(C115,'Active Clients'!$A$5:$A$504,0)))&amp;"","ID not found"))</f>
        <v/>
      </c>
      <c r="F115" s="51" t="str">
        <f aca="false">IF(C115="","",IFERROR(IF(LEFT(C115,1)="L",INDEX('Leads Pipeline'!$E$5:$E$1004,MATCH(C115,'Leads Pipeline'!$A$5:$A$1004,0)),INDEX('Active Clients'!$C$5:$C$504,MATCH(C115,'Active Clients'!$A$5:$A$504,0)))&amp;"","ID not found"))</f>
        <v/>
      </c>
      <c r="G115" s="16"/>
      <c r="H115" s="16"/>
      <c r="I115" s="16"/>
      <c r="J115" s="16"/>
      <c r="K115" s="16"/>
      <c r="L115" s="18"/>
    </row>
    <row r="116" customFormat="false" ht="15" hidden="false" customHeight="false" outlineLevel="0" collapsed="false">
      <c r="A116" s="18"/>
      <c r="B116" s="16"/>
      <c r="C116" s="16"/>
      <c r="D116" s="51" t="str">
        <f aca="false">IF(C116="","",IFERROR(IF(LEFT(C116,1)="L",INDEX('Leads Pipeline'!$F$5:$F$1004,MATCH(C116,'Leads Pipeline'!$A$5:$A$1004,0)),INDEX('Active Clients'!$D$5:$D$504,MATCH(C116,'Active Clients'!$A$5:$A$504,0)))&amp;"","ID not found"))</f>
        <v/>
      </c>
      <c r="E116" s="51" t="str">
        <f aca="false">IF(C116="","",IFERROR(IF(LEFT(C116,1)="L",INDEX('Leads Pipeline'!$D$5:$D$1004,MATCH(C116,'Leads Pipeline'!$A$5:$A$1004,0)),INDEX('Active Clients'!$B$5:$B$504,MATCH(C116,'Active Clients'!$A$5:$A$504,0)))&amp;"","ID not found"))</f>
        <v/>
      </c>
      <c r="F116" s="51" t="str">
        <f aca="false">IF(C116="","",IFERROR(IF(LEFT(C116,1)="L",INDEX('Leads Pipeline'!$E$5:$E$1004,MATCH(C116,'Leads Pipeline'!$A$5:$A$1004,0)),INDEX('Active Clients'!$C$5:$C$504,MATCH(C116,'Active Clients'!$A$5:$A$504,0)))&amp;"","ID not found"))</f>
        <v/>
      </c>
      <c r="G116" s="16"/>
      <c r="H116" s="16"/>
      <c r="I116" s="16"/>
      <c r="J116" s="16"/>
      <c r="K116" s="16"/>
      <c r="L116" s="18"/>
    </row>
    <row r="117" customFormat="false" ht="15" hidden="false" customHeight="false" outlineLevel="0" collapsed="false">
      <c r="A117" s="18"/>
      <c r="B117" s="16"/>
      <c r="C117" s="16"/>
      <c r="D117" s="51" t="str">
        <f aca="false">IF(C117="","",IFERROR(IF(LEFT(C117,1)="L",INDEX('Leads Pipeline'!$F$5:$F$1004,MATCH(C117,'Leads Pipeline'!$A$5:$A$1004,0)),INDEX('Active Clients'!$D$5:$D$504,MATCH(C117,'Active Clients'!$A$5:$A$504,0)))&amp;"","ID not found"))</f>
        <v/>
      </c>
      <c r="E117" s="51" t="str">
        <f aca="false">IF(C117="","",IFERROR(IF(LEFT(C117,1)="L",INDEX('Leads Pipeline'!$D$5:$D$1004,MATCH(C117,'Leads Pipeline'!$A$5:$A$1004,0)),INDEX('Active Clients'!$B$5:$B$504,MATCH(C117,'Active Clients'!$A$5:$A$504,0)))&amp;"","ID not found"))</f>
        <v/>
      </c>
      <c r="F117" s="51" t="str">
        <f aca="false">IF(C117="","",IFERROR(IF(LEFT(C117,1)="L",INDEX('Leads Pipeline'!$E$5:$E$1004,MATCH(C117,'Leads Pipeline'!$A$5:$A$1004,0)),INDEX('Active Clients'!$C$5:$C$504,MATCH(C117,'Active Clients'!$A$5:$A$504,0)))&amp;"","ID not found"))</f>
        <v/>
      </c>
      <c r="G117" s="16"/>
      <c r="H117" s="16"/>
      <c r="I117" s="16"/>
      <c r="J117" s="16"/>
      <c r="K117" s="16"/>
      <c r="L117" s="18"/>
    </row>
    <row r="118" customFormat="false" ht="15" hidden="false" customHeight="false" outlineLevel="0" collapsed="false">
      <c r="A118" s="18"/>
      <c r="B118" s="16"/>
      <c r="C118" s="16"/>
      <c r="D118" s="51" t="str">
        <f aca="false">IF(C118="","",IFERROR(IF(LEFT(C118,1)="L",INDEX('Leads Pipeline'!$F$5:$F$1004,MATCH(C118,'Leads Pipeline'!$A$5:$A$1004,0)),INDEX('Active Clients'!$D$5:$D$504,MATCH(C118,'Active Clients'!$A$5:$A$504,0)))&amp;"","ID not found"))</f>
        <v/>
      </c>
      <c r="E118" s="51" t="str">
        <f aca="false">IF(C118="","",IFERROR(IF(LEFT(C118,1)="L",INDEX('Leads Pipeline'!$D$5:$D$1004,MATCH(C118,'Leads Pipeline'!$A$5:$A$1004,0)),INDEX('Active Clients'!$B$5:$B$504,MATCH(C118,'Active Clients'!$A$5:$A$504,0)))&amp;"","ID not found"))</f>
        <v/>
      </c>
      <c r="F118" s="51" t="str">
        <f aca="false">IF(C118="","",IFERROR(IF(LEFT(C118,1)="L",INDEX('Leads Pipeline'!$E$5:$E$1004,MATCH(C118,'Leads Pipeline'!$A$5:$A$1004,0)),INDEX('Active Clients'!$C$5:$C$504,MATCH(C118,'Active Clients'!$A$5:$A$504,0)))&amp;"","ID not found"))</f>
        <v/>
      </c>
      <c r="G118" s="16"/>
      <c r="H118" s="16"/>
      <c r="I118" s="16"/>
      <c r="J118" s="16"/>
      <c r="K118" s="16"/>
      <c r="L118" s="18"/>
    </row>
    <row r="119" customFormat="false" ht="15" hidden="false" customHeight="false" outlineLevel="0" collapsed="false">
      <c r="A119" s="18"/>
      <c r="B119" s="16"/>
      <c r="C119" s="16"/>
      <c r="D119" s="51" t="str">
        <f aca="false">IF(C119="","",IFERROR(IF(LEFT(C119,1)="L",INDEX('Leads Pipeline'!$F$5:$F$1004,MATCH(C119,'Leads Pipeline'!$A$5:$A$1004,0)),INDEX('Active Clients'!$D$5:$D$504,MATCH(C119,'Active Clients'!$A$5:$A$504,0)))&amp;"","ID not found"))</f>
        <v/>
      </c>
      <c r="E119" s="51" t="str">
        <f aca="false">IF(C119="","",IFERROR(IF(LEFT(C119,1)="L",INDEX('Leads Pipeline'!$D$5:$D$1004,MATCH(C119,'Leads Pipeline'!$A$5:$A$1004,0)),INDEX('Active Clients'!$B$5:$B$504,MATCH(C119,'Active Clients'!$A$5:$A$504,0)))&amp;"","ID not found"))</f>
        <v/>
      </c>
      <c r="F119" s="51" t="str">
        <f aca="false">IF(C119="","",IFERROR(IF(LEFT(C119,1)="L",INDEX('Leads Pipeline'!$E$5:$E$1004,MATCH(C119,'Leads Pipeline'!$A$5:$A$1004,0)),INDEX('Active Clients'!$C$5:$C$504,MATCH(C119,'Active Clients'!$A$5:$A$504,0)))&amp;"","ID not found"))</f>
        <v/>
      </c>
      <c r="G119" s="16"/>
      <c r="H119" s="16"/>
      <c r="I119" s="16"/>
      <c r="J119" s="16"/>
      <c r="K119" s="16"/>
      <c r="L119" s="18"/>
    </row>
    <row r="120" customFormat="false" ht="15" hidden="false" customHeight="false" outlineLevel="0" collapsed="false">
      <c r="A120" s="18"/>
      <c r="B120" s="16"/>
      <c r="C120" s="16"/>
      <c r="D120" s="51" t="str">
        <f aca="false">IF(C120="","",IFERROR(IF(LEFT(C120,1)="L",INDEX('Leads Pipeline'!$F$5:$F$1004,MATCH(C120,'Leads Pipeline'!$A$5:$A$1004,0)),INDEX('Active Clients'!$D$5:$D$504,MATCH(C120,'Active Clients'!$A$5:$A$504,0)))&amp;"","ID not found"))</f>
        <v/>
      </c>
      <c r="E120" s="51" t="str">
        <f aca="false">IF(C120="","",IFERROR(IF(LEFT(C120,1)="L",INDEX('Leads Pipeline'!$D$5:$D$1004,MATCH(C120,'Leads Pipeline'!$A$5:$A$1004,0)),INDEX('Active Clients'!$B$5:$B$504,MATCH(C120,'Active Clients'!$A$5:$A$504,0)))&amp;"","ID not found"))</f>
        <v/>
      </c>
      <c r="F120" s="51" t="str">
        <f aca="false">IF(C120="","",IFERROR(IF(LEFT(C120,1)="L",INDEX('Leads Pipeline'!$E$5:$E$1004,MATCH(C120,'Leads Pipeline'!$A$5:$A$1004,0)),INDEX('Active Clients'!$C$5:$C$504,MATCH(C120,'Active Clients'!$A$5:$A$504,0)))&amp;"","ID not found"))</f>
        <v/>
      </c>
      <c r="G120" s="16"/>
      <c r="H120" s="16"/>
      <c r="I120" s="16"/>
      <c r="J120" s="16"/>
      <c r="K120" s="16"/>
      <c r="L120" s="18"/>
    </row>
    <row r="121" customFormat="false" ht="15" hidden="false" customHeight="false" outlineLevel="0" collapsed="false">
      <c r="A121" s="18"/>
      <c r="B121" s="16"/>
      <c r="C121" s="16"/>
      <c r="D121" s="51" t="str">
        <f aca="false">IF(C121="","",IFERROR(IF(LEFT(C121,1)="L",INDEX('Leads Pipeline'!$F$5:$F$1004,MATCH(C121,'Leads Pipeline'!$A$5:$A$1004,0)),INDEX('Active Clients'!$D$5:$D$504,MATCH(C121,'Active Clients'!$A$5:$A$504,0)))&amp;"","ID not found"))</f>
        <v/>
      </c>
      <c r="E121" s="51" t="str">
        <f aca="false">IF(C121="","",IFERROR(IF(LEFT(C121,1)="L",INDEX('Leads Pipeline'!$D$5:$D$1004,MATCH(C121,'Leads Pipeline'!$A$5:$A$1004,0)),INDEX('Active Clients'!$B$5:$B$504,MATCH(C121,'Active Clients'!$A$5:$A$504,0)))&amp;"","ID not found"))</f>
        <v/>
      </c>
      <c r="F121" s="51" t="str">
        <f aca="false">IF(C121="","",IFERROR(IF(LEFT(C121,1)="L",INDEX('Leads Pipeline'!$E$5:$E$1004,MATCH(C121,'Leads Pipeline'!$A$5:$A$1004,0)),INDEX('Active Clients'!$C$5:$C$504,MATCH(C121,'Active Clients'!$A$5:$A$504,0)))&amp;"","ID not found"))</f>
        <v/>
      </c>
      <c r="G121" s="16"/>
      <c r="H121" s="16"/>
      <c r="I121" s="16"/>
      <c r="J121" s="16"/>
      <c r="K121" s="16"/>
      <c r="L121" s="18"/>
    </row>
    <row r="122" customFormat="false" ht="15" hidden="false" customHeight="false" outlineLevel="0" collapsed="false">
      <c r="A122" s="18"/>
      <c r="B122" s="16"/>
      <c r="C122" s="16"/>
      <c r="D122" s="51" t="str">
        <f aca="false">IF(C122="","",IFERROR(IF(LEFT(C122,1)="L",INDEX('Leads Pipeline'!$F$5:$F$1004,MATCH(C122,'Leads Pipeline'!$A$5:$A$1004,0)),INDEX('Active Clients'!$D$5:$D$504,MATCH(C122,'Active Clients'!$A$5:$A$504,0)))&amp;"","ID not found"))</f>
        <v/>
      </c>
      <c r="E122" s="51" t="str">
        <f aca="false">IF(C122="","",IFERROR(IF(LEFT(C122,1)="L",INDEX('Leads Pipeline'!$D$5:$D$1004,MATCH(C122,'Leads Pipeline'!$A$5:$A$1004,0)),INDEX('Active Clients'!$B$5:$B$504,MATCH(C122,'Active Clients'!$A$5:$A$504,0)))&amp;"","ID not found"))</f>
        <v/>
      </c>
      <c r="F122" s="51" t="str">
        <f aca="false">IF(C122="","",IFERROR(IF(LEFT(C122,1)="L",INDEX('Leads Pipeline'!$E$5:$E$1004,MATCH(C122,'Leads Pipeline'!$A$5:$A$1004,0)),INDEX('Active Clients'!$C$5:$C$504,MATCH(C122,'Active Clients'!$A$5:$A$504,0)))&amp;"","ID not found"))</f>
        <v/>
      </c>
      <c r="G122" s="16"/>
      <c r="H122" s="16"/>
      <c r="I122" s="16"/>
      <c r="J122" s="16"/>
      <c r="K122" s="16"/>
      <c r="L122" s="18"/>
    </row>
    <row r="123" customFormat="false" ht="15" hidden="false" customHeight="false" outlineLevel="0" collapsed="false">
      <c r="A123" s="18"/>
      <c r="B123" s="16"/>
      <c r="C123" s="16"/>
      <c r="D123" s="51" t="str">
        <f aca="false">IF(C123="","",IFERROR(IF(LEFT(C123,1)="L",INDEX('Leads Pipeline'!$F$5:$F$1004,MATCH(C123,'Leads Pipeline'!$A$5:$A$1004,0)),INDEX('Active Clients'!$D$5:$D$504,MATCH(C123,'Active Clients'!$A$5:$A$504,0)))&amp;"","ID not found"))</f>
        <v/>
      </c>
      <c r="E123" s="51" t="str">
        <f aca="false">IF(C123="","",IFERROR(IF(LEFT(C123,1)="L",INDEX('Leads Pipeline'!$D$5:$D$1004,MATCH(C123,'Leads Pipeline'!$A$5:$A$1004,0)),INDEX('Active Clients'!$B$5:$B$504,MATCH(C123,'Active Clients'!$A$5:$A$504,0)))&amp;"","ID not found"))</f>
        <v/>
      </c>
      <c r="F123" s="51" t="str">
        <f aca="false">IF(C123="","",IFERROR(IF(LEFT(C123,1)="L",INDEX('Leads Pipeline'!$E$5:$E$1004,MATCH(C123,'Leads Pipeline'!$A$5:$A$1004,0)),INDEX('Active Clients'!$C$5:$C$504,MATCH(C123,'Active Clients'!$A$5:$A$504,0)))&amp;"","ID not found"))</f>
        <v/>
      </c>
      <c r="G123" s="16"/>
      <c r="H123" s="16"/>
      <c r="I123" s="16"/>
      <c r="J123" s="16"/>
      <c r="K123" s="16"/>
      <c r="L123" s="18"/>
    </row>
    <row r="124" customFormat="false" ht="15" hidden="false" customHeight="false" outlineLevel="0" collapsed="false">
      <c r="A124" s="18"/>
      <c r="B124" s="16"/>
      <c r="C124" s="16"/>
      <c r="D124" s="51" t="str">
        <f aca="false">IF(C124="","",IFERROR(IF(LEFT(C124,1)="L",INDEX('Leads Pipeline'!$F$5:$F$1004,MATCH(C124,'Leads Pipeline'!$A$5:$A$1004,0)),INDEX('Active Clients'!$D$5:$D$504,MATCH(C124,'Active Clients'!$A$5:$A$504,0)))&amp;"","ID not found"))</f>
        <v/>
      </c>
      <c r="E124" s="51" t="str">
        <f aca="false">IF(C124="","",IFERROR(IF(LEFT(C124,1)="L",INDEX('Leads Pipeline'!$D$5:$D$1004,MATCH(C124,'Leads Pipeline'!$A$5:$A$1004,0)),INDEX('Active Clients'!$B$5:$B$504,MATCH(C124,'Active Clients'!$A$5:$A$504,0)))&amp;"","ID not found"))</f>
        <v/>
      </c>
      <c r="F124" s="51" t="str">
        <f aca="false">IF(C124="","",IFERROR(IF(LEFT(C124,1)="L",INDEX('Leads Pipeline'!$E$5:$E$1004,MATCH(C124,'Leads Pipeline'!$A$5:$A$1004,0)),INDEX('Active Clients'!$C$5:$C$504,MATCH(C124,'Active Clients'!$A$5:$A$504,0)))&amp;"","ID not found"))</f>
        <v/>
      </c>
      <c r="G124" s="16"/>
      <c r="H124" s="16"/>
      <c r="I124" s="16"/>
      <c r="J124" s="16"/>
      <c r="K124" s="16"/>
      <c r="L124" s="18"/>
    </row>
    <row r="125" customFormat="false" ht="15" hidden="false" customHeight="false" outlineLevel="0" collapsed="false">
      <c r="A125" s="18"/>
      <c r="B125" s="16"/>
      <c r="C125" s="16"/>
      <c r="D125" s="51" t="str">
        <f aca="false">IF(C125="","",IFERROR(IF(LEFT(C125,1)="L",INDEX('Leads Pipeline'!$F$5:$F$1004,MATCH(C125,'Leads Pipeline'!$A$5:$A$1004,0)),INDEX('Active Clients'!$D$5:$D$504,MATCH(C125,'Active Clients'!$A$5:$A$504,0)))&amp;"","ID not found"))</f>
        <v/>
      </c>
      <c r="E125" s="51" t="str">
        <f aca="false">IF(C125="","",IFERROR(IF(LEFT(C125,1)="L",INDEX('Leads Pipeline'!$D$5:$D$1004,MATCH(C125,'Leads Pipeline'!$A$5:$A$1004,0)),INDEX('Active Clients'!$B$5:$B$504,MATCH(C125,'Active Clients'!$A$5:$A$504,0)))&amp;"","ID not found"))</f>
        <v/>
      </c>
      <c r="F125" s="51" t="str">
        <f aca="false">IF(C125="","",IFERROR(IF(LEFT(C125,1)="L",INDEX('Leads Pipeline'!$E$5:$E$1004,MATCH(C125,'Leads Pipeline'!$A$5:$A$1004,0)),INDEX('Active Clients'!$C$5:$C$504,MATCH(C125,'Active Clients'!$A$5:$A$504,0)))&amp;"","ID not found"))</f>
        <v/>
      </c>
      <c r="G125" s="16"/>
      <c r="H125" s="16"/>
      <c r="I125" s="16"/>
      <c r="J125" s="16"/>
      <c r="K125" s="16"/>
      <c r="L125" s="18"/>
    </row>
    <row r="126" customFormat="false" ht="15" hidden="false" customHeight="false" outlineLevel="0" collapsed="false">
      <c r="A126" s="18"/>
      <c r="B126" s="16"/>
      <c r="C126" s="16"/>
      <c r="D126" s="51" t="str">
        <f aca="false">IF(C126="","",IFERROR(IF(LEFT(C126,1)="L",INDEX('Leads Pipeline'!$F$5:$F$1004,MATCH(C126,'Leads Pipeline'!$A$5:$A$1004,0)),INDEX('Active Clients'!$D$5:$D$504,MATCH(C126,'Active Clients'!$A$5:$A$504,0)))&amp;"","ID not found"))</f>
        <v/>
      </c>
      <c r="E126" s="51" t="str">
        <f aca="false">IF(C126="","",IFERROR(IF(LEFT(C126,1)="L",INDEX('Leads Pipeline'!$D$5:$D$1004,MATCH(C126,'Leads Pipeline'!$A$5:$A$1004,0)),INDEX('Active Clients'!$B$5:$B$504,MATCH(C126,'Active Clients'!$A$5:$A$504,0)))&amp;"","ID not found"))</f>
        <v/>
      </c>
      <c r="F126" s="51" t="str">
        <f aca="false">IF(C126="","",IFERROR(IF(LEFT(C126,1)="L",INDEX('Leads Pipeline'!$E$5:$E$1004,MATCH(C126,'Leads Pipeline'!$A$5:$A$1004,0)),INDEX('Active Clients'!$C$5:$C$504,MATCH(C126,'Active Clients'!$A$5:$A$504,0)))&amp;"","ID not found"))</f>
        <v/>
      </c>
      <c r="G126" s="16"/>
      <c r="H126" s="16"/>
      <c r="I126" s="16"/>
      <c r="J126" s="16"/>
      <c r="K126" s="16"/>
      <c r="L126" s="18"/>
    </row>
    <row r="127" customFormat="false" ht="15" hidden="false" customHeight="false" outlineLevel="0" collapsed="false">
      <c r="A127" s="18"/>
      <c r="B127" s="16"/>
      <c r="C127" s="16"/>
      <c r="D127" s="51" t="str">
        <f aca="false">IF(C127="","",IFERROR(IF(LEFT(C127,1)="L",INDEX('Leads Pipeline'!$F$5:$F$1004,MATCH(C127,'Leads Pipeline'!$A$5:$A$1004,0)),INDEX('Active Clients'!$D$5:$D$504,MATCH(C127,'Active Clients'!$A$5:$A$504,0)))&amp;"","ID not found"))</f>
        <v/>
      </c>
      <c r="E127" s="51" t="str">
        <f aca="false">IF(C127="","",IFERROR(IF(LEFT(C127,1)="L",INDEX('Leads Pipeline'!$D$5:$D$1004,MATCH(C127,'Leads Pipeline'!$A$5:$A$1004,0)),INDEX('Active Clients'!$B$5:$B$504,MATCH(C127,'Active Clients'!$A$5:$A$504,0)))&amp;"","ID not found"))</f>
        <v/>
      </c>
      <c r="F127" s="51" t="str">
        <f aca="false">IF(C127="","",IFERROR(IF(LEFT(C127,1)="L",INDEX('Leads Pipeline'!$E$5:$E$1004,MATCH(C127,'Leads Pipeline'!$A$5:$A$1004,0)),INDEX('Active Clients'!$C$5:$C$504,MATCH(C127,'Active Clients'!$A$5:$A$504,0)))&amp;"","ID not found"))</f>
        <v/>
      </c>
      <c r="G127" s="16"/>
      <c r="H127" s="16"/>
      <c r="I127" s="16"/>
      <c r="J127" s="16"/>
      <c r="K127" s="16"/>
      <c r="L127" s="18"/>
    </row>
    <row r="128" customFormat="false" ht="15" hidden="false" customHeight="false" outlineLevel="0" collapsed="false">
      <c r="A128" s="18"/>
      <c r="B128" s="16"/>
      <c r="C128" s="16"/>
      <c r="D128" s="51" t="str">
        <f aca="false">IF(C128="","",IFERROR(IF(LEFT(C128,1)="L",INDEX('Leads Pipeline'!$F$5:$F$1004,MATCH(C128,'Leads Pipeline'!$A$5:$A$1004,0)),INDEX('Active Clients'!$D$5:$D$504,MATCH(C128,'Active Clients'!$A$5:$A$504,0)))&amp;"","ID not found"))</f>
        <v/>
      </c>
      <c r="E128" s="51" t="str">
        <f aca="false">IF(C128="","",IFERROR(IF(LEFT(C128,1)="L",INDEX('Leads Pipeline'!$D$5:$D$1004,MATCH(C128,'Leads Pipeline'!$A$5:$A$1004,0)),INDEX('Active Clients'!$B$5:$B$504,MATCH(C128,'Active Clients'!$A$5:$A$504,0)))&amp;"","ID not found"))</f>
        <v/>
      </c>
      <c r="F128" s="51" t="str">
        <f aca="false">IF(C128="","",IFERROR(IF(LEFT(C128,1)="L",INDEX('Leads Pipeline'!$E$5:$E$1004,MATCH(C128,'Leads Pipeline'!$A$5:$A$1004,0)),INDEX('Active Clients'!$C$5:$C$504,MATCH(C128,'Active Clients'!$A$5:$A$504,0)))&amp;"","ID not found"))</f>
        <v/>
      </c>
      <c r="G128" s="16"/>
      <c r="H128" s="16"/>
      <c r="I128" s="16"/>
      <c r="J128" s="16"/>
      <c r="K128" s="16"/>
      <c r="L128" s="18"/>
    </row>
    <row r="129" customFormat="false" ht="15" hidden="false" customHeight="false" outlineLevel="0" collapsed="false">
      <c r="A129" s="18"/>
      <c r="B129" s="16"/>
      <c r="C129" s="16"/>
      <c r="D129" s="51" t="str">
        <f aca="false">IF(C129="","",IFERROR(IF(LEFT(C129,1)="L",INDEX('Leads Pipeline'!$F$5:$F$1004,MATCH(C129,'Leads Pipeline'!$A$5:$A$1004,0)),INDEX('Active Clients'!$D$5:$D$504,MATCH(C129,'Active Clients'!$A$5:$A$504,0)))&amp;"","ID not found"))</f>
        <v/>
      </c>
      <c r="E129" s="51" t="str">
        <f aca="false">IF(C129="","",IFERROR(IF(LEFT(C129,1)="L",INDEX('Leads Pipeline'!$D$5:$D$1004,MATCH(C129,'Leads Pipeline'!$A$5:$A$1004,0)),INDEX('Active Clients'!$B$5:$B$504,MATCH(C129,'Active Clients'!$A$5:$A$504,0)))&amp;"","ID not found"))</f>
        <v/>
      </c>
      <c r="F129" s="51" t="str">
        <f aca="false">IF(C129="","",IFERROR(IF(LEFT(C129,1)="L",INDEX('Leads Pipeline'!$E$5:$E$1004,MATCH(C129,'Leads Pipeline'!$A$5:$A$1004,0)),INDEX('Active Clients'!$C$5:$C$504,MATCH(C129,'Active Clients'!$A$5:$A$504,0)))&amp;"","ID not found"))</f>
        <v/>
      </c>
      <c r="G129" s="16"/>
      <c r="H129" s="16"/>
      <c r="I129" s="16"/>
      <c r="J129" s="16"/>
      <c r="K129" s="16"/>
      <c r="L129" s="18"/>
    </row>
    <row r="130" customFormat="false" ht="15" hidden="false" customHeight="false" outlineLevel="0" collapsed="false">
      <c r="A130" s="18"/>
      <c r="B130" s="16"/>
      <c r="C130" s="16"/>
      <c r="D130" s="51" t="str">
        <f aca="false">IF(C130="","",IFERROR(IF(LEFT(C130,1)="L",INDEX('Leads Pipeline'!$F$5:$F$1004,MATCH(C130,'Leads Pipeline'!$A$5:$A$1004,0)),INDEX('Active Clients'!$D$5:$D$504,MATCH(C130,'Active Clients'!$A$5:$A$504,0)))&amp;"","ID not found"))</f>
        <v/>
      </c>
      <c r="E130" s="51" t="str">
        <f aca="false">IF(C130="","",IFERROR(IF(LEFT(C130,1)="L",INDEX('Leads Pipeline'!$D$5:$D$1004,MATCH(C130,'Leads Pipeline'!$A$5:$A$1004,0)),INDEX('Active Clients'!$B$5:$B$504,MATCH(C130,'Active Clients'!$A$5:$A$504,0)))&amp;"","ID not found"))</f>
        <v/>
      </c>
      <c r="F130" s="51" t="str">
        <f aca="false">IF(C130="","",IFERROR(IF(LEFT(C130,1)="L",INDEX('Leads Pipeline'!$E$5:$E$1004,MATCH(C130,'Leads Pipeline'!$A$5:$A$1004,0)),INDEX('Active Clients'!$C$5:$C$504,MATCH(C130,'Active Clients'!$A$5:$A$504,0)))&amp;"","ID not found"))</f>
        <v/>
      </c>
      <c r="G130" s="16"/>
      <c r="H130" s="16"/>
      <c r="I130" s="16"/>
      <c r="J130" s="16"/>
      <c r="K130" s="16"/>
      <c r="L130" s="18"/>
    </row>
    <row r="131" customFormat="false" ht="15" hidden="false" customHeight="false" outlineLevel="0" collapsed="false">
      <c r="A131" s="18"/>
      <c r="B131" s="16"/>
      <c r="C131" s="16"/>
      <c r="D131" s="51" t="str">
        <f aca="false">IF(C131="","",IFERROR(IF(LEFT(C131,1)="L",INDEX('Leads Pipeline'!$F$5:$F$1004,MATCH(C131,'Leads Pipeline'!$A$5:$A$1004,0)),INDEX('Active Clients'!$D$5:$D$504,MATCH(C131,'Active Clients'!$A$5:$A$504,0)))&amp;"","ID not found"))</f>
        <v/>
      </c>
      <c r="E131" s="51" t="str">
        <f aca="false">IF(C131="","",IFERROR(IF(LEFT(C131,1)="L",INDEX('Leads Pipeline'!$D$5:$D$1004,MATCH(C131,'Leads Pipeline'!$A$5:$A$1004,0)),INDEX('Active Clients'!$B$5:$B$504,MATCH(C131,'Active Clients'!$A$5:$A$504,0)))&amp;"","ID not found"))</f>
        <v/>
      </c>
      <c r="F131" s="51" t="str">
        <f aca="false">IF(C131="","",IFERROR(IF(LEFT(C131,1)="L",INDEX('Leads Pipeline'!$E$5:$E$1004,MATCH(C131,'Leads Pipeline'!$A$5:$A$1004,0)),INDEX('Active Clients'!$C$5:$C$504,MATCH(C131,'Active Clients'!$A$5:$A$504,0)))&amp;"","ID not found"))</f>
        <v/>
      </c>
      <c r="G131" s="16"/>
      <c r="H131" s="16"/>
      <c r="I131" s="16"/>
      <c r="J131" s="16"/>
      <c r="K131" s="16"/>
      <c r="L131" s="18"/>
    </row>
    <row r="132" customFormat="false" ht="15" hidden="false" customHeight="false" outlineLevel="0" collapsed="false">
      <c r="A132" s="18"/>
      <c r="B132" s="16"/>
      <c r="C132" s="16"/>
      <c r="D132" s="51" t="str">
        <f aca="false">IF(C132="","",IFERROR(IF(LEFT(C132,1)="L",INDEX('Leads Pipeline'!$F$5:$F$1004,MATCH(C132,'Leads Pipeline'!$A$5:$A$1004,0)),INDEX('Active Clients'!$D$5:$D$504,MATCH(C132,'Active Clients'!$A$5:$A$504,0)))&amp;"","ID not found"))</f>
        <v/>
      </c>
      <c r="E132" s="51" t="str">
        <f aca="false">IF(C132="","",IFERROR(IF(LEFT(C132,1)="L",INDEX('Leads Pipeline'!$D$5:$D$1004,MATCH(C132,'Leads Pipeline'!$A$5:$A$1004,0)),INDEX('Active Clients'!$B$5:$B$504,MATCH(C132,'Active Clients'!$A$5:$A$504,0)))&amp;"","ID not found"))</f>
        <v/>
      </c>
      <c r="F132" s="51" t="str">
        <f aca="false">IF(C132="","",IFERROR(IF(LEFT(C132,1)="L",INDEX('Leads Pipeline'!$E$5:$E$1004,MATCH(C132,'Leads Pipeline'!$A$5:$A$1004,0)),INDEX('Active Clients'!$C$5:$C$504,MATCH(C132,'Active Clients'!$A$5:$A$504,0)))&amp;"","ID not found"))</f>
        <v/>
      </c>
      <c r="G132" s="16"/>
      <c r="H132" s="16"/>
      <c r="I132" s="16"/>
      <c r="J132" s="16"/>
      <c r="K132" s="16"/>
      <c r="L132" s="18"/>
    </row>
    <row r="133" customFormat="false" ht="15" hidden="false" customHeight="false" outlineLevel="0" collapsed="false">
      <c r="A133" s="18"/>
      <c r="B133" s="16"/>
      <c r="C133" s="16"/>
      <c r="D133" s="51" t="str">
        <f aca="false">IF(C133="","",IFERROR(IF(LEFT(C133,1)="L",INDEX('Leads Pipeline'!$F$5:$F$1004,MATCH(C133,'Leads Pipeline'!$A$5:$A$1004,0)),INDEX('Active Clients'!$D$5:$D$504,MATCH(C133,'Active Clients'!$A$5:$A$504,0)))&amp;"","ID not found"))</f>
        <v/>
      </c>
      <c r="E133" s="51" t="str">
        <f aca="false">IF(C133="","",IFERROR(IF(LEFT(C133,1)="L",INDEX('Leads Pipeline'!$D$5:$D$1004,MATCH(C133,'Leads Pipeline'!$A$5:$A$1004,0)),INDEX('Active Clients'!$B$5:$B$504,MATCH(C133,'Active Clients'!$A$5:$A$504,0)))&amp;"","ID not found"))</f>
        <v/>
      </c>
      <c r="F133" s="51" t="str">
        <f aca="false">IF(C133="","",IFERROR(IF(LEFT(C133,1)="L",INDEX('Leads Pipeline'!$E$5:$E$1004,MATCH(C133,'Leads Pipeline'!$A$5:$A$1004,0)),INDEX('Active Clients'!$C$5:$C$504,MATCH(C133,'Active Clients'!$A$5:$A$504,0)))&amp;"","ID not found"))</f>
        <v/>
      </c>
      <c r="G133" s="16"/>
      <c r="H133" s="16"/>
      <c r="I133" s="16"/>
      <c r="J133" s="16"/>
      <c r="K133" s="16"/>
      <c r="L133" s="18"/>
    </row>
    <row r="134" customFormat="false" ht="15" hidden="false" customHeight="false" outlineLevel="0" collapsed="false">
      <c r="A134" s="18"/>
      <c r="B134" s="16"/>
      <c r="C134" s="16"/>
      <c r="D134" s="51" t="str">
        <f aca="false">IF(C134="","",IFERROR(IF(LEFT(C134,1)="L",INDEX('Leads Pipeline'!$F$5:$F$1004,MATCH(C134,'Leads Pipeline'!$A$5:$A$1004,0)),INDEX('Active Clients'!$D$5:$D$504,MATCH(C134,'Active Clients'!$A$5:$A$504,0)))&amp;"","ID not found"))</f>
        <v/>
      </c>
      <c r="E134" s="51" t="str">
        <f aca="false">IF(C134="","",IFERROR(IF(LEFT(C134,1)="L",INDEX('Leads Pipeline'!$D$5:$D$1004,MATCH(C134,'Leads Pipeline'!$A$5:$A$1004,0)),INDEX('Active Clients'!$B$5:$B$504,MATCH(C134,'Active Clients'!$A$5:$A$504,0)))&amp;"","ID not found"))</f>
        <v/>
      </c>
      <c r="F134" s="51" t="str">
        <f aca="false">IF(C134="","",IFERROR(IF(LEFT(C134,1)="L",INDEX('Leads Pipeline'!$E$5:$E$1004,MATCH(C134,'Leads Pipeline'!$A$5:$A$1004,0)),INDEX('Active Clients'!$C$5:$C$504,MATCH(C134,'Active Clients'!$A$5:$A$504,0)))&amp;"","ID not found"))</f>
        <v/>
      </c>
      <c r="G134" s="16"/>
      <c r="H134" s="16"/>
      <c r="I134" s="16"/>
      <c r="J134" s="16"/>
      <c r="K134" s="16"/>
      <c r="L134" s="18"/>
    </row>
    <row r="135" customFormat="false" ht="15" hidden="false" customHeight="false" outlineLevel="0" collapsed="false">
      <c r="A135" s="18"/>
      <c r="B135" s="16"/>
      <c r="C135" s="16"/>
      <c r="D135" s="51" t="str">
        <f aca="false">IF(C135="","",IFERROR(IF(LEFT(C135,1)="L",INDEX('Leads Pipeline'!$F$5:$F$1004,MATCH(C135,'Leads Pipeline'!$A$5:$A$1004,0)),INDEX('Active Clients'!$D$5:$D$504,MATCH(C135,'Active Clients'!$A$5:$A$504,0)))&amp;"","ID not found"))</f>
        <v/>
      </c>
      <c r="E135" s="51" t="str">
        <f aca="false">IF(C135="","",IFERROR(IF(LEFT(C135,1)="L",INDEX('Leads Pipeline'!$D$5:$D$1004,MATCH(C135,'Leads Pipeline'!$A$5:$A$1004,0)),INDEX('Active Clients'!$B$5:$B$504,MATCH(C135,'Active Clients'!$A$5:$A$504,0)))&amp;"","ID not found"))</f>
        <v/>
      </c>
      <c r="F135" s="51" t="str">
        <f aca="false">IF(C135="","",IFERROR(IF(LEFT(C135,1)="L",INDEX('Leads Pipeline'!$E$5:$E$1004,MATCH(C135,'Leads Pipeline'!$A$5:$A$1004,0)),INDEX('Active Clients'!$C$5:$C$504,MATCH(C135,'Active Clients'!$A$5:$A$504,0)))&amp;"","ID not found"))</f>
        <v/>
      </c>
      <c r="G135" s="16"/>
      <c r="H135" s="16"/>
      <c r="I135" s="16"/>
      <c r="J135" s="16"/>
      <c r="K135" s="16"/>
      <c r="L135" s="18"/>
    </row>
    <row r="136" customFormat="false" ht="15" hidden="false" customHeight="false" outlineLevel="0" collapsed="false">
      <c r="A136" s="18"/>
      <c r="B136" s="16"/>
      <c r="C136" s="16"/>
      <c r="D136" s="51" t="str">
        <f aca="false">IF(C136="","",IFERROR(IF(LEFT(C136,1)="L",INDEX('Leads Pipeline'!$F$5:$F$1004,MATCH(C136,'Leads Pipeline'!$A$5:$A$1004,0)),INDEX('Active Clients'!$D$5:$D$504,MATCH(C136,'Active Clients'!$A$5:$A$504,0)))&amp;"","ID not found"))</f>
        <v/>
      </c>
      <c r="E136" s="51" t="str">
        <f aca="false">IF(C136="","",IFERROR(IF(LEFT(C136,1)="L",INDEX('Leads Pipeline'!$D$5:$D$1004,MATCH(C136,'Leads Pipeline'!$A$5:$A$1004,0)),INDEX('Active Clients'!$B$5:$B$504,MATCH(C136,'Active Clients'!$A$5:$A$504,0)))&amp;"","ID not found"))</f>
        <v/>
      </c>
      <c r="F136" s="51" t="str">
        <f aca="false">IF(C136="","",IFERROR(IF(LEFT(C136,1)="L",INDEX('Leads Pipeline'!$E$5:$E$1004,MATCH(C136,'Leads Pipeline'!$A$5:$A$1004,0)),INDEX('Active Clients'!$C$5:$C$504,MATCH(C136,'Active Clients'!$A$5:$A$504,0)))&amp;"","ID not found"))</f>
        <v/>
      </c>
      <c r="G136" s="16"/>
      <c r="H136" s="16"/>
      <c r="I136" s="16"/>
      <c r="J136" s="16"/>
      <c r="K136" s="16"/>
      <c r="L136" s="18"/>
    </row>
    <row r="137" customFormat="false" ht="15" hidden="false" customHeight="false" outlineLevel="0" collapsed="false">
      <c r="A137" s="18"/>
      <c r="B137" s="16"/>
      <c r="C137" s="16"/>
      <c r="D137" s="51" t="str">
        <f aca="false">IF(C137="","",IFERROR(IF(LEFT(C137,1)="L",INDEX('Leads Pipeline'!$F$5:$F$1004,MATCH(C137,'Leads Pipeline'!$A$5:$A$1004,0)),INDEX('Active Clients'!$D$5:$D$504,MATCH(C137,'Active Clients'!$A$5:$A$504,0)))&amp;"","ID not found"))</f>
        <v/>
      </c>
      <c r="E137" s="51" t="str">
        <f aca="false">IF(C137="","",IFERROR(IF(LEFT(C137,1)="L",INDEX('Leads Pipeline'!$D$5:$D$1004,MATCH(C137,'Leads Pipeline'!$A$5:$A$1004,0)),INDEX('Active Clients'!$B$5:$B$504,MATCH(C137,'Active Clients'!$A$5:$A$504,0)))&amp;"","ID not found"))</f>
        <v/>
      </c>
      <c r="F137" s="51" t="str">
        <f aca="false">IF(C137="","",IFERROR(IF(LEFT(C137,1)="L",INDEX('Leads Pipeline'!$E$5:$E$1004,MATCH(C137,'Leads Pipeline'!$A$5:$A$1004,0)),INDEX('Active Clients'!$C$5:$C$504,MATCH(C137,'Active Clients'!$A$5:$A$504,0)))&amp;"","ID not found"))</f>
        <v/>
      </c>
      <c r="G137" s="16"/>
      <c r="H137" s="16"/>
      <c r="I137" s="16"/>
      <c r="J137" s="16"/>
      <c r="K137" s="16"/>
      <c r="L137" s="18"/>
    </row>
    <row r="138" customFormat="false" ht="15" hidden="false" customHeight="false" outlineLevel="0" collapsed="false">
      <c r="A138" s="18"/>
      <c r="B138" s="16"/>
      <c r="C138" s="16"/>
      <c r="D138" s="51" t="str">
        <f aca="false">IF(C138="","",IFERROR(IF(LEFT(C138,1)="L",INDEX('Leads Pipeline'!$F$5:$F$1004,MATCH(C138,'Leads Pipeline'!$A$5:$A$1004,0)),INDEX('Active Clients'!$D$5:$D$504,MATCH(C138,'Active Clients'!$A$5:$A$504,0)))&amp;"","ID not found"))</f>
        <v/>
      </c>
      <c r="E138" s="51" t="str">
        <f aca="false">IF(C138="","",IFERROR(IF(LEFT(C138,1)="L",INDEX('Leads Pipeline'!$D$5:$D$1004,MATCH(C138,'Leads Pipeline'!$A$5:$A$1004,0)),INDEX('Active Clients'!$B$5:$B$504,MATCH(C138,'Active Clients'!$A$5:$A$504,0)))&amp;"","ID not found"))</f>
        <v/>
      </c>
      <c r="F138" s="51" t="str">
        <f aca="false">IF(C138="","",IFERROR(IF(LEFT(C138,1)="L",INDEX('Leads Pipeline'!$E$5:$E$1004,MATCH(C138,'Leads Pipeline'!$A$5:$A$1004,0)),INDEX('Active Clients'!$C$5:$C$504,MATCH(C138,'Active Clients'!$A$5:$A$504,0)))&amp;"","ID not found"))</f>
        <v/>
      </c>
      <c r="G138" s="16"/>
      <c r="H138" s="16"/>
      <c r="I138" s="16"/>
      <c r="J138" s="16"/>
      <c r="K138" s="16"/>
      <c r="L138" s="18"/>
    </row>
    <row r="139" customFormat="false" ht="15" hidden="false" customHeight="false" outlineLevel="0" collapsed="false">
      <c r="A139" s="18"/>
      <c r="B139" s="16"/>
      <c r="C139" s="16"/>
      <c r="D139" s="51" t="str">
        <f aca="false">IF(C139="","",IFERROR(IF(LEFT(C139,1)="L",INDEX('Leads Pipeline'!$F$5:$F$1004,MATCH(C139,'Leads Pipeline'!$A$5:$A$1004,0)),INDEX('Active Clients'!$D$5:$D$504,MATCH(C139,'Active Clients'!$A$5:$A$504,0)))&amp;"","ID not found"))</f>
        <v/>
      </c>
      <c r="E139" s="51" t="str">
        <f aca="false">IF(C139="","",IFERROR(IF(LEFT(C139,1)="L",INDEX('Leads Pipeline'!$D$5:$D$1004,MATCH(C139,'Leads Pipeline'!$A$5:$A$1004,0)),INDEX('Active Clients'!$B$5:$B$504,MATCH(C139,'Active Clients'!$A$5:$A$504,0)))&amp;"","ID not found"))</f>
        <v/>
      </c>
      <c r="F139" s="51" t="str">
        <f aca="false">IF(C139="","",IFERROR(IF(LEFT(C139,1)="L",INDEX('Leads Pipeline'!$E$5:$E$1004,MATCH(C139,'Leads Pipeline'!$A$5:$A$1004,0)),INDEX('Active Clients'!$C$5:$C$504,MATCH(C139,'Active Clients'!$A$5:$A$504,0)))&amp;"","ID not found"))</f>
        <v/>
      </c>
      <c r="G139" s="16"/>
      <c r="H139" s="16"/>
      <c r="I139" s="16"/>
      <c r="J139" s="16"/>
      <c r="K139" s="16"/>
      <c r="L139" s="18"/>
    </row>
    <row r="140" customFormat="false" ht="15" hidden="false" customHeight="false" outlineLevel="0" collapsed="false">
      <c r="A140" s="18"/>
      <c r="B140" s="16"/>
      <c r="C140" s="16"/>
      <c r="D140" s="51" t="str">
        <f aca="false">IF(C140="","",IFERROR(IF(LEFT(C140,1)="L",INDEX('Leads Pipeline'!$F$5:$F$1004,MATCH(C140,'Leads Pipeline'!$A$5:$A$1004,0)),INDEX('Active Clients'!$D$5:$D$504,MATCH(C140,'Active Clients'!$A$5:$A$504,0)))&amp;"","ID not found"))</f>
        <v/>
      </c>
      <c r="E140" s="51" t="str">
        <f aca="false">IF(C140="","",IFERROR(IF(LEFT(C140,1)="L",INDEX('Leads Pipeline'!$D$5:$D$1004,MATCH(C140,'Leads Pipeline'!$A$5:$A$1004,0)),INDEX('Active Clients'!$B$5:$B$504,MATCH(C140,'Active Clients'!$A$5:$A$504,0)))&amp;"","ID not found"))</f>
        <v/>
      </c>
      <c r="F140" s="51" t="str">
        <f aca="false">IF(C140="","",IFERROR(IF(LEFT(C140,1)="L",INDEX('Leads Pipeline'!$E$5:$E$1004,MATCH(C140,'Leads Pipeline'!$A$5:$A$1004,0)),INDEX('Active Clients'!$C$5:$C$504,MATCH(C140,'Active Clients'!$A$5:$A$504,0)))&amp;"","ID not found"))</f>
        <v/>
      </c>
      <c r="G140" s="16"/>
      <c r="H140" s="16"/>
      <c r="I140" s="16"/>
      <c r="J140" s="16"/>
      <c r="K140" s="16"/>
      <c r="L140" s="18"/>
    </row>
    <row r="141" customFormat="false" ht="15" hidden="false" customHeight="false" outlineLevel="0" collapsed="false">
      <c r="A141" s="18"/>
      <c r="B141" s="16"/>
      <c r="C141" s="16"/>
      <c r="D141" s="51" t="str">
        <f aca="false">IF(C141="","",IFERROR(IF(LEFT(C141,1)="L",INDEX('Leads Pipeline'!$F$5:$F$1004,MATCH(C141,'Leads Pipeline'!$A$5:$A$1004,0)),INDEX('Active Clients'!$D$5:$D$504,MATCH(C141,'Active Clients'!$A$5:$A$504,0)))&amp;"","ID not found"))</f>
        <v/>
      </c>
      <c r="E141" s="51" t="str">
        <f aca="false">IF(C141="","",IFERROR(IF(LEFT(C141,1)="L",INDEX('Leads Pipeline'!$D$5:$D$1004,MATCH(C141,'Leads Pipeline'!$A$5:$A$1004,0)),INDEX('Active Clients'!$B$5:$B$504,MATCH(C141,'Active Clients'!$A$5:$A$504,0)))&amp;"","ID not found"))</f>
        <v/>
      </c>
      <c r="F141" s="51" t="str">
        <f aca="false">IF(C141="","",IFERROR(IF(LEFT(C141,1)="L",INDEX('Leads Pipeline'!$E$5:$E$1004,MATCH(C141,'Leads Pipeline'!$A$5:$A$1004,0)),INDEX('Active Clients'!$C$5:$C$504,MATCH(C141,'Active Clients'!$A$5:$A$504,0)))&amp;"","ID not found"))</f>
        <v/>
      </c>
      <c r="G141" s="16"/>
      <c r="H141" s="16"/>
      <c r="I141" s="16"/>
      <c r="J141" s="16"/>
      <c r="K141" s="16"/>
      <c r="L141" s="18"/>
    </row>
    <row r="142" customFormat="false" ht="15" hidden="false" customHeight="false" outlineLevel="0" collapsed="false">
      <c r="A142" s="18"/>
      <c r="B142" s="16"/>
      <c r="C142" s="16"/>
      <c r="D142" s="51" t="str">
        <f aca="false">IF(C142="","",IFERROR(IF(LEFT(C142,1)="L",INDEX('Leads Pipeline'!$F$5:$F$1004,MATCH(C142,'Leads Pipeline'!$A$5:$A$1004,0)),INDEX('Active Clients'!$D$5:$D$504,MATCH(C142,'Active Clients'!$A$5:$A$504,0)))&amp;"","ID not found"))</f>
        <v/>
      </c>
      <c r="E142" s="51" t="str">
        <f aca="false">IF(C142="","",IFERROR(IF(LEFT(C142,1)="L",INDEX('Leads Pipeline'!$D$5:$D$1004,MATCH(C142,'Leads Pipeline'!$A$5:$A$1004,0)),INDEX('Active Clients'!$B$5:$B$504,MATCH(C142,'Active Clients'!$A$5:$A$504,0)))&amp;"","ID not found"))</f>
        <v/>
      </c>
      <c r="F142" s="51" t="str">
        <f aca="false">IF(C142="","",IFERROR(IF(LEFT(C142,1)="L",INDEX('Leads Pipeline'!$E$5:$E$1004,MATCH(C142,'Leads Pipeline'!$A$5:$A$1004,0)),INDEX('Active Clients'!$C$5:$C$504,MATCH(C142,'Active Clients'!$A$5:$A$504,0)))&amp;"","ID not found"))</f>
        <v/>
      </c>
      <c r="G142" s="16"/>
      <c r="H142" s="16"/>
      <c r="I142" s="16"/>
      <c r="J142" s="16"/>
      <c r="K142" s="16"/>
      <c r="L142" s="18"/>
    </row>
    <row r="143" customFormat="false" ht="15" hidden="false" customHeight="false" outlineLevel="0" collapsed="false">
      <c r="A143" s="18"/>
      <c r="B143" s="16"/>
      <c r="C143" s="16"/>
      <c r="D143" s="51" t="str">
        <f aca="false">IF(C143="","",IFERROR(IF(LEFT(C143,1)="L",INDEX('Leads Pipeline'!$F$5:$F$1004,MATCH(C143,'Leads Pipeline'!$A$5:$A$1004,0)),INDEX('Active Clients'!$D$5:$D$504,MATCH(C143,'Active Clients'!$A$5:$A$504,0)))&amp;"","ID not found"))</f>
        <v/>
      </c>
      <c r="E143" s="51" t="str">
        <f aca="false">IF(C143="","",IFERROR(IF(LEFT(C143,1)="L",INDEX('Leads Pipeline'!$D$5:$D$1004,MATCH(C143,'Leads Pipeline'!$A$5:$A$1004,0)),INDEX('Active Clients'!$B$5:$B$504,MATCH(C143,'Active Clients'!$A$5:$A$504,0)))&amp;"","ID not found"))</f>
        <v/>
      </c>
      <c r="F143" s="51" t="str">
        <f aca="false">IF(C143="","",IFERROR(IF(LEFT(C143,1)="L",INDEX('Leads Pipeline'!$E$5:$E$1004,MATCH(C143,'Leads Pipeline'!$A$5:$A$1004,0)),INDEX('Active Clients'!$C$5:$C$504,MATCH(C143,'Active Clients'!$A$5:$A$504,0)))&amp;"","ID not found"))</f>
        <v/>
      </c>
      <c r="G143" s="16"/>
      <c r="H143" s="16"/>
      <c r="I143" s="16"/>
      <c r="J143" s="16"/>
      <c r="K143" s="16"/>
      <c r="L143" s="18"/>
    </row>
    <row r="144" customFormat="false" ht="15" hidden="false" customHeight="false" outlineLevel="0" collapsed="false">
      <c r="A144" s="18"/>
      <c r="B144" s="16"/>
      <c r="C144" s="16"/>
      <c r="D144" s="51" t="str">
        <f aca="false">IF(C144="","",IFERROR(IF(LEFT(C144,1)="L",INDEX('Leads Pipeline'!$F$5:$F$1004,MATCH(C144,'Leads Pipeline'!$A$5:$A$1004,0)),INDEX('Active Clients'!$D$5:$D$504,MATCH(C144,'Active Clients'!$A$5:$A$504,0)))&amp;"","ID not found"))</f>
        <v/>
      </c>
      <c r="E144" s="51" t="str">
        <f aca="false">IF(C144="","",IFERROR(IF(LEFT(C144,1)="L",INDEX('Leads Pipeline'!$D$5:$D$1004,MATCH(C144,'Leads Pipeline'!$A$5:$A$1004,0)),INDEX('Active Clients'!$B$5:$B$504,MATCH(C144,'Active Clients'!$A$5:$A$504,0)))&amp;"","ID not found"))</f>
        <v/>
      </c>
      <c r="F144" s="51" t="str">
        <f aca="false">IF(C144="","",IFERROR(IF(LEFT(C144,1)="L",INDEX('Leads Pipeline'!$E$5:$E$1004,MATCH(C144,'Leads Pipeline'!$A$5:$A$1004,0)),INDEX('Active Clients'!$C$5:$C$504,MATCH(C144,'Active Clients'!$A$5:$A$504,0)))&amp;"","ID not found"))</f>
        <v/>
      </c>
      <c r="G144" s="16"/>
      <c r="H144" s="16"/>
      <c r="I144" s="16"/>
      <c r="J144" s="16"/>
      <c r="K144" s="16"/>
      <c r="L144" s="18"/>
    </row>
    <row r="145" customFormat="false" ht="15" hidden="false" customHeight="false" outlineLevel="0" collapsed="false">
      <c r="A145" s="18"/>
      <c r="B145" s="16"/>
      <c r="C145" s="16"/>
      <c r="D145" s="51" t="str">
        <f aca="false">IF(C145="","",IFERROR(IF(LEFT(C145,1)="L",INDEX('Leads Pipeline'!$F$5:$F$1004,MATCH(C145,'Leads Pipeline'!$A$5:$A$1004,0)),INDEX('Active Clients'!$D$5:$D$504,MATCH(C145,'Active Clients'!$A$5:$A$504,0)))&amp;"","ID not found"))</f>
        <v/>
      </c>
      <c r="E145" s="51" t="str">
        <f aca="false">IF(C145="","",IFERROR(IF(LEFT(C145,1)="L",INDEX('Leads Pipeline'!$D$5:$D$1004,MATCH(C145,'Leads Pipeline'!$A$5:$A$1004,0)),INDEX('Active Clients'!$B$5:$B$504,MATCH(C145,'Active Clients'!$A$5:$A$504,0)))&amp;"","ID not found"))</f>
        <v/>
      </c>
      <c r="F145" s="51" t="str">
        <f aca="false">IF(C145="","",IFERROR(IF(LEFT(C145,1)="L",INDEX('Leads Pipeline'!$E$5:$E$1004,MATCH(C145,'Leads Pipeline'!$A$5:$A$1004,0)),INDEX('Active Clients'!$C$5:$C$504,MATCH(C145,'Active Clients'!$A$5:$A$504,0)))&amp;"","ID not found"))</f>
        <v/>
      </c>
      <c r="G145" s="16"/>
      <c r="H145" s="16"/>
      <c r="I145" s="16"/>
      <c r="J145" s="16"/>
      <c r="K145" s="16"/>
      <c r="L145" s="18"/>
    </row>
    <row r="146" customFormat="false" ht="15" hidden="false" customHeight="false" outlineLevel="0" collapsed="false">
      <c r="A146" s="18"/>
      <c r="B146" s="16"/>
      <c r="C146" s="16"/>
      <c r="D146" s="51" t="str">
        <f aca="false">IF(C146="","",IFERROR(IF(LEFT(C146,1)="L",INDEX('Leads Pipeline'!$F$5:$F$1004,MATCH(C146,'Leads Pipeline'!$A$5:$A$1004,0)),INDEX('Active Clients'!$D$5:$D$504,MATCH(C146,'Active Clients'!$A$5:$A$504,0)))&amp;"","ID not found"))</f>
        <v/>
      </c>
      <c r="E146" s="51" t="str">
        <f aca="false">IF(C146="","",IFERROR(IF(LEFT(C146,1)="L",INDEX('Leads Pipeline'!$D$5:$D$1004,MATCH(C146,'Leads Pipeline'!$A$5:$A$1004,0)),INDEX('Active Clients'!$B$5:$B$504,MATCH(C146,'Active Clients'!$A$5:$A$504,0)))&amp;"","ID not found"))</f>
        <v/>
      </c>
      <c r="F146" s="51" t="str">
        <f aca="false">IF(C146="","",IFERROR(IF(LEFT(C146,1)="L",INDEX('Leads Pipeline'!$E$5:$E$1004,MATCH(C146,'Leads Pipeline'!$A$5:$A$1004,0)),INDEX('Active Clients'!$C$5:$C$504,MATCH(C146,'Active Clients'!$A$5:$A$504,0)))&amp;"","ID not found"))</f>
        <v/>
      </c>
      <c r="G146" s="16"/>
      <c r="H146" s="16"/>
      <c r="I146" s="16"/>
      <c r="J146" s="16"/>
      <c r="K146" s="16"/>
      <c r="L146" s="18"/>
    </row>
    <row r="147" customFormat="false" ht="15" hidden="false" customHeight="false" outlineLevel="0" collapsed="false">
      <c r="A147" s="18"/>
      <c r="B147" s="16"/>
      <c r="C147" s="16"/>
      <c r="D147" s="51" t="str">
        <f aca="false">IF(C147="","",IFERROR(IF(LEFT(C147,1)="L",INDEX('Leads Pipeline'!$F$5:$F$1004,MATCH(C147,'Leads Pipeline'!$A$5:$A$1004,0)),INDEX('Active Clients'!$D$5:$D$504,MATCH(C147,'Active Clients'!$A$5:$A$504,0)))&amp;"","ID not found"))</f>
        <v/>
      </c>
      <c r="E147" s="51" t="str">
        <f aca="false">IF(C147="","",IFERROR(IF(LEFT(C147,1)="L",INDEX('Leads Pipeline'!$D$5:$D$1004,MATCH(C147,'Leads Pipeline'!$A$5:$A$1004,0)),INDEX('Active Clients'!$B$5:$B$504,MATCH(C147,'Active Clients'!$A$5:$A$504,0)))&amp;"","ID not found"))</f>
        <v/>
      </c>
      <c r="F147" s="51" t="str">
        <f aca="false">IF(C147="","",IFERROR(IF(LEFT(C147,1)="L",INDEX('Leads Pipeline'!$E$5:$E$1004,MATCH(C147,'Leads Pipeline'!$A$5:$A$1004,0)),INDEX('Active Clients'!$C$5:$C$504,MATCH(C147,'Active Clients'!$A$5:$A$504,0)))&amp;"","ID not found"))</f>
        <v/>
      </c>
      <c r="G147" s="16"/>
      <c r="H147" s="16"/>
      <c r="I147" s="16"/>
      <c r="J147" s="16"/>
      <c r="K147" s="16"/>
      <c r="L147" s="18"/>
    </row>
    <row r="148" customFormat="false" ht="15" hidden="false" customHeight="false" outlineLevel="0" collapsed="false">
      <c r="A148" s="18"/>
      <c r="B148" s="16"/>
      <c r="C148" s="16"/>
      <c r="D148" s="51" t="str">
        <f aca="false">IF(C148="","",IFERROR(IF(LEFT(C148,1)="L",INDEX('Leads Pipeline'!$F$5:$F$1004,MATCH(C148,'Leads Pipeline'!$A$5:$A$1004,0)),INDEX('Active Clients'!$D$5:$D$504,MATCH(C148,'Active Clients'!$A$5:$A$504,0)))&amp;"","ID not found"))</f>
        <v/>
      </c>
      <c r="E148" s="51" t="str">
        <f aca="false">IF(C148="","",IFERROR(IF(LEFT(C148,1)="L",INDEX('Leads Pipeline'!$D$5:$D$1004,MATCH(C148,'Leads Pipeline'!$A$5:$A$1004,0)),INDEX('Active Clients'!$B$5:$B$504,MATCH(C148,'Active Clients'!$A$5:$A$504,0)))&amp;"","ID not found"))</f>
        <v/>
      </c>
      <c r="F148" s="51" t="str">
        <f aca="false">IF(C148="","",IFERROR(IF(LEFT(C148,1)="L",INDEX('Leads Pipeline'!$E$5:$E$1004,MATCH(C148,'Leads Pipeline'!$A$5:$A$1004,0)),INDEX('Active Clients'!$C$5:$C$504,MATCH(C148,'Active Clients'!$A$5:$A$504,0)))&amp;"","ID not found"))</f>
        <v/>
      </c>
      <c r="G148" s="16"/>
      <c r="H148" s="16"/>
      <c r="I148" s="16"/>
      <c r="J148" s="16"/>
      <c r="K148" s="16"/>
      <c r="L148" s="18"/>
    </row>
    <row r="149" customFormat="false" ht="15" hidden="false" customHeight="false" outlineLevel="0" collapsed="false">
      <c r="A149" s="18"/>
      <c r="B149" s="16"/>
      <c r="C149" s="16"/>
      <c r="D149" s="51" t="str">
        <f aca="false">IF(C149="","",IFERROR(IF(LEFT(C149,1)="L",INDEX('Leads Pipeline'!$F$5:$F$1004,MATCH(C149,'Leads Pipeline'!$A$5:$A$1004,0)),INDEX('Active Clients'!$D$5:$D$504,MATCH(C149,'Active Clients'!$A$5:$A$504,0)))&amp;"","ID not found"))</f>
        <v/>
      </c>
      <c r="E149" s="51" t="str">
        <f aca="false">IF(C149="","",IFERROR(IF(LEFT(C149,1)="L",INDEX('Leads Pipeline'!$D$5:$D$1004,MATCH(C149,'Leads Pipeline'!$A$5:$A$1004,0)),INDEX('Active Clients'!$B$5:$B$504,MATCH(C149,'Active Clients'!$A$5:$A$504,0)))&amp;"","ID not found"))</f>
        <v/>
      </c>
      <c r="F149" s="51" t="str">
        <f aca="false">IF(C149="","",IFERROR(IF(LEFT(C149,1)="L",INDEX('Leads Pipeline'!$E$5:$E$1004,MATCH(C149,'Leads Pipeline'!$A$5:$A$1004,0)),INDEX('Active Clients'!$C$5:$C$504,MATCH(C149,'Active Clients'!$A$5:$A$504,0)))&amp;"","ID not found"))</f>
        <v/>
      </c>
      <c r="G149" s="16"/>
      <c r="H149" s="16"/>
      <c r="I149" s="16"/>
      <c r="J149" s="16"/>
      <c r="K149" s="16"/>
      <c r="L149" s="18"/>
    </row>
    <row r="150" customFormat="false" ht="15" hidden="false" customHeight="false" outlineLevel="0" collapsed="false">
      <c r="A150" s="18"/>
      <c r="B150" s="16"/>
      <c r="C150" s="16"/>
      <c r="D150" s="51" t="str">
        <f aca="false">IF(C150="","",IFERROR(IF(LEFT(C150,1)="L",INDEX('Leads Pipeline'!$F$5:$F$1004,MATCH(C150,'Leads Pipeline'!$A$5:$A$1004,0)),INDEX('Active Clients'!$D$5:$D$504,MATCH(C150,'Active Clients'!$A$5:$A$504,0)))&amp;"","ID not found"))</f>
        <v/>
      </c>
      <c r="E150" s="51" t="str">
        <f aca="false">IF(C150="","",IFERROR(IF(LEFT(C150,1)="L",INDEX('Leads Pipeline'!$D$5:$D$1004,MATCH(C150,'Leads Pipeline'!$A$5:$A$1004,0)),INDEX('Active Clients'!$B$5:$B$504,MATCH(C150,'Active Clients'!$A$5:$A$504,0)))&amp;"","ID not found"))</f>
        <v/>
      </c>
      <c r="F150" s="51" t="str">
        <f aca="false">IF(C150="","",IFERROR(IF(LEFT(C150,1)="L",INDEX('Leads Pipeline'!$E$5:$E$1004,MATCH(C150,'Leads Pipeline'!$A$5:$A$1004,0)),INDEX('Active Clients'!$C$5:$C$504,MATCH(C150,'Active Clients'!$A$5:$A$504,0)))&amp;"","ID not found"))</f>
        <v/>
      </c>
      <c r="G150" s="16"/>
      <c r="H150" s="16"/>
      <c r="I150" s="16"/>
      <c r="J150" s="16"/>
      <c r="K150" s="16"/>
      <c r="L150" s="18"/>
    </row>
    <row r="151" customFormat="false" ht="15" hidden="false" customHeight="false" outlineLevel="0" collapsed="false">
      <c r="A151" s="18"/>
      <c r="B151" s="16"/>
      <c r="C151" s="16"/>
      <c r="D151" s="51" t="str">
        <f aca="false">IF(C151="","",IFERROR(IF(LEFT(C151,1)="L",INDEX('Leads Pipeline'!$F$5:$F$1004,MATCH(C151,'Leads Pipeline'!$A$5:$A$1004,0)),INDEX('Active Clients'!$D$5:$D$504,MATCH(C151,'Active Clients'!$A$5:$A$504,0)))&amp;"","ID not found"))</f>
        <v/>
      </c>
      <c r="E151" s="51" t="str">
        <f aca="false">IF(C151="","",IFERROR(IF(LEFT(C151,1)="L",INDEX('Leads Pipeline'!$D$5:$D$1004,MATCH(C151,'Leads Pipeline'!$A$5:$A$1004,0)),INDEX('Active Clients'!$B$5:$B$504,MATCH(C151,'Active Clients'!$A$5:$A$504,0)))&amp;"","ID not found"))</f>
        <v/>
      </c>
      <c r="F151" s="51" t="str">
        <f aca="false">IF(C151="","",IFERROR(IF(LEFT(C151,1)="L",INDEX('Leads Pipeline'!$E$5:$E$1004,MATCH(C151,'Leads Pipeline'!$A$5:$A$1004,0)),INDEX('Active Clients'!$C$5:$C$504,MATCH(C151,'Active Clients'!$A$5:$A$504,0)))&amp;"","ID not found"))</f>
        <v/>
      </c>
      <c r="G151" s="16"/>
      <c r="H151" s="16"/>
      <c r="I151" s="16"/>
      <c r="J151" s="16"/>
      <c r="K151" s="16"/>
      <c r="L151" s="18"/>
    </row>
    <row r="152" customFormat="false" ht="15" hidden="false" customHeight="false" outlineLevel="0" collapsed="false">
      <c r="A152" s="18"/>
      <c r="B152" s="16"/>
      <c r="C152" s="16"/>
      <c r="D152" s="51" t="str">
        <f aca="false">IF(C152="","",IFERROR(IF(LEFT(C152,1)="L",INDEX('Leads Pipeline'!$F$5:$F$1004,MATCH(C152,'Leads Pipeline'!$A$5:$A$1004,0)),INDEX('Active Clients'!$D$5:$D$504,MATCH(C152,'Active Clients'!$A$5:$A$504,0)))&amp;"","ID not found"))</f>
        <v/>
      </c>
      <c r="E152" s="51" t="str">
        <f aca="false">IF(C152="","",IFERROR(IF(LEFT(C152,1)="L",INDEX('Leads Pipeline'!$D$5:$D$1004,MATCH(C152,'Leads Pipeline'!$A$5:$A$1004,0)),INDEX('Active Clients'!$B$5:$B$504,MATCH(C152,'Active Clients'!$A$5:$A$504,0)))&amp;"","ID not found"))</f>
        <v/>
      </c>
      <c r="F152" s="51" t="str">
        <f aca="false">IF(C152="","",IFERROR(IF(LEFT(C152,1)="L",INDEX('Leads Pipeline'!$E$5:$E$1004,MATCH(C152,'Leads Pipeline'!$A$5:$A$1004,0)),INDEX('Active Clients'!$C$5:$C$504,MATCH(C152,'Active Clients'!$A$5:$A$504,0)))&amp;"","ID not found"))</f>
        <v/>
      </c>
      <c r="G152" s="16"/>
      <c r="H152" s="16"/>
      <c r="I152" s="16"/>
      <c r="J152" s="16"/>
      <c r="K152" s="16"/>
      <c r="L152" s="18"/>
    </row>
    <row r="153" customFormat="false" ht="15" hidden="false" customHeight="false" outlineLevel="0" collapsed="false">
      <c r="A153" s="18"/>
      <c r="B153" s="16"/>
      <c r="C153" s="16"/>
      <c r="D153" s="51" t="str">
        <f aca="false">IF(C153="","",IFERROR(IF(LEFT(C153,1)="L",INDEX('Leads Pipeline'!$F$5:$F$1004,MATCH(C153,'Leads Pipeline'!$A$5:$A$1004,0)),INDEX('Active Clients'!$D$5:$D$504,MATCH(C153,'Active Clients'!$A$5:$A$504,0)))&amp;"","ID not found"))</f>
        <v/>
      </c>
      <c r="E153" s="51" t="str">
        <f aca="false">IF(C153="","",IFERROR(IF(LEFT(C153,1)="L",INDEX('Leads Pipeline'!$D$5:$D$1004,MATCH(C153,'Leads Pipeline'!$A$5:$A$1004,0)),INDEX('Active Clients'!$B$5:$B$504,MATCH(C153,'Active Clients'!$A$5:$A$504,0)))&amp;"","ID not found"))</f>
        <v/>
      </c>
      <c r="F153" s="51" t="str">
        <f aca="false">IF(C153="","",IFERROR(IF(LEFT(C153,1)="L",INDEX('Leads Pipeline'!$E$5:$E$1004,MATCH(C153,'Leads Pipeline'!$A$5:$A$1004,0)),INDEX('Active Clients'!$C$5:$C$504,MATCH(C153,'Active Clients'!$A$5:$A$504,0)))&amp;"","ID not found"))</f>
        <v/>
      </c>
      <c r="G153" s="16"/>
      <c r="H153" s="16"/>
      <c r="I153" s="16"/>
      <c r="J153" s="16"/>
      <c r="K153" s="16"/>
      <c r="L153" s="18"/>
    </row>
    <row r="154" customFormat="false" ht="15" hidden="false" customHeight="false" outlineLevel="0" collapsed="false">
      <c r="A154" s="18"/>
      <c r="B154" s="16"/>
      <c r="C154" s="16"/>
      <c r="D154" s="51" t="str">
        <f aca="false">IF(C154="","",IFERROR(IF(LEFT(C154,1)="L",INDEX('Leads Pipeline'!$F$5:$F$1004,MATCH(C154,'Leads Pipeline'!$A$5:$A$1004,0)),INDEX('Active Clients'!$D$5:$D$504,MATCH(C154,'Active Clients'!$A$5:$A$504,0)))&amp;"","ID not found"))</f>
        <v/>
      </c>
      <c r="E154" s="51" t="str">
        <f aca="false">IF(C154="","",IFERROR(IF(LEFT(C154,1)="L",INDEX('Leads Pipeline'!$D$5:$D$1004,MATCH(C154,'Leads Pipeline'!$A$5:$A$1004,0)),INDEX('Active Clients'!$B$5:$B$504,MATCH(C154,'Active Clients'!$A$5:$A$504,0)))&amp;"","ID not found"))</f>
        <v/>
      </c>
      <c r="F154" s="51" t="str">
        <f aca="false">IF(C154="","",IFERROR(IF(LEFT(C154,1)="L",INDEX('Leads Pipeline'!$E$5:$E$1004,MATCH(C154,'Leads Pipeline'!$A$5:$A$1004,0)),INDEX('Active Clients'!$C$5:$C$504,MATCH(C154,'Active Clients'!$A$5:$A$504,0)))&amp;"","ID not found"))</f>
        <v/>
      </c>
      <c r="G154" s="16"/>
      <c r="H154" s="16"/>
      <c r="I154" s="16"/>
      <c r="J154" s="16"/>
      <c r="K154" s="16"/>
      <c r="L154" s="18"/>
    </row>
    <row r="155" customFormat="false" ht="15" hidden="false" customHeight="false" outlineLevel="0" collapsed="false">
      <c r="A155" s="18"/>
      <c r="B155" s="16"/>
      <c r="C155" s="16"/>
      <c r="D155" s="51" t="str">
        <f aca="false">IF(C155="","",IFERROR(IF(LEFT(C155,1)="L",INDEX('Leads Pipeline'!$F$5:$F$1004,MATCH(C155,'Leads Pipeline'!$A$5:$A$1004,0)),INDEX('Active Clients'!$D$5:$D$504,MATCH(C155,'Active Clients'!$A$5:$A$504,0)))&amp;"","ID not found"))</f>
        <v/>
      </c>
      <c r="E155" s="51" t="str">
        <f aca="false">IF(C155="","",IFERROR(IF(LEFT(C155,1)="L",INDEX('Leads Pipeline'!$D$5:$D$1004,MATCH(C155,'Leads Pipeline'!$A$5:$A$1004,0)),INDEX('Active Clients'!$B$5:$B$504,MATCH(C155,'Active Clients'!$A$5:$A$504,0)))&amp;"","ID not found"))</f>
        <v/>
      </c>
      <c r="F155" s="51" t="str">
        <f aca="false">IF(C155="","",IFERROR(IF(LEFT(C155,1)="L",INDEX('Leads Pipeline'!$E$5:$E$1004,MATCH(C155,'Leads Pipeline'!$A$5:$A$1004,0)),INDEX('Active Clients'!$C$5:$C$504,MATCH(C155,'Active Clients'!$A$5:$A$504,0)))&amp;"","ID not found"))</f>
        <v/>
      </c>
      <c r="G155" s="16"/>
      <c r="H155" s="16"/>
      <c r="I155" s="16"/>
      <c r="J155" s="16"/>
      <c r="K155" s="16"/>
      <c r="L155" s="18"/>
    </row>
    <row r="156" customFormat="false" ht="15" hidden="false" customHeight="false" outlineLevel="0" collapsed="false">
      <c r="A156" s="18"/>
      <c r="B156" s="16"/>
      <c r="C156" s="16"/>
      <c r="D156" s="51" t="str">
        <f aca="false">IF(C156="","",IFERROR(IF(LEFT(C156,1)="L",INDEX('Leads Pipeline'!$F$5:$F$1004,MATCH(C156,'Leads Pipeline'!$A$5:$A$1004,0)),INDEX('Active Clients'!$D$5:$D$504,MATCH(C156,'Active Clients'!$A$5:$A$504,0)))&amp;"","ID not found"))</f>
        <v/>
      </c>
      <c r="E156" s="51" t="str">
        <f aca="false">IF(C156="","",IFERROR(IF(LEFT(C156,1)="L",INDEX('Leads Pipeline'!$D$5:$D$1004,MATCH(C156,'Leads Pipeline'!$A$5:$A$1004,0)),INDEX('Active Clients'!$B$5:$B$504,MATCH(C156,'Active Clients'!$A$5:$A$504,0)))&amp;"","ID not found"))</f>
        <v/>
      </c>
      <c r="F156" s="51" t="str">
        <f aca="false">IF(C156="","",IFERROR(IF(LEFT(C156,1)="L",INDEX('Leads Pipeline'!$E$5:$E$1004,MATCH(C156,'Leads Pipeline'!$A$5:$A$1004,0)),INDEX('Active Clients'!$C$5:$C$504,MATCH(C156,'Active Clients'!$A$5:$A$504,0)))&amp;"","ID not found"))</f>
        <v/>
      </c>
      <c r="G156" s="16"/>
      <c r="H156" s="16"/>
      <c r="I156" s="16"/>
      <c r="J156" s="16"/>
      <c r="K156" s="16"/>
      <c r="L156" s="18"/>
    </row>
    <row r="157" customFormat="false" ht="15" hidden="false" customHeight="false" outlineLevel="0" collapsed="false">
      <c r="A157" s="18"/>
      <c r="B157" s="16"/>
      <c r="C157" s="16"/>
      <c r="D157" s="51" t="str">
        <f aca="false">IF(C157="","",IFERROR(IF(LEFT(C157,1)="L",INDEX('Leads Pipeline'!$F$5:$F$1004,MATCH(C157,'Leads Pipeline'!$A$5:$A$1004,0)),INDEX('Active Clients'!$D$5:$D$504,MATCH(C157,'Active Clients'!$A$5:$A$504,0)))&amp;"","ID not found"))</f>
        <v/>
      </c>
      <c r="E157" s="51" t="str">
        <f aca="false">IF(C157="","",IFERROR(IF(LEFT(C157,1)="L",INDEX('Leads Pipeline'!$D$5:$D$1004,MATCH(C157,'Leads Pipeline'!$A$5:$A$1004,0)),INDEX('Active Clients'!$B$5:$B$504,MATCH(C157,'Active Clients'!$A$5:$A$504,0)))&amp;"","ID not found"))</f>
        <v/>
      </c>
      <c r="F157" s="51" t="str">
        <f aca="false">IF(C157="","",IFERROR(IF(LEFT(C157,1)="L",INDEX('Leads Pipeline'!$E$5:$E$1004,MATCH(C157,'Leads Pipeline'!$A$5:$A$1004,0)),INDEX('Active Clients'!$C$5:$C$504,MATCH(C157,'Active Clients'!$A$5:$A$504,0)))&amp;"","ID not found"))</f>
        <v/>
      </c>
      <c r="G157" s="16"/>
      <c r="H157" s="16"/>
      <c r="I157" s="16"/>
      <c r="J157" s="16"/>
      <c r="K157" s="16"/>
      <c r="L157" s="18"/>
    </row>
    <row r="158" customFormat="false" ht="15" hidden="false" customHeight="false" outlineLevel="0" collapsed="false">
      <c r="A158" s="18"/>
      <c r="B158" s="16"/>
      <c r="C158" s="16"/>
      <c r="D158" s="51" t="str">
        <f aca="false">IF(C158="","",IFERROR(IF(LEFT(C158,1)="L",INDEX('Leads Pipeline'!$F$5:$F$1004,MATCH(C158,'Leads Pipeline'!$A$5:$A$1004,0)),INDEX('Active Clients'!$D$5:$D$504,MATCH(C158,'Active Clients'!$A$5:$A$504,0)))&amp;"","ID not found"))</f>
        <v/>
      </c>
      <c r="E158" s="51" t="str">
        <f aca="false">IF(C158="","",IFERROR(IF(LEFT(C158,1)="L",INDEX('Leads Pipeline'!$D$5:$D$1004,MATCH(C158,'Leads Pipeline'!$A$5:$A$1004,0)),INDEX('Active Clients'!$B$5:$B$504,MATCH(C158,'Active Clients'!$A$5:$A$504,0)))&amp;"","ID not found"))</f>
        <v/>
      </c>
      <c r="F158" s="51" t="str">
        <f aca="false">IF(C158="","",IFERROR(IF(LEFT(C158,1)="L",INDEX('Leads Pipeline'!$E$5:$E$1004,MATCH(C158,'Leads Pipeline'!$A$5:$A$1004,0)),INDEX('Active Clients'!$C$5:$C$504,MATCH(C158,'Active Clients'!$A$5:$A$504,0)))&amp;"","ID not found"))</f>
        <v/>
      </c>
      <c r="G158" s="16"/>
      <c r="H158" s="16"/>
      <c r="I158" s="16"/>
      <c r="J158" s="16"/>
      <c r="K158" s="16"/>
      <c r="L158" s="18"/>
    </row>
    <row r="159" customFormat="false" ht="15" hidden="false" customHeight="false" outlineLevel="0" collapsed="false">
      <c r="A159" s="18"/>
      <c r="B159" s="16"/>
      <c r="C159" s="16"/>
      <c r="D159" s="51" t="str">
        <f aca="false">IF(C159="","",IFERROR(IF(LEFT(C159,1)="L",INDEX('Leads Pipeline'!$F$5:$F$1004,MATCH(C159,'Leads Pipeline'!$A$5:$A$1004,0)),INDEX('Active Clients'!$D$5:$D$504,MATCH(C159,'Active Clients'!$A$5:$A$504,0)))&amp;"","ID not found"))</f>
        <v/>
      </c>
      <c r="E159" s="51" t="str">
        <f aca="false">IF(C159="","",IFERROR(IF(LEFT(C159,1)="L",INDEX('Leads Pipeline'!$D$5:$D$1004,MATCH(C159,'Leads Pipeline'!$A$5:$A$1004,0)),INDEX('Active Clients'!$B$5:$B$504,MATCH(C159,'Active Clients'!$A$5:$A$504,0)))&amp;"","ID not found"))</f>
        <v/>
      </c>
      <c r="F159" s="51" t="str">
        <f aca="false">IF(C159="","",IFERROR(IF(LEFT(C159,1)="L",INDEX('Leads Pipeline'!$E$5:$E$1004,MATCH(C159,'Leads Pipeline'!$A$5:$A$1004,0)),INDEX('Active Clients'!$C$5:$C$504,MATCH(C159,'Active Clients'!$A$5:$A$504,0)))&amp;"","ID not found"))</f>
        <v/>
      </c>
      <c r="G159" s="16"/>
      <c r="H159" s="16"/>
      <c r="I159" s="16"/>
      <c r="J159" s="16"/>
      <c r="K159" s="16"/>
      <c r="L159" s="18"/>
    </row>
    <row r="160" customFormat="false" ht="15" hidden="false" customHeight="false" outlineLevel="0" collapsed="false">
      <c r="A160" s="18"/>
      <c r="B160" s="16"/>
      <c r="C160" s="16"/>
      <c r="D160" s="51" t="str">
        <f aca="false">IF(C160="","",IFERROR(IF(LEFT(C160,1)="L",INDEX('Leads Pipeline'!$F$5:$F$1004,MATCH(C160,'Leads Pipeline'!$A$5:$A$1004,0)),INDEX('Active Clients'!$D$5:$D$504,MATCH(C160,'Active Clients'!$A$5:$A$504,0)))&amp;"","ID not found"))</f>
        <v/>
      </c>
      <c r="E160" s="51" t="str">
        <f aca="false">IF(C160="","",IFERROR(IF(LEFT(C160,1)="L",INDEX('Leads Pipeline'!$D$5:$D$1004,MATCH(C160,'Leads Pipeline'!$A$5:$A$1004,0)),INDEX('Active Clients'!$B$5:$B$504,MATCH(C160,'Active Clients'!$A$5:$A$504,0)))&amp;"","ID not found"))</f>
        <v/>
      </c>
      <c r="F160" s="51" t="str">
        <f aca="false">IF(C160="","",IFERROR(IF(LEFT(C160,1)="L",INDEX('Leads Pipeline'!$E$5:$E$1004,MATCH(C160,'Leads Pipeline'!$A$5:$A$1004,0)),INDEX('Active Clients'!$C$5:$C$504,MATCH(C160,'Active Clients'!$A$5:$A$504,0)))&amp;"","ID not found"))</f>
        <v/>
      </c>
      <c r="G160" s="16"/>
      <c r="H160" s="16"/>
      <c r="I160" s="16"/>
      <c r="J160" s="16"/>
      <c r="K160" s="16"/>
      <c r="L160" s="18"/>
    </row>
    <row r="161" customFormat="false" ht="15" hidden="false" customHeight="false" outlineLevel="0" collapsed="false">
      <c r="A161" s="18"/>
      <c r="B161" s="16"/>
      <c r="C161" s="16"/>
      <c r="D161" s="51" t="str">
        <f aca="false">IF(C161="","",IFERROR(IF(LEFT(C161,1)="L",INDEX('Leads Pipeline'!$F$5:$F$1004,MATCH(C161,'Leads Pipeline'!$A$5:$A$1004,0)),INDEX('Active Clients'!$D$5:$D$504,MATCH(C161,'Active Clients'!$A$5:$A$504,0)))&amp;"","ID not found"))</f>
        <v/>
      </c>
      <c r="E161" s="51" t="str">
        <f aca="false">IF(C161="","",IFERROR(IF(LEFT(C161,1)="L",INDEX('Leads Pipeline'!$D$5:$D$1004,MATCH(C161,'Leads Pipeline'!$A$5:$A$1004,0)),INDEX('Active Clients'!$B$5:$B$504,MATCH(C161,'Active Clients'!$A$5:$A$504,0)))&amp;"","ID not found"))</f>
        <v/>
      </c>
      <c r="F161" s="51" t="str">
        <f aca="false">IF(C161="","",IFERROR(IF(LEFT(C161,1)="L",INDEX('Leads Pipeline'!$E$5:$E$1004,MATCH(C161,'Leads Pipeline'!$A$5:$A$1004,0)),INDEX('Active Clients'!$C$5:$C$504,MATCH(C161,'Active Clients'!$A$5:$A$504,0)))&amp;"","ID not found"))</f>
        <v/>
      </c>
      <c r="G161" s="16"/>
      <c r="H161" s="16"/>
      <c r="I161" s="16"/>
      <c r="J161" s="16"/>
      <c r="K161" s="16"/>
      <c r="L161" s="18"/>
    </row>
    <row r="162" customFormat="false" ht="15" hidden="false" customHeight="false" outlineLevel="0" collapsed="false">
      <c r="A162" s="18"/>
      <c r="B162" s="16"/>
      <c r="C162" s="16"/>
      <c r="D162" s="51" t="str">
        <f aca="false">IF(C162="","",IFERROR(IF(LEFT(C162,1)="L",INDEX('Leads Pipeline'!$F$5:$F$1004,MATCH(C162,'Leads Pipeline'!$A$5:$A$1004,0)),INDEX('Active Clients'!$D$5:$D$504,MATCH(C162,'Active Clients'!$A$5:$A$504,0)))&amp;"","ID not found"))</f>
        <v/>
      </c>
      <c r="E162" s="51" t="str">
        <f aca="false">IF(C162="","",IFERROR(IF(LEFT(C162,1)="L",INDEX('Leads Pipeline'!$D$5:$D$1004,MATCH(C162,'Leads Pipeline'!$A$5:$A$1004,0)),INDEX('Active Clients'!$B$5:$B$504,MATCH(C162,'Active Clients'!$A$5:$A$504,0)))&amp;"","ID not found"))</f>
        <v/>
      </c>
      <c r="F162" s="51" t="str">
        <f aca="false">IF(C162="","",IFERROR(IF(LEFT(C162,1)="L",INDEX('Leads Pipeline'!$E$5:$E$1004,MATCH(C162,'Leads Pipeline'!$A$5:$A$1004,0)),INDEX('Active Clients'!$C$5:$C$504,MATCH(C162,'Active Clients'!$A$5:$A$504,0)))&amp;"","ID not found"))</f>
        <v/>
      </c>
      <c r="G162" s="16"/>
      <c r="H162" s="16"/>
      <c r="I162" s="16"/>
      <c r="J162" s="16"/>
      <c r="K162" s="16"/>
      <c r="L162" s="18"/>
    </row>
    <row r="163" customFormat="false" ht="15" hidden="false" customHeight="false" outlineLevel="0" collapsed="false">
      <c r="A163" s="18"/>
      <c r="B163" s="16"/>
      <c r="C163" s="16"/>
      <c r="D163" s="51" t="str">
        <f aca="false">IF(C163="","",IFERROR(IF(LEFT(C163,1)="L",INDEX('Leads Pipeline'!$F$5:$F$1004,MATCH(C163,'Leads Pipeline'!$A$5:$A$1004,0)),INDEX('Active Clients'!$D$5:$D$504,MATCH(C163,'Active Clients'!$A$5:$A$504,0)))&amp;"","ID not found"))</f>
        <v/>
      </c>
      <c r="E163" s="51" t="str">
        <f aca="false">IF(C163="","",IFERROR(IF(LEFT(C163,1)="L",INDEX('Leads Pipeline'!$D$5:$D$1004,MATCH(C163,'Leads Pipeline'!$A$5:$A$1004,0)),INDEX('Active Clients'!$B$5:$B$504,MATCH(C163,'Active Clients'!$A$5:$A$504,0)))&amp;"","ID not found"))</f>
        <v/>
      </c>
      <c r="F163" s="51" t="str">
        <f aca="false">IF(C163="","",IFERROR(IF(LEFT(C163,1)="L",INDEX('Leads Pipeline'!$E$5:$E$1004,MATCH(C163,'Leads Pipeline'!$A$5:$A$1004,0)),INDEX('Active Clients'!$C$5:$C$504,MATCH(C163,'Active Clients'!$A$5:$A$504,0)))&amp;"","ID not found"))</f>
        <v/>
      </c>
      <c r="G163" s="16"/>
      <c r="H163" s="16"/>
      <c r="I163" s="16"/>
      <c r="J163" s="16"/>
      <c r="K163" s="16"/>
      <c r="L163" s="18"/>
    </row>
    <row r="164" customFormat="false" ht="15" hidden="false" customHeight="false" outlineLevel="0" collapsed="false">
      <c r="A164" s="18"/>
      <c r="B164" s="16"/>
      <c r="C164" s="16"/>
      <c r="D164" s="51" t="str">
        <f aca="false">IF(C164="","",IFERROR(IF(LEFT(C164,1)="L",INDEX('Leads Pipeline'!$F$5:$F$1004,MATCH(C164,'Leads Pipeline'!$A$5:$A$1004,0)),INDEX('Active Clients'!$D$5:$D$504,MATCH(C164,'Active Clients'!$A$5:$A$504,0)))&amp;"","ID not found"))</f>
        <v/>
      </c>
      <c r="E164" s="51" t="str">
        <f aca="false">IF(C164="","",IFERROR(IF(LEFT(C164,1)="L",INDEX('Leads Pipeline'!$D$5:$D$1004,MATCH(C164,'Leads Pipeline'!$A$5:$A$1004,0)),INDEX('Active Clients'!$B$5:$B$504,MATCH(C164,'Active Clients'!$A$5:$A$504,0)))&amp;"","ID not found"))</f>
        <v/>
      </c>
      <c r="F164" s="51" t="str">
        <f aca="false">IF(C164="","",IFERROR(IF(LEFT(C164,1)="L",INDEX('Leads Pipeline'!$E$5:$E$1004,MATCH(C164,'Leads Pipeline'!$A$5:$A$1004,0)),INDEX('Active Clients'!$C$5:$C$504,MATCH(C164,'Active Clients'!$A$5:$A$504,0)))&amp;"","ID not found"))</f>
        <v/>
      </c>
      <c r="G164" s="16"/>
      <c r="H164" s="16"/>
      <c r="I164" s="16"/>
      <c r="J164" s="16"/>
      <c r="K164" s="16"/>
      <c r="L164" s="18"/>
    </row>
    <row r="165" customFormat="false" ht="15" hidden="false" customHeight="false" outlineLevel="0" collapsed="false">
      <c r="A165" s="18"/>
      <c r="B165" s="16"/>
      <c r="C165" s="16"/>
      <c r="D165" s="51" t="str">
        <f aca="false">IF(C165="","",IFERROR(IF(LEFT(C165,1)="L",INDEX('Leads Pipeline'!$F$5:$F$1004,MATCH(C165,'Leads Pipeline'!$A$5:$A$1004,0)),INDEX('Active Clients'!$D$5:$D$504,MATCH(C165,'Active Clients'!$A$5:$A$504,0)))&amp;"","ID not found"))</f>
        <v/>
      </c>
      <c r="E165" s="51" t="str">
        <f aca="false">IF(C165="","",IFERROR(IF(LEFT(C165,1)="L",INDEX('Leads Pipeline'!$D$5:$D$1004,MATCH(C165,'Leads Pipeline'!$A$5:$A$1004,0)),INDEX('Active Clients'!$B$5:$B$504,MATCH(C165,'Active Clients'!$A$5:$A$504,0)))&amp;"","ID not found"))</f>
        <v/>
      </c>
      <c r="F165" s="51" t="str">
        <f aca="false">IF(C165="","",IFERROR(IF(LEFT(C165,1)="L",INDEX('Leads Pipeline'!$E$5:$E$1004,MATCH(C165,'Leads Pipeline'!$A$5:$A$1004,0)),INDEX('Active Clients'!$C$5:$C$504,MATCH(C165,'Active Clients'!$A$5:$A$504,0)))&amp;"","ID not found"))</f>
        <v/>
      </c>
      <c r="G165" s="16"/>
      <c r="H165" s="16"/>
      <c r="I165" s="16"/>
      <c r="J165" s="16"/>
      <c r="K165" s="16"/>
      <c r="L165" s="18"/>
    </row>
    <row r="166" customFormat="false" ht="15" hidden="false" customHeight="false" outlineLevel="0" collapsed="false">
      <c r="A166" s="18"/>
      <c r="B166" s="16"/>
      <c r="C166" s="16"/>
      <c r="D166" s="51" t="str">
        <f aca="false">IF(C166="","",IFERROR(IF(LEFT(C166,1)="L",INDEX('Leads Pipeline'!$F$5:$F$1004,MATCH(C166,'Leads Pipeline'!$A$5:$A$1004,0)),INDEX('Active Clients'!$D$5:$D$504,MATCH(C166,'Active Clients'!$A$5:$A$504,0)))&amp;"","ID not found"))</f>
        <v/>
      </c>
      <c r="E166" s="51" t="str">
        <f aca="false">IF(C166="","",IFERROR(IF(LEFT(C166,1)="L",INDEX('Leads Pipeline'!$D$5:$D$1004,MATCH(C166,'Leads Pipeline'!$A$5:$A$1004,0)),INDEX('Active Clients'!$B$5:$B$504,MATCH(C166,'Active Clients'!$A$5:$A$504,0)))&amp;"","ID not found"))</f>
        <v/>
      </c>
      <c r="F166" s="51" t="str">
        <f aca="false">IF(C166="","",IFERROR(IF(LEFT(C166,1)="L",INDEX('Leads Pipeline'!$E$5:$E$1004,MATCH(C166,'Leads Pipeline'!$A$5:$A$1004,0)),INDEX('Active Clients'!$C$5:$C$504,MATCH(C166,'Active Clients'!$A$5:$A$504,0)))&amp;"","ID not found"))</f>
        <v/>
      </c>
      <c r="G166" s="16"/>
      <c r="H166" s="16"/>
      <c r="I166" s="16"/>
      <c r="J166" s="16"/>
      <c r="K166" s="16"/>
      <c r="L166" s="18"/>
    </row>
    <row r="167" customFormat="false" ht="15" hidden="false" customHeight="false" outlineLevel="0" collapsed="false">
      <c r="A167" s="18"/>
      <c r="B167" s="16"/>
      <c r="C167" s="16"/>
      <c r="D167" s="51" t="str">
        <f aca="false">IF(C167="","",IFERROR(IF(LEFT(C167,1)="L",INDEX('Leads Pipeline'!$F$5:$F$1004,MATCH(C167,'Leads Pipeline'!$A$5:$A$1004,0)),INDEX('Active Clients'!$D$5:$D$504,MATCH(C167,'Active Clients'!$A$5:$A$504,0)))&amp;"","ID not found"))</f>
        <v/>
      </c>
      <c r="E167" s="51" t="str">
        <f aca="false">IF(C167="","",IFERROR(IF(LEFT(C167,1)="L",INDEX('Leads Pipeline'!$D$5:$D$1004,MATCH(C167,'Leads Pipeline'!$A$5:$A$1004,0)),INDEX('Active Clients'!$B$5:$B$504,MATCH(C167,'Active Clients'!$A$5:$A$504,0)))&amp;"","ID not found"))</f>
        <v/>
      </c>
      <c r="F167" s="51" t="str">
        <f aca="false">IF(C167="","",IFERROR(IF(LEFT(C167,1)="L",INDEX('Leads Pipeline'!$E$5:$E$1004,MATCH(C167,'Leads Pipeline'!$A$5:$A$1004,0)),INDEX('Active Clients'!$C$5:$C$504,MATCH(C167,'Active Clients'!$A$5:$A$504,0)))&amp;"","ID not found"))</f>
        <v/>
      </c>
      <c r="G167" s="16"/>
      <c r="H167" s="16"/>
      <c r="I167" s="16"/>
      <c r="J167" s="16"/>
      <c r="K167" s="16"/>
      <c r="L167" s="18"/>
    </row>
    <row r="168" customFormat="false" ht="15" hidden="false" customHeight="false" outlineLevel="0" collapsed="false">
      <c r="A168" s="18"/>
      <c r="B168" s="16"/>
      <c r="C168" s="16"/>
      <c r="D168" s="51" t="str">
        <f aca="false">IF(C168="","",IFERROR(IF(LEFT(C168,1)="L",INDEX('Leads Pipeline'!$F$5:$F$1004,MATCH(C168,'Leads Pipeline'!$A$5:$A$1004,0)),INDEX('Active Clients'!$D$5:$D$504,MATCH(C168,'Active Clients'!$A$5:$A$504,0)))&amp;"","ID not found"))</f>
        <v/>
      </c>
      <c r="E168" s="51" t="str">
        <f aca="false">IF(C168="","",IFERROR(IF(LEFT(C168,1)="L",INDEX('Leads Pipeline'!$D$5:$D$1004,MATCH(C168,'Leads Pipeline'!$A$5:$A$1004,0)),INDEX('Active Clients'!$B$5:$B$504,MATCH(C168,'Active Clients'!$A$5:$A$504,0)))&amp;"","ID not found"))</f>
        <v/>
      </c>
      <c r="F168" s="51" t="str">
        <f aca="false">IF(C168="","",IFERROR(IF(LEFT(C168,1)="L",INDEX('Leads Pipeline'!$E$5:$E$1004,MATCH(C168,'Leads Pipeline'!$A$5:$A$1004,0)),INDEX('Active Clients'!$C$5:$C$504,MATCH(C168,'Active Clients'!$A$5:$A$504,0)))&amp;"","ID not found"))</f>
        <v/>
      </c>
      <c r="G168" s="16"/>
      <c r="H168" s="16"/>
      <c r="I168" s="16"/>
      <c r="J168" s="16"/>
      <c r="K168" s="16"/>
      <c r="L168" s="18"/>
    </row>
    <row r="169" customFormat="false" ht="15" hidden="false" customHeight="false" outlineLevel="0" collapsed="false">
      <c r="A169" s="18"/>
      <c r="B169" s="16"/>
      <c r="C169" s="16"/>
      <c r="D169" s="51" t="str">
        <f aca="false">IF(C169="","",IFERROR(IF(LEFT(C169,1)="L",INDEX('Leads Pipeline'!$F$5:$F$1004,MATCH(C169,'Leads Pipeline'!$A$5:$A$1004,0)),INDEX('Active Clients'!$D$5:$D$504,MATCH(C169,'Active Clients'!$A$5:$A$504,0)))&amp;"","ID not found"))</f>
        <v/>
      </c>
      <c r="E169" s="51" t="str">
        <f aca="false">IF(C169="","",IFERROR(IF(LEFT(C169,1)="L",INDEX('Leads Pipeline'!$D$5:$D$1004,MATCH(C169,'Leads Pipeline'!$A$5:$A$1004,0)),INDEX('Active Clients'!$B$5:$B$504,MATCH(C169,'Active Clients'!$A$5:$A$504,0)))&amp;"","ID not found"))</f>
        <v/>
      </c>
      <c r="F169" s="51" t="str">
        <f aca="false">IF(C169="","",IFERROR(IF(LEFT(C169,1)="L",INDEX('Leads Pipeline'!$E$5:$E$1004,MATCH(C169,'Leads Pipeline'!$A$5:$A$1004,0)),INDEX('Active Clients'!$C$5:$C$504,MATCH(C169,'Active Clients'!$A$5:$A$504,0)))&amp;"","ID not found"))</f>
        <v/>
      </c>
      <c r="G169" s="16"/>
      <c r="H169" s="16"/>
      <c r="I169" s="16"/>
      <c r="J169" s="16"/>
      <c r="K169" s="16"/>
      <c r="L169" s="18"/>
    </row>
    <row r="170" customFormat="false" ht="15" hidden="false" customHeight="false" outlineLevel="0" collapsed="false">
      <c r="A170" s="18"/>
      <c r="B170" s="16"/>
      <c r="C170" s="16"/>
      <c r="D170" s="51" t="str">
        <f aca="false">IF(C170="","",IFERROR(IF(LEFT(C170,1)="L",INDEX('Leads Pipeline'!$F$5:$F$1004,MATCH(C170,'Leads Pipeline'!$A$5:$A$1004,0)),INDEX('Active Clients'!$D$5:$D$504,MATCH(C170,'Active Clients'!$A$5:$A$504,0)))&amp;"","ID not found"))</f>
        <v/>
      </c>
      <c r="E170" s="51" t="str">
        <f aca="false">IF(C170="","",IFERROR(IF(LEFT(C170,1)="L",INDEX('Leads Pipeline'!$D$5:$D$1004,MATCH(C170,'Leads Pipeline'!$A$5:$A$1004,0)),INDEX('Active Clients'!$B$5:$B$504,MATCH(C170,'Active Clients'!$A$5:$A$504,0)))&amp;"","ID not found"))</f>
        <v/>
      </c>
      <c r="F170" s="51" t="str">
        <f aca="false">IF(C170="","",IFERROR(IF(LEFT(C170,1)="L",INDEX('Leads Pipeline'!$E$5:$E$1004,MATCH(C170,'Leads Pipeline'!$A$5:$A$1004,0)),INDEX('Active Clients'!$C$5:$C$504,MATCH(C170,'Active Clients'!$A$5:$A$504,0)))&amp;"","ID not found"))</f>
        <v/>
      </c>
      <c r="G170" s="16"/>
      <c r="H170" s="16"/>
      <c r="I170" s="16"/>
      <c r="J170" s="16"/>
      <c r="K170" s="16"/>
      <c r="L170" s="18"/>
    </row>
    <row r="171" customFormat="false" ht="15" hidden="false" customHeight="false" outlineLevel="0" collapsed="false">
      <c r="A171" s="18"/>
      <c r="B171" s="16"/>
      <c r="C171" s="16"/>
      <c r="D171" s="51" t="str">
        <f aca="false">IF(C171="","",IFERROR(IF(LEFT(C171,1)="L",INDEX('Leads Pipeline'!$F$5:$F$1004,MATCH(C171,'Leads Pipeline'!$A$5:$A$1004,0)),INDEX('Active Clients'!$D$5:$D$504,MATCH(C171,'Active Clients'!$A$5:$A$504,0)))&amp;"","ID not found"))</f>
        <v/>
      </c>
      <c r="E171" s="51" t="str">
        <f aca="false">IF(C171="","",IFERROR(IF(LEFT(C171,1)="L",INDEX('Leads Pipeline'!$D$5:$D$1004,MATCH(C171,'Leads Pipeline'!$A$5:$A$1004,0)),INDEX('Active Clients'!$B$5:$B$504,MATCH(C171,'Active Clients'!$A$5:$A$504,0)))&amp;"","ID not found"))</f>
        <v/>
      </c>
      <c r="F171" s="51" t="str">
        <f aca="false">IF(C171="","",IFERROR(IF(LEFT(C171,1)="L",INDEX('Leads Pipeline'!$E$5:$E$1004,MATCH(C171,'Leads Pipeline'!$A$5:$A$1004,0)),INDEX('Active Clients'!$C$5:$C$504,MATCH(C171,'Active Clients'!$A$5:$A$504,0)))&amp;"","ID not found"))</f>
        <v/>
      </c>
      <c r="G171" s="16"/>
      <c r="H171" s="16"/>
      <c r="I171" s="16"/>
      <c r="J171" s="16"/>
      <c r="K171" s="16"/>
      <c r="L171" s="18"/>
    </row>
    <row r="172" customFormat="false" ht="15" hidden="false" customHeight="false" outlineLevel="0" collapsed="false">
      <c r="A172" s="18"/>
      <c r="B172" s="16"/>
      <c r="C172" s="16"/>
      <c r="D172" s="51" t="str">
        <f aca="false">IF(C172="","",IFERROR(IF(LEFT(C172,1)="L",INDEX('Leads Pipeline'!$F$5:$F$1004,MATCH(C172,'Leads Pipeline'!$A$5:$A$1004,0)),INDEX('Active Clients'!$D$5:$D$504,MATCH(C172,'Active Clients'!$A$5:$A$504,0)))&amp;"","ID not found"))</f>
        <v/>
      </c>
      <c r="E172" s="51" t="str">
        <f aca="false">IF(C172="","",IFERROR(IF(LEFT(C172,1)="L",INDEX('Leads Pipeline'!$D$5:$D$1004,MATCH(C172,'Leads Pipeline'!$A$5:$A$1004,0)),INDEX('Active Clients'!$B$5:$B$504,MATCH(C172,'Active Clients'!$A$5:$A$504,0)))&amp;"","ID not found"))</f>
        <v/>
      </c>
      <c r="F172" s="51" t="str">
        <f aca="false">IF(C172="","",IFERROR(IF(LEFT(C172,1)="L",INDEX('Leads Pipeline'!$E$5:$E$1004,MATCH(C172,'Leads Pipeline'!$A$5:$A$1004,0)),INDEX('Active Clients'!$C$5:$C$504,MATCH(C172,'Active Clients'!$A$5:$A$504,0)))&amp;"","ID not found"))</f>
        <v/>
      </c>
      <c r="G172" s="16"/>
      <c r="H172" s="16"/>
      <c r="I172" s="16"/>
      <c r="J172" s="16"/>
      <c r="K172" s="16"/>
      <c r="L172" s="18"/>
    </row>
    <row r="173" customFormat="false" ht="15" hidden="false" customHeight="false" outlineLevel="0" collapsed="false">
      <c r="A173" s="18"/>
      <c r="B173" s="16"/>
      <c r="C173" s="16"/>
      <c r="D173" s="51" t="str">
        <f aca="false">IF(C173="","",IFERROR(IF(LEFT(C173,1)="L",INDEX('Leads Pipeline'!$F$5:$F$1004,MATCH(C173,'Leads Pipeline'!$A$5:$A$1004,0)),INDEX('Active Clients'!$D$5:$D$504,MATCH(C173,'Active Clients'!$A$5:$A$504,0)))&amp;"","ID not found"))</f>
        <v/>
      </c>
      <c r="E173" s="51" t="str">
        <f aca="false">IF(C173="","",IFERROR(IF(LEFT(C173,1)="L",INDEX('Leads Pipeline'!$D$5:$D$1004,MATCH(C173,'Leads Pipeline'!$A$5:$A$1004,0)),INDEX('Active Clients'!$B$5:$B$504,MATCH(C173,'Active Clients'!$A$5:$A$504,0)))&amp;"","ID not found"))</f>
        <v/>
      </c>
      <c r="F173" s="51" t="str">
        <f aca="false">IF(C173="","",IFERROR(IF(LEFT(C173,1)="L",INDEX('Leads Pipeline'!$E$5:$E$1004,MATCH(C173,'Leads Pipeline'!$A$5:$A$1004,0)),INDEX('Active Clients'!$C$5:$C$504,MATCH(C173,'Active Clients'!$A$5:$A$504,0)))&amp;"","ID not found"))</f>
        <v/>
      </c>
      <c r="G173" s="16"/>
      <c r="H173" s="16"/>
      <c r="I173" s="16"/>
      <c r="J173" s="16"/>
      <c r="K173" s="16"/>
      <c r="L173" s="18"/>
    </row>
    <row r="174" customFormat="false" ht="15" hidden="false" customHeight="false" outlineLevel="0" collapsed="false">
      <c r="A174" s="18"/>
      <c r="B174" s="16"/>
      <c r="C174" s="16"/>
      <c r="D174" s="51" t="str">
        <f aca="false">IF(C174="","",IFERROR(IF(LEFT(C174,1)="L",INDEX('Leads Pipeline'!$F$5:$F$1004,MATCH(C174,'Leads Pipeline'!$A$5:$A$1004,0)),INDEX('Active Clients'!$D$5:$D$504,MATCH(C174,'Active Clients'!$A$5:$A$504,0)))&amp;"","ID not found"))</f>
        <v/>
      </c>
      <c r="E174" s="51" t="str">
        <f aca="false">IF(C174="","",IFERROR(IF(LEFT(C174,1)="L",INDEX('Leads Pipeline'!$D$5:$D$1004,MATCH(C174,'Leads Pipeline'!$A$5:$A$1004,0)),INDEX('Active Clients'!$B$5:$B$504,MATCH(C174,'Active Clients'!$A$5:$A$504,0)))&amp;"","ID not found"))</f>
        <v/>
      </c>
      <c r="F174" s="51" t="str">
        <f aca="false">IF(C174="","",IFERROR(IF(LEFT(C174,1)="L",INDEX('Leads Pipeline'!$E$5:$E$1004,MATCH(C174,'Leads Pipeline'!$A$5:$A$1004,0)),INDEX('Active Clients'!$C$5:$C$504,MATCH(C174,'Active Clients'!$A$5:$A$504,0)))&amp;"","ID not found"))</f>
        <v/>
      </c>
      <c r="G174" s="16"/>
      <c r="H174" s="16"/>
      <c r="I174" s="16"/>
      <c r="J174" s="16"/>
      <c r="K174" s="16"/>
      <c r="L174" s="18"/>
    </row>
    <row r="175" customFormat="false" ht="15" hidden="false" customHeight="false" outlineLevel="0" collapsed="false">
      <c r="A175" s="18"/>
      <c r="B175" s="16"/>
      <c r="C175" s="16"/>
      <c r="D175" s="51" t="str">
        <f aca="false">IF(C175="","",IFERROR(IF(LEFT(C175,1)="L",INDEX('Leads Pipeline'!$F$5:$F$1004,MATCH(C175,'Leads Pipeline'!$A$5:$A$1004,0)),INDEX('Active Clients'!$D$5:$D$504,MATCH(C175,'Active Clients'!$A$5:$A$504,0)))&amp;"","ID not found"))</f>
        <v/>
      </c>
      <c r="E175" s="51" t="str">
        <f aca="false">IF(C175="","",IFERROR(IF(LEFT(C175,1)="L",INDEX('Leads Pipeline'!$D$5:$D$1004,MATCH(C175,'Leads Pipeline'!$A$5:$A$1004,0)),INDEX('Active Clients'!$B$5:$B$504,MATCH(C175,'Active Clients'!$A$5:$A$504,0)))&amp;"","ID not found"))</f>
        <v/>
      </c>
      <c r="F175" s="51" t="str">
        <f aca="false">IF(C175="","",IFERROR(IF(LEFT(C175,1)="L",INDEX('Leads Pipeline'!$E$5:$E$1004,MATCH(C175,'Leads Pipeline'!$A$5:$A$1004,0)),INDEX('Active Clients'!$C$5:$C$504,MATCH(C175,'Active Clients'!$A$5:$A$504,0)))&amp;"","ID not found"))</f>
        <v/>
      </c>
      <c r="G175" s="16"/>
      <c r="H175" s="16"/>
      <c r="I175" s="16"/>
      <c r="J175" s="16"/>
      <c r="K175" s="16"/>
      <c r="L175" s="18"/>
    </row>
    <row r="176" customFormat="false" ht="15" hidden="false" customHeight="false" outlineLevel="0" collapsed="false">
      <c r="A176" s="18"/>
      <c r="B176" s="16"/>
      <c r="C176" s="16"/>
      <c r="D176" s="51" t="str">
        <f aca="false">IF(C176="","",IFERROR(IF(LEFT(C176,1)="L",INDEX('Leads Pipeline'!$F$5:$F$1004,MATCH(C176,'Leads Pipeline'!$A$5:$A$1004,0)),INDEX('Active Clients'!$D$5:$D$504,MATCH(C176,'Active Clients'!$A$5:$A$504,0)))&amp;"","ID not found"))</f>
        <v/>
      </c>
      <c r="E176" s="51" t="str">
        <f aca="false">IF(C176="","",IFERROR(IF(LEFT(C176,1)="L",INDEX('Leads Pipeline'!$D$5:$D$1004,MATCH(C176,'Leads Pipeline'!$A$5:$A$1004,0)),INDEX('Active Clients'!$B$5:$B$504,MATCH(C176,'Active Clients'!$A$5:$A$504,0)))&amp;"","ID not found"))</f>
        <v/>
      </c>
      <c r="F176" s="51" t="str">
        <f aca="false">IF(C176="","",IFERROR(IF(LEFT(C176,1)="L",INDEX('Leads Pipeline'!$E$5:$E$1004,MATCH(C176,'Leads Pipeline'!$A$5:$A$1004,0)),INDEX('Active Clients'!$C$5:$C$504,MATCH(C176,'Active Clients'!$A$5:$A$504,0)))&amp;"","ID not found"))</f>
        <v/>
      </c>
      <c r="G176" s="16"/>
      <c r="H176" s="16"/>
      <c r="I176" s="16"/>
      <c r="J176" s="16"/>
      <c r="K176" s="16"/>
      <c r="L176" s="18"/>
    </row>
    <row r="177" customFormat="false" ht="15" hidden="false" customHeight="false" outlineLevel="0" collapsed="false">
      <c r="A177" s="18"/>
      <c r="B177" s="16"/>
      <c r="C177" s="16"/>
      <c r="D177" s="51" t="str">
        <f aca="false">IF(C177="","",IFERROR(IF(LEFT(C177,1)="L",INDEX('Leads Pipeline'!$F$5:$F$1004,MATCH(C177,'Leads Pipeline'!$A$5:$A$1004,0)),INDEX('Active Clients'!$D$5:$D$504,MATCH(C177,'Active Clients'!$A$5:$A$504,0)))&amp;"","ID not found"))</f>
        <v/>
      </c>
      <c r="E177" s="51" t="str">
        <f aca="false">IF(C177="","",IFERROR(IF(LEFT(C177,1)="L",INDEX('Leads Pipeline'!$D$5:$D$1004,MATCH(C177,'Leads Pipeline'!$A$5:$A$1004,0)),INDEX('Active Clients'!$B$5:$B$504,MATCH(C177,'Active Clients'!$A$5:$A$504,0)))&amp;"","ID not found"))</f>
        <v/>
      </c>
      <c r="F177" s="51" t="str">
        <f aca="false">IF(C177="","",IFERROR(IF(LEFT(C177,1)="L",INDEX('Leads Pipeline'!$E$5:$E$1004,MATCH(C177,'Leads Pipeline'!$A$5:$A$1004,0)),INDEX('Active Clients'!$C$5:$C$504,MATCH(C177,'Active Clients'!$A$5:$A$504,0)))&amp;"","ID not found"))</f>
        <v/>
      </c>
      <c r="G177" s="16"/>
      <c r="H177" s="16"/>
      <c r="I177" s="16"/>
      <c r="J177" s="16"/>
      <c r="K177" s="16"/>
      <c r="L177" s="18"/>
    </row>
    <row r="178" customFormat="false" ht="15" hidden="false" customHeight="false" outlineLevel="0" collapsed="false">
      <c r="A178" s="18"/>
      <c r="B178" s="16"/>
      <c r="C178" s="16"/>
      <c r="D178" s="51" t="str">
        <f aca="false">IF(C178="","",IFERROR(IF(LEFT(C178,1)="L",INDEX('Leads Pipeline'!$F$5:$F$1004,MATCH(C178,'Leads Pipeline'!$A$5:$A$1004,0)),INDEX('Active Clients'!$D$5:$D$504,MATCH(C178,'Active Clients'!$A$5:$A$504,0)))&amp;"","ID not found"))</f>
        <v/>
      </c>
      <c r="E178" s="51" t="str">
        <f aca="false">IF(C178="","",IFERROR(IF(LEFT(C178,1)="L",INDEX('Leads Pipeline'!$D$5:$D$1004,MATCH(C178,'Leads Pipeline'!$A$5:$A$1004,0)),INDEX('Active Clients'!$B$5:$B$504,MATCH(C178,'Active Clients'!$A$5:$A$504,0)))&amp;"","ID not found"))</f>
        <v/>
      </c>
      <c r="F178" s="51" t="str">
        <f aca="false">IF(C178="","",IFERROR(IF(LEFT(C178,1)="L",INDEX('Leads Pipeline'!$E$5:$E$1004,MATCH(C178,'Leads Pipeline'!$A$5:$A$1004,0)),INDEX('Active Clients'!$C$5:$C$504,MATCH(C178,'Active Clients'!$A$5:$A$504,0)))&amp;"","ID not found"))</f>
        <v/>
      </c>
      <c r="G178" s="16"/>
      <c r="H178" s="16"/>
      <c r="I178" s="16"/>
      <c r="J178" s="16"/>
      <c r="K178" s="16"/>
      <c r="L178" s="18"/>
    </row>
    <row r="179" customFormat="false" ht="15" hidden="false" customHeight="false" outlineLevel="0" collapsed="false">
      <c r="A179" s="18"/>
      <c r="B179" s="16"/>
      <c r="C179" s="16"/>
      <c r="D179" s="51" t="str">
        <f aca="false">IF(C179="","",IFERROR(IF(LEFT(C179,1)="L",INDEX('Leads Pipeline'!$F$5:$F$1004,MATCH(C179,'Leads Pipeline'!$A$5:$A$1004,0)),INDEX('Active Clients'!$D$5:$D$504,MATCH(C179,'Active Clients'!$A$5:$A$504,0)))&amp;"","ID not found"))</f>
        <v/>
      </c>
      <c r="E179" s="51" t="str">
        <f aca="false">IF(C179="","",IFERROR(IF(LEFT(C179,1)="L",INDEX('Leads Pipeline'!$D$5:$D$1004,MATCH(C179,'Leads Pipeline'!$A$5:$A$1004,0)),INDEX('Active Clients'!$B$5:$B$504,MATCH(C179,'Active Clients'!$A$5:$A$504,0)))&amp;"","ID not found"))</f>
        <v/>
      </c>
      <c r="F179" s="51" t="str">
        <f aca="false">IF(C179="","",IFERROR(IF(LEFT(C179,1)="L",INDEX('Leads Pipeline'!$E$5:$E$1004,MATCH(C179,'Leads Pipeline'!$A$5:$A$1004,0)),INDEX('Active Clients'!$C$5:$C$504,MATCH(C179,'Active Clients'!$A$5:$A$504,0)))&amp;"","ID not found"))</f>
        <v/>
      </c>
      <c r="G179" s="16"/>
      <c r="H179" s="16"/>
      <c r="I179" s="16"/>
      <c r="J179" s="16"/>
      <c r="K179" s="16"/>
      <c r="L179" s="18"/>
    </row>
    <row r="180" customFormat="false" ht="15" hidden="false" customHeight="false" outlineLevel="0" collapsed="false">
      <c r="A180" s="18"/>
      <c r="B180" s="16"/>
      <c r="C180" s="16"/>
      <c r="D180" s="51" t="str">
        <f aca="false">IF(C180="","",IFERROR(IF(LEFT(C180,1)="L",INDEX('Leads Pipeline'!$F$5:$F$1004,MATCH(C180,'Leads Pipeline'!$A$5:$A$1004,0)),INDEX('Active Clients'!$D$5:$D$504,MATCH(C180,'Active Clients'!$A$5:$A$504,0)))&amp;"","ID not found"))</f>
        <v/>
      </c>
      <c r="E180" s="51" t="str">
        <f aca="false">IF(C180="","",IFERROR(IF(LEFT(C180,1)="L",INDEX('Leads Pipeline'!$D$5:$D$1004,MATCH(C180,'Leads Pipeline'!$A$5:$A$1004,0)),INDEX('Active Clients'!$B$5:$B$504,MATCH(C180,'Active Clients'!$A$5:$A$504,0)))&amp;"","ID not found"))</f>
        <v/>
      </c>
      <c r="F180" s="51" t="str">
        <f aca="false">IF(C180="","",IFERROR(IF(LEFT(C180,1)="L",INDEX('Leads Pipeline'!$E$5:$E$1004,MATCH(C180,'Leads Pipeline'!$A$5:$A$1004,0)),INDEX('Active Clients'!$C$5:$C$504,MATCH(C180,'Active Clients'!$A$5:$A$504,0)))&amp;"","ID not found"))</f>
        <v/>
      </c>
      <c r="G180" s="16"/>
      <c r="H180" s="16"/>
      <c r="I180" s="16"/>
      <c r="J180" s="16"/>
      <c r="K180" s="16"/>
      <c r="L180" s="18"/>
    </row>
    <row r="181" customFormat="false" ht="15" hidden="false" customHeight="false" outlineLevel="0" collapsed="false">
      <c r="A181" s="18"/>
      <c r="B181" s="16"/>
      <c r="C181" s="16"/>
      <c r="D181" s="51" t="str">
        <f aca="false">IF(C181="","",IFERROR(IF(LEFT(C181,1)="L",INDEX('Leads Pipeline'!$F$5:$F$1004,MATCH(C181,'Leads Pipeline'!$A$5:$A$1004,0)),INDEX('Active Clients'!$D$5:$D$504,MATCH(C181,'Active Clients'!$A$5:$A$504,0)))&amp;"","ID not found"))</f>
        <v/>
      </c>
      <c r="E181" s="51" t="str">
        <f aca="false">IF(C181="","",IFERROR(IF(LEFT(C181,1)="L",INDEX('Leads Pipeline'!$D$5:$D$1004,MATCH(C181,'Leads Pipeline'!$A$5:$A$1004,0)),INDEX('Active Clients'!$B$5:$B$504,MATCH(C181,'Active Clients'!$A$5:$A$504,0)))&amp;"","ID not found"))</f>
        <v/>
      </c>
      <c r="F181" s="51" t="str">
        <f aca="false">IF(C181="","",IFERROR(IF(LEFT(C181,1)="L",INDEX('Leads Pipeline'!$E$5:$E$1004,MATCH(C181,'Leads Pipeline'!$A$5:$A$1004,0)),INDEX('Active Clients'!$C$5:$C$504,MATCH(C181,'Active Clients'!$A$5:$A$504,0)))&amp;"","ID not found"))</f>
        <v/>
      </c>
      <c r="G181" s="16"/>
      <c r="H181" s="16"/>
      <c r="I181" s="16"/>
      <c r="J181" s="16"/>
      <c r="K181" s="16"/>
      <c r="L181" s="18"/>
    </row>
    <row r="182" customFormat="false" ht="15" hidden="false" customHeight="false" outlineLevel="0" collapsed="false">
      <c r="A182" s="18"/>
      <c r="B182" s="16"/>
      <c r="C182" s="16"/>
      <c r="D182" s="51" t="str">
        <f aca="false">IF(C182="","",IFERROR(IF(LEFT(C182,1)="L",INDEX('Leads Pipeline'!$F$5:$F$1004,MATCH(C182,'Leads Pipeline'!$A$5:$A$1004,0)),INDEX('Active Clients'!$D$5:$D$504,MATCH(C182,'Active Clients'!$A$5:$A$504,0)))&amp;"","ID not found"))</f>
        <v/>
      </c>
      <c r="E182" s="51" t="str">
        <f aca="false">IF(C182="","",IFERROR(IF(LEFT(C182,1)="L",INDEX('Leads Pipeline'!$D$5:$D$1004,MATCH(C182,'Leads Pipeline'!$A$5:$A$1004,0)),INDEX('Active Clients'!$B$5:$B$504,MATCH(C182,'Active Clients'!$A$5:$A$504,0)))&amp;"","ID not found"))</f>
        <v/>
      </c>
      <c r="F182" s="51" t="str">
        <f aca="false">IF(C182="","",IFERROR(IF(LEFT(C182,1)="L",INDEX('Leads Pipeline'!$E$5:$E$1004,MATCH(C182,'Leads Pipeline'!$A$5:$A$1004,0)),INDEX('Active Clients'!$C$5:$C$504,MATCH(C182,'Active Clients'!$A$5:$A$504,0)))&amp;"","ID not found"))</f>
        <v/>
      </c>
      <c r="G182" s="16"/>
      <c r="H182" s="16"/>
      <c r="I182" s="16"/>
      <c r="J182" s="16"/>
      <c r="K182" s="16"/>
      <c r="L182" s="18"/>
    </row>
    <row r="183" customFormat="false" ht="15" hidden="false" customHeight="false" outlineLevel="0" collapsed="false">
      <c r="A183" s="18"/>
      <c r="B183" s="16"/>
      <c r="C183" s="16"/>
      <c r="D183" s="51" t="str">
        <f aca="false">IF(C183="","",IFERROR(IF(LEFT(C183,1)="L",INDEX('Leads Pipeline'!$F$5:$F$1004,MATCH(C183,'Leads Pipeline'!$A$5:$A$1004,0)),INDEX('Active Clients'!$D$5:$D$504,MATCH(C183,'Active Clients'!$A$5:$A$504,0)))&amp;"","ID not found"))</f>
        <v/>
      </c>
      <c r="E183" s="51" t="str">
        <f aca="false">IF(C183="","",IFERROR(IF(LEFT(C183,1)="L",INDEX('Leads Pipeline'!$D$5:$D$1004,MATCH(C183,'Leads Pipeline'!$A$5:$A$1004,0)),INDEX('Active Clients'!$B$5:$B$504,MATCH(C183,'Active Clients'!$A$5:$A$504,0)))&amp;"","ID not found"))</f>
        <v/>
      </c>
      <c r="F183" s="51" t="str">
        <f aca="false">IF(C183="","",IFERROR(IF(LEFT(C183,1)="L",INDEX('Leads Pipeline'!$E$5:$E$1004,MATCH(C183,'Leads Pipeline'!$A$5:$A$1004,0)),INDEX('Active Clients'!$C$5:$C$504,MATCH(C183,'Active Clients'!$A$5:$A$504,0)))&amp;"","ID not found"))</f>
        <v/>
      </c>
      <c r="G183" s="16"/>
      <c r="H183" s="16"/>
      <c r="I183" s="16"/>
      <c r="J183" s="16"/>
      <c r="K183" s="16"/>
      <c r="L183" s="18"/>
    </row>
    <row r="184" customFormat="false" ht="15" hidden="false" customHeight="false" outlineLevel="0" collapsed="false">
      <c r="A184" s="18"/>
      <c r="B184" s="16"/>
      <c r="C184" s="16"/>
      <c r="D184" s="51" t="str">
        <f aca="false">IF(C184="","",IFERROR(IF(LEFT(C184,1)="L",INDEX('Leads Pipeline'!$F$5:$F$1004,MATCH(C184,'Leads Pipeline'!$A$5:$A$1004,0)),INDEX('Active Clients'!$D$5:$D$504,MATCH(C184,'Active Clients'!$A$5:$A$504,0)))&amp;"","ID not found"))</f>
        <v/>
      </c>
      <c r="E184" s="51" t="str">
        <f aca="false">IF(C184="","",IFERROR(IF(LEFT(C184,1)="L",INDEX('Leads Pipeline'!$D$5:$D$1004,MATCH(C184,'Leads Pipeline'!$A$5:$A$1004,0)),INDEX('Active Clients'!$B$5:$B$504,MATCH(C184,'Active Clients'!$A$5:$A$504,0)))&amp;"","ID not found"))</f>
        <v/>
      </c>
      <c r="F184" s="51" t="str">
        <f aca="false">IF(C184="","",IFERROR(IF(LEFT(C184,1)="L",INDEX('Leads Pipeline'!$E$5:$E$1004,MATCH(C184,'Leads Pipeline'!$A$5:$A$1004,0)),INDEX('Active Clients'!$C$5:$C$504,MATCH(C184,'Active Clients'!$A$5:$A$504,0)))&amp;"","ID not found"))</f>
        <v/>
      </c>
      <c r="G184" s="16"/>
      <c r="H184" s="16"/>
      <c r="I184" s="16"/>
      <c r="J184" s="16"/>
      <c r="K184" s="16"/>
      <c r="L184" s="18"/>
    </row>
    <row r="185" customFormat="false" ht="15" hidden="false" customHeight="false" outlineLevel="0" collapsed="false">
      <c r="A185" s="18"/>
      <c r="B185" s="16"/>
      <c r="C185" s="16"/>
      <c r="D185" s="51" t="str">
        <f aca="false">IF(C185="","",IFERROR(IF(LEFT(C185,1)="L",INDEX('Leads Pipeline'!$F$5:$F$1004,MATCH(C185,'Leads Pipeline'!$A$5:$A$1004,0)),INDEX('Active Clients'!$D$5:$D$504,MATCH(C185,'Active Clients'!$A$5:$A$504,0)))&amp;"","ID not found"))</f>
        <v/>
      </c>
      <c r="E185" s="51" t="str">
        <f aca="false">IF(C185="","",IFERROR(IF(LEFT(C185,1)="L",INDEX('Leads Pipeline'!$D$5:$D$1004,MATCH(C185,'Leads Pipeline'!$A$5:$A$1004,0)),INDEX('Active Clients'!$B$5:$B$504,MATCH(C185,'Active Clients'!$A$5:$A$504,0)))&amp;"","ID not found"))</f>
        <v/>
      </c>
      <c r="F185" s="51" t="str">
        <f aca="false">IF(C185="","",IFERROR(IF(LEFT(C185,1)="L",INDEX('Leads Pipeline'!$E$5:$E$1004,MATCH(C185,'Leads Pipeline'!$A$5:$A$1004,0)),INDEX('Active Clients'!$C$5:$C$504,MATCH(C185,'Active Clients'!$A$5:$A$504,0)))&amp;"","ID not found"))</f>
        <v/>
      </c>
      <c r="G185" s="16"/>
      <c r="H185" s="16"/>
      <c r="I185" s="16"/>
      <c r="J185" s="16"/>
      <c r="K185" s="16"/>
      <c r="L185" s="18"/>
    </row>
    <row r="186" customFormat="false" ht="15" hidden="false" customHeight="false" outlineLevel="0" collapsed="false">
      <c r="A186" s="18"/>
      <c r="B186" s="16"/>
      <c r="C186" s="16"/>
      <c r="D186" s="51" t="str">
        <f aca="false">IF(C186="","",IFERROR(IF(LEFT(C186,1)="L",INDEX('Leads Pipeline'!$F$5:$F$1004,MATCH(C186,'Leads Pipeline'!$A$5:$A$1004,0)),INDEX('Active Clients'!$D$5:$D$504,MATCH(C186,'Active Clients'!$A$5:$A$504,0)))&amp;"","ID not found"))</f>
        <v/>
      </c>
      <c r="E186" s="51" t="str">
        <f aca="false">IF(C186="","",IFERROR(IF(LEFT(C186,1)="L",INDEX('Leads Pipeline'!$D$5:$D$1004,MATCH(C186,'Leads Pipeline'!$A$5:$A$1004,0)),INDEX('Active Clients'!$B$5:$B$504,MATCH(C186,'Active Clients'!$A$5:$A$504,0)))&amp;"","ID not found"))</f>
        <v/>
      </c>
      <c r="F186" s="51" t="str">
        <f aca="false">IF(C186="","",IFERROR(IF(LEFT(C186,1)="L",INDEX('Leads Pipeline'!$E$5:$E$1004,MATCH(C186,'Leads Pipeline'!$A$5:$A$1004,0)),INDEX('Active Clients'!$C$5:$C$504,MATCH(C186,'Active Clients'!$A$5:$A$504,0)))&amp;"","ID not found"))</f>
        <v/>
      </c>
      <c r="G186" s="16"/>
      <c r="H186" s="16"/>
      <c r="I186" s="16"/>
      <c r="J186" s="16"/>
      <c r="K186" s="16"/>
      <c r="L186" s="18"/>
    </row>
    <row r="187" customFormat="false" ht="15" hidden="false" customHeight="false" outlineLevel="0" collapsed="false">
      <c r="A187" s="18"/>
      <c r="B187" s="16"/>
      <c r="C187" s="16"/>
      <c r="D187" s="51" t="str">
        <f aca="false">IF(C187="","",IFERROR(IF(LEFT(C187,1)="L",INDEX('Leads Pipeline'!$F$5:$F$1004,MATCH(C187,'Leads Pipeline'!$A$5:$A$1004,0)),INDEX('Active Clients'!$D$5:$D$504,MATCH(C187,'Active Clients'!$A$5:$A$504,0)))&amp;"","ID not found"))</f>
        <v/>
      </c>
      <c r="E187" s="51" t="str">
        <f aca="false">IF(C187="","",IFERROR(IF(LEFT(C187,1)="L",INDEX('Leads Pipeline'!$D$5:$D$1004,MATCH(C187,'Leads Pipeline'!$A$5:$A$1004,0)),INDEX('Active Clients'!$B$5:$B$504,MATCH(C187,'Active Clients'!$A$5:$A$504,0)))&amp;"","ID not found"))</f>
        <v/>
      </c>
      <c r="F187" s="51" t="str">
        <f aca="false">IF(C187="","",IFERROR(IF(LEFT(C187,1)="L",INDEX('Leads Pipeline'!$E$5:$E$1004,MATCH(C187,'Leads Pipeline'!$A$5:$A$1004,0)),INDEX('Active Clients'!$C$5:$C$504,MATCH(C187,'Active Clients'!$A$5:$A$504,0)))&amp;"","ID not found"))</f>
        <v/>
      </c>
      <c r="G187" s="16"/>
      <c r="H187" s="16"/>
      <c r="I187" s="16"/>
      <c r="J187" s="16"/>
      <c r="K187" s="16"/>
      <c r="L187" s="18"/>
    </row>
    <row r="188" customFormat="false" ht="15" hidden="false" customHeight="false" outlineLevel="0" collapsed="false">
      <c r="A188" s="18"/>
      <c r="B188" s="16"/>
      <c r="C188" s="16"/>
      <c r="D188" s="51" t="str">
        <f aca="false">IF(C188="","",IFERROR(IF(LEFT(C188,1)="L",INDEX('Leads Pipeline'!$F$5:$F$1004,MATCH(C188,'Leads Pipeline'!$A$5:$A$1004,0)),INDEX('Active Clients'!$D$5:$D$504,MATCH(C188,'Active Clients'!$A$5:$A$504,0)))&amp;"","ID not found"))</f>
        <v/>
      </c>
      <c r="E188" s="51" t="str">
        <f aca="false">IF(C188="","",IFERROR(IF(LEFT(C188,1)="L",INDEX('Leads Pipeline'!$D$5:$D$1004,MATCH(C188,'Leads Pipeline'!$A$5:$A$1004,0)),INDEX('Active Clients'!$B$5:$B$504,MATCH(C188,'Active Clients'!$A$5:$A$504,0)))&amp;"","ID not found"))</f>
        <v/>
      </c>
      <c r="F188" s="51" t="str">
        <f aca="false">IF(C188="","",IFERROR(IF(LEFT(C188,1)="L",INDEX('Leads Pipeline'!$E$5:$E$1004,MATCH(C188,'Leads Pipeline'!$A$5:$A$1004,0)),INDEX('Active Clients'!$C$5:$C$504,MATCH(C188,'Active Clients'!$A$5:$A$504,0)))&amp;"","ID not found"))</f>
        <v/>
      </c>
      <c r="G188" s="16"/>
      <c r="H188" s="16"/>
      <c r="I188" s="16"/>
      <c r="J188" s="16"/>
      <c r="K188" s="16"/>
      <c r="L188" s="18"/>
    </row>
    <row r="189" customFormat="false" ht="15" hidden="false" customHeight="false" outlineLevel="0" collapsed="false">
      <c r="A189" s="18"/>
      <c r="B189" s="16"/>
      <c r="C189" s="16"/>
      <c r="D189" s="51" t="str">
        <f aca="false">IF(C189="","",IFERROR(IF(LEFT(C189,1)="L",INDEX('Leads Pipeline'!$F$5:$F$1004,MATCH(C189,'Leads Pipeline'!$A$5:$A$1004,0)),INDEX('Active Clients'!$D$5:$D$504,MATCH(C189,'Active Clients'!$A$5:$A$504,0)))&amp;"","ID not found"))</f>
        <v/>
      </c>
      <c r="E189" s="51" t="str">
        <f aca="false">IF(C189="","",IFERROR(IF(LEFT(C189,1)="L",INDEX('Leads Pipeline'!$D$5:$D$1004,MATCH(C189,'Leads Pipeline'!$A$5:$A$1004,0)),INDEX('Active Clients'!$B$5:$B$504,MATCH(C189,'Active Clients'!$A$5:$A$504,0)))&amp;"","ID not found"))</f>
        <v/>
      </c>
      <c r="F189" s="51" t="str">
        <f aca="false">IF(C189="","",IFERROR(IF(LEFT(C189,1)="L",INDEX('Leads Pipeline'!$E$5:$E$1004,MATCH(C189,'Leads Pipeline'!$A$5:$A$1004,0)),INDEX('Active Clients'!$C$5:$C$504,MATCH(C189,'Active Clients'!$A$5:$A$504,0)))&amp;"","ID not found"))</f>
        <v/>
      </c>
      <c r="G189" s="16"/>
      <c r="H189" s="16"/>
      <c r="I189" s="16"/>
      <c r="J189" s="16"/>
      <c r="K189" s="16"/>
      <c r="L189" s="18"/>
    </row>
    <row r="190" customFormat="false" ht="15" hidden="false" customHeight="false" outlineLevel="0" collapsed="false">
      <c r="A190" s="18"/>
      <c r="B190" s="16"/>
      <c r="C190" s="16"/>
      <c r="D190" s="51" t="str">
        <f aca="false">IF(C190="","",IFERROR(IF(LEFT(C190,1)="L",INDEX('Leads Pipeline'!$F$5:$F$1004,MATCH(C190,'Leads Pipeline'!$A$5:$A$1004,0)),INDEX('Active Clients'!$D$5:$D$504,MATCH(C190,'Active Clients'!$A$5:$A$504,0)))&amp;"","ID not found"))</f>
        <v/>
      </c>
      <c r="E190" s="51" t="str">
        <f aca="false">IF(C190="","",IFERROR(IF(LEFT(C190,1)="L",INDEX('Leads Pipeline'!$D$5:$D$1004,MATCH(C190,'Leads Pipeline'!$A$5:$A$1004,0)),INDEX('Active Clients'!$B$5:$B$504,MATCH(C190,'Active Clients'!$A$5:$A$504,0)))&amp;"","ID not found"))</f>
        <v/>
      </c>
      <c r="F190" s="51" t="str">
        <f aca="false">IF(C190="","",IFERROR(IF(LEFT(C190,1)="L",INDEX('Leads Pipeline'!$E$5:$E$1004,MATCH(C190,'Leads Pipeline'!$A$5:$A$1004,0)),INDEX('Active Clients'!$C$5:$C$504,MATCH(C190,'Active Clients'!$A$5:$A$504,0)))&amp;"","ID not found"))</f>
        <v/>
      </c>
      <c r="G190" s="16"/>
      <c r="H190" s="16"/>
      <c r="I190" s="16"/>
      <c r="J190" s="16"/>
      <c r="K190" s="16"/>
      <c r="L190" s="18"/>
    </row>
    <row r="191" customFormat="false" ht="15" hidden="false" customHeight="false" outlineLevel="0" collapsed="false">
      <c r="A191" s="18"/>
      <c r="B191" s="16"/>
      <c r="C191" s="16"/>
      <c r="D191" s="51" t="str">
        <f aca="false">IF(C191="","",IFERROR(IF(LEFT(C191,1)="L",INDEX('Leads Pipeline'!$F$5:$F$1004,MATCH(C191,'Leads Pipeline'!$A$5:$A$1004,0)),INDEX('Active Clients'!$D$5:$D$504,MATCH(C191,'Active Clients'!$A$5:$A$504,0)))&amp;"","ID not found"))</f>
        <v/>
      </c>
      <c r="E191" s="51" t="str">
        <f aca="false">IF(C191="","",IFERROR(IF(LEFT(C191,1)="L",INDEX('Leads Pipeline'!$D$5:$D$1004,MATCH(C191,'Leads Pipeline'!$A$5:$A$1004,0)),INDEX('Active Clients'!$B$5:$B$504,MATCH(C191,'Active Clients'!$A$5:$A$504,0)))&amp;"","ID not found"))</f>
        <v/>
      </c>
      <c r="F191" s="51" t="str">
        <f aca="false">IF(C191="","",IFERROR(IF(LEFT(C191,1)="L",INDEX('Leads Pipeline'!$E$5:$E$1004,MATCH(C191,'Leads Pipeline'!$A$5:$A$1004,0)),INDEX('Active Clients'!$C$5:$C$504,MATCH(C191,'Active Clients'!$A$5:$A$504,0)))&amp;"","ID not found"))</f>
        <v/>
      </c>
      <c r="G191" s="16"/>
      <c r="H191" s="16"/>
      <c r="I191" s="16"/>
      <c r="J191" s="16"/>
      <c r="K191" s="16"/>
      <c r="L191" s="18"/>
    </row>
    <row r="192" customFormat="false" ht="15" hidden="false" customHeight="false" outlineLevel="0" collapsed="false">
      <c r="A192" s="18"/>
      <c r="B192" s="16"/>
      <c r="C192" s="16"/>
      <c r="D192" s="51" t="str">
        <f aca="false">IF(C192="","",IFERROR(IF(LEFT(C192,1)="L",INDEX('Leads Pipeline'!$F$5:$F$1004,MATCH(C192,'Leads Pipeline'!$A$5:$A$1004,0)),INDEX('Active Clients'!$D$5:$D$504,MATCH(C192,'Active Clients'!$A$5:$A$504,0)))&amp;"","ID not found"))</f>
        <v/>
      </c>
      <c r="E192" s="51" t="str">
        <f aca="false">IF(C192="","",IFERROR(IF(LEFT(C192,1)="L",INDEX('Leads Pipeline'!$D$5:$D$1004,MATCH(C192,'Leads Pipeline'!$A$5:$A$1004,0)),INDEX('Active Clients'!$B$5:$B$504,MATCH(C192,'Active Clients'!$A$5:$A$504,0)))&amp;"","ID not found"))</f>
        <v/>
      </c>
      <c r="F192" s="51" t="str">
        <f aca="false">IF(C192="","",IFERROR(IF(LEFT(C192,1)="L",INDEX('Leads Pipeline'!$E$5:$E$1004,MATCH(C192,'Leads Pipeline'!$A$5:$A$1004,0)),INDEX('Active Clients'!$C$5:$C$504,MATCH(C192,'Active Clients'!$A$5:$A$504,0)))&amp;"","ID not found"))</f>
        <v/>
      </c>
      <c r="G192" s="16"/>
      <c r="H192" s="16"/>
      <c r="I192" s="16"/>
      <c r="J192" s="16"/>
      <c r="K192" s="16"/>
      <c r="L192" s="18"/>
    </row>
    <row r="193" customFormat="false" ht="15" hidden="false" customHeight="false" outlineLevel="0" collapsed="false">
      <c r="A193" s="18"/>
      <c r="B193" s="16"/>
      <c r="C193" s="16"/>
      <c r="D193" s="51" t="str">
        <f aca="false">IF(C193="","",IFERROR(IF(LEFT(C193,1)="L",INDEX('Leads Pipeline'!$F$5:$F$1004,MATCH(C193,'Leads Pipeline'!$A$5:$A$1004,0)),INDEX('Active Clients'!$D$5:$D$504,MATCH(C193,'Active Clients'!$A$5:$A$504,0)))&amp;"","ID not found"))</f>
        <v/>
      </c>
      <c r="E193" s="51" t="str">
        <f aca="false">IF(C193="","",IFERROR(IF(LEFT(C193,1)="L",INDEX('Leads Pipeline'!$D$5:$D$1004,MATCH(C193,'Leads Pipeline'!$A$5:$A$1004,0)),INDEX('Active Clients'!$B$5:$B$504,MATCH(C193,'Active Clients'!$A$5:$A$504,0)))&amp;"","ID not found"))</f>
        <v/>
      </c>
      <c r="F193" s="51" t="str">
        <f aca="false">IF(C193="","",IFERROR(IF(LEFT(C193,1)="L",INDEX('Leads Pipeline'!$E$5:$E$1004,MATCH(C193,'Leads Pipeline'!$A$5:$A$1004,0)),INDEX('Active Clients'!$C$5:$C$504,MATCH(C193,'Active Clients'!$A$5:$A$504,0)))&amp;"","ID not found"))</f>
        <v/>
      </c>
      <c r="G193" s="16"/>
      <c r="H193" s="16"/>
      <c r="I193" s="16"/>
      <c r="J193" s="16"/>
      <c r="K193" s="16"/>
      <c r="L193" s="18"/>
    </row>
    <row r="194" customFormat="false" ht="15" hidden="false" customHeight="false" outlineLevel="0" collapsed="false">
      <c r="A194" s="18"/>
      <c r="B194" s="16"/>
      <c r="C194" s="16"/>
      <c r="D194" s="51" t="str">
        <f aca="false">IF(C194="","",IFERROR(IF(LEFT(C194,1)="L",INDEX('Leads Pipeline'!$F$5:$F$1004,MATCH(C194,'Leads Pipeline'!$A$5:$A$1004,0)),INDEX('Active Clients'!$D$5:$D$504,MATCH(C194,'Active Clients'!$A$5:$A$504,0)))&amp;"","ID not found"))</f>
        <v/>
      </c>
      <c r="E194" s="51" t="str">
        <f aca="false">IF(C194="","",IFERROR(IF(LEFT(C194,1)="L",INDEX('Leads Pipeline'!$D$5:$D$1004,MATCH(C194,'Leads Pipeline'!$A$5:$A$1004,0)),INDEX('Active Clients'!$B$5:$B$504,MATCH(C194,'Active Clients'!$A$5:$A$504,0)))&amp;"","ID not found"))</f>
        <v/>
      </c>
      <c r="F194" s="51" t="str">
        <f aca="false">IF(C194="","",IFERROR(IF(LEFT(C194,1)="L",INDEX('Leads Pipeline'!$E$5:$E$1004,MATCH(C194,'Leads Pipeline'!$A$5:$A$1004,0)),INDEX('Active Clients'!$C$5:$C$504,MATCH(C194,'Active Clients'!$A$5:$A$504,0)))&amp;"","ID not found"))</f>
        <v/>
      </c>
      <c r="G194" s="16"/>
      <c r="H194" s="16"/>
      <c r="I194" s="16"/>
      <c r="J194" s="16"/>
      <c r="K194" s="16"/>
      <c r="L194" s="18"/>
    </row>
    <row r="195" customFormat="false" ht="15" hidden="false" customHeight="false" outlineLevel="0" collapsed="false">
      <c r="A195" s="18"/>
      <c r="B195" s="16"/>
      <c r="C195" s="16"/>
      <c r="D195" s="51" t="str">
        <f aca="false">IF(C195="","",IFERROR(IF(LEFT(C195,1)="L",INDEX('Leads Pipeline'!$F$5:$F$1004,MATCH(C195,'Leads Pipeline'!$A$5:$A$1004,0)),INDEX('Active Clients'!$D$5:$D$504,MATCH(C195,'Active Clients'!$A$5:$A$504,0)))&amp;"","ID not found"))</f>
        <v/>
      </c>
      <c r="E195" s="51" t="str">
        <f aca="false">IF(C195="","",IFERROR(IF(LEFT(C195,1)="L",INDEX('Leads Pipeline'!$D$5:$D$1004,MATCH(C195,'Leads Pipeline'!$A$5:$A$1004,0)),INDEX('Active Clients'!$B$5:$B$504,MATCH(C195,'Active Clients'!$A$5:$A$504,0)))&amp;"","ID not found"))</f>
        <v/>
      </c>
      <c r="F195" s="51" t="str">
        <f aca="false">IF(C195="","",IFERROR(IF(LEFT(C195,1)="L",INDEX('Leads Pipeline'!$E$5:$E$1004,MATCH(C195,'Leads Pipeline'!$A$5:$A$1004,0)),INDEX('Active Clients'!$C$5:$C$504,MATCH(C195,'Active Clients'!$A$5:$A$504,0)))&amp;"","ID not found"))</f>
        <v/>
      </c>
      <c r="G195" s="16"/>
      <c r="H195" s="16"/>
      <c r="I195" s="16"/>
      <c r="J195" s="16"/>
      <c r="K195" s="16"/>
      <c r="L195" s="18"/>
    </row>
    <row r="196" customFormat="false" ht="15" hidden="false" customHeight="false" outlineLevel="0" collapsed="false">
      <c r="A196" s="18"/>
      <c r="B196" s="16"/>
      <c r="C196" s="16"/>
      <c r="D196" s="51" t="str">
        <f aca="false">IF(C196="","",IFERROR(IF(LEFT(C196,1)="L",INDEX('Leads Pipeline'!$F$5:$F$1004,MATCH(C196,'Leads Pipeline'!$A$5:$A$1004,0)),INDEX('Active Clients'!$D$5:$D$504,MATCH(C196,'Active Clients'!$A$5:$A$504,0)))&amp;"","ID not found"))</f>
        <v/>
      </c>
      <c r="E196" s="51" t="str">
        <f aca="false">IF(C196="","",IFERROR(IF(LEFT(C196,1)="L",INDEX('Leads Pipeline'!$D$5:$D$1004,MATCH(C196,'Leads Pipeline'!$A$5:$A$1004,0)),INDEX('Active Clients'!$B$5:$B$504,MATCH(C196,'Active Clients'!$A$5:$A$504,0)))&amp;"","ID not found"))</f>
        <v/>
      </c>
      <c r="F196" s="51" t="str">
        <f aca="false">IF(C196="","",IFERROR(IF(LEFT(C196,1)="L",INDEX('Leads Pipeline'!$E$5:$E$1004,MATCH(C196,'Leads Pipeline'!$A$5:$A$1004,0)),INDEX('Active Clients'!$C$5:$C$504,MATCH(C196,'Active Clients'!$A$5:$A$504,0)))&amp;"","ID not found"))</f>
        <v/>
      </c>
      <c r="G196" s="16"/>
      <c r="H196" s="16"/>
      <c r="I196" s="16"/>
      <c r="J196" s="16"/>
      <c r="K196" s="16"/>
      <c r="L196" s="18"/>
    </row>
    <row r="197" customFormat="false" ht="15" hidden="false" customHeight="false" outlineLevel="0" collapsed="false">
      <c r="A197" s="18"/>
      <c r="B197" s="16"/>
      <c r="C197" s="16"/>
      <c r="D197" s="51" t="str">
        <f aca="false">IF(C197="","",IFERROR(IF(LEFT(C197,1)="L",INDEX('Leads Pipeline'!$F$5:$F$1004,MATCH(C197,'Leads Pipeline'!$A$5:$A$1004,0)),INDEX('Active Clients'!$D$5:$D$504,MATCH(C197,'Active Clients'!$A$5:$A$504,0)))&amp;"","ID not found"))</f>
        <v/>
      </c>
      <c r="E197" s="51" t="str">
        <f aca="false">IF(C197="","",IFERROR(IF(LEFT(C197,1)="L",INDEX('Leads Pipeline'!$D$5:$D$1004,MATCH(C197,'Leads Pipeline'!$A$5:$A$1004,0)),INDEX('Active Clients'!$B$5:$B$504,MATCH(C197,'Active Clients'!$A$5:$A$504,0)))&amp;"","ID not found"))</f>
        <v/>
      </c>
      <c r="F197" s="51" t="str">
        <f aca="false">IF(C197="","",IFERROR(IF(LEFT(C197,1)="L",INDEX('Leads Pipeline'!$E$5:$E$1004,MATCH(C197,'Leads Pipeline'!$A$5:$A$1004,0)),INDEX('Active Clients'!$C$5:$C$504,MATCH(C197,'Active Clients'!$A$5:$A$504,0)))&amp;"","ID not found"))</f>
        <v/>
      </c>
      <c r="G197" s="16"/>
      <c r="H197" s="16"/>
      <c r="I197" s="16"/>
      <c r="J197" s="16"/>
      <c r="K197" s="16"/>
      <c r="L197" s="18"/>
    </row>
    <row r="198" customFormat="false" ht="15" hidden="false" customHeight="false" outlineLevel="0" collapsed="false">
      <c r="A198" s="18"/>
      <c r="B198" s="16"/>
      <c r="C198" s="16"/>
      <c r="D198" s="51" t="str">
        <f aca="false">IF(C198="","",IFERROR(IF(LEFT(C198,1)="L",INDEX('Leads Pipeline'!$F$5:$F$1004,MATCH(C198,'Leads Pipeline'!$A$5:$A$1004,0)),INDEX('Active Clients'!$D$5:$D$504,MATCH(C198,'Active Clients'!$A$5:$A$504,0)))&amp;"","ID not found"))</f>
        <v/>
      </c>
      <c r="E198" s="51" t="str">
        <f aca="false">IF(C198="","",IFERROR(IF(LEFT(C198,1)="L",INDEX('Leads Pipeline'!$D$5:$D$1004,MATCH(C198,'Leads Pipeline'!$A$5:$A$1004,0)),INDEX('Active Clients'!$B$5:$B$504,MATCH(C198,'Active Clients'!$A$5:$A$504,0)))&amp;"","ID not found"))</f>
        <v/>
      </c>
      <c r="F198" s="51" t="str">
        <f aca="false">IF(C198="","",IFERROR(IF(LEFT(C198,1)="L",INDEX('Leads Pipeline'!$E$5:$E$1004,MATCH(C198,'Leads Pipeline'!$A$5:$A$1004,0)),INDEX('Active Clients'!$C$5:$C$504,MATCH(C198,'Active Clients'!$A$5:$A$504,0)))&amp;"","ID not found"))</f>
        <v/>
      </c>
      <c r="G198" s="16"/>
      <c r="H198" s="16"/>
      <c r="I198" s="16"/>
      <c r="J198" s="16"/>
      <c r="K198" s="16"/>
      <c r="L198" s="18"/>
    </row>
    <row r="199" customFormat="false" ht="15" hidden="false" customHeight="false" outlineLevel="0" collapsed="false">
      <c r="A199" s="18"/>
      <c r="B199" s="16"/>
      <c r="C199" s="16"/>
      <c r="D199" s="51" t="str">
        <f aca="false">IF(C199="","",IFERROR(IF(LEFT(C199,1)="L",INDEX('Leads Pipeline'!$F$5:$F$1004,MATCH(C199,'Leads Pipeline'!$A$5:$A$1004,0)),INDEX('Active Clients'!$D$5:$D$504,MATCH(C199,'Active Clients'!$A$5:$A$504,0)))&amp;"","ID not found"))</f>
        <v/>
      </c>
      <c r="E199" s="51" t="str">
        <f aca="false">IF(C199="","",IFERROR(IF(LEFT(C199,1)="L",INDEX('Leads Pipeline'!$D$5:$D$1004,MATCH(C199,'Leads Pipeline'!$A$5:$A$1004,0)),INDEX('Active Clients'!$B$5:$B$504,MATCH(C199,'Active Clients'!$A$5:$A$504,0)))&amp;"","ID not found"))</f>
        <v/>
      </c>
      <c r="F199" s="51" t="str">
        <f aca="false">IF(C199="","",IFERROR(IF(LEFT(C199,1)="L",INDEX('Leads Pipeline'!$E$5:$E$1004,MATCH(C199,'Leads Pipeline'!$A$5:$A$1004,0)),INDEX('Active Clients'!$C$5:$C$504,MATCH(C199,'Active Clients'!$A$5:$A$504,0)))&amp;"","ID not found"))</f>
        <v/>
      </c>
      <c r="G199" s="16"/>
      <c r="H199" s="16"/>
      <c r="I199" s="16"/>
      <c r="J199" s="16"/>
      <c r="K199" s="16"/>
      <c r="L199" s="18"/>
    </row>
    <row r="200" customFormat="false" ht="15" hidden="false" customHeight="false" outlineLevel="0" collapsed="false">
      <c r="A200" s="18"/>
      <c r="B200" s="16"/>
      <c r="C200" s="16"/>
      <c r="D200" s="51" t="str">
        <f aca="false">IF(C200="","",IFERROR(IF(LEFT(C200,1)="L",INDEX('Leads Pipeline'!$F$5:$F$1004,MATCH(C200,'Leads Pipeline'!$A$5:$A$1004,0)),INDEX('Active Clients'!$D$5:$D$504,MATCH(C200,'Active Clients'!$A$5:$A$504,0)))&amp;"","ID not found"))</f>
        <v/>
      </c>
      <c r="E200" s="51" t="str">
        <f aca="false">IF(C200="","",IFERROR(IF(LEFT(C200,1)="L",INDEX('Leads Pipeline'!$D$5:$D$1004,MATCH(C200,'Leads Pipeline'!$A$5:$A$1004,0)),INDEX('Active Clients'!$B$5:$B$504,MATCH(C200,'Active Clients'!$A$5:$A$504,0)))&amp;"","ID not found"))</f>
        <v/>
      </c>
      <c r="F200" s="51" t="str">
        <f aca="false">IF(C200="","",IFERROR(IF(LEFT(C200,1)="L",INDEX('Leads Pipeline'!$E$5:$E$1004,MATCH(C200,'Leads Pipeline'!$A$5:$A$1004,0)),INDEX('Active Clients'!$C$5:$C$504,MATCH(C200,'Active Clients'!$A$5:$A$504,0)))&amp;"","ID not found"))</f>
        <v/>
      </c>
      <c r="G200" s="16"/>
      <c r="H200" s="16"/>
      <c r="I200" s="16"/>
      <c r="J200" s="16"/>
      <c r="K200" s="16"/>
      <c r="L200" s="18"/>
    </row>
    <row r="201" customFormat="false" ht="15" hidden="false" customHeight="false" outlineLevel="0" collapsed="false">
      <c r="A201" s="18"/>
      <c r="B201" s="16"/>
      <c r="C201" s="16"/>
      <c r="D201" s="51" t="str">
        <f aca="false">IF(C201="","",IFERROR(IF(LEFT(C201,1)="L",INDEX('Leads Pipeline'!$F$5:$F$1004,MATCH(C201,'Leads Pipeline'!$A$5:$A$1004,0)),INDEX('Active Clients'!$D$5:$D$504,MATCH(C201,'Active Clients'!$A$5:$A$504,0)))&amp;"","ID not found"))</f>
        <v/>
      </c>
      <c r="E201" s="51" t="str">
        <f aca="false">IF(C201="","",IFERROR(IF(LEFT(C201,1)="L",INDEX('Leads Pipeline'!$D$5:$D$1004,MATCH(C201,'Leads Pipeline'!$A$5:$A$1004,0)),INDEX('Active Clients'!$B$5:$B$504,MATCH(C201,'Active Clients'!$A$5:$A$504,0)))&amp;"","ID not found"))</f>
        <v/>
      </c>
      <c r="F201" s="51" t="str">
        <f aca="false">IF(C201="","",IFERROR(IF(LEFT(C201,1)="L",INDEX('Leads Pipeline'!$E$5:$E$1004,MATCH(C201,'Leads Pipeline'!$A$5:$A$1004,0)),INDEX('Active Clients'!$C$5:$C$504,MATCH(C201,'Active Clients'!$A$5:$A$504,0)))&amp;"","ID not found"))</f>
        <v/>
      </c>
      <c r="G201" s="16"/>
      <c r="H201" s="16"/>
      <c r="I201" s="16"/>
      <c r="J201" s="16"/>
      <c r="K201" s="16"/>
      <c r="L201" s="18"/>
    </row>
    <row r="202" customFormat="false" ht="15" hidden="false" customHeight="false" outlineLevel="0" collapsed="false">
      <c r="A202" s="18"/>
      <c r="B202" s="16"/>
      <c r="C202" s="16"/>
      <c r="D202" s="51" t="str">
        <f aca="false">IF(C202="","",IFERROR(IF(LEFT(C202,1)="L",INDEX('Leads Pipeline'!$F$5:$F$1004,MATCH(C202,'Leads Pipeline'!$A$5:$A$1004,0)),INDEX('Active Clients'!$D$5:$D$504,MATCH(C202,'Active Clients'!$A$5:$A$504,0)))&amp;"","ID not found"))</f>
        <v/>
      </c>
      <c r="E202" s="51" t="str">
        <f aca="false">IF(C202="","",IFERROR(IF(LEFT(C202,1)="L",INDEX('Leads Pipeline'!$D$5:$D$1004,MATCH(C202,'Leads Pipeline'!$A$5:$A$1004,0)),INDEX('Active Clients'!$B$5:$B$504,MATCH(C202,'Active Clients'!$A$5:$A$504,0)))&amp;"","ID not found"))</f>
        <v/>
      </c>
      <c r="F202" s="51" t="str">
        <f aca="false">IF(C202="","",IFERROR(IF(LEFT(C202,1)="L",INDEX('Leads Pipeline'!$E$5:$E$1004,MATCH(C202,'Leads Pipeline'!$A$5:$A$1004,0)),INDEX('Active Clients'!$C$5:$C$504,MATCH(C202,'Active Clients'!$A$5:$A$504,0)))&amp;"","ID not found"))</f>
        <v/>
      </c>
      <c r="G202" s="16"/>
      <c r="H202" s="16"/>
      <c r="I202" s="16"/>
      <c r="J202" s="16"/>
      <c r="K202" s="16"/>
      <c r="L202" s="18"/>
    </row>
    <row r="203" customFormat="false" ht="15" hidden="false" customHeight="false" outlineLevel="0" collapsed="false">
      <c r="A203" s="18"/>
      <c r="B203" s="16"/>
      <c r="C203" s="16"/>
      <c r="D203" s="51" t="str">
        <f aca="false">IF(C203="","",IFERROR(IF(LEFT(C203,1)="L",INDEX('Leads Pipeline'!$F$5:$F$1004,MATCH(C203,'Leads Pipeline'!$A$5:$A$1004,0)),INDEX('Active Clients'!$D$5:$D$504,MATCH(C203,'Active Clients'!$A$5:$A$504,0)))&amp;"","ID not found"))</f>
        <v/>
      </c>
      <c r="E203" s="51" t="str">
        <f aca="false">IF(C203="","",IFERROR(IF(LEFT(C203,1)="L",INDEX('Leads Pipeline'!$D$5:$D$1004,MATCH(C203,'Leads Pipeline'!$A$5:$A$1004,0)),INDEX('Active Clients'!$B$5:$B$504,MATCH(C203,'Active Clients'!$A$5:$A$504,0)))&amp;"","ID not found"))</f>
        <v/>
      </c>
      <c r="F203" s="51" t="str">
        <f aca="false">IF(C203="","",IFERROR(IF(LEFT(C203,1)="L",INDEX('Leads Pipeline'!$E$5:$E$1004,MATCH(C203,'Leads Pipeline'!$A$5:$A$1004,0)),INDEX('Active Clients'!$C$5:$C$504,MATCH(C203,'Active Clients'!$A$5:$A$504,0)))&amp;"","ID not found"))</f>
        <v/>
      </c>
      <c r="G203" s="16"/>
      <c r="H203" s="16"/>
      <c r="I203" s="16"/>
      <c r="J203" s="16"/>
      <c r="K203" s="16"/>
      <c r="L203" s="18"/>
    </row>
    <row r="204" customFormat="false" ht="15" hidden="false" customHeight="false" outlineLevel="0" collapsed="false">
      <c r="A204" s="18"/>
      <c r="B204" s="16"/>
      <c r="C204" s="16"/>
      <c r="D204" s="51" t="str">
        <f aca="false">IF(C204="","",IFERROR(IF(LEFT(C204,1)="L",INDEX('Leads Pipeline'!$F$5:$F$1004,MATCH(C204,'Leads Pipeline'!$A$5:$A$1004,0)),INDEX('Active Clients'!$D$5:$D$504,MATCH(C204,'Active Clients'!$A$5:$A$504,0)))&amp;"","ID not found"))</f>
        <v/>
      </c>
      <c r="E204" s="51" t="str">
        <f aca="false">IF(C204="","",IFERROR(IF(LEFT(C204,1)="L",INDEX('Leads Pipeline'!$D$5:$D$1004,MATCH(C204,'Leads Pipeline'!$A$5:$A$1004,0)),INDEX('Active Clients'!$B$5:$B$504,MATCH(C204,'Active Clients'!$A$5:$A$504,0)))&amp;"","ID not found"))</f>
        <v/>
      </c>
      <c r="F204" s="51" t="str">
        <f aca="false">IF(C204="","",IFERROR(IF(LEFT(C204,1)="L",INDEX('Leads Pipeline'!$E$5:$E$1004,MATCH(C204,'Leads Pipeline'!$A$5:$A$1004,0)),INDEX('Active Clients'!$C$5:$C$504,MATCH(C204,'Active Clients'!$A$5:$A$504,0)))&amp;"","ID not found"))</f>
        <v/>
      </c>
      <c r="G204" s="16"/>
      <c r="H204" s="16"/>
      <c r="I204" s="16"/>
      <c r="J204" s="16"/>
      <c r="K204" s="16"/>
      <c r="L204" s="18"/>
    </row>
    <row r="205" customFormat="false" ht="15" hidden="false" customHeight="false" outlineLevel="0" collapsed="false">
      <c r="A205" s="18"/>
      <c r="B205" s="16"/>
      <c r="C205" s="16"/>
      <c r="D205" s="51" t="str">
        <f aca="false">IF(C205="","",IFERROR(IF(LEFT(C205,1)="L",INDEX('Leads Pipeline'!$F$5:$F$1004,MATCH(C205,'Leads Pipeline'!$A$5:$A$1004,0)),INDEX('Active Clients'!$D$5:$D$504,MATCH(C205,'Active Clients'!$A$5:$A$504,0)))&amp;"","ID not found"))</f>
        <v/>
      </c>
      <c r="E205" s="51" t="str">
        <f aca="false">IF(C205="","",IFERROR(IF(LEFT(C205,1)="L",INDEX('Leads Pipeline'!$D$5:$D$1004,MATCH(C205,'Leads Pipeline'!$A$5:$A$1004,0)),INDEX('Active Clients'!$B$5:$B$504,MATCH(C205,'Active Clients'!$A$5:$A$504,0)))&amp;"","ID not found"))</f>
        <v/>
      </c>
      <c r="F205" s="51" t="str">
        <f aca="false">IF(C205="","",IFERROR(IF(LEFT(C205,1)="L",INDEX('Leads Pipeline'!$E$5:$E$1004,MATCH(C205,'Leads Pipeline'!$A$5:$A$1004,0)),INDEX('Active Clients'!$C$5:$C$504,MATCH(C205,'Active Clients'!$A$5:$A$504,0)))&amp;"","ID not found"))</f>
        <v/>
      </c>
      <c r="G205" s="16"/>
      <c r="H205" s="16"/>
      <c r="I205" s="16"/>
      <c r="J205" s="16"/>
      <c r="K205" s="16"/>
      <c r="L205" s="18"/>
    </row>
    <row r="206" customFormat="false" ht="15" hidden="false" customHeight="false" outlineLevel="0" collapsed="false">
      <c r="A206" s="18"/>
      <c r="B206" s="16"/>
      <c r="C206" s="16"/>
      <c r="D206" s="51" t="str">
        <f aca="false">IF(C206="","",IFERROR(IF(LEFT(C206,1)="L",INDEX('Leads Pipeline'!$F$5:$F$1004,MATCH(C206,'Leads Pipeline'!$A$5:$A$1004,0)),INDEX('Active Clients'!$D$5:$D$504,MATCH(C206,'Active Clients'!$A$5:$A$504,0)))&amp;"","ID not found"))</f>
        <v/>
      </c>
      <c r="E206" s="51" t="str">
        <f aca="false">IF(C206="","",IFERROR(IF(LEFT(C206,1)="L",INDEX('Leads Pipeline'!$D$5:$D$1004,MATCH(C206,'Leads Pipeline'!$A$5:$A$1004,0)),INDEX('Active Clients'!$B$5:$B$504,MATCH(C206,'Active Clients'!$A$5:$A$504,0)))&amp;"","ID not found"))</f>
        <v/>
      </c>
      <c r="F206" s="51" t="str">
        <f aca="false">IF(C206="","",IFERROR(IF(LEFT(C206,1)="L",INDEX('Leads Pipeline'!$E$5:$E$1004,MATCH(C206,'Leads Pipeline'!$A$5:$A$1004,0)),INDEX('Active Clients'!$C$5:$C$504,MATCH(C206,'Active Clients'!$A$5:$A$504,0)))&amp;"","ID not found"))</f>
        <v/>
      </c>
      <c r="G206" s="16"/>
      <c r="H206" s="16"/>
      <c r="I206" s="16"/>
      <c r="J206" s="16"/>
      <c r="K206" s="16"/>
      <c r="L206" s="18"/>
    </row>
    <row r="207" customFormat="false" ht="15" hidden="false" customHeight="false" outlineLevel="0" collapsed="false">
      <c r="A207" s="18"/>
      <c r="B207" s="16"/>
      <c r="C207" s="16"/>
      <c r="D207" s="51" t="str">
        <f aca="false">IF(C207="","",IFERROR(IF(LEFT(C207,1)="L",INDEX('Leads Pipeline'!$F$5:$F$1004,MATCH(C207,'Leads Pipeline'!$A$5:$A$1004,0)),INDEX('Active Clients'!$D$5:$D$504,MATCH(C207,'Active Clients'!$A$5:$A$504,0)))&amp;"","ID not found"))</f>
        <v/>
      </c>
      <c r="E207" s="51" t="str">
        <f aca="false">IF(C207="","",IFERROR(IF(LEFT(C207,1)="L",INDEX('Leads Pipeline'!$D$5:$D$1004,MATCH(C207,'Leads Pipeline'!$A$5:$A$1004,0)),INDEX('Active Clients'!$B$5:$B$504,MATCH(C207,'Active Clients'!$A$5:$A$504,0)))&amp;"","ID not found"))</f>
        <v/>
      </c>
      <c r="F207" s="51" t="str">
        <f aca="false">IF(C207="","",IFERROR(IF(LEFT(C207,1)="L",INDEX('Leads Pipeline'!$E$5:$E$1004,MATCH(C207,'Leads Pipeline'!$A$5:$A$1004,0)),INDEX('Active Clients'!$C$5:$C$504,MATCH(C207,'Active Clients'!$A$5:$A$504,0)))&amp;"","ID not found"))</f>
        <v/>
      </c>
      <c r="G207" s="16"/>
      <c r="H207" s="16"/>
      <c r="I207" s="16"/>
      <c r="J207" s="16"/>
      <c r="K207" s="16"/>
      <c r="L207" s="18"/>
    </row>
    <row r="208" customFormat="false" ht="15" hidden="false" customHeight="false" outlineLevel="0" collapsed="false">
      <c r="A208" s="18"/>
      <c r="B208" s="16"/>
      <c r="C208" s="16"/>
      <c r="D208" s="51" t="str">
        <f aca="false">IF(C208="","",IFERROR(IF(LEFT(C208,1)="L",INDEX('Leads Pipeline'!$F$5:$F$1004,MATCH(C208,'Leads Pipeline'!$A$5:$A$1004,0)),INDEX('Active Clients'!$D$5:$D$504,MATCH(C208,'Active Clients'!$A$5:$A$504,0)))&amp;"","ID not found"))</f>
        <v/>
      </c>
      <c r="E208" s="51" t="str">
        <f aca="false">IF(C208="","",IFERROR(IF(LEFT(C208,1)="L",INDEX('Leads Pipeline'!$D$5:$D$1004,MATCH(C208,'Leads Pipeline'!$A$5:$A$1004,0)),INDEX('Active Clients'!$B$5:$B$504,MATCH(C208,'Active Clients'!$A$5:$A$504,0)))&amp;"","ID not found"))</f>
        <v/>
      </c>
      <c r="F208" s="51" t="str">
        <f aca="false">IF(C208="","",IFERROR(IF(LEFT(C208,1)="L",INDEX('Leads Pipeline'!$E$5:$E$1004,MATCH(C208,'Leads Pipeline'!$A$5:$A$1004,0)),INDEX('Active Clients'!$C$5:$C$504,MATCH(C208,'Active Clients'!$A$5:$A$504,0)))&amp;"","ID not found"))</f>
        <v/>
      </c>
      <c r="G208" s="16"/>
      <c r="H208" s="16"/>
      <c r="I208" s="16"/>
      <c r="J208" s="16"/>
      <c r="K208" s="16"/>
      <c r="L208" s="18"/>
    </row>
    <row r="209" customFormat="false" ht="15" hidden="false" customHeight="false" outlineLevel="0" collapsed="false">
      <c r="A209" s="18"/>
      <c r="B209" s="16"/>
      <c r="C209" s="16"/>
      <c r="D209" s="51" t="str">
        <f aca="false">IF(C209="","",IFERROR(IF(LEFT(C209,1)="L",INDEX('Leads Pipeline'!$F$5:$F$1004,MATCH(C209,'Leads Pipeline'!$A$5:$A$1004,0)),INDEX('Active Clients'!$D$5:$D$504,MATCH(C209,'Active Clients'!$A$5:$A$504,0)))&amp;"","ID not found"))</f>
        <v/>
      </c>
      <c r="E209" s="51" t="str">
        <f aca="false">IF(C209="","",IFERROR(IF(LEFT(C209,1)="L",INDEX('Leads Pipeline'!$D$5:$D$1004,MATCH(C209,'Leads Pipeline'!$A$5:$A$1004,0)),INDEX('Active Clients'!$B$5:$B$504,MATCH(C209,'Active Clients'!$A$5:$A$504,0)))&amp;"","ID not found"))</f>
        <v/>
      </c>
      <c r="F209" s="51" t="str">
        <f aca="false">IF(C209="","",IFERROR(IF(LEFT(C209,1)="L",INDEX('Leads Pipeline'!$E$5:$E$1004,MATCH(C209,'Leads Pipeline'!$A$5:$A$1004,0)),INDEX('Active Clients'!$C$5:$C$504,MATCH(C209,'Active Clients'!$A$5:$A$504,0)))&amp;"","ID not found"))</f>
        <v/>
      </c>
      <c r="G209" s="16"/>
      <c r="H209" s="16"/>
      <c r="I209" s="16"/>
      <c r="J209" s="16"/>
      <c r="K209" s="16"/>
      <c r="L209" s="18"/>
    </row>
    <row r="210" customFormat="false" ht="15" hidden="false" customHeight="false" outlineLevel="0" collapsed="false">
      <c r="A210" s="18"/>
      <c r="B210" s="16"/>
      <c r="C210" s="16"/>
      <c r="D210" s="51" t="str">
        <f aca="false">IF(C210="","",IFERROR(IF(LEFT(C210,1)="L",INDEX('Leads Pipeline'!$F$5:$F$1004,MATCH(C210,'Leads Pipeline'!$A$5:$A$1004,0)),INDEX('Active Clients'!$D$5:$D$504,MATCH(C210,'Active Clients'!$A$5:$A$504,0)))&amp;"","ID not found"))</f>
        <v/>
      </c>
      <c r="E210" s="51" t="str">
        <f aca="false">IF(C210="","",IFERROR(IF(LEFT(C210,1)="L",INDEX('Leads Pipeline'!$D$5:$D$1004,MATCH(C210,'Leads Pipeline'!$A$5:$A$1004,0)),INDEX('Active Clients'!$B$5:$B$504,MATCH(C210,'Active Clients'!$A$5:$A$504,0)))&amp;"","ID not found"))</f>
        <v/>
      </c>
      <c r="F210" s="51" t="str">
        <f aca="false">IF(C210="","",IFERROR(IF(LEFT(C210,1)="L",INDEX('Leads Pipeline'!$E$5:$E$1004,MATCH(C210,'Leads Pipeline'!$A$5:$A$1004,0)),INDEX('Active Clients'!$C$5:$C$504,MATCH(C210,'Active Clients'!$A$5:$A$504,0)))&amp;"","ID not found"))</f>
        <v/>
      </c>
      <c r="G210" s="16"/>
      <c r="H210" s="16"/>
      <c r="I210" s="16"/>
      <c r="J210" s="16"/>
      <c r="K210" s="16"/>
      <c r="L210" s="18"/>
    </row>
    <row r="211" customFormat="false" ht="15" hidden="false" customHeight="false" outlineLevel="0" collapsed="false">
      <c r="A211" s="18"/>
      <c r="B211" s="16"/>
      <c r="C211" s="16"/>
      <c r="D211" s="51" t="str">
        <f aca="false">IF(C211="","",IFERROR(IF(LEFT(C211,1)="L",INDEX('Leads Pipeline'!$F$5:$F$1004,MATCH(C211,'Leads Pipeline'!$A$5:$A$1004,0)),INDEX('Active Clients'!$D$5:$D$504,MATCH(C211,'Active Clients'!$A$5:$A$504,0)))&amp;"","ID not found"))</f>
        <v/>
      </c>
      <c r="E211" s="51" t="str">
        <f aca="false">IF(C211="","",IFERROR(IF(LEFT(C211,1)="L",INDEX('Leads Pipeline'!$D$5:$D$1004,MATCH(C211,'Leads Pipeline'!$A$5:$A$1004,0)),INDEX('Active Clients'!$B$5:$B$504,MATCH(C211,'Active Clients'!$A$5:$A$504,0)))&amp;"","ID not found"))</f>
        <v/>
      </c>
      <c r="F211" s="51" t="str">
        <f aca="false">IF(C211="","",IFERROR(IF(LEFT(C211,1)="L",INDEX('Leads Pipeline'!$E$5:$E$1004,MATCH(C211,'Leads Pipeline'!$A$5:$A$1004,0)),INDEX('Active Clients'!$C$5:$C$504,MATCH(C211,'Active Clients'!$A$5:$A$504,0)))&amp;"","ID not found"))</f>
        <v/>
      </c>
      <c r="G211" s="16"/>
      <c r="H211" s="16"/>
      <c r="I211" s="16"/>
      <c r="J211" s="16"/>
      <c r="K211" s="16"/>
      <c r="L211" s="18"/>
    </row>
    <row r="212" customFormat="false" ht="15" hidden="false" customHeight="false" outlineLevel="0" collapsed="false">
      <c r="A212" s="18"/>
      <c r="B212" s="16"/>
      <c r="C212" s="16"/>
      <c r="D212" s="51" t="str">
        <f aca="false">IF(C212="","",IFERROR(IF(LEFT(C212,1)="L",INDEX('Leads Pipeline'!$F$5:$F$1004,MATCH(C212,'Leads Pipeline'!$A$5:$A$1004,0)),INDEX('Active Clients'!$D$5:$D$504,MATCH(C212,'Active Clients'!$A$5:$A$504,0)))&amp;"","ID not found"))</f>
        <v/>
      </c>
      <c r="E212" s="51" t="str">
        <f aca="false">IF(C212="","",IFERROR(IF(LEFT(C212,1)="L",INDEX('Leads Pipeline'!$D$5:$D$1004,MATCH(C212,'Leads Pipeline'!$A$5:$A$1004,0)),INDEX('Active Clients'!$B$5:$B$504,MATCH(C212,'Active Clients'!$A$5:$A$504,0)))&amp;"","ID not found"))</f>
        <v/>
      </c>
      <c r="F212" s="51" t="str">
        <f aca="false">IF(C212="","",IFERROR(IF(LEFT(C212,1)="L",INDEX('Leads Pipeline'!$E$5:$E$1004,MATCH(C212,'Leads Pipeline'!$A$5:$A$1004,0)),INDEX('Active Clients'!$C$5:$C$504,MATCH(C212,'Active Clients'!$A$5:$A$504,0)))&amp;"","ID not found"))</f>
        <v/>
      </c>
      <c r="G212" s="16"/>
      <c r="H212" s="16"/>
      <c r="I212" s="16"/>
      <c r="J212" s="16"/>
      <c r="K212" s="16"/>
      <c r="L212" s="18"/>
    </row>
    <row r="213" customFormat="false" ht="15" hidden="false" customHeight="false" outlineLevel="0" collapsed="false">
      <c r="A213" s="18"/>
      <c r="B213" s="16"/>
      <c r="C213" s="16"/>
      <c r="D213" s="51" t="str">
        <f aca="false">IF(C213="","",IFERROR(IF(LEFT(C213,1)="L",INDEX('Leads Pipeline'!$F$5:$F$1004,MATCH(C213,'Leads Pipeline'!$A$5:$A$1004,0)),INDEX('Active Clients'!$D$5:$D$504,MATCH(C213,'Active Clients'!$A$5:$A$504,0)))&amp;"","ID not found"))</f>
        <v/>
      </c>
      <c r="E213" s="51" t="str">
        <f aca="false">IF(C213="","",IFERROR(IF(LEFT(C213,1)="L",INDEX('Leads Pipeline'!$D$5:$D$1004,MATCH(C213,'Leads Pipeline'!$A$5:$A$1004,0)),INDEX('Active Clients'!$B$5:$B$504,MATCH(C213,'Active Clients'!$A$5:$A$504,0)))&amp;"","ID not found"))</f>
        <v/>
      </c>
      <c r="F213" s="51" t="str">
        <f aca="false">IF(C213="","",IFERROR(IF(LEFT(C213,1)="L",INDEX('Leads Pipeline'!$E$5:$E$1004,MATCH(C213,'Leads Pipeline'!$A$5:$A$1004,0)),INDEX('Active Clients'!$C$5:$C$504,MATCH(C213,'Active Clients'!$A$5:$A$504,0)))&amp;"","ID not found"))</f>
        <v/>
      </c>
      <c r="G213" s="16"/>
      <c r="H213" s="16"/>
      <c r="I213" s="16"/>
      <c r="J213" s="16"/>
      <c r="K213" s="16"/>
      <c r="L213" s="18"/>
    </row>
    <row r="214" customFormat="false" ht="15" hidden="false" customHeight="false" outlineLevel="0" collapsed="false">
      <c r="A214" s="18"/>
      <c r="B214" s="16"/>
      <c r="C214" s="16"/>
      <c r="D214" s="51" t="str">
        <f aca="false">IF(C214="","",IFERROR(IF(LEFT(C214,1)="L",INDEX('Leads Pipeline'!$F$5:$F$1004,MATCH(C214,'Leads Pipeline'!$A$5:$A$1004,0)),INDEX('Active Clients'!$D$5:$D$504,MATCH(C214,'Active Clients'!$A$5:$A$504,0)))&amp;"","ID not found"))</f>
        <v/>
      </c>
      <c r="E214" s="51" t="str">
        <f aca="false">IF(C214="","",IFERROR(IF(LEFT(C214,1)="L",INDEX('Leads Pipeline'!$D$5:$D$1004,MATCH(C214,'Leads Pipeline'!$A$5:$A$1004,0)),INDEX('Active Clients'!$B$5:$B$504,MATCH(C214,'Active Clients'!$A$5:$A$504,0)))&amp;"","ID not found"))</f>
        <v/>
      </c>
      <c r="F214" s="51" t="str">
        <f aca="false">IF(C214="","",IFERROR(IF(LEFT(C214,1)="L",INDEX('Leads Pipeline'!$E$5:$E$1004,MATCH(C214,'Leads Pipeline'!$A$5:$A$1004,0)),INDEX('Active Clients'!$C$5:$C$504,MATCH(C214,'Active Clients'!$A$5:$A$504,0)))&amp;"","ID not found"))</f>
        <v/>
      </c>
      <c r="G214" s="16"/>
      <c r="H214" s="16"/>
      <c r="I214" s="16"/>
      <c r="J214" s="16"/>
      <c r="K214" s="16"/>
      <c r="L214" s="18"/>
    </row>
    <row r="215" customFormat="false" ht="15" hidden="false" customHeight="false" outlineLevel="0" collapsed="false">
      <c r="A215" s="18"/>
      <c r="B215" s="16"/>
      <c r="C215" s="16"/>
      <c r="D215" s="51" t="str">
        <f aca="false">IF(C215="","",IFERROR(IF(LEFT(C215,1)="L",INDEX('Leads Pipeline'!$F$5:$F$1004,MATCH(C215,'Leads Pipeline'!$A$5:$A$1004,0)),INDEX('Active Clients'!$D$5:$D$504,MATCH(C215,'Active Clients'!$A$5:$A$504,0)))&amp;"","ID not found"))</f>
        <v/>
      </c>
      <c r="E215" s="51" t="str">
        <f aca="false">IF(C215="","",IFERROR(IF(LEFT(C215,1)="L",INDEX('Leads Pipeline'!$D$5:$D$1004,MATCH(C215,'Leads Pipeline'!$A$5:$A$1004,0)),INDEX('Active Clients'!$B$5:$B$504,MATCH(C215,'Active Clients'!$A$5:$A$504,0)))&amp;"","ID not found"))</f>
        <v/>
      </c>
      <c r="F215" s="51" t="str">
        <f aca="false">IF(C215="","",IFERROR(IF(LEFT(C215,1)="L",INDEX('Leads Pipeline'!$E$5:$E$1004,MATCH(C215,'Leads Pipeline'!$A$5:$A$1004,0)),INDEX('Active Clients'!$C$5:$C$504,MATCH(C215,'Active Clients'!$A$5:$A$504,0)))&amp;"","ID not found"))</f>
        <v/>
      </c>
      <c r="G215" s="16"/>
      <c r="H215" s="16"/>
      <c r="I215" s="16"/>
      <c r="J215" s="16"/>
      <c r="K215" s="16"/>
      <c r="L215" s="18"/>
    </row>
    <row r="216" customFormat="false" ht="15" hidden="false" customHeight="false" outlineLevel="0" collapsed="false">
      <c r="A216" s="18"/>
      <c r="B216" s="16"/>
      <c r="C216" s="16"/>
      <c r="D216" s="51" t="str">
        <f aca="false">IF(C216="","",IFERROR(IF(LEFT(C216,1)="L",INDEX('Leads Pipeline'!$F$5:$F$1004,MATCH(C216,'Leads Pipeline'!$A$5:$A$1004,0)),INDEX('Active Clients'!$D$5:$D$504,MATCH(C216,'Active Clients'!$A$5:$A$504,0)))&amp;"","ID not found"))</f>
        <v/>
      </c>
      <c r="E216" s="51" t="str">
        <f aca="false">IF(C216="","",IFERROR(IF(LEFT(C216,1)="L",INDEX('Leads Pipeline'!$D$5:$D$1004,MATCH(C216,'Leads Pipeline'!$A$5:$A$1004,0)),INDEX('Active Clients'!$B$5:$B$504,MATCH(C216,'Active Clients'!$A$5:$A$504,0)))&amp;"","ID not found"))</f>
        <v/>
      </c>
      <c r="F216" s="51" t="str">
        <f aca="false">IF(C216="","",IFERROR(IF(LEFT(C216,1)="L",INDEX('Leads Pipeline'!$E$5:$E$1004,MATCH(C216,'Leads Pipeline'!$A$5:$A$1004,0)),INDEX('Active Clients'!$C$5:$C$504,MATCH(C216,'Active Clients'!$A$5:$A$504,0)))&amp;"","ID not found"))</f>
        <v/>
      </c>
      <c r="G216" s="16"/>
      <c r="H216" s="16"/>
      <c r="I216" s="16"/>
      <c r="J216" s="16"/>
      <c r="K216" s="16"/>
      <c r="L216" s="18"/>
    </row>
    <row r="217" customFormat="false" ht="15" hidden="false" customHeight="false" outlineLevel="0" collapsed="false">
      <c r="A217" s="18"/>
      <c r="B217" s="16"/>
      <c r="C217" s="16"/>
      <c r="D217" s="51" t="str">
        <f aca="false">IF(C217="","",IFERROR(IF(LEFT(C217,1)="L",INDEX('Leads Pipeline'!$F$5:$F$1004,MATCH(C217,'Leads Pipeline'!$A$5:$A$1004,0)),INDEX('Active Clients'!$D$5:$D$504,MATCH(C217,'Active Clients'!$A$5:$A$504,0)))&amp;"","ID not found"))</f>
        <v/>
      </c>
      <c r="E217" s="51" t="str">
        <f aca="false">IF(C217="","",IFERROR(IF(LEFT(C217,1)="L",INDEX('Leads Pipeline'!$D$5:$D$1004,MATCH(C217,'Leads Pipeline'!$A$5:$A$1004,0)),INDEX('Active Clients'!$B$5:$B$504,MATCH(C217,'Active Clients'!$A$5:$A$504,0)))&amp;"","ID not found"))</f>
        <v/>
      </c>
      <c r="F217" s="51" t="str">
        <f aca="false">IF(C217="","",IFERROR(IF(LEFT(C217,1)="L",INDEX('Leads Pipeline'!$E$5:$E$1004,MATCH(C217,'Leads Pipeline'!$A$5:$A$1004,0)),INDEX('Active Clients'!$C$5:$C$504,MATCH(C217,'Active Clients'!$A$5:$A$504,0)))&amp;"","ID not found"))</f>
        <v/>
      </c>
      <c r="G217" s="16"/>
      <c r="H217" s="16"/>
      <c r="I217" s="16"/>
      <c r="J217" s="16"/>
      <c r="K217" s="16"/>
      <c r="L217" s="18"/>
    </row>
    <row r="218" customFormat="false" ht="15" hidden="false" customHeight="false" outlineLevel="0" collapsed="false">
      <c r="A218" s="18"/>
      <c r="B218" s="16"/>
      <c r="C218" s="16"/>
      <c r="D218" s="51" t="str">
        <f aca="false">IF(C218="","",IFERROR(IF(LEFT(C218,1)="L",INDEX('Leads Pipeline'!$F$5:$F$1004,MATCH(C218,'Leads Pipeline'!$A$5:$A$1004,0)),INDEX('Active Clients'!$D$5:$D$504,MATCH(C218,'Active Clients'!$A$5:$A$504,0)))&amp;"","ID not found"))</f>
        <v/>
      </c>
      <c r="E218" s="51" t="str">
        <f aca="false">IF(C218="","",IFERROR(IF(LEFT(C218,1)="L",INDEX('Leads Pipeline'!$D$5:$D$1004,MATCH(C218,'Leads Pipeline'!$A$5:$A$1004,0)),INDEX('Active Clients'!$B$5:$B$504,MATCH(C218,'Active Clients'!$A$5:$A$504,0)))&amp;"","ID not found"))</f>
        <v/>
      </c>
      <c r="F218" s="51" t="str">
        <f aca="false">IF(C218="","",IFERROR(IF(LEFT(C218,1)="L",INDEX('Leads Pipeline'!$E$5:$E$1004,MATCH(C218,'Leads Pipeline'!$A$5:$A$1004,0)),INDEX('Active Clients'!$C$5:$C$504,MATCH(C218,'Active Clients'!$A$5:$A$504,0)))&amp;"","ID not found"))</f>
        <v/>
      </c>
      <c r="G218" s="16"/>
      <c r="H218" s="16"/>
      <c r="I218" s="16"/>
      <c r="J218" s="16"/>
      <c r="K218" s="16"/>
      <c r="L218" s="18"/>
    </row>
    <row r="219" customFormat="false" ht="15" hidden="false" customHeight="false" outlineLevel="0" collapsed="false">
      <c r="A219" s="18"/>
      <c r="B219" s="16"/>
      <c r="C219" s="16"/>
      <c r="D219" s="51" t="str">
        <f aca="false">IF(C219="","",IFERROR(IF(LEFT(C219,1)="L",INDEX('Leads Pipeline'!$F$5:$F$1004,MATCH(C219,'Leads Pipeline'!$A$5:$A$1004,0)),INDEX('Active Clients'!$D$5:$D$504,MATCH(C219,'Active Clients'!$A$5:$A$504,0)))&amp;"","ID not found"))</f>
        <v/>
      </c>
      <c r="E219" s="51" t="str">
        <f aca="false">IF(C219="","",IFERROR(IF(LEFT(C219,1)="L",INDEX('Leads Pipeline'!$D$5:$D$1004,MATCH(C219,'Leads Pipeline'!$A$5:$A$1004,0)),INDEX('Active Clients'!$B$5:$B$504,MATCH(C219,'Active Clients'!$A$5:$A$504,0)))&amp;"","ID not found"))</f>
        <v/>
      </c>
      <c r="F219" s="51" t="str">
        <f aca="false">IF(C219="","",IFERROR(IF(LEFT(C219,1)="L",INDEX('Leads Pipeline'!$E$5:$E$1004,MATCH(C219,'Leads Pipeline'!$A$5:$A$1004,0)),INDEX('Active Clients'!$C$5:$C$504,MATCH(C219,'Active Clients'!$A$5:$A$504,0)))&amp;"","ID not found"))</f>
        <v/>
      </c>
      <c r="G219" s="16"/>
      <c r="H219" s="16"/>
      <c r="I219" s="16"/>
      <c r="J219" s="16"/>
      <c r="K219" s="16"/>
      <c r="L219" s="18"/>
    </row>
    <row r="220" customFormat="false" ht="15" hidden="false" customHeight="false" outlineLevel="0" collapsed="false">
      <c r="A220" s="18"/>
      <c r="B220" s="16"/>
      <c r="C220" s="16"/>
      <c r="D220" s="51" t="str">
        <f aca="false">IF(C220="","",IFERROR(IF(LEFT(C220,1)="L",INDEX('Leads Pipeline'!$F$5:$F$1004,MATCH(C220,'Leads Pipeline'!$A$5:$A$1004,0)),INDEX('Active Clients'!$D$5:$D$504,MATCH(C220,'Active Clients'!$A$5:$A$504,0)))&amp;"","ID not found"))</f>
        <v/>
      </c>
      <c r="E220" s="51" t="str">
        <f aca="false">IF(C220="","",IFERROR(IF(LEFT(C220,1)="L",INDEX('Leads Pipeline'!$D$5:$D$1004,MATCH(C220,'Leads Pipeline'!$A$5:$A$1004,0)),INDEX('Active Clients'!$B$5:$B$504,MATCH(C220,'Active Clients'!$A$5:$A$504,0)))&amp;"","ID not found"))</f>
        <v/>
      </c>
      <c r="F220" s="51" t="str">
        <f aca="false">IF(C220="","",IFERROR(IF(LEFT(C220,1)="L",INDEX('Leads Pipeline'!$E$5:$E$1004,MATCH(C220,'Leads Pipeline'!$A$5:$A$1004,0)),INDEX('Active Clients'!$C$5:$C$504,MATCH(C220,'Active Clients'!$A$5:$A$504,0)))&amp;"","ID not found"))</f>
        <v/>
      </c>
      <c r="G220" s="16"/>
      <c r="H220" s="16"/>
      <c r="I220" s="16"/>
      <c r="J220" s="16"/>
      <c r="K220" s="16"/>
      <c r="L220" s="18"/>
    </row>
    <row r="221" customFormat="false" ht="15" hidden="false" customHeight="false" outlineLevel="0" collapsed="false">
      <c r="A221" s="18"/>
      <c r="B221" s="16"/>
      <c r="C221" s="16"/>
      <c r="D221" s="51" t="str">
        <f aca="false">IF(C221="","",IFERROR(IF(LEFT(C221,1)="L",INDEX('Leads Pipeline'!$F$5:$F$1004,MATCH(C221,'Leads Pipeline'!$A$5:$A$1004,0)),INDEX('Active Clients'!$D$5:$D$504,MATCH(C221,'Active Clients'!$A$5:$A$504,0)))&amp;"","ID not found"))</f>
        <v/>
      </c>
      <c r="E221" s="51" t="str">
        <f aca="false">IF(C221="","",IFERROR(IF(LEFT(C221,1)="L",INDEX('Leads Pipeline'!$D$5:$D$1004,MATCH(C221,'Leads Pipeline'!$A$5:$A$1004,0)),INDEX('Active Clients'!$B$5:$B$504,MATCH(C221,'Active Clients'!$A$5:$A$504,0)))&amp;"","ID not found"))</f>
        <v/>
      </c>
      <c r="F221" s="51" t="str">
        <f aca="false">IF(C221="","",IFERROR(IF(LEFT(C221,1)="L",INDEX('Leads Pipeline'!$E$5:$E$1004,MATCH(C221,'Leads Pipeline'!$A$5:$A$1004,0)),INDEX('Active Clients'!$C$5:$C$504,MATCH(C221,'Active Clients'!$A$5:$A$504,0)))&amp;"","ID not found"))</f>
        <v/>
      </c>
      <c r="G221" s="16"/>
      <c r="H221" s="16"/>
      <c r="I221" s="16"/>
      <c r="J221" s="16"/>
      <c r="K221" s="16"/>
      <c r="L221" s="18"/>
    </row>
    <row r="222" customFormat="false" ht="15" hidden="false" customHeight="false" outlineLevel="0" collapsed="false">
      <c r="A222" s="18"/>
      <c r="B222" s="16"/>
      <c r="C222" s="16"/>
      <c r="D222" s="51" t="str">
        <f aca="false">IF(C222="","",IFERROR(IF(LEFT(C222,1)="L",INDEX('Leads Pipeline'!$F$5:$F$1004,MATCH(C222,'Leads Pipeline'!$A$5:$A$1004,0)),INDEX('Active Clients'!$D$5:$D$504,MATCH(C222,'Active Clients'!$A$5:$A$504,0)))&amp;"","ID not found"))</f>
        <v/>
      </c>
      <c r="E222" s="51" t="str">
        <f aca="false">IF(C222="","",IFERROR(IF(LEFT(C222,1)="L",INDEX('Leads Pipeline'!$D$5:$D$1004,MATCH(C222,'Leads Pipeline'!$A$5:$A$1004,0)),INDEX('Active Clients'!$B$5:$B$504,MATCH(C222,'Active Clients'!$A$5:$A$504,0)))&amp;"","ID not found"))</f>
        <v/>
      </c>
      <c r="F222" s="51" t="str">
        <f aca="false">IF(C222="","",IFERROR(IF(LEFT(C222,1)="L",INDEX('Leads Pipeline'!$E$5:$E$1004,MATCH(C222,'Leads Pipeline'!$A$5:$A$1004,0)),INDEX('Active Clients'!$C$5:$C$504,MATCH(C222,'Active Clients'!$A$5:$A$504,0)))&amp;"","ID not found"))</f>
        <v/>
      </c>
      <c r="G222" s="16"/>
      <c r="H222" s="16"/>
      <c r="I222" s="16"/>
      <c r="J222" s="16"/>
      <c r="K222" s="16"/>
      <c r="L222" s="18"/>
    </row>
    <row r="223" customFormat="false" ht="15" hidden="false" customHeight="false" outlineLevel="0" collapsed="false">
      <c r="A223" s="18"/>
      <c r="B223" s="16"/>
      <c r="C223" s="16"/>
      <c r="D223" s="51" t="str">
        <f aca="false">IF(C223="","",IFERROR(IF(LEFT(C223,1)="L",INDEX('Leads Pipeline'!$F$5:$F$1004,MATCH(C223,'Leads Pipeline'!$A$5:$A$1004,0)),INDEX('Active Clients'!$D$5:$D$504,MATCH(C223,'Active Clients'!$A$5:$A$504,0)))&amp;"","ID not found"))</f>
        <v/>
      </c>
      <c r="E223" s="51" t="str">
        <f aca="false">IF(C223="","",IFERROR(IF(LEFT(C223,1)="L",INDEX('Leads Pipeline'!$D$5:$D$1004,MATCH(C223,'Leads Pipeline'!$A$5:$A$1004,0)),INDEX('Active Clients'!$B$5:$B$504,MATCH(C223,'Active Clients'!$A$5:$A$504,0)))&amp;"","ID not found"))</f>
        <v/>
      </c>
      <c r="F223" s="51" t="str">
        <f aca="false">IF(C223="","",IFERROR(IF(LEFT(C223,1)="L",INDEX('Leads Pipeline'!$E$5:$E$1004,MATCH(C223,'Leads Pipeline'!$A$5:$A$1004,0)),INDEX('Active Clients'!$C$5:$C$504,MATCH(C223,'Active Clients'!$A$5:$A$504,0)))&amp;"","ID not found"))</f>
        <v/>
      </c>
      <c r="G223" s="16"/>
      <c r="H223" s="16"/>
      <c r="I223" s="16"/>
      <c r="J223" s="16"/>
      <c r="K223" s="16"/>
      <c r="L223" s="18"/>
    </row>
    <row r="224" customFormat="false" ht="15" hidden="false" customHeight="false" outlineLevel="0" collapsed="false">
      <c r="A224" s="18"/>
      <c r="B224" s="16"/>
      <c r="C224" s="16"/>
      <c r="D224" s="51" t="str">
        <f aca="false">IF(C224="","",IFERROR(IF(LEFT(C224,1)="L",INDEX('Leads Pipeline'!$F$5:$F$1004,MATCH(C224,'Leads Pipeline'!$A$5:$A$1004,0)),INDEX('Active Clients'!$D$5:$D$504,MATCH(C224,'Active Clients'!$A$5:$A$504,0)))&amp;"","ID not found"))</f>
        <v/>
      </c>
      <c r="E224" s="51" t="str">
        <f aca="false">IF(C224="","",IFERROR(IF(LEFT(C224,1)="L",INDEX('Leads Pipeline'!$D$5:$D$1004,MATCH(C224,'Leads Pipeline'!$A$5:$A$1004,0)),INDEX('Active Clients'!$B$5:$B$504,MATCH(C224,'Active Clients'!$A$5:$A$504,0)))&amp;"","ID not found"))</f>
        <v/>
      </c>
      <c r="F224" s="51" t="str">
        <f aca="false">IF(C224="","",IFERROR(IF(LEFT(C224,1)="L",INDEX('Leads Pipeline'!$E$5:$E$1004,MATCH(C224,'Leads Pipeline'!$A$5:$A$1004,0)),INDEX('Active Clients'!$C$5:$C$504,MATCH(C224,'Active Clients'!$A$5:$A$504,0)))&amp;"","ID not found"))</f>
        <v/>
      </c>
      <c r="G224" s="16"/>
      <c r="H224" s="16"/>
      <c r="I224" s="16"/>
      <c r="J224" s="16"/>
      <c r="K224" s="16"/>
      <c r="L224" s="18"/>
    </row>
    <row r="225" customFormat="false" ht="15" hidden="false" customHeight="false" outlineLevel="0" collapsed="false">
      <c r="A225" s="18"/>
      <c r="B225" s="16"/>
      <c r="C225" s="16"/>
      <c r="D225" s="51" t="str">
        <f aca="false">IF(C225="","",IFERROR(IF(LEFT(C225,1)="L",INDEX('Leads Pipeline'!$F$5:$F$1004,MATCH(C225,'Leads Pipeline'!$A$5:$A$1004,0)),INDEX('Active Clients'!$D$5:$D$504,MATCH(C225,'Active Clients'!$A$5:$A$504,0)))&amp;"","ID not found"))</f>
        <v/>
      </c>
      <c r="E225" s="51" t="str">
        <f aca="false">IF(C225="","",IFERROR(IF(LEFT(C225,1)="L",INDEX('Leads Pipeline'!$D$5:$D$1004,MATCH(C225,'Leads Pipeline'!$A$5:$A$1004,0)),INDEX('Active Clients'!$B$5:$B$504,MATCH(C225,'Active Clients'!$A$5:$A$504,0)))&amp;"","ID not found"))</f>
        <v/>
      </c>
      <c r="F225" s="51" t="str">
        <f aca="false">IF(C225="","",IFERROR(IF(LEFT(C225,1)="L",INDEX('Leads Pipeline'!$E$5:$E$1004,MATCH(C225,'Leads Pipeline'!$A$5:$A$1004,0)),INDEX('Active Clients'!$C$5:$C$504,MATCH(C225,'Active Clients'!$A$5:$A$504,0)))&amp;"","ID not found"))</f>
        <v/>
      </c>
      <c r="G225" s="16"/>
      <c r="H225" s="16"/>
      <c r="I225" s="16"/>
      <c r="J225" s="16"/>
      <c r="K225" s="16"/>
      <c r="L225" s="18"/>
    </row>
    <row r="226" customFormat="false" ht="15" hidden="false" customHeight="false" outlineLevel="0" collapsed="false">
      <c r="A226" s="18"/>
      <c r="B226" s="16"/>
      <c r="C226" s="16"/>
      <c r="D226" s="51" t="str">
        <f aca="false">IF(C226="","",IFERROR(IF(LEFT(C226,1)="L",INDEX('Leads Pipeline'!$F$5:$F$1004,MATCH(C226,'Leads Pipeline'!$A$5:$A$1004,0)),INDEX('Active Clients'!$D$5:$D$504,MATCH(C226,'Active Clients'!$A$5:$A$504,0)))&amp;"","ID not found"))</f>
        <v/>
      </c>
      <c r="E226" s="51" t="str">
        <f aca="false">IF(C226="","",IFERROR(IF(LEFT(C226,1)="L",INDEX('Leads Pipeline'!$D$5:$D$1004,MATCH(C226,'Leads Pipeline'!$A$5:$A$1004,0)),INDEX('Active Clients'!$B$5:$B$504,MATCH(C226,'Active Clients'!$A$5:$A$504,0)))&amp;"","ID not found"))</f>
        <v/>
      </c>
      <c r="F226" s="51" t="str">
        <f aca="false">IF(C226="","",IFERROR(IF(LEFT(C226,1)="L",INDEX('Leads Pipeline'!$E$5:$E$1004,MATCH(C226,'Leads Pipeline'!$A$5:$A$1004,0)),INDEX('Active Clients'!$C$5:$C$504,MATCH(C226,'Active Clients'!$A$5:$A$504,0)))&amp;"","ID not found"))</f>
        <v/>
      </c>
      <c r="G226" s="16"/>
      <c r="H226" s="16"/>
      <c r="I226" s="16"/>
      <c r="J226" s="16"/>
      <c r="K226" s="16"/>
      <c r="L226" s="18"/>
    </row>
    <row r="227" customFormat="false" ht="15" hidden="false" customHeight="false" outlineLevel="0" collapsed="false">
      <c r="A227" s="18"/>
      <c r="B227" s="16"/>
      <c r="C227" s="16"/>
      <c r="D227" s="51" t="str">
        <f aca="false">IF(C227="","",IFERROR(IF(LEFT(C227,1)="L",INDEX('Leads Pipeline'!$F$5:$F$1004,MATCH(C227,'Leads Pipeline'!$A$5:$A$1004,0)),INDEX('Active Clients'!$D$5:$D$504,MATCH(C227,'Active Clients'!$A$5:$A$504,0)))&amp;"","ID not found"))</f>
        <v/>
      </c>
      <c r="E227" s="51" t="str">
        <f aca="false">IF(C227="","",IFERROR(IF(LEFT(C227,1)="L",INDEX('Leads Pipeline'!$D$5:$D$1004,MATCH(C227,'Leads Pipeline'!$A$5:$A$1004,0)),INDEX('Active Clients'!$B$5:$B$504,MATCH(C227,'Active Clients'!$A$5:$A$504,0)))&amp;"","ID not found"))</f>
        <v/>
      </c>
      <c r="F227" s="51" t="str">
        <f aca="false">IF(C227="","",IFERROR(IF(LEFT(C227,1)="L",INDEX('Leads Pipeline'!$E$5:$E$1004,MATCH(C227,'Leads Pipeline'!$A$5:$A$1004,0)),INDEX('Active Clients'!$C$5:$C$504,MATCH(C227,'Active Clients'!$A$5:$A$504,0)))&amp;"","ID not found"))</f>
        <v/>
      </c>
      <c r="G227" s="16"/>
      <c r="H227" s="16"/>
      <c r="I227" s="16"/>
      <c r="J227" s="16"/>
      <c r="K227" s="16"/>
      <c r="L227" s="18"/>
    </row>
    <row r="228" customFormat="false" ht="15" hidden="false" customHeight="false" outlineLevel="0" collapsed="false">
      <c r="A228" s="18"/>
      <c r="B228" s="16"/>
      <c r="C228" s="16"/>
      <c r="D228" s="51" t="str">
        <f aca="false">IF(C228="","",IFERROR(IF(LEFT(C228,1)="L",INDEX('Leads Pipeline'!$F$5:$F$1004,MATCH(C228,'Leads Pipeline'!$A$5:$A$1004,0)),INDEX('Active Clients'!$D$5:$D$504,MATCH(C228,'Active Clients'!$A$5:$A$504,0)))&amp;"","ID not found"))</f>
        <v/>
      </c>
      <c r="E228" s="51" t="str">
        <f aca="false">IF(C228="","",IFERROR(IF(LEFT(C228,1)="L",INDEX('Leads Pipeline'!$D$5:$D$1004,MATCH(C228,'Leads Pipeline'!$A$5:$A$1004,0)),INDEX('Active Clients'!$B$5:$B$504,MATCH(C228,'Active Clients'!$A$5:$A$504,0)))&amp;"","ID not found"))</f>
        <v/>
      </c>
      <c r="F228" s="51" t="str">
        <f aca="false">IF(C228="","",IFERROR(IF(LEFT(C228,1)="L",INDEX('Leads Pipeline'!$E$5:$E$1004,MATCH(C228,'Leads Pipeline'!$A$5:$A$1004,0)),INDEX('Active Clients'!$C$5:$C$504,MATCH(C228,'Active Clients'!$A$5:$A$504,0)))&amp;"","ID not found"))</f>
        <v/>
      </c>
      <c r="G228" s="16"/>
      <c r="H228" s="16"/>
      <c r="I228" s="16"/>
      <c r="J228" s="16"/>
      <c r="K228" s="16"/>
      <c r="L228" s="18"/>
    </row>
    <row r="229" customFormat="false" ht="15" hidden="false" customHeight="false" outlineLevel="0" collapsed="false">
      <c r="A229" s="18"/>
      <c r="B229" s="16"/>
      <c r="C229" s="16"/>
      <c r="D229" s="51" t="str">
        <f aca="false">IF(C229="","",IFERROR(IF(LEFT(C229,1)="L",INDEX('Leads Pipeline'!$F$5:$F$1004,MATCH(C229,'Leads Pipeline'!$A$5:$A$1004,0)),INDEX('Active Clients'!$D$5:$D$504,MATCH(C229,'Active Clients'!$A$5:$A$504,0)))&amp;"","ID not found"))</f>
        <v/>
      </c>
      <c r="E229" s="51" t="str">
        <f aca="false">IF(C229="","",IFERROR(IF(LEFT(C229,1)="L",INDEX('Leads Pipeline'!$D$5:$D$1004,MATCH(C229,'Leads Pipeline'!$A$5:$A$1004,0)),INDEX('Active Clients'!$B$5:$B$504,MATCH(C229,'Active Clients'!$A$5:$A$504,0)))&amp;"","ID not found"))</f>
        <v/>
      </c>
      <c r="F229" s="51" t="str">
        <f aca="false">IF(C229="","",IFERROR(IF(LEFT(C229,1)="L",INDEX('Leads Pipeline'!$E$5:$E$1004,MATCH(C229,'Leads Pipeline'!$A$5:$A$1004,0)),INDEX('Active Clients'!$C$5:$C$504,MATCH(C229,'Active Clients'!$A$5:$A$504,0)))&amp;"","ID not found"))</f>
        <v/>
      </c>
      <c r="G229" s="16"/>
      <c r="H229" s="16"/>
      <c r="I229" s="16"/>
      <c r="J229" s="16"/>
      <c r="K229" s="16"/>
      <c r="L229" s="18"/>
    </row>
    <row r="230" customFormat="false" ht="15" hidden="false" customHeight="false" outlineLevel="0" collapsed="false">
      <c r="A230" s="18"/>
      <c r="B230" s="16"/>
      <c r="C230" s="16"/>
      <c r="D230" s="51" t="str">
        <f aca="false">IF(C230="","",IFERROR(IF(LEFT(C230,1)="L",INDEX('Leads Pipeline'!$F$5:$F$1004,MATCH(C230,'Leads Pipeline'!$A$5:$A$1004,0)),INDEX('Active Clients'!$D$5:$D$504,MATCH(C230,'Active Clients'!$A$5:$A$504,0)))&amp;"","ID not found"))</f>
        <v/>
      </c>
      <c r="E230" s="51" t="str">
        <f aca="false">IF(C230="","",IFERROR(IF(LEFT(C230,1)="L",INDEX('Leads Pipeline'!$D$5:$D$1004,MATCH(C230,'Leads Pipeline'!$A$5:$A$1004,0)),INDEX('Active Clients'!$B$5:$B$504,MATCH(C230,'Active Clients'!$A$5:$A$504,0)))&amp;"","ID not found"))</f>
        <v/>
      </c>
      <c r="F230" s="51" t="str">
        <f aca="false">IF(C230="","",IFERROR(IF(LEFT(C230,1)="L",INDEX('Leads Pipeline'!$E$5:$E$1004,MATCH(C230,'Leads Pipeline'!$A$5:$A$1004,0)),INDEX('Active Clients'!$C$5:$C$504,MATCH(C230,'Active Clients'!$A$5:$A$504,0)))&amp;"","ID not found"))</f>
        <v/>
      </c>
      <c r="G230" s="16"/>
      <c r="H230" s="16"/>
      <c r="I230" s="16"/>
      <c r="J230" s="16"/>
      <c r="K230" s="16"/>
      <c r="L230" s="18"/>
    </row>
    <row r="231" customFormat="false" ht="15" hidden="false" customHeight="false" outlineLevel="0" collapsed="false">
      <c r="A231" s="18"/>
      <c r="B231" s="16"/>
      <c r="C231" s="16"/>
      <c r="D231" s="51" t="str">
        <f aca="false">IF(C231="","",IFERROR(IF(LEFT(C231,1)="L",INDEX('Leads Pipeline'!$F$5:$F$1004,MATCH(C231,'Leads Pipeline'!$A$5:$A$1004,0)),INDEX('Active Clients'!$D$5:$D$504,MATCH(C231,'Active Clients'!$A$5:$A$504,0)))&amp;"","ID not found"))</f>
        <v/>
      </c>
      <c r="E231" s="51" t="str">
        <f aca="false">IF(C231="","",IFERROR(IF(LEFT(C231,1)="L",INDEX('Leads Pipeline'!$D$5:$D$1004,MATCH(C231,'Leads Pipeline'!$A$5:$A$1004,0)),INDEX('Active Clients'!$B$5:$B$504,MATCH(C231,'Active Clients'!$A$5:$A$504,0)))&amp;"","ID not found"))</f>
        <v/>
      </c>
      <c r="F231" s="51" t="str">
        <f aca="false">IF(C231="","",IFERROR(IF(LEFT(C231,1)="L",INDEX('Leads Pipeline'!$E$5:$E$1004,MATCH(C231,'Leads Pipeline'!$A$5:$A$1004,0)),INDEX('Active Clients'!$C$5:$C$504,MATCH(C231,'Active Clients'!$A$5:$A$504,0)))&amp;"","ID not found"))</f>
        <v/>
      </c>
      <c r="G231" s="16"/>
      <c r="H231" s="16"/>
      <c r="I231" s="16"/>
      <c r="J231" s="16"/>
      <c r="K231" s="16"/>
      <c r="L231" s="18"/>
    </row>
    <row r="232" customFormat="false" ht="15" hidden="false" customHeight="false" outlineLevel="0" collapsed="false">
      <c r="A232" s="18"/>
      <c r="B232" s="16"/>
      <c r="C232" s="16"/>
      <c r="D232" s="51" t="str">
        <f aca="false">IF(C232="","",IFERROR(IF(LEFT(C232,1)="L",INDEX('Leads Pipeline'!$F$5:$F$1004,MATCH(C232,'Leads Pipeline'!$A$5:$A$1004,0)),INDEX('Active Clients'!$D$5:$D$504,MATCH(C232,'Active Clients'!$A$5:$A$504,0)))&amp;"","ID not found"))</f>
        <v/>
      </c>
      <c r="E232" s="51" t="str">
        <f aca="false">IF(C232="","",IFERROR(IF(LEFT(C232,1)="L",INDEX('Leads Pipeline'!$D$5:$D$1004,MATCH(C232,'Leads Pipeline'!$A$5:$A$1004,0)),INDEX('Active Clients'!$B$5:$B$504,MATCH(C232,'Active Clients'!$A$5:$A$504,0)))&amp;"","ID not found"))</f>
        <v/>
      </c>
      <c r="F232" s="51" t="str">
        <f aca="false">IF(C232="","",IFERROR(IF(LEFT(C232,1)="L",INDEX('Leads Pipeline'!$E$5:$E$1004,MATCH(C232,'Leads Pipeline'!$A$5:$A$1004,0)),INDEX('Active Clients'!$C$5:$C$504,MATCH(C232,'Active Clients'!$A$5:$A$504,0)))&amp;"","ID not found"))</f>
        <v/>
      </c>
      <c r="G232" s="16"/>
      <c r="H232" s="16"/>
      <c r="I232" s="16"/>
      <c r="J232" s="16"/>
      <c r="K232" s="16"/>
      <c r="L232" s="18"/>
    </row>
    <row r="233" customFormat="false" ht="15" hidden="false" customHeight="false" outlineLevel="0" collapsed="false">
      <c r="A233" s="18"/>
      <c r="B233" s="16"/>
      <c r="C233" s="16"/>
      <c r="D233" s="51" t="str">
        <f aca="false">IF(C233="","",IFERROR(IF(LEFT(C233,1)="L",INDEX('Leads Pipeline'!$F$5:$F$1004,MATCH(C233,'Leads Pipeline'!$A$5:$A$1004,0)),INDEX('Active Clients'!$D$5:$D$504,MATCH(C233,'Active Clients'!$A$5:$A$504,0)))&amp;"","ID not found"))</f>
        <v/>
      </c>
      <c r="E233" s="51" t="str">
        <f aca="false">IF(C233="","",IFERROR(IF(LEFT(C233,1)="L",INDEX('Leads Pipeline'!$D$5:$D$1004,MATCH(C233,'Leads Pipeline'!$A$5:$A$1004,0)),INDEX('Active Clients'!$B$5:$B$504,MATCH(C233,'Active Clients'!$A$5:$A$504,0)))&amp;"","ID not found"))</f>
        <v/>
      </c>
      <c r="F233" s="51" t="str">
        <f aca="false">IF(C233="","",IFERROR(IF(LEFT(C233,1)="L",INDEX('Leads Pipeline'!$E$5:$E$1004,MATCH(C233,'Leads Pipeline'!$A$5:$A$1004,0)),INDEX('Active Clients'!$C$5:$C$504,MATCH(C233,'Active Clients'!$A$5:$A$504,0)))&amp;"","ID not found"))</f>
        <v/>
      </c>
      <c r="G233" s="16"/>
      <c r="H233" s="16"/>
      <c r="I233" s="16"/>
      <c r="J233" s="16"/>
      <c r="K233" s="16"/>
      <c r="L233" s="18"/>
    </row>
    <row r="234" customFormat="false" ht="15" hidden="false" customHeight="false" outlineLevel="0" collapsed="false">
      <c r="A234" s="18"/>
      <c r="B234" s="16"/>
      <c r="C234" s="16"/>
      <c r="D234" s="51" t="str">
        <f aca="false">IF(C234="","",IFERROR(IF(LEFT(C234,1)="L",INDEX('Leads Pipeline'!$F$5:$F$1004,MATCH(C234,'Leads Pipeline'!$A$5:$A$1004,0)),INDEX('Active Clients'!$D$5:$D$504,MATCH(C234,'Active Clients'!$A$5:$A$504,0)))&amp;"","ID not found"))</f>
        <v/>
      </c>
      <c r="E234" s="51" t="str">
        <f aca="false">IF(C234="","",IFERROR(IF(LEFT(C234,1)="L",INDEX('Leads Pipeline'!$D$5:$D$1004,MATCH(C234,'Leads Pipeline'!$A$5:$A$1004,0)),INDEX('Active Clients'!$B$5:$B$504,MATCH(C234,'Active Clients'!$A$5:$A$504,0)))&amp;"","ID not found"))</f>
        <v/>
      </c>
      <c r="F234" s="51" t="str">
        <f aca="false">IF(C234="","",IFERROR(IF(LEFT(C234,1)="L",INDEX('Leads Pipeline'!$E$5:$E$1004,MATCH(C234,'Leads Pipeline'!$A$5:$A$1004,0)),INDEX('Active Clients'!$C$5:$C$504,MATCH(C234,'Active Clients'!$A$5:$A$504,0)))&amp;"","ID not found"))</f>
        <v/>
      </c>
      <c r="G234" s="16"/>
      <c r="H234" s="16"/>
      <c r="I234" s="16"/>
      <c r="J234" s="16"/>
      <c r="K234" s="16"/>
      <c r="L234" s="18"/>
    </row>
    <row r="235" customFormat="false" ht="15" hidden="false" customHeight="false" outlineLevel="0" collapsed="false">
      <c r="A235" s="18"/>
      <c r="B235" s="16"/>
      <c r="C235" s="16"/>
      <c r="D235" s="51" t="str">
        <f aca="false">IF(C235="","",IFERROR(IF(LEFT(C235,1)="L",INDEX('Leads Pipeline'!$F$5:$F$1004,MATCH(C235,'Leads Pipeline'!$A$5:$A$1004,0)),INDEX('Active Clients'!$D$5:$D$504,MATCH(C235,'Active Clients'!$A$5:$A$504,0)))&amp;"","ID not found"))</f>
        <v/>
      </c>
      <c r="E235" s="51" t="str">
        <f aca="false">IF(C235="","",IFERROR(IF(LEFT(C235,1)="L",INDEX('Leads Pipeline'!$D$5:$D$1004,MATCH(C235,'Leads Pipeline'!$A$5:$A$1004,0)),INDEX('Active Clients'!$B$5:$B$504,MATCH(C235,'Active Clients'!$A$5:$A$504,0)))&amp;"","ID not found"))</f>
        <v/>
      </c>
      <c r="F235" s="51" t="str">
        <f aca="false">IF(C235="","",IFERROR(IF(LEFT(C235,1)="L",INDEX('Leads Pipeline'!$E$5:$E$1004,MATCH(C235,'Leads Pipeline'!$A$5:$A$1004,0)),INDEX('Active Clients'!$C$5:$C$504,MATCH(C235,'Active Clients'!$A$5:$A$504,0)))&amp;"","ID not found"))</f>
        <v/>
      </c>
      <c r="G235" s="16"/>
      <c r="H235" s="16"/>
      <c r="I235" s="16"/>
      <c r="J235" s="16"/>
      <c r="K235" s="16"/>
      <c r="L235" s="18"/>
    </row>
    <row r="236" customFormat="false" ht="15" hidden="false" customHeight="false" outlineLevel="0" collapsed="false">
      <c r="A236" s="18"/>
      <c r="B236" s="16"/>
      <c r="C236" s="16"/>
      <c r="D236" s="51" t="str">
        <f aca="false">IF(C236="","",IFERROR(IF(LEFT(C236,1)="L",INDEX('Leads Pipeline'!$F$5:$F$1004,MATCH(C236,'Leads Pipeline'!$A$5:$A$1004,0)),INDEX('Active Clients'!$D$5:$D$504,MATCH(C236,'Active Clients'!$A$5:$A$504,0)))&amp;"","ID not found"))</f>
        <v/>
      </c>
      <c r="E236" s="51" t="str">
        <f aca="false">IF(C236="","",IFERROR(IF(LEFT(C236,1)="L",INDEX('Leads Pipeline'!$D$5:$D$1004,MATCH(C236,'Leads Pipeline'!$A$5:$A$1004,0)),INDEX('Active Clients'!$B$5:$B$504,MATCH(C236,'Active Clients'!$A$5:$A$504,0)))&amp;"","ID not found"))</f>
        <v/>
      </c>
      <c r="F236" s="51" t="str">
        <f aca="false">IF(C236="","",IFERROR(IF(LEFT(C236,1)="L",INDEX('Leads Pipeline'!$E$5:$E$1004,MATCH(C236,'Leads Pipeline'!$A$5:$A$1004,0)),INDEX('Active Clients'!$C$5:$C$504,MATCH(C236,'Active Clients'!$A$5:$A$504,0)))&amp;"","ID not found"))</f>
        <v/>
      </c>
      <c r="G236" s="16"/>
      <c r="H236" s="16"/>
      <c r="I236" s="16"/>
      <c r="J236" s="16"/>
      <c r="K236" s="16"/>
      <c r="L236" s="18"/>
    </row>
    <row r="237" customFormat="false" ht="15" hidden="false" customHeight="false" outlineLevel="0" collapsed="false">
      <c r="A237" s="18"/>
      <c r="B237" s="16"/>
      <c r="C237" s="16"/>
      <c r="D237" s="51" t="str">
        <f aca="false">IF(C237="","",IFERROR(IF(LEFT(C237,1)="L",INDEX('Leads Pipeline'!$F$5:$F$1004,MATCH(C237,'Leads Pipeline'!$A$5:$A$1004,0)),INDEX('Active Clients'!$D$5:$D$504,MATCH(C237,'Active Clients'!$A$5:$A$504,0)))&amp;"","ID not found"))</f>
        <v/>
      </c>
      <c r="E237" s="51" t="str">
        <f aca="false">IF(C237="","",IFERROR(IF(LEFT(C237,1)="L",INDEX('Leads Pipeline'!$D$5:$D$1004,MATCH(C237,'Leads Pipeline'!$A$5:$A$1004,0)),INDEX('Active Clients'!$B$5:$B$504,MATCH(C237,'Active Clients'!$A$5:$A$504,0)))&amp;"","ID not found"))</f>
        <v/>
      </c>
      <c r="F237" s="51" t="str">
        <f aca="false">IF(C237="","",IFERROR(IF(LEFT(C237,1)="L",INDEX('Leads Pipeline'!$E$5:$E$1004,MATCH(C237,'Leads Pipeline'!$A$5:$A$1004,0)),INDEX('Active Clients'!$C$5:$C$504,MATCH(C237,'Active Clients'!$A$5:$A$504,0)))&amp;"","ID not found"))</f>
        <v/>
      </c>
      <c r="G237" s="16"/>
      <c r="H237" s="16"/>
      <c r="I237" s="16"/>
      <c r="J237" s="16"/>
      <c r="K237" s="16"/>
      <c r="L237" s="18"/>
    </row>
    <row r="238" customFormat="false" ht="15" hidden="false" customHeight="false" outlineLevel="0" collapsed="false">
      <c r="A238" s="18"/>
      <c r="B238" s="16"/>
      <c r="C238" s="16"/>
      <c r="D238" s="51" t="str">
        <f aca="false">IF(C238="","",IFERROR(IF(LEFT(C238,1)="L",INDEX('Leads Pipeline'!$F$5:$F$1004,MATCH(C238,'Leads Pipeline'!$A$5:$A$1004,0)),INDEX('Active Clients'!$D$5:$D$504,MATCH(C238,'Active Clients'!$A$5:$A$504,0)))&amp;"","ID not found"))</f>
        <v/>
      </c>
      <c r="E238" s="51" t="str">
        <f aca="false">IF(C238="","",IFERROR(IF(LEFT(C238,1)="L",INDEX('Leads Pipeline'!$D$5:$D$1004,MATCH(C238,'Leads Pipeline'!$A$5:$A$1004,0)),INDEX('Active Clients'!$B$5:$B$504,MATCH(C238,'Active Clients'!$A$5:$A$504,0)))&amp;"","ID not found"))</f>
        <v/>
      </c>
      <c r="F238" s="51" t="str">
        <f aca="false">IF(C238="","",IFERROR(IF(LEFT(C238,1)="L",INDEX('Leads Pipeline'!$E$5:$E$1004,MATCH(C238,'Leads Pipeline'!$A$5:$A$1004,0)),INDEX('Active Clients'!$C$5:$C$504,MATCH(C238,'Active Clients'!$A$5:$A$504,0)))&amp;"","ID not found"))</f>
        <v/>
      </c>
      <c r="G238" s="16"/>
      <c r="H238" s="16"/>
      <c r="I238" s="16"/>
      <c r="J238" s="16"/>
      <c r="K238" s="16"/>
      <c r="L238" s="18"/>
    </row>
    <row r="239" customFormat="false" ht="15" hidden="false" customHeight="false" outlineLevel="0" collapsed="false">
      <c r="A239" s="18"/>
      <c r="B239" s="16"/>
      <c r="C239" s="16"/>
      <c r="D239" s="51" t="str">
        <f aca="false">IF(C239="","",IFERROR(IF(LEFT(C239,1)="L",INDEX('Leads Pipeline'!$F$5:$F$1004,MATCH(C239,'Leads Pipeline'!$A$5:$A$1004,0)),INDEX('Active Clients'!$D$5:$D$504,MATCH(C239,'Active Clients'!$A$5:$A$504,0)))&amp;"","ID not found"))</f>
        <v/>
      </c>
      <c r="E239" s="51" t="str">
        <f aca="false">IF(C239="","",IFERROR(IF(LEFT(C239,1)="L",INDEX('Leads Pipeline'!$D$5:$D$1004,MATCH(C239,'Leads Pipeline'!$A$5:$A$1004,0)),INDEX('Active Clients'!$B$5:$B$504,MATCH(C239,'Active Clients'!$A$5:$A$504,0)))&amp;"","ID not found"))</f>
        <v/>
      </c>
      <c r="F239" s="51" t="str">
        <f aca="false">IF(C239="","",IFERROR(IF(LEFT(C239,1)="L",INDEX('Leads Pipeline'!$E$5:$E$1004,MATCH(C239,'Leads Pipeline'!$A$5:$A$1004,0)),INDEX('Active Clients'!$C$5:$C$504,MATCH(C239,'Active Clients'!$A$5:$A$504,0)))&amp;"","ID not found"))</f>
        <v/>
      </c>
      <c r="G239" s="16"/>
      <c r="H239" s="16"/>
      <c r="I239" s="16"/>
      <c r="J239" s="16"/>
      <c r="K239" s="16"/>
      <c r="L239" s="18"/>
    </row>
    <row r="240" customFormat="false" ht="15" hidden="false" customHeight="false" outlineLevel="0" collapsed="false">
      <c r="A240" s="18"/>
      <c r="B240" s="16"/>
      <c r="C240" s="16"/>
      <c r="D240" s="51" t="str">
        <f aca="false">IF(C240="","",IFERROR(IF(LEFT(C240,1)="L",INDEX('Leads Pipeline'!$F$5:$F$1004,MATCH(C240,'Leads Pipeline'!$A$5:$A$1004,0)),INDEX('Active Clients'!$D$5:$D$504,MATCH(C240,'Active Clients'!$A$5:$A$504,0)))&amp;"","ID not found"))</f>
        <v/>
      </c>
      <c r="E240" s="51" t="str">
        <f aca="false">IF(C240="","",IFERROR(IF(LEFT(C240,1)="L",INDEX('Leads Pipeline'!$D$5:$D$1004,MATCH(C240,'Leads Pipeline'!$A$5:$A$1004,0)),INDEX('Active Clients'!$B$5:$B$504,MATCH(C240,'Active Clients'!$A$5:$A$504,0)))&amp;"","ID not found"))</f>
        <v/>
      </c>
      <c r="F240" s="51" t="str">
        <f aca="false">IF(C240="","",IFERROR(IF(LEFT(C240,1)="L",INDEX('Leads Pipeline'!$E$5:$E$1004,MATCH(C240,'Leads Pipeline'!$A$5:$A$1004,0)),INDEX('Active Clients'!$C$5:$C$504,MATCH(C240,'Active Clients'!$A$5:$A$504,0)))&amp;"","ID not found"))</f>
        <v/>
      </c>
      <c r="G240" s="16"/>
      <c r="H240" s="16"/>
      <c r="I240" s="16"/>
      <c r="J240" s="16"/>
      <c r="K240" s="16"/>
      <c r="L240" s="18"/>
    </row>
    <row r="241" customFormat="false" ht="15" hidden="false" customHeight="false" outlineLevel="0" collapsed="false">
      <c r="A241" s="18"/>
      <c r="B241" s="16"/>
      <c r="C241" s="16"/>
      <c r="D241" s="51" t="str">
        <f aca="false">IF(C241="","",IFERROR(IF(LEFT(C241,1)="L",INDEX('Leads Pipeline'!$F$5:$F$1004,MATCH(C241,'Leads Pipeline'!$A$5:$A$1004,0)),INDEX('Active Clients'!$D$5:$D$504,MATCH(C241,'Active Clients'!$A$5:$A$504,0)))&amp;"","ID not found"))</f>
        <v/>
      </c>
      <c r="E241" s="51" t="str">
        <f aca="false">IF(C241="","",IFERROR(IF(LEFT(C241,1)="L",INDEX('Leads Pipeline'!$D$5:$D$1004,MATCH(C241,'Leads Pipeline'!$A$5:$A$1004,0)),INDEX('Active Clients'!$B$5:$B$504,MATCH(C241,'Active Clients'!$A$5:$A$504,0)))&amp;"","ID not found"))</f>
        <v/>
      </c>
      <c r="F241" s="51" t="str">
        <f aca="false">IF(C241="","",IFERROR(IF(LEFT(C241,1)="L",INDEX('Leads Pipeline'!$E$5:$E$1004,MATCH(C241,'Leads Pipeline'!$A$5:$A$1004,0)),INDEX('Active Clients'!$C$5:$C$504,MATCH(C241,'Active Clients'!$A$5:$A$504,0)))&amp;"","ID not found"))</f>
        <v/>
      </c>
      <c r="G241" s="16"/>
      <c r="H241" s="16"/>
      <c r="I241" s="16"/>
      <c r="J241" s="16"/>
      <c r="K241" s="16"/>
      <c r="L241" s="18"/>
    </row>
    <row r="242" customFormat="false" ht="15" hidden="false" customHeight="false" outlineLevel="0" collapsed="false">
      <c r="A242" s="18"/>
      <c r="B242" s="16"/>
      <c r="C242" s="16"/>
      <c r="D242" s="51" t="str">
        <f aca="false">IF(C242="","",IFERROR(IF(LEFT(C242,1)="L",INDEX('Leads Pipeline'!$F$5:$F$1004,MATCH(C242,'Leads Pipeline'!$A$5:$A$1004,0)),INDEX('Active Clients'!$D$5:$D$504,MATCH(C242,'Active Clients'!$A$5:$A$504,0)))&amp;"","ID not found"))</f>
        <v/>
      </c>
      <c r="E242" s="51" t="str">
        <f aca="false">IF(C242="","",IFERROR(IF(LEFT(C242,1)="L",INDEX('Leads Pipeline'!$D$5:$D$1004,MATCH(C242,'Leads Pipeline'!$A$5:$A$1004,0)),INDEX('Active Clients'!$B$5:$B$504,MATCH(C242,'Active Clients'!$A$5:$A$504,0)))&amp;"","ID not found"))</f>
        <v/>
      </c>
      <c r="F242" s="51" t="str">
        <f aca="false">IF(C242="","",IFERROR(IF(LEFT(C242,1)="L",INDEX('Leads Pipeline'!$E$5:$E$1004,MATCH(C242,'Leads Pipeline'!$A$5:$A$1004,0)),INDEX('Active Clients'!$C$5:$C$504,MATCH(C242,'Active Clients'!$A$5:$A$504,0)))&amp;"","ID not found"))</f>
        <v/>
      </c>
      <c r="G242" s="16"/>
      <c r="H242" s="16"/>
      <c r="I242" s="16"/>
      <c r="J242" s="16"/>
      <c r="K242" s="16"/>
      <c r="L242" s="18"/>
    </row>
    <row r="243" customFormat="false" ht="15" hidden="false" customHeight="false" outlineLevel="0" collapsed="false">
      <c r="A243" s="18"/>
      <c r="B243" s="16"/>
      <c r="C243" s="16"/>
      <c r="D243" s="51" t="str">
        <f aca="false">IF(C243="","",IFERROR(IF(LEFT(C243,1)="L",INDEX('Leads Pipeline'!$F$5:$F$1004,MATCH(C243,'Leads Pipeline'!$A$5:$A$1004,0)),INDEX('Active Clients'!$D$5:$D$504,MATCH(C243,'Active Clients'!$A$5:$A$504,0)))&amp;"","ID not found"))</f>
        <v/>
      </c>
      <c r="E243" s="51" t="str">
        <f aca="false">IF(C243="","",IFERROR(IF(LEFT(C243,1)="L",INDEX('Leads Pipeline'!$D$5:$D$1004,MATCH(C243,'Leads Pipeline'!$A$5:$A$1004,0)),INDEX('Active Clients'!$B$5:$B$504,MATCH(C243,'Active Clients'!$A$5:$A$504,0)))&amp;"","ID not found"))</f>
        <v/>
      </c>
      <c r="F243" s="51" t="str">
        <f aca="false">IF(C243="","",IFERROR(IF(LEFT(C243,1)="L",INDEX('Leads Pipeline'!$E$5:$E$1004,MATCH(C243,'Leads Pipeline'!$A$5:$A$1004,0)),INDEX('Active Clients'!$C$5:$C$504,MATCH(C243,'Active Clients'!$A$5:$A$504,0)))&amp;"","ID not found"))</f>
        <v/>
      </c>
      <c r="G243" s="16"/>
      <c r="H243" s="16"/>
      <c r="I243" s="16"/>
      <c r="J243" s="16"/>
      <c r="K243" s="16"/>
      <c r="L243" s="18"/>
    </row>
    <row r="244" customFormat="false" ht="15" hidden="false" customHeight="false" outlineLevel="0" collapsed="false">
      <c r="A244" s="18"/>
      <c r="B244" s="16"/>
      <c r="C244" s="16"/>
      <c r="D244" s="51" t="str">
        <f aca="false">IF(C244="","",IFERROR(IF(LEFT(C244,1)="L",INDEX('Leads Pipeline'!$F$5:$F$1004,MATCH(C244,'Leads Pipeline'!$A$5:$A$1004,0)),INDEX('Active Clients'!$D$5:$D$504,MATCH(C244,'Active Clients'!$A$5:$A$504,0)))&amp;"","ID not found"))</f>
        <v/>
      </c>
      <c r="E244" s="51" t="str">
        <f aca="false">IF(C244="","",IFERROR(IF(LEFT(C244,1)="L",INDEX('Leads Pipeline'!$D$5:$D$1004,MATCH(C244,'Leads Pipeline'!$A$5:$A$1004,0)),INDEX('Active Clients'!$B$5:$B$504,MATCH(C244,'Active Clients'!$A$5:$A$504,0)))&amp;"","ID not found"))</f>
        <v/>
      </c>
      <c r="F244" s="51" t="str">
        <f aca="false">IF(C244="","",IFERROR(IF(LEFT(C244,1)="L",INDEX('Leads Pipeline'!$E$5:$E$1004,MATCH(C244,'Leads Pipeline'!$A$5:$A$1004,0)),INDEX('Active Clients'!$C$5:$C$504,MATCH(C244,'Active Clients'!$A$5:$A$504,0)))&amp;"","ID not found"))</f>
        <v/>
      </c>
      <c r="G244" s="16"/>
      <c r="H244" s="16"/>
      <c r="I244" s="16"/>
      <c r="J244" s="16"/>
      <c r="K244" s="16"/>
      <c r="L244" s="18"/>
    </row>
    <row r="245" customFormat="false" ht="15" hidden="false" customHeight="false" outlineLevel="0" collapsed="false">
      <c r="A245" s="18"/>
      <c r="B245" s="16"/>
      <c r="C245" s="16"/>
      <c r="D245" s="51" t="str">
        <f aca="false">IF(C245="","",IFERROR(IF(LEFT(C245,1)="L",INDEX('Leads Pipeline'!$F$5:$F$1004,MATCH(C245,'Leads Pipeline'!$A$5:$A$1004,0)),INDEX('Active Clients'!$D$5:$D$504,MATCH(C245,'Active Clients'!$A$5:$A$504,0)))&amp;"","ID not found"))</f>
        <v/>
      </c>
      <c r="E245" s="51" t="str">
        <f aca="false">IF(C245="","",IFERROR(IF(LEFT(C245,1)="L",INDEX('Leads Pipeline'!$D$5:$D$1004,MATCH(C245,'Leads Pipeline'!$A$5:$A$1004,0)),INDEX('Active Clients'!$B$5:$B$504,MATCH(C245,'Active Clients'!$A$5:$A$504,0)))&amp;"","ID not found"))</f>
        <v/>
      </c>
      <c r="F245" s="51" t="str">
        <f aca="false">IF(C245="","",IFERROR(IF(LEFT(C245,1)="L",INDEX('Leads Pipeline'!$E$5:$E$1004,MATCH(C245,'Leads Pipeline'!$A$5:$A$1004,0)),INDEX('Active Clients'!$C$5:$C$504,MATCH(C245,'Active Clients'!$A$5:$A$504,0)))&amp;"","ID not found"))</f>
        <v/>
      </c>
      <c r="G245" s="16"/>
      <c r="H245" s="16"/>
      <c r="I245" s="16"/>
      <c r="J245" s="16"/>
      <c r="K245" s="16"/>
      <c r="L245" s="18"/>
    </row>
    <row r="246" customFormat="false" ht="15" hidden="false" customHeight="false" outlineLevel="0" collapsed="false">
      <c r="A246" s="18"/>
      <c r="B246" s="16"/>
      <c r="C246" s="16"/>
      <c r="D246" s="51" t="str">
        <f aca="false">IF(C246="","",IFERROR(IF(LEFT(C246,1)="L",INDEX('Leads Pipeline'!$F$5:$F$1004,MATCH(C246,'Leads Pipeline'!$A$5:$A$1004,0)),INDEX('Active Clients'!$D$5:$D$504,MATCH(C246,'Active Clients'!$A$5:$A$504,0)))&amp;"","ID not found"))</f>
        <v/>
      </c>
      <c r="E246" s="51" t="str">
        <f aca="false">IF(C246="","",IFERROR(IF(LEFT(C246,1)="L",INDEX('Leads Pipeline'!$D$5:$D$1004,MATCH(C246,'Leads Pipeline'!$A$5:$A$1004,0)),INDEX('Active Clients'!$B$5:$B$504,MATCH(C246,'Active Clients'!$A$5:$A$504,0)))&amp;"","ID not found"))</f>
        <v/>
      </c>
      <c r="F246" s="51" t="str">
        <f aca="false">IF(C246="","",IFERROR(IF(LEFT(C246,1)="L",INDEX('Leads Pipeline'!$E$5:$E$1004,MATCH(C246,'Leads Pipeline'!$A$5:$A$1004,0)),INDEX('Active Clients'!$C$5:$C$504,MATCH(C246,'Active Clients'!$A$5:$A$504,0)))&amp;"","ID not found"))</f>
        <v/>
      </c>
      <c r="G246" s="16"/>
      <c r="H246" s="16"/>
      <c r="I246" s="16"/>
      <c r="J246" s="16"/>
      <c r="K246" s="16"/>
      <c r="L246" s="18"/>
    </row>
    <row r="247" customFormat="false" ht="15" hidden="false" customHeight="false" outlineLevel="0" collapsed="false">
      <c r="A247" s="18"/>
      <c r="B247" s="16"/>
      <c r="C247" s="16"/>
      <c r="D247" s="51" t="str">
        <f aca="false">IF(C247="","",IFERROR(IF(LEFT(C247,1)="L",INDEX('Leads Pipeline'!$F$5:$F$1004,MATCH(C247,'Leads Pipeline'!$A$5:$A$1004,0)),INDEX('Active Clients'!$D$5:$D$504,MATCH(C247,'Active Clients'!$A$5:$A$504,0)))&amp;"","ID not found"))</f>
        <v/>
      </c>
      <c r="E247" s="51" t="str">
        <f aca="false">IF(C247="","",IFERROR(IF(LEFT(C247,1)="L",INDEX('Leads Pipeline'!$D$5:$D$1004,MATCH(C247,'Leads Pipeline'!$A$5:$A$1004,0)),INDEX('Active Clients'!$B$5:$B$504,MATCH(C247,'Active Clients'!$A$5:$A$504,0)))&amp;"","ID not found"))</f>
        <v/>
      </c>
      <c r="F247" s="51" t="str">
        <f aca="false">IF(C247="","",IFERROR(IF(LEFT(C247,1)="L",INDEX('Leads Pipeline'!$E$5:$E$1004,MATCH(C247,'Leads Pipeline'!$A$5:$A$1004,0)),INDEX('Active Clients'!$C$5:$C$504,MATCH(C247,'Active Clients'!$A$5:$A$504,0)))&amp;"","ID not found"))</f>
        <v/>
      </c>
      <c r="G247" s="16"/>
      <c r="H247" s="16"/>
      <c r="I247" s="16"/>
      <c r="J247" s="16"/>
      <c r="K247" s="16"/>
      <c r="L247" s="18"/>
    </row>
    <row r="248" customFormat="false" ht="15" hidden="false" customHeight="false" outlineLevel="0" collapsed="false">
      <c r="A248" s="18"/>
      <c r="B248" s="16"/>
      <c r="C248" s="16"/>
      <c r="D248" s="51" t="str">
        <f aca="false">IF(C248="","",IFERROR(IF(LEFT(C248,1)="L",INDEX('Leads Pipeline'!$F$5:$F$1004,MATCH(C248,'Leads Pipeline'!$A$5:$A$1004,0)),INDEX('Active Clients'!$D$5:$D$504,MATCH(C248,'Active Clients'!$A$5:$A$504,0)))&amp;"","ID not found"))</f>
        <v/>
      </c>
      <c r="E248" s="51" t="str">
        <f aca="false">IF(C248="","",IFERROR(IF(LEFT(C248,1)="L",INDEX('Leads Pipeline'!$D$5:$D$1004,MATCH(C248,'Leads Pipeline'!$A$5:$A$1004,0)),INDEX('Active Clients'!$B$5:$B$504,MATCH(C248,'Active Clients'!$A$5:$A$504,0)))&amp;"","ID not found"))</f>
        <v/>
      </c>
      <c r="F248" s="51" t="str">
        <f aca="false">IF(C248="","",IFERROR(IF(LEFT(C248,1)="L",INDEX('Leads Pipeline'!$E$5:$E$1004,MATCH(C248,'Leads Pipeline'!$A$5:$A$1004,0)),INDEX('Active Clients'!$C$5:$C$504,MATCH(C248,'Active Clients'!$A$5:$A$504,0)))&amp;"","ID not found"))</f>
        <v/>
      </c>
      <c r="G248" s="16"/>
      <c r="H248" s="16"/>
      <c r="I248" s="16"/>
      <c r="J248" s="16"/>
      <c r="K248" s="16"/>
      <c r="L248" s="18"/>
    </row>
    <row r="249" customFormat="false" ht="15" hidden="false" customHeight="false" outlineLevel="0" collapsed="false">
      <c r="A249" s="18"/>
      <c r="B249" s="16"/>
      <c r="C249" s="16"/>
      <c r="D249" s="51" t="str">
        <f aca="false">IF(C249="","",IFERROR(IF(LEFT(C249,1)="L",INDEX('Leads Pipeline'!$F$5:$F$1004,MATCH(C249,'Leads Pipeline'!$A$5:$A$1004,0)),INDEX('Active Clients'!$D$5:$D$504,MATCH(C249,'Active Clients'!$A$5:$A$504,0)))&amp;"","ID not found"))</f>
        <v/>
      </c>
      <c r="E249" s="51" t="str">
        <f aca="false">IF(C249="","",IFERROR(IF(LEFT(C249,1)="L",INDEX('Leads Pipeline'!$D$5:$D$1004,MATCH(C249,'Leads Pipeline'!$A$5:$A$1004,0)),INDEX('Active Clients'!$B$5:$B$504,MATCH(C249,'Active Clients'!$A$5:$A$504,0)))&amp;"","ID not found"))</f>
        <v/>
      </c>
      <c r="F249" s="51" t="str">
        <f aca="false">IF(C249="","",IFERROR(IF(LEFT(C249,1)="L",INDEX('Leads Pipeline'!$E$5:$E$1004,MATCH(C249,'Leads Pipeline'!$A$5:$A$1004,0)),INDEX('Active Clients'!$C$5:$C$504,MATCH(C249,'Active Clients'!$A$5:$A$504,0)))&amp;"","ID not found"))</f>
        <v/>
      </c>
      <c r="G249" s="16"/>
      <c r="H249" s="16"/>
      <c r="I249" s="16"/>
      <c r="J249" s="16"/>
      <c r="K249" s="16"/>
      <c r="L249" s="18"/>
    </row>
    <row r="250" customFormat="false" ht="15" hidden="false" customHeight="false" outlineLevel="0" collapsed="false">
      <c r="A250" s="18"/>
      <c r="B250" s="16"/>
      <c r="C250" s="16"/>
      <c r="D250" s="51" t="str">
        <f aca="false">IF(C250="","",IFERROR(IF(LEFT(C250,1)="L",INDEX('Leads Pipeline'!$F$5:$F$1004,MATCH(C250,'Leads Pipeline'!$A$5:$A$1004,0)),INDEX('Active Clients'!$D$5:$D$504,MATCH(C250,'Active Clients'!$A$5:$A$504,0)))&amp;"","ID not found"))</f>
        <v/>
      </c>
      <c r="E250" s="51" t="str">
        <f aca="false">IF(C250="","",IFERROR(IF(LEFT(C250,1)="L",INDEX('Leads Pipeline'!$D$5:$D$1004,MATCH(C250,'Leads Pipeline'!$A$5:$A$1004,0)),INDEX('Active Clients'!$B$5:$B$504,MATCH(C250,'Active Clients'!$A$5:$A$504,0)))&amp;"","ID not found"))</f>
        <v/>
      </c>
      <c r="F250" s="51" t="str">
        <f aca="false">IF(C250="","",IFERROR(IF(LEFT(C250,1)="L",INDEX('Leads Pipeline'!$E$5:$E$1004,MATCH(C250,'Leads Pipeline'!$A$5:$A$1004,0)),INDEX('Active Clients'!$C$5:$C$504,MATCH(C250,'Active Clients'!$A$5:$A$504,0)))&amp;"","ID not found"))</f>
        <v/>
      </c>
      <c r="G250" s="16"/>
      <c r="H250" s="16"/>
      <c r="I250" s="16"/>
      <c r="J250" s="16"/>
      <c r="K250" s="16"/>
      <c r="L250" s="18"/>
    </row>
    <row r="251" customFormat="false" ht="15" hidden="false" customHeight="false" outlineLevel="0" collapsed="false">
      <c r="A251" s="18"/>
      <c r="B251" s="16"/>
      <c r="C251" s="16"/>
      <c r="D251" s="51" t="str">
        <f aca="false">IF(C251="","",IFERROR(IF(LEFT(C251,1)="L",INDEX('Leads Pipeline'!$F$5:$F$1004,MATCH(C251,'Leads Pipeline'!$A$5:$A$1004,0)),INDEX('Active Clients'!$D$5:$D$504,MATCH(C251,'Active Clients'!$A$5:$A$504,0)))&amp;"","ID not found"))</f>
        <v/>
      </c>
      <c r="E251" s="51" t="str">
        <f aca="false">IF(C251="","",IFERROR(IF(LEFT(C251,1)="L",INDEX('Leads Pipeline'!$D$5:$D$1004,MATCH(C251,'Leads Pipeline'!$A$5:$A$1004,0)),INDEX('Active Clients'!$B$5:$B$504,MATCH(C251,'Active Clients'!$A$5:$A$504,0)))&amp;"","ID not found"))</f>
        <v/>
      </c>
      <c r="F251" s="51" t="str">
        <f aca="false">IF(C251="","",IFERROR(IF(LEFT(C251,1)="L",INDEX('Leads Pipeline'!$E$5:$E$1004,MATCH(C251,'Leads Pipeline'!$A$5:$A$1004,0)),INDEX('Active Clients'!$C$5:$C$504,MATCH(C251,'Active Clients'!$A$5:$A$504,0)))&amp;"","ID not found"))</f>
        <v/>
      </c>
      <c r="G251" s="16"/>
      <c r="H251" s="16"/>
      <c r="I251" s="16"/>
      <c r="J251" s="16"/>
      <c r="K251" s="16"/>
      <c r="L251" s="18"/>
    </row>
    <row r="252" customFormat="false" ht="15" hidden="false" customHeight="false" outlineLevel="0" collapsed="false">
      <c r="A252" s="18"/>
      <c r="B252" s="16"/>
      <c r="C252" s="16"/>
      <c r="D252" s="51" t="str">
        <f aca="false">IF(C252="","",IFERROR(IF(LEFT(C252,1)="L",INDEX('Leads Pipeline'!$F$5:$F$1004,MATCH(C252,'Leads Pipeline'!$A$5:$A$1004,0)),INDEX('Active Clients'!$D$5:$D$504,MATCH(C252,'Active Clients'!$A$5:$A$504,0)))&amp;"","ID not found"))</f>
        <v/>
      </c>
      <c r="E252" s="51" t="str">
        <f aca="false">IF(C252="","",IFERROR(IF(LEFT(C252,1)="L",INDEX('Leads Pipeline'!$D$5:$D$1004,MATCH(C252,'Leads Pipeline'!$A$5:$A$1004,0)),INDEX('Active Clients'!$B$5:$B$504,MATCH(C252,'Active Clients'!$A$5:$A$504,0)))&amp;"","ID not found"))</f>
        <v/>
      </c>
      <c r="F252" s="51" t="str">
        <f aca="false">IF(C252="","",IFERROR(IF(LEFT(C252,1)="L",INDEX('Leads Pipeline'!$E$5:$E$1004,MATCH(C252,'Leads Pipeline'!$A$5:$A$1004,0)),INDEX('Active Clients'!$C$5:$C$504,MATCH(C252,'Active Clients'!$A$5:$A$504,0)))&amp;"","ID not found"))</f>
        <v/>
      </c>
      <c r="G252" s="16"/>
      <c r="H252" s="16"/>
      <c r="I252" s="16"/>
      <c r="J252" s="16"/>
      <c r="K252" s="16"/>
      <c r="L252" s="18"/>
    </row>
    <row r="253" customFormat="false" ht="15" hidden="false" customHeight="false" outlineLevel="0" collapsed="false">
      <c r="A253" s="18"/>
      <c r="B253" s="16"/>
      <c r="C253" s="16"/>
      <c r="D253" s="51" t="str">
        <f aca="false">IF(C253="","",IFERROR(IF(LEFT(C253,1)="L",INDEX('Leads Pipeline'!$F$5:$F$1004,MATCH(C253,'Leads Pipeline'!$A$5:$A$1004,0)),INDEX('Active Clients'!$D$5:$D$504,MATCH(C253,'Active Clients'!$A$5:$A$504,0)))&amp;"","ID not found"))</f>
        <v/>
      </c>
      <c r="E253" s="51" t="str">
        <f aca="false">IF(C253="","",IFERROR(IF(LEFT(C253,1)="L",INDEX('Leads Pipeline'!$D$5:$D$1004,MATCH(C253,'Leads Pipeline'!$A$5:$A$1004,0)),INDEX('Active Clients'!$B$5:$B$504,MATCH(C253,'Active Clients'!$A$5:$A$504,0)))&amp;"","ID not found"))</f>
        <v/>
      </c>
      <c r="F253" s="51" t="str">
        <f aca="false">IF(C253="","",IFERROR(IF(LEFT(C253,1)="L",INDEX('Leads Pipeline'!$E$5:$E$1004,MATCH(C253,'Leads Pipeline'!$A$5:$A$1004,0)),INDEX('Active Clients'!$C$5:$C$504,MATCH(C253,'Active Clients'!$A$5:$A$504,0)))&amp;"","ID not found"))</f>
        <v/>
      </c>
      <c r="G253" s="16"/>
      <c r="H253" s="16"/>
      <c r="I253" s="16"/>
      <c r="J253" s="16"/>
      <c r="K253" s="16"/>
      <c r="L253" s="18"/>
    </row>
    <row r="254" customFormat="false" ht="15" hidden="false" customHeight="false" outlineLevel="0" collapsed="false">
      <c r="A254" s="18"/>
      <c r="B254" s="16"/>
      <c r="C254" s="16"/>
      <c r="D254" s="51" t="str">
        <f aca="false">IF(C254="","",IFERROR(IF(LEFT(C254,1)="L",INDEX('Leads Pipeline'!$F$5:$F$1004,MATCH(C254,'Leads Pipeline'!$A$5:$A$1004,0)),INDEX('Active Clients'!$D$5:$D$504,MATCH(C254,'Active Clients'!$A$5:$A$504,0)))&amp;"","ID not found"))</f>
        <v/>
      </c>
      <c r="E254" s="51" t="str">
        <f aca="false">IF(C254="","",IFERROR(IF(LEFT(C254,1)="L",INDEX('Leads Pipeline'!$D$5:$D$1004,MATCH(C254,'Leads Pipeline'!$A$5:$A$1004,0)),INDEX('Active Clients'!$B$5:$B$504,MATCH(C254,'Active Clients'!$A$5:$A$504,0)))&amp;"","ID not found"))</f>
        <v/>
      </c>
      <c r="F254" s="51" t="str">
        <f aca="false">IF(C254="","",IFERROR(IF(LEFT(C254,1)="L",INDEX('Leads Pipeline'!$E$5:$E$1004,MATCH(C254,'Leads Pipeline'!$A$5:$A$1004,0)),INDEX('Active Clients'!$C$5:$C$504,MATCH(C254,'Active Clients'!$A$5:$A$504,0)))&amp;"","ID not found"))</f>
        <v/>
      </c>
      <c r="G254" s="16"/>
      <c r="H254" s="16"/>
      <c r="I254" s="16"/>
      <c r="J254" s="16"/>
      <c r="K254" s="16"/>
      <c r="L254" s="18"/>
    </row>
    <row r="255" customFormat="false" ht="15" hidden="false" customHeight="false" outlineLevel="0" collapsed="false">
      <c r="A255" s="18"/>
      <c r="B255" s="16"/>
      <c r="C255" s="16"/>
      <c r="D255" s="51" t="str">
        <f aca="false">IF(C255="","",IFERROR(IF(LEFT(C255,1)="L",INDEX('Leads Pipeline'!$F$5:$F$1004,MATCH(C255,'Leads Pipeline'!$A$5:$A$1004,0)),INDEX('Active Clients'!$D$5:$D$504,MATCH(C255,'Active Clients'!$A$5:$A$504,0)))&amp;"","ID not found"))</f>
        <v/>
      </c>
      <c r="E255" s="51" t="str">
        <f aca="false">IF(C255="","",IFERROR(IF(LEFT(C255,1)="L",INDEX('Leads Pipeline'!$D$5:$D$1004,MATCH(C255,'Leads Pipeline'!$A$5:$A$1004,0)),INDEX('Active Clients'!$B$5:$B$504,MATCH(C255,'Active Clients'!$A$5:$A$504,0)))&amp;"","ID not found"))</f>
        <v/>
      </c>
      <c r="F255" s="51" t="str">
        <f aca="false">IF(C255="","",IFERROR(IF(LEFT(C255,1)="L",INDEX('Leads Pipeline'!$E$5:$E$1004,MATCH(C255,'Leads Pipeline'!$A$5:$A$1004,0)),INDEX('Active Clients'!$C$5:$C$504,MATCH(C255,'Active Clients'!$A$5:$A$504,0)))&amp;"","ID not found"))</f>
        <v/>
      </c>
      <c r="G255" s="16"/>
      <c r="H255" s="16"/>
      <c r="I255" s="16"/>
      <c r="J255" s="16"/>
      <c r="K255" s="16"/>
      <c r="L255" s="18"/>
    </row>
    <row r="256" customFormat="false" ht="15" hidden="false" customHeight="false" outlineLevel="0" collapsed="false">
      <c r="A256" s="18"/>
      <c r="B256" s="16"/>
      <c r="C256" s="16"/>
      <c r="D256" s="51" t="str">
        <f aca="false">IF(C256="","",IFERROR(IF(LEFT(C256,1)="L",INDEX('Leads Pipeline'!$F$5:$F$1004,MATCH(C256,'Leads Pipeline'!$A$5:$A$1004,0)),INDEX('Active Clients'!$D$5:$D$504,MATCH(C256,'Active Clients'!$A$5:$A$504,0)))&amp;"","ID not found"))</f>
        <v/>
      </c>
      <c r="E256" s="51" t="str">
        <f aca="false">IF(C256="","",IFERROR(IF(LEFT(C256,1)="L",INDEX('Leads Pipeline'!$D$5:$D$1004,MATCH(C256,'Leads Pipeline'!$A$5:$A$1004,0)),INDEX('Active Clients'!$B$5:$B$504,MATCH(C256,'Active Clients'!$A$5:$A$504,0)))&amp;"","ID not found"))</f>
        <v/>
      </c>
      <c r="F256" s="51" t="str">
        <f aca="false">IF(C256="","",IFERROR(IF(LEFT(C256,1)="L",INDEX('Leads Pipeline'!$E$5:$E$1004,MATCH(C256,'Leads Pipeline'!$A$5:$A$1004,0)),INDEX('Active Clients'!$C$5:$C$504,MATCH(C256,'Active Clients'!$A$5:$A$504,0)))&amp;"","ID not found"))</f>
        <v/>
      </c>
      <c r="G256" s="16"/>
      <c r="H256" s="16"/>
      <c r="I256" s="16"/>
      <c r="J256" s="16"/>
      <c r="K256" s="16"/>
      <c r="L256" s="18"/>
    </row>
    <row r="257" customFormat="false" ht="15" hidden="false" customHeight="false" outlineLevel="0" collapsed="false">
      <c r="A257" s="18"/>
      <c r="B257" s="16"/>
      <c r="C257" s="16"/>
      <c r="D257" s="51" t="str">
        <f aca="false">IF(C257="","",IFERROR(IF(LEFT(C257,1)="L",INDEX('Leads Pipeline'!$F$5:$F$1004,MATCH(C257,'Leads Pipeline'!$A$5:$A$1004,0)),INDEX('Active Clients'!$D$5:$D$504,MATCH(C257,'Active Clients'!$A$5:$A$504,0)))&amp;"","ID not found"))</f>
        <v/>
      </c>
      <c r="E257" s="51" t="str">
        <f aca="false">IF(C257="","",IFERROR(IF(LEFT(C257,1)="L",INDEX('Leads Pipeline'!$D$5:$D$1004,MATCH(C257,'Leads Pipeline'!$A$5:$A$1004,0)),INDEX('Active Clients'!$B$5:$B$504,MATCH(C257,'Active Clients'!$A$5:$A$504,0)))&amp;"","ID not found"))</f>
        <v/>
      </c>
      <c r="F257" s="51" t="str">
        <f aca="false">IF(C257="","",IFERROR(IF(LEFT(C257,1)="L",INDEX('Leads Pipeline'!$E$5:$E$1004,MATCH(C257,'Leads Pipeline'!$A$5:$A$1004,0)),INDEX('Active Clients'!$C$5:$C$504,MATCH(C257,'Active Clients'!$A$5:$A$504,0)))&amp;"","ID not found"))</f>
        <v/>
      </c>
      <c r="G257" s="16"/>
      <c r="H257" s="16"/>
      <c r="I257" s="16"/>
      <c r="J257" s="16"/>
      <c r="K257" s="16"/>
      <c r="L257" s="18"/>
    </row>
    <row r="258" customFormat="false" ht="15" hidden="false" customHeight="false" outlineLevel="0" collapsed="false">
      <c r="A258" s="18"/>
      <c r="B258" s="16"/>
      <c r="C258" s="16"/>
      <c r="D258" s="51" t="str">
        <f aca="false">IF(C258="","",IFERROR(IF(LEFT(C258,1)="L",INDEX('Leads Pipeline'!$F$5:$F$1004,MATCH(C258,'Leads Pipeline'!$A$5:$A$1004,0)),INDEX('Active Clients'!$D$5:$D$504,MATCH(C258,'Active Clients'!$A$5:$A$504,0)))&amp;"","ID not found"))</f>
        <v/>
      </c>
      <c r="E258" s="51" t="str">
        <f aca="false">IF(C258="","",IFERROR(IF(LEFT(C258,1)="L",INDEX('Leads Pipeline'!$D$5:$D$1004,MATCH(C258,'Leads Pipeline'!$A$5:$A$1004,0)),INDEX('Active Clients'!$B$5:$B$504,MATCH(C258,'Active Clients'!$A$5:$A$504,0)))&amp;"","ID not found"))</f>
        <v/>
      </c>
      <c r="F258" s="51" t="str">
        <f aca="false">IF(C258="","",IFERROR(IF(LEFT(C258,1)="L",INDEX('Leads Pipeline'!$E$5:$E$1004,MATCH(C258,'Leads Pipeline'!$A$5:$A$1004,0)),INDEX('Active Clients'!$C$5:$C$504,MATCH(C258,'Active Clients'!$A$5:$A$504,0)))&amp;"","ID not found"))</f>
        <v/>
      </c>
      <c r="G258" s="16"/>
      <c r="H258" s="16"/>
      <c r="I258" s="16"/>
      <c r="J258" s="16"/>
      <c r="K258" s="16"/>
      <c r="L258" s="18"/>
    </row>
    <row r="259" customFormat="false" ht="15" hidden="false" customHeight="false" outlineLevel="0" collapsed="false">
      <c r="A259" s="18"/>
      <c r="B259" s="16"/>
      <c r="C259" s="16"/>
      <c r="D259" s="51" t="str">
        <f aca="false">IF(C259="","",IFERROR(IF(LEFT(C259,1)="L",INDEX('Leads Pipeline'!$F$5:$F$1004,MATCH(C259,'Leads Pipeline'!$A$5:$A$1004,0)),INDEX('Active Clients'!$D$5:$D$504,MATCH(C259,'Active Clients'!$A$5:$A$504,0)))&amp;"","ID not found"))</f>
        <v/>
      </c>
      <c r="E259" s="51" t="str">
        <f aca="false">IF(C259="","",IFERROR(IF(LEFT(C259,1)="L",INDEX('Leads Pipeline'!$D$5:$D$1004,MATCH(C259,'Leads Pipeline'!$A$5:$A$1004,0)),INDEX('Active Clients'!$B$5:$B$504,MATCH(C259,'Active Clients'!$A$5:$A$504,0)))&amp;"","ID not found"))</f>
        <v/>
      </c>
      <c r="F259" s="51" t="str">
        <f aca="false">IF(C259="","",IFERROR(IF(LEFT(C259,1)="L",INDEX('Leads Pipeline'!$E$5:$E$1004,MATCH(C259,'Leads Pipeline'!$A$5:$A$1004,0)),INDEX('Active Clients'!$C$5:$C$504,MATCH(C259,'Active Clients'!$A$5:$A$504,0)))&amp;"","ID not found"))</f>
        <v/>
      </c>
      <c r="G259" s="16"/>
      <c r="H259" s="16"/>
      <c r="I259" s="16"/>
      <c r="J259" s="16"/>
      <c r="K259" s="16"/>
      <c r="L259" s="18"/>
    </row>
    <row r="260" customFormat="false" ht="15" hidden="false" customHeight="false" outlineLevel="0" collapsed="false">
      <c r="A260" s="18"/>
      <c r="B260" s="16"/>
      <c r="C260" s="16"/>
      <c r="D260" s="51" t="str">
        <f aca="false">IF(C260="","",IFERROR(IF(LEFT(C260,1)="L",INDEX('Leads Pipeline'!$F$5:$F$1004,MATCH(C260,'Leads Pipeline'!$A$5:$A$1004,0)),INDEX('Active Clients'!$D$5:$D$504,MATCH(C260,'Active Clients'!$A$5:$A$504,0)))&amp;"","ID not found"))</f>
        <v/>
      </c>
      <c r="E260" s="51" t="str">
        <f aca="false">IF(C260="","",IFERROR(IF(LEFT(C260,1)="L",INDEX('Leads Pipeline'!$D$5:$D$1004,MATCH(C260,'Leads Pipeline'!$A$5:$A$1004,0)),INDEX('Active Clients'!$B$5:$B$504,MATCH(C260,'Active Clients'!$A$5:$A$504,0)))&amp;"","ID not found"))</f>
        <v/>
      </c>
      <c r="F260" s="51" t="str">
        <f aca="false">IF(C260="","",IFERROR(IF(LEFT(C260,1)="L",INDEX('Leads Pipeline'!$E$5:$E$1004,MATCH(C260,'Leads Pipeline'!$A$5:$A$1004,0)),INDEX('Active Clients'!$C$5:$C$504,MATCH(C260,'Active Clients'!$A$5:$A$504,0)))&amp;"","ID not found"))</f>
        <v/>
      </c>
      <c r="G260" s="16"/>
      <c r="H260" s="16"/>
      <c r="I260" s="16"/>
      <c r="J260" s="16"/>
      <c r="K260" s="16"/>
      <c r="L260" s="18"/>
    </row>
    <row r="261" customFormat="false" ht="15" hidden="false" customHeight="false" outlineLevel="0" collapsed="false">
      <c r="A261" s="18"/>
      <c r="B261" s="16"/>
      <c r="C261" s="16"/>
      <c r="D261" s="51" t="str">
        <f aca="false">IF(C261="","",IFERROR(IF(LEFT(C261,1)="L",INDEX('Leads Pipeline'!$F$5:$F$1004,MATCH(C261,'Leads Pipeline'!$A$5:$A$1004,0)),INDEX('Active Clients'!$D$5:$D$504,MATCH(C261,'Active Clients'!$A$5:$A$504,0)))&amp;"","ID not found"))</f>
        <v/>
      </c>
      <c r="E261" s="51" t="str">
        <f aca="false">IF(C261="","",IFERROR(IF(LEFT(C261,1)="L",INDEX('Leads Pipeline'!$D$5:$D$1004,MATCH(C261,'Leads Pipeline'!$A$5:$A$1004,0)),INDEX('Active Clients'!$B$5:$B$504,MATCH(C261,'Active Clients'!$A$5:$A$504,0)))&amp;"","ID not found"))</f>
        <v/>
      </c>
      <c r="F261" s="51" t="str">
        <f aca="false">IF(C261="","",IFERROR(IF(LEFT(C261,1)="L",INDEX('Leads Pipeline'!$E$5:$E$1004,MATCH(C261,'Leads Pipeline'!$A$5:$A$1004,0)),INDEX('Active Clients'!$C$5:$C$504,MATCH(C261,'Active Clients'!$A$5:$A$504,0)))&amp;"","ID not found"))</f>
        <v/>
      </c>
      <c r="G261" s="16"/>
      <c r="H261" s="16"/>
      <c r="I261" s="16"/>
      <c r="J261" s="16"/>
      <c r="K261" s="16"/>
      <c r="L261" s="18"/>
    </row>
    <row r="262" customFormat="false" ht="15" hidden="false" customHeight="false" outlineLevel="0" collapsed="false">
      <c r="A262" s="18"/>
      <c r="B262" s="16"/>
      <c r="C262" s="16"/>
      <c r="D262" s="51" t="str">
        <f aca="false">IF(C262="","",IFERROR(IF(LEFT(C262,1)="L",INDEX('Leads Pipeline'!$F$5:$F$1004,MATCH(C262,'Leads Pipeline'!$A$5:$A$1004,0)),INDEX('Active Clients'!$D$5:$D$504,MATCH(C262,'Active Clients'!$A$5:$A$504,0)))&amp;"","ID not found"))</f>
        <v/>
      </c>
      <c r="E262" s="51" t="str">
        <f aca="false">IF(C262="","",IFERROR(IF(LEFT(C262,1)="L",INDEX('Leads Pipeline'!$D$5:$D$1004,MATCH(C262,'Leads Pipeline'!$A$5:$A$1004,0)),INDEX('Active Clients'!$B$5:$B$504,MATCH(C262,'Active Clients'!$A$5:$A$504,0)))&amp;"","ID not found"))</f>
        <v/>
      </c>
      <c r="F262" s="51" t="str">
        <f aca="false">IF(C262="","",IFERROR(IF(LEFT(C262,1)="L",INDEX('Leads Pipeline'!$E$5:$E$1004,MATCH(C262,'Leads Pipeline'!$A$5:$A$1004,0)),INDEX('Active Clients'!$C$5:$C$504,MATCH(C262,'Active Clients'!$A$5:$A$504,0)))&amp;"","ID not found"))</f>
        <v/>
      </c>
      <c r="G262" s="16"/>
      <c r="H262" s="16"/>
      <c r="I262" s="16"/>
      <c r="J262" s="16"/>
      <c r="K262" s="16"/>
      <c r="L262" s="18"/>
    </row>
    <row r="263" customFormat="false" ht="15" hidden="false" customHeight="false" outlineLevel="0" collapsed="false">
      <c r="A263" s="18"/>
      <c r="B263" s="16"/>
      <c r="C263" s="16"/>
      <c r="D263" s="51" t="str">
        <f aca="false">IF(C263="","",IFERROR(IF(LEFT(C263,1)="L",INDEX('Leads Pipeline'!$F$5:$F$1004,MATCH(C263,'Leads Pipeline'!$A$5:$A$1004,0)),INDEX('Active Clients'!$D$5:$D$504,MATCH(C263,'Active Clients'!$A$5:$A$504,0)))&amp;"","ID not found"))</f>
        <v/>
      </c>
      <c r="E263" s="51" t="str">
        <f aca="false">IF(C263="","",IFERROR(IF(LEFT(C263,1)="L",INDEX('Leads Pipeline'!$D$5:$D$1004,MATCH(C263,'Leads Pipeline'!$A$5:$A$1004,0)),INDEX('Active Clients'!$B$5:$B$504,MATCH(C263,'Active Clients'!$A$5:$A$504,0)))&amp;"","ID not found"))</f>
        <v/>
      </c>
      <c r="F263" s="51" t="str">
        <f aca="false">IF(C263="","",IFERROR(IF(LEFT(C263,1)="L",INDEX('Leads Pipeline'!$E$5:$E$1004,MATCH(C263,'Leads Pipeline'!$A$5:$A$1004,0)),INDEX('Active Clients'!$C$5:$C$504,MATCH(C263,'Active Clients'!$A$5:$A$504,0)))&amp;"","ID not found"))</f>
        <v/>
      </c>
      <c r="G263" s="16"/>
      <c r="H263" s="16"/>
      <c r="I263" s="16"/>
      <c r="J263" s="16"/>
      <c r="K263" s="16"/>
      <c r="L263" s="18"/>
    </row>
    <row r="264" customFormat="false" ht="15" hidden="false" customHeight="false" outlineLevel="0" collapsed="false">
      <c r="A264" s="18"/>
      <c r="B264" s="16"/>
      <c r="C264" s="16"/>
      <c r="D264" s="51" t="str">
        <f aca="false">IF(C264="","",IFERROR(IF(LEFT(C264,1)="L",INDEX('Leads Pipeline'!$F$5:$F$1004,MATCH(C264,'Leads Pipeline'!$A$5:$A$1004,0)),INDEX('Active Clients'!$D$5:$D$504,MATCH(C264,'Active Clients'!$A$5:$A$504,0)))&amp;"","ID not found"))</f>
        <v/>
      </c>
      <c r="E264" s="51" t="str">
        <f aca="false">IF(C264="","",IFERROR(IF(LEFT(C264,1)="L",INDEX('Leads Pipeline'!$D$5:$D$1004,MATCH(C264,'Leads Pipeline'!$A$5:$A$1004,0)),INDEX('Active Clients'!$B$5:$B$504,MATCH(C264,'Active Clients'!$A$5:$A$504,0)))&amp;"","ID not found"))</f>
        <v/>
      </c>
      <c r="F264" s="51" t="str">
        <f aca="false">IF(C264="","",IFERROR(IF(LEFT(C264,1)="L",INDEX('Leads Pipeline'!$E$5:$E$1004,MATCH(C264,'Leads Pipeline'!$A$5:$A$1004,0)),INDEX('Active Clients'!$C$5:$C$504,MATCH(C264,'Active Clients'!$A$5:$A$504,0)))&amp;"","ID not found"))</f>
        <v/>
      </c>
      <c r="G264" s="16"/>
      <c r="H264" s="16"/>
      <c r="I264" s="16"/>
      <c r="J264" s="16"/>
      <c r="K264" s="16"/>
      <c r="L264" s="18"/>
    </row>
    <row r="265" customFormat="false" ht="15" hidden="false" customHeight="false" outlineLevel="0" collapsed="false">
      <c r="A265" s="18"/>
      <c r="B265" s="16"/>
      <c r="C265" s="16"/>
      <c r="D265" s="51" t="str">
        <f aca="false">IF(C265="","",IFERROR(IF(LEFT(C265,1)="L",INDEX('Leads Pipeline'!$F$5:$F$1004,MATCH(C265,'Leads Pipeline'!$A$5:$A$1004,0)),INDEX('Active Clients'!$D$5:$D$504,MATCH(C265,'Active Clients'!$A$5:$A$504,0)))&amp;"","ID not found"))</f>
        <v/>
      </c>
      <c r="E265" s="51" t="str">
        <f aca="false">IF(C265="","",IFERROR(IF(LEFT(C265,1)="L",INDEX('Leads Pipeline'!$D$5:$D$1004,MATCH(C265,'Leads Pipeline'!$A$5:$A$1004,0)),INDEX('Active Clients'!$B$5:$B$504,MATCH(C265,'Active Clients'!$A$5:$A$504,0)))&amp;"","ID not found"))</f>
        <v/>
      </c>
      <c r="F265" s="51" t="str">
        <f aca="false">IF(C265="","",IFERROR(IF(LEFT(C265,1)="L",INDEX('Leads Pipeline'!$E$5:$E$1004,MATCH(C265,'Leads Pipeline'!$A$5:$A$1004,0)),INDEX('Active Clients'!$C$5:$C$504,MATCH(C265,'Active Clients'!$A$5:$A$504,0)))&amp;"","ID not found"))</f>
        <v/>
      </c>
      <c r="G265" s="16"/>
      <c r="H265" s="16"/>
      <c r="I265" s="16"/>
      <c r="J265" s="16"/>
      <c r="K265" s="16"/>
      <c r="L265" s="18"/>
    </row>
    <row r="266" customFormat="false" ht="15" hidden="false" customHeight="false" outlineLevel="0" collapsed="false">
      <c r="A266" s="18"/>
      <c r="B266" s="16"/>
      <c r="C266" s="16"/>
      <c r="D266" s="51" t="str">
        <f aca="false">IF(C266="","",IFERROR(IF(LEFT(C266,1)="L",INDEX('Leads Pipeline'!$F$5:$F$1004,MATCH(C266,'Leads Pipeline'!$A$5:$A$1004,0)),INDEX('Active Clients'!$D$5:$D$504,MATCH(C266,'Active Clients'!$A$5:$A$504,0)))&amp;"","ID not found"))</f>
        <v/>
      </c>
      <c r="E266" s="51" t="str">
        <f aca="false">IF(C266="","",IFERROR(IF(LEFT(C266,1)="L",INDEX('Leads Pipeline'!$D$5:$D$1004,MATCH(C266,'Leads Pipeline'!$A$5:$A$1004,0)),INDEX('Active Clients'!$B$5:$B$504,MATCH(C266,'Active Clients'!$A$5:$A$504,0)))&amp;"","ID not found"))</f>
        <v/>
      </c>
      <c r="F266" s="51" t="str">
        <f aca="false">IF(C266="","",IFERROR(IF(LEFT(C266,1)="L",INDEX('Leads Pipeline'!$E$5:$E$1004,MATCH(C266,'Leads Pipeline'!$A$5:$A$1004,0)),INDEX('Active Clients'!$C$5:$C$504,MATCH(C266,'Active Clients'!$A$5:$A$504,0)))&amp;"","ID not found"))</f>
        <v/>
      </c>
      <c r="G266" s="16"/>
      <c r="H266" s="16"/>
      <c r="I266" s="16"/>
      <c r="J266" s="16"/>
      <c r="K266" s="16"/>
      <c r="L266" s="18"/>
    </row>
    <row r="267" customFormat="false" ht="15" hidden="false" customHeight="false" outlineLevel="0" collapsed="false">
      <c r="A267" s="18"/>
      <c r="B267" s="16"/>
      <c r="C267" s="16"/>
      <c r="D267" s="51" t="str">
        <f aca="false">IF(C267="","",IFERROR(IF(LEFT(C267,1)="L",INDEX('Leads Pipeline'!$F$5:$F$1004,MATCH(C267,'Leads Pipeline'!$A$5:$A$1004,0)),INDEX('Active Clients'!$D$5:$D$504,MATCH(C267,'Active Clients'!$A$5:$A$504,0)))&amp;"","ID not found"))</f>
        <v/>
      </c>
      <c r="E267" s="51" t="str">
        <f aca="false">IF(C267="","",IFERROR(IF(LEFT(C267,1)="L",INDEX('Leads Pipeline'!$D$5:$D$1004,MATCH(C267,'Leads Pipeline'!$A$5:$A$1004,0)),INDEX('Active Clients'!$B$5:$B$504,MATCH(C267,'Active Clients'!$A$5:$A$504,0)))&amp;"","ID not found"))</f>
        <v/>
      </c>
      <c r="F267" s="51" t="str">
        <f aca="false">IF(C267="","",IFERROR(IF(LEFT(C267,1)="L",INDEX('Leads Pipeline'!$E$5:$E$1004,MATCH(C267,'Leads Pipeline'!$A$5:$A$1004,0)),INDEX('Active Clients'!$C$5:$C$504,MATCH(C267,'Active Clients'!$A$5:$A$504,0)))&amp;"","ID not found"))</f>
        <v/>
      </c>
      <c r="G267" s="16"/>
      <c r="H267" s="16"/>
      <c r="I267" s="16"/>
      <c r="J267" s="16"/>
      <c r="K267" s="16"/>
      <c r="L267" s="18"/>
    </row>
    <row r="268" customFormat="false" ht="15" hidden="false" customHeight="false" outlineLevel="0" collapsed="false">
      <c r="A268" s="18"/>
      <c r="B268" s="16"/>
      <c r="C268" s="16"/>
      <c r="D268" s="51" t="str">
        <f aca="false">IF(C268="","",IFERROR(IF(LEFT(C268,1)="L",INDEX('Leads Pipeline'!$F$5:$F$1004,MATCH(C268,'Leads Pipeline'!$A$5:$A$1004,0)),INDEX('Active Clients'!$D$5:$D$504,MATCH(C268,'Active Clients'!$A$5:$A$504,0)))&amp;"","ID not found"))</f>
        <v/>
      </c>
      <c r="E268" s="51" t="str">
        <f aca="false">IF(C268="","",IFERROR(IF(LEFT(C268,1)="L",INDEX('Leads Pipeline'!$D$5:$D$1004,MATCH(C268,'Leads Pipeline'!$A$5:$A$1004,0)),INDEX('Active Clients'!$B$5:$B$504,MATCH(C268,'Active Clients'!$A$5:$A$504,0)))&amp;"","ID not found"))</f>
        <v/>
      </c>
      <c r="F268" s="51" t="str">
        <f aca="false">IF(C268="","",IFERROR(IF(LEFT(C268,1)="L",INDEX('Leads Pipeline'!$E$5:$E$1004,MATCH(C268,'Leads Pipeline'!$A$5:$A$1004,0)),INDEX('Active Clients'!$C$5:$C$504,MATCH(C268,'Active Clients'!$A$5:$A$504,0)))&amp;"","ID not found"))</f>
        <v/>
      </c>
      <c r="G268" s="16"/>
      <c r="H268" s="16"/>
      <c r="I268" s="16"/>
      <c r="J268" s="16"/>
      <c r="K268" s="16"/>
      <c r="L268" s="18"/>
    </row>
    <row r="269" customFormat="false" ht="15" hidden="false" customHeight="false" outlineLevel="0" collapsed="false">
      <c r="A269" s="18"/>
      <c r="B269" s="16"/>
      <c r="C269" s="16"/>
      <c r="D269" s="51" t="str">
        <f aca="false">IF(C269="","",IFERROR(IF(LEFT(C269,1)="L",INDEX('Leads Pipeline'!$F$5:$F$1004,MATCH(C269,'Leads Pipeline'!$A$5:$A$1004,0)),INDEX('Active Clients'!$D$5:$D$504,MATCH(C269,'Active Clients'!$A$5:$A$504,0)))&amp;"","ID not found"))</f>
        <v/>
      </c>
      <c r="E269" s="51" t="str">
        <f aca="false">IF(C269="","",IFERROR(IF(LEFT(C269,1)="L",INDEX('Leads Pipeline'!$D$5:$D$1004,MATCH(C269,'Leads Pipeline'!$A$5:$A$1004,0)),INDEX('Active Clients'!$B$5:$B$504,MATCH(C269,'Active Clients'!$A$5:$A$504,0)))&amp;"","ID not found"))</f>
        <v/>
      </c>
      <c r="F269" s="51" t="str">
        <f aca="false">IF(C269="","",IFERROR(IF(LEFT(C269,1)="L",INDEX('Leads Pipeline'!$E$5:$E$1004,MATCH(C269,'Leads Pipeline'!$A$5:$A$1004,0)),INDEX('Active Clients'!$C$5:$C$504,MATCH(C269,'Active Clients'!$A$5:$A$504,0)))&amp;"","ID not found"))</f>
        <v/>
      </c>
      <c r="G269" s="16"/>
      <c r="H269" s="16"/>
      <c r="I269" s="16"/>
      <c r="J269" s="16"/>
      <c r="K269" s="16"/>
      <c r="L269" s="18"/>
    </row>
    <row r="270" customFormat="false" ht="15" hidden="false" customHeight="false" outlineLevel="0" collapsed="false">
      <c r="A270" s="18"/>
      <c r="B270" s="16"/>
      <c r="C270" s="16"/>
      <c r="D270" s="51" t="str">
        <f aca="false">IF(C270="","",IFERROR(IF(LEFT(C270,1)="L",INDEX('Leads Pipeline'!$F$5:$F$1004,MATCH(C270,'Leads Pipeline'!$A$5:$A$1004,0)),INDEX('Active Clients'!$D$5:$D$504,MATCH(C270,'Active Clients'!$A$5:$A$504,0)))&amp;"","ID not found"))</f>
        <v/>
      </c>
      <c r="E270" s="51" t="str">
        <f aca="false">IF(C270="","",IFERROR(IF(LEFT(C270,1)="L",INDEX('Leads Pipeline'!$D$5:$D$1004,MATCH(C270,'Leads Pipeline'!$A$5:$A$1004,0)),INDEX('Active Clients'!$B$5:$B$504,MATCH(C270,'Active Clients'!$A$5:$A$504,0)))&amp;"","ID not found"))</f>
        <v/>
      </c>
      <c r="F270" s="51" t="str">
        <f aca="false">IF(C270="","",IFERROR(IF(LEFT(C270,1)="L",INDEX('Leads Pipeline'!$E$5:$E$1004,MATCH(C270,'Leads Pipeline'!$A$5:$A$1004,0)),INDEX('Active Clients'!$C$5:$C$504,MATCH(C270,'Active Clients'!$A$5:$A$504,0)))&amp;"","ID not found"))</f>
        <v/>
      </c>
      <c r="G270" s="16"/>
      <c r="H270" s="16"/>
      <c r="I270" s="16"/>
      <c r="J270" s="16"/>
      <c r="K270" s="16"/>
      <c r="L270" s="18"/>
    </row>
    <row r="271" customFormat="false" ht="15" hidden="false" customHeight="false" outlineLevel="0" collapsed="false">
      <c r="A271" s="18"/>
      <c r="B271" s="16"/>
      <c r="C271" s="16"/>
      <c r="D271" s="51" t="str">
        <f aca="false">IF(C271="","",IFERROR(IF(LEFT(C271,1)="L",INDEX('Leads Pipeline'!$F$5:$F$1004,MATCH(C271,'Leads Pipeline'!$A$5:$A$1004,0)),INDEX('Active Clients'!$D$5:$D$504,MATCH(C271,'Active Clients'!$A$5:$A$504,0)))&amp;"","ID not found"))</f>
        <v/>
      </c>
      <c r="E271" s="51" t="str">
        <f aca="false">IF(C271="","",IFERROR(IF(LEFT(C271,1)="L",INDEX('Leads Pipeline'!$D$5:$D$1004,MATCH(C271,'Leads Pipeline'!$A$5:$A$1004,0)),INDEX('Active Clients'!$B$5:$B$504,MATCH(C271,'Active Clients'!$A$5:$A$504,0)))&amp;"","ID not found"))</f>
        <v/>
      </c>
      <c r="F271" s="51" t="str">
        <f aca="false">IF(C271="","",IFERROR(IF(LEFT(C271,1)="L",INDEX('Leads Pipeline'!$E$5:$E$1004,MATCH(C271,'Leads Pipeline'!$A$5:$A$1004,0)),INDEX('Active Clients'!$C$5:$C$504,MATCH(C271,'Active Clients'!$A$5:$A$504,0)))&amp;"","ID not found"))</f>
        <v/>
      </c>
      <c r="G271" s="16"/>
      <c r="H271" s="16"/>
      <c r="I271" s="16"/>
      <c r="J271" s="16"/>
      <c r="K271" s="16"/>
      <c r="L271" s="18"/>
    </row>
    <row r="272" customFormat="false" ht="15" hidden="false" customHeight="false" outlineLevel="0" collapsed="false">
      <c r="A272" s="18"/>
      <c r="B272" s="16"/>
      <c r="C272" s="16"/>
      <c r="D272" s="51" t="str">
        <f aca="false">IF(C272="","",IFERROR(IF(LEFT(C272,1)="L",INDEX('Leads Pipeline'!$F$5:$F$1004,MATCH(C272,'Leads Pipeline'!$A$5:$A$1004,0)),INDEX('Active Clients'!$D$5:$D$504,MATCH(C272,'Active Clients'!$A$5:$A$504,0)))&amp;"","ID not found"))</f>
        <v/>
      </c>
      <c r="E272" s="51" t="str">
        <f aca="false">IF(C272="","",IFERROR(IF(LEFT(C272,1)="L",INDEX('Leads Pipeline'!$D$5:$D$1004,MATCH(C272,'Leads Pipeline'!$A$5:$A$1004,0)),INDEX('Active Clients'!$B$5:$B$504,MATCH(C272,'Active Clients'!$A$5:$A$504,0)))&amp;"","ID not found"))</f>
        <v/>
      </c>
      <c r="F272" s="51" t="str">
        <f aca="false">IF(C272="","",IFERROR(IF(LEFT(C272,1)="L",INDEX('Leads Pipeline'!$E$5:$E$1004,MATCH(C272,'Leads Pipeline'!$A$5:$A$1004,0)),INDEX('Active Clients'!$C$5:$C$504,MATCH(C272,'Active Clients'!$A$5:$A$504,0)))&amp;"","ID not found"))</f>
        <v/>
      </c>
      <c r="G272" s="16"/>
      <c r="H272" s="16"/>
      <c r="I272" s="16"/>
      <c r="J272" s="16"/>
      <c r="K272" s="16"/>
      <c r="L272" s="18"/>
    </row>
    <row r="273" customFormat="false" ht="15" hidden="false" customHeight="false" outlineLevel="0" collapsed="false">
      <c r="A273" s="18"/>
      <c r="B273" s="16"/>
      <c r="C273" s="16"/>
      <c r="D273" s="51" t="str">
        <f aca="false">IF(C273="","",IFERROR(IF(LEFT(C273,1)="L",INDEX('Leads Pipeline'!$F$5:$F$1004,MATCH(C273,'Leads Pipeline'!$A$5:$A$1004,0)),INDEX('Active Clients'!$D$5:$D$504,MATCH(C273,'Active Clients'!$A$5:$A$504,0)))&amp;"","ID not found"))</f>
        <v/>
      </c>
      <c r="E273" s="51" t="str">
        <f aca="false">IF(C273="","",IFERROR(IF(LEFT(C273,1)="L",INDEX('Leads Pipeline'!$D$5:$D$1004,MATCH(C273,'Leads Pipeline'!$A$5:$A$1004,0)),INDEX('Active Clients'!$B$5:$B$504,MATCH(C273,'Active Clients'!$A$5:$A$504,0)))&amp;"","ID not found"))</f>
        <v/>
      </c>
      <c r="F273" s="51" t="str">
        <f aca="false">IF(C273="","",IFERROR(IF(LEFT(C273,1)="L",INDEX('Leads Pipeline'!$E$5:$E$1004,MATCH(C273,'Leads Pipeline'!$A$5:$A$1004,0)),INDEX('Active Clients'!$C$5:$C$504,MATCH(C273,'Active Clients'!$A$5:$A$504,0)))&amp;"","ID not found"))</f>
        <v/>
      </c>
      <c r="G273" s="16"/>
      <c r="H273" s="16"/>
      <c r="I273" s="16"/>
      <c r="J273" s="16"/>
      <c r="K273" s="16"/>
      <c r="L273" s="18"/>
    </row>
    <row r="274" customFormat="false" ht="15" hidden="false" customHeight="false" outlineLevel="0" collapsed="false">
      <c r="A274" s="18"/>
      <c r="B274" s="16"/>
      <c r="C274" s="16"/>
      <c r="D274" s="51" t="str">
        <f aca="false">IF(C274="","",IFERROR(IF(LEFT(C274,1)="L",INDEX('Leads Pipeline'!$F$5:$F$1004,MATCH(C274,'Leads Pipeline'!$A$5:$A$1004,0)),INDEX('Active Clients'!$D$5:$D$504,MATCH(C274,'Active Clients'!$A$5:$A$504,0)))&amp;"","ID not found"))</f>
        <v/>
      </c>
      <c r="E274" s="51" t="str">
        <f aca="false">IF(C274="","",IFERROR(IF(LEFT(C274,1)="L",INDEX('Leads Pipeline'!$D$5:$D$1004,MATCH(C274,'Leads Pipeline'!$A$5:$A$1004,0)),INDEX('Active Clients'!$B$5:$B$504,MATCH(C274,'Active Clients'!$A$5:$A$504,0)))&amp;"","ID not found"))</f>
        <v/>
      </c>
      <c r="F274" s="51" t="str">
        <f aca="false">IF(C274="","",IFERROR(IF(LEFT(C274,1)="L",INDEX('Leads Pipeline'!$E$5:$E$1004,MATCH(C274,'Leads Pipeline'!$A$5:$A$1004,0)),INDEX('Active Clients'!$C$5:$C$504,MATCH(C274,'Active Clients'!$A$5:$A$504,0)))&amp;"","ID not found"))</f>
        <v/>
      </c>
      <c r="G274" s="16"/>
      <c r="H274" s="16"/>
      <c r="I274" s="16"/>
      <c r="J274" s="16"/>
      <c r="K274" s="16"/>
      <c r="L274" s="18"/>
    </row>
    <row r="275" customFormat="false" ht="15" hidden="false" customHeight="false" outlineLevel="0" collapsed="false">
      <c r="A275" s="18"/>
      <c r="B275" s="16"/>
      <c r="C275" s="16"/>
      <c r="D275" s="51" t="str">
        <f aca="false">IF(C275="","",IFERROR(IF(LEFT(C275,1)="L",INDEX('Leads Pipeline'!$F$5:$F$1004,MATCH(C275,'Leads Pipeline'!$A$5:$A$1004,0)),INDEX('Active Clients'!$D$5:$D$504,MATCH(C275,'Active Clients'!$A$5:$A$504,0)))&amp;"","ID not found"))</f>
        <v/>
      </c>
      <c r="E275" s="51" t="str">
        <f aca="false">IF(C275="","",IFERROR(IF(LEFT(C275,1)="L",INDEX('Leads Pipeline'!$D$5:$D$1004,MATCH(C275,'Leads Pipeline'!$A$5:$A$1004,0)),INDEX('Active Clients'!$B$5:$B$504,MATCH(C275,'Active Clients'!$A$5:$A$504,0)))&amp;"","ID not found"))</f>
        <v/>
      </c>
      <c r="F275" s="51" t="str">
        <f aca="false">IF(C275="","",IFERROR(IF(LEFT(C275,1)="L",INDEX('Leads Pipeline'!$E$5:$E$1004,MATCH(C275,'Leads Pipeline'!$A$5:$A$1004,0)),INDEX('Active Clients'!$C$5:$C$504,MATCH(C275,'Active Clients'!$A$5:$A$504,0)))&amp;"","ID not found"))</f>
        <v/>
      </c>
      <c r="G275" s="16"/>
      <c r="H275" s="16"/>
      <c r="I275" s="16"/>
      <c r="J275" s="16"/>
      <c r="K275" s="16"/>
      <c r="L275" s="18"/>
    </row>
    <row r="276" customFormat="false" ht="15" hidden="false" customHeight="false" outlineLevel="0" collapsed="false">
      <c r="A276" s="18"/>
      <c r="B276" s="16"/>
      <c r="C276" s="16"/>
      <c r="D276" s="51" t="str">
        <f aca="false">IF(C276="","",IFERROR(IF(LEFT(C276,1)="L",INDEX('Leads Pipeline'!$F$5:$F$1004,MATCH(C276,'Leads Pipeline'!$A$5:$A$1004,0)),INDEX('Active Clients'!$D$5:$D$504,MATCH(C276,'Active Clients'!$A$5:$A$504,0)))&amp;"","ID not found"))</f>
        <v/>
      </c>
      <c r="E276" s="51" t="str">
        <f aca="false">IF(C276="","",IFERROR(IF(LEFT(C276,1)="L",INDEX('Leads Pipeline'!$D$5:$D$1004,MATCH(C276,'Leads Pipeline'!$A$5:$A$1004,0)),INDEX('Active Clients'!$B$5:$B$504,MATCH(C276,'Active Clients'!$A$5:$A$504,0)))&amp;"","ID not found"))</f>
        <v/>
      </c>
      <c r="F276" s="51" t="str">
        <f aca="false">IF(C276="","",IFERROR(IF(LEFT(C276,1)="L",INDEX('Leads Pipeline'!$E$5:$E$1004,MATCH(C276,'Leads Pipeline'!$A$5:$A$1004,0)),INDEX('Active Clients'!$C$5:$C$504,MATCH(C276,'Active Clients'!$A$5:$A$504,0)))&amp;"","ID not found"))</f>
        <v/>
      </c>
      <c r="G276" s="16"/>
      <c r="H276" s="16"/>
      <c r="I276" s="16"/>
      <c r="J276" s="16"/>
      <c r="K276" s="16"/>
      <c r="L276" s="18"/>
    </row>
    <row r="277" customFormat="false" ht="15" hidden="false" customHeight="false" outlineLevel="0" collapsed="false">
      <c r="A277" s="18"/>
      <c r="B277" s="16"/>
      <c r="C277" s="16"/>
      <c r="D277" s="51" t="str">
        <f aca="false">IF(C277="","",IFERROR(IF(LEFT(C277,1)="L",INDEX('Leads Pipeline'!$F$5:$F$1004,MATCH(C277,'Leads Pipeline'!$A$5:$A$1004,0)),INDEX('Active Clients'!$D$5:$D$504,MATCH(C277,'Active Clients'!$A$5:$A$504,0)))&amp;"","ID not found"))</f>
        <v/>
      </c>
      <c r="E277" s="51" t="str">
        <f aca="false">IF(C277="","",IFERROR(IF(LEFT(C277,1)="L",INDEX('Leads Pipeline'!$D$5:$D$1004,MATCH(C277,'Leads Pipeline'!$A$5:$A$1004,0)),INDEX('Active Clients'!$B$5:$B$504,MATCH(C277,'Active Clients'!$A$5:$A$504,0)))&amp;"","ID not found"))</f>
        <v/>
      </c>
      <c r="F277" s="51" t="str">
        <f aca="false">IF(C277="","",IFERROR(IF(LEFT(C277,1)="L",INDEX('Leads Pipeline'!$E$5:$E$1004,MATCH(C277,'Leads Pipeline'!$A$5:$A$1004,0)),INDEX('Active Clients'!$C$5:$C$504,MATCH(C277,'Active Clients'!$A$5:$A$504,0)))&amp;"","ID not found"))</f>
        <v/>
      </c>
      <c r="G277" s="16"/>
      <c r="H277" s="16"/>
      <c r="I277" s="16"/>
      <c r="J277" s="16"/>
      <c r="K277" s="16"/>
      <c r="L277" s="18"/>
    </row>
    <row r="278" customFormat="false" ht="15" hidden="false" customHeight="false" outlineLevel="0" collapsed="false">
      <c r="A278" s="18"/>
      <c r="B278" s="16"/>
      <c r="C278" s="16"/>
      <c r="D278" s="51" t="str">
        <f aca="false">IF(C278="","",IFERROR(IF(LEFT(C278,1)="L",INDEX('Leads Pipeline'!$F$5:$F$1004,MATCH(C278,'Leads Pipeline'!$A$5:$A$1004,0)),INDEX('Active Clients'!$D$5:$D$504,MATCH(C278,'Active Clients'!$A$5:$A$504,0)))&amp;"","ID not found"))</f>
        <v/>
      </c>
      <c r="E278" s="51" t="str">
        <f aca="false">IF(C278="","",IFERROR(IF(LEFT(C278,1)="L",INDEX('Leads Pipeline'!$D$5:$D$1004,MATCH(C278,'Leads Pipeline'!$A$5:$A$1004,0)),INDEX('Active Clients'!$B$5:$B$504,MATCH(C278,'Active Clients'!$A$5:$A$504,0)))&amp;"","ID not found"))</f>
        <v/>
      </c>
      <c r="F278" s="51" t="str">
        <f aca="false">IF(C278="","",IFERROR(IF(LEFT(C278,1)="L",INDEX('Leads Pipeline'!$E$5:$E$1004,MATCH(C278,'Leads Pipeline'!$A$5:$A$1004,0)),INDEX('Active Clients'!$C$5:$C$504,MATCH(C278,'Active Clients'!$A$5:$A$504,0)))&amp;"","ID not found"))</f>
        <v/>
      </c>
      <c r="G278" s="16"/>
      <c r="H278" s="16"/>
      <c r="I278" s="16"/>
      <c r="J278" s="16"/>
      <c r="K278" s="16"/>
      <c r="L278" s="18"/>
    </row>
    <row r="279" customFormat="false" ht="15" hidden="false" customHeight="false" outlineLevel="0" collapsed="false">
      <c r="A279" s="18"/>
      <c r="B279" s="16"/>
      <c r="C279" s="16"/>
      <c r="D279" s="51" t="str">
        <f aca="false">IF(C279="","",IFERROR(IF(LEFT(C279,1)="L",INDEX('Leads Pipeline'!$F$5:$F$1004,MATCH(C279,'Leads Pipeline'!$A$5:$A$1004,0)),INDEX('Active Clients'!$D$5:$D$504,MATCH(C279,'Active Clients'!$A$5:$A$504,0)))&amp;"","ID not found"))</f>
        <v/>
      </c>
      <c r="E279" s="51" t="str">
        <f aca="false">IF(C279="","",IFERROR(IF(LEFT(C279,1)="L",INDEX('Leads Pipeline'!$D$5:$D$1004,MATCH(C279,'Leads Pipeline'!$A$5:$A$1004,0)),INDEX('Active Clients'!$B$5:$B$504,MATCH(C279,'Active Clients'!$A$5:$A$504,0)))&amp;"","ID not found"))</f>
        <v/>
      </c>
      <c r="F279" s="51" t="str">
        <f aca="false">IF(C279="","",IFERROR(IF(LEFT(C279,1)="L",INDEX('Leads Pipeline'!$E$5:$E$1004,MATCH(C279,'Leads Pipeline'!$A$5:$A$1004,0)),INDEX('Active Clients'!$C$5:$C$504,MATCH(C279,'Active Clients'!$A$5:$A$504,0)))&amp;"","ID not found"))</f>
        <v/>
      </c>
      <c r="G279" s="16"/>
      <c r="H279" s="16"/>
      <c r="I279" s="16"/>
      <c r="J279" s="16"/>
      <c r="K279" s="16"/>
      <c r="L279" s="18"/>
    </row>
    <row r="280" customFormat="false" ht="15" hidden="false" customHeight="false" outlineLevel="0" collapsed="false">
      <c r="A280" s="18"/>
      <c r="B280" s="16"/>
      <c r="C280" s="16"/>
      <c r="D280" s="51" t="str">
        <f aca="false">IF(C280="","",IFERROR(IF(LEFT(C280,1)="L",INDEX('Leads Pipeline'!$F$5:$F$1004,MATCH(C280,'Leads Pipeline'!$A$5:$A$1004,0)),INDEX('Active Clients'!$D$5:$D$504,MATCH(C280,'Active Clients'!$A$5:$A$504,0)))&amp;"","ID not found"))</f>
        <v/>
      </c>
      <c r="E280" s="51" t="str">
        <f aca="false">IF(C280="","",IFERROR(IF(LEFT(C280,1)="L",INDEX('Leads Pipeline'!$D$5:$D$1004,MATCH(C280,'Leads Pipeline'!$A$5:$A$1004,0)),INDEX('Active Clients'!$B$5:$B$504,MATCH(C280,'Active Clients'!$A$5:$A$504,0)))&amp;"","ID not found"))</f>
        <v/>
      </c>
      <c r="F280" s="51" t="str">
        <f aca="false">IF(C280="","",IFERROR(IF(LEFT(C280,1)="L",INDEX('Leads Pipeline'!$E$5:$E$1004,MATCH(C280,'Leads Pipeline'!$A$5:$A$1004,0)),INDEX('Active Clients'!$C$5:$C$504,MATCH(C280,'Active Clients'!$A$5:$A$504,0)))&amp;"","ID not found"))</f>
        <v/>
      </c>
      <c r="G280" s="16"/>
      <c r="H280" s="16"/>
      <c r="I280" s="16"/>
      <c r="J280" s="16"/>
      <c r="K280" s="16"/>
      <c r="L280" s="18"/>
    </row>
    <row r="281" customFormat="false" ht="15" hidden="false" customHeight="false" outlineLevel="0" collapsed="false">
      <c r="A281" s="18"/>
      <c r="B281" s="16"/>
      <c r="C281" s="16"/>
      <c r="D281" s="51" t="str">
        <f aca="false">IF(C281="","",IFERROR(IF(LEFT(C281,1)="L",INDEX('Leads Pipeline'!$F$5:$F$1004,MATCH(C281,'Leads Pipeline'!$A$5:$A$1004,0)),INDEX('Active Clients'!$D$5:$D$504,MATCH(C281,'Active Clients'!$A$5:$A$504,0)))&amp;"","ID not found"))</f>
        <v/>
      </c>
      <c r="E281" s="51" t="str">
        <f aca="false">IF(C281="","",IFERROR(IF(LEFT(C281,1)="L",INDEX('Leads Pipeline'!$D$5:$D$1004,MATCH(C281,'Leads Pipeline'!$A$5:$A$1004,0)),INDEX('Active Clients'!$B$5:$B$504,MATCH(C281,'Active Clients'!$A$5:$A$504,0)))&amp;"","ID not found"))</f>
        <v/>
      </c>
      <c r="F281" s="51" t="str">
        <f aca="false">IF(C281="","",IFERROR(IF(LEFT(C281,1)="L",INDEX('Leads Pipeline'!$E$5:$E$1004,MATCH(C281,'Leads Pipeline'!$A$5:$A$1004,0)),INDEX('Active Clients'!$C$5:$C$504,MATCH(C281,'Active Clients'!$A$5:$A$504,0)))&amp;"","ID not found"))</f>
        <v/>
      </c>
      <c r="G281" s="16"/>
      <c r="H281" s="16"/>
      <c r="I281" s="16"/>
      <c r="J281" s="16"/>
      <c r="K281" s="16"/>
      <c r="L281" s="18"/>
    </row>
    <row r="282" customFormat="false" ht="15" hidden="false" customHeight="false" outlineLevel="0" collapsed="false">
      <c r="A282" s="18"/>
      <c r="B282" s="16"/>
      <c r="C282" s="16"/>
      <c r="D282" s="51" t="str">
        <f aca="false">IF(C282="","",IFERROR(IF(LEFT(C282,1)="L",INDEX('Leads Pipeline'!$F$5:$F$1004,MATCH(C282,'Leads Pipeline'!$A$5:$A$1004,0)),INDEX('Active Clients'!$D$5:$D$504,MATCH(C282,'Active Clients'!$A$5:$A$504,0)))&amp;"","ID not found"))</f>
        <v/>
      </c>
      <c r="E282" s="51" t="str">
        <f aca="false">IF(C282="","",IFERROR(IF(LEFT(C282,1)="L",INDEX('Leads Pipeline'!$D$5:$D$1004,MATCH(C282,'Leads Pipeline'!$A$5:$A$1004,0)),INDEX('Active Clients'!$B$5:$B$504,MATCH(C282,'Active Clients'!$A$5:$A$504,0)))&amp;"","ID not found"))</f>
        <v/>
      </c>
      <c r="F282" s="51" t="str">
        <f aca="false">IF(C282="","",IFERROR(IF(LEFT(C282,1)="L",INDEX('Leads Pipeline'!$E$5:$E$1004,MATCH(C282,'Leads Pipeline'!$A$5:$A$1004,0)),INDEX('Active Clients'!$C$5:$C$504,MATCH(C282,'Active Clients'!$A$5:$A$504,0)))&amp;"","ID not found"))</f>
        <v/>
      </c>
      <c r="G282" s="16"/>
      <c r="H282" s="16"/>
      <c r="I282" s="16"/>
      <c r="J282" s="16"/>
      <c r="K282" s="16"/>
      <c r="L282" s="18"/>
    </row>
    <row r="283" customFormat="false" ht="15" hidden="false" customHeight="false" outlineLevel="0" collapsed="false">
      <c r="A283" s="18"/>
      <c r="B283" s="16"/>
      <c r="C283" s="16"/>
      <c r="D283" s="51" t="str">
        <f aca="false">IF(C283="","",IFERROR(IF(LEFT(C283,1)="L",INDEX('Leads Pipeline'!$F$5:$F$1004,MATCH(C283,'Leads Pipeline'!$A$5:$A$1004,0)),INDEX('Active Clients'!$D$5:$D$504,MATCH(C283,'Active Clients'!$A$5:$A$504,0)))&amp;"","ID not found"))</f>
        <v/>
      </c>
      <c r="E283" s="51" t="str">
        <f aca="false">IF(C283="","",IFERROR(IF(LEFT(C283,1)="L",INDEX('Leads Pipeline'!$D$5:$D$1004,MATCH(C283,'Leads Pipeline'!$A$5:$A$1004,0)),INDEX('Active Clients'!$B$5:$B$504,MATCH(C283,'Active Clients'!$A$5:$A$504,0)))&amp;"","ID not found"))</f>
        <v/>
      </c>
      <c r="F283" s="51" t="str">
        <f aca="false">IF(C283="","",IFERROR(IF(LEFT(C283,1)="L",INDEX('Leads Pipeline'!$E$5:$E$1004,MATCH(C283,'Leads Pipeline'!$A$5:$A$1004,0)),INDEX('Active Clients'!$C$5:$C$504,MATCH(C283,'Active Clients'!$A$5:$A$504,0)))&amp;"","ID not found"))</f>
        <v/>
      </c>
      <c r="G283" s="16"/>
      <c r="H283" s="16"/>
      <c r="I283" s="16"/>
      <c r="J283" s="16"/>
      <c r="K283" s="16"/>
      <c r="L283" s="18"/>
    </row>
    <row r="284" customFormat="false" ht="15" hidden="false" customHeight="false" outlineLevel="0" collapsed="false">
      <c r="A284" s="18"/>
      <c r="B284" s="16"/>
      <c r="C284" s="16"/>
      <c r="D284" s="51" t="str">
        <f aca="false">IF(C284="","",IFERROR(IF(LEFT(C284,1)="L",INDEX('Leads Pipeline'!$F$5:$F$1004,MATCH(C284,'Leads Pipeline'!$A$5:$A$1004,0)),INDEX('Active Clients'!$D$5:$D$504,MATCH(C284,'Active Clients'!$A$5:$A$504,0)))&amp;"","ID not found"))</f>
        <v/>
      </c>
      <c r="E284" s="51" t="str">
        <f aca="false">IF(C284="","",IFERROR(IF(LEFT(C284,1)="L",INDEX('Leads Pipeline'!$D$5:$D$1004,MATCH(C284,'Leads Pipeline'!$A$5:$A$1004,0)),INDEX('Active Clients'!$B$5:$B$504,MATCH(C284,'Active Clients'!$A$5:$A$504,0)))&amp;"","ID not found"))</f>
        <v/>
      </c>
      <c r="F284" s="51" t="str">
        <f aca="false">IF(C284="","",IFERROR(IF(LEFT(C284,1)="L",INDEX('Leads Pipeline'!$E$5:$E$1004,MATCH(C284,'Leads Pipeline'!$A$5:$A$1004,0)),INDEX('Active Clients'!$C$5:$C$504,MATCH(C284,'Active Clients'!$A$5:$A$504,0)))&amp;"","ID not found"))</f>
        <v/>
      </c>
      <c r="G284" s="16"/>
      <c r="H284" s="16"/>
      <c r="I284" s="16"/>
      <c r="J284" s="16"/>
      <c r="K284" s="16"/>
      <c r="L284" s="18"/>
    </row>
    <row r="285" customFormat="false" ht="15" hidden="false" customHeight="false" outlineLevel="0" collapsed="false">
      <c r="A285" s="18"/>
      <c r="B285" s="16"/>
      <c r="C285" s="16"/>
      <c r="D285" s="51" t="str">
        <f aca="false">IF(C285="","",IFERROR(IF(LEFT(C285,1)="L",INDEX('Leads Pipeline'!$F$5:$F$1004,MATCH(C285,'Leads Pipeline'!$A$5:$A$1004,0)),INDEX('Active Clients'!$D$5:$D$504,MATCH(C285,'Active Clients'!$A$5:$A$504,0)))&amp;"","ID not found"))</f>
        <v/>
      </c>
      <c r="E285" s="51" t="str">
        <f aca="false">IF(C285="","",IFERROR(IF(LEFT(C285,1)="L",INDEX('Leads Pipeline'!$D$5:$D$1004,MATCH(C285,'Leads Pipeline'!$A$5:$A$1004,0)),INDEX('Active Clients'!$B$5:$B$504,MATCH(C285,'Active Clients'!$A$5:$A$504,0)))&amp;"","ID not found"))</f>
        <v/>
      </c>
      <c r="F285" s="51" t="str">
        <f aca="false">IF(C285="","",IFERROR(IF(LEFT(C285,1)="L",INDEX('Leads Pipeline'!$E$5:$E$1004,MATCH(C285,'Leads Pipeline'!$A$5:$A$1004,0)),INDEX('Active Clients'!$C$5:$C$504,MATCH(C285,'Active Clients'!$A$5:$A$504,0)))&amp;"","ID not found"))</f>
        <v/>
      </c>
      <c r="G285" s="16"/>
      <c r="H285" s="16"/>
      <c r="I285" s="16"/>
      <c r="J285" s="16"/>
      <c r="K285" s="16"/>
      <c r="L285" s="18"/>
    </row>
    <row r="286" customFormat="false" ht="15" hidden="false" customHeight="false" outlineLevel="0" collapsed="false">
      <c r="A286" s="18"/>
      <c r="B286" s="16"/>
      <c r="C286" s="16"/>
      <c r="D286" s="51" t="str">
        <f aca="false">IF(C286="","",IFERROR(IF(LEFT(C286,1)="L",INDEX('Leads Pipeline'!$F$5:$F$1004,MATCH(C286,'Leads Pipeline'!$A$5:$A$1004,0)),INDEX('Active Clients'!$D$5:$D$504,MATCH(C286,'Active Clients'!$A$5:$A$504,0)))&amp;"","ID not found"))</f>
        <v/>
      </c>
      <c r="E286" s="51" t="str">
        <f aca="false">IF(C286="","",IFERROR(IF(LEFT(C286,1)="L",INDEX('Leads Pipeline'!$D$5:$D$1004,MATCH(C286,'Leads Pipeline'!$A$5:$A$1004,0)),INDEX('Active Clients'!$B$5:$B$504,MATCH(C286,'Active Clients'!$A$5:$A$504,0)))&amp;"","ID not found"))</f>
        <v/>
      </c>
      <c r="F286" s="51" t="str">
        <f aca="false">IF(C286="","",IFERROR(IF(LEFT(C286,1)="L",INDEX('Leads Pipeline'!$E$5:$E$1004,MATCH(C286,'Leads Pipeline'!$A$5:$A$1004,0)),INDEX('Active Clients'!$C$5:$C$504,MATCH(C286,'Active Clients'!$A$5:$A$504,0)))&amp;"","ID not found"))</f>
        <v/>
      </c>
      <c r="G286" s="16"/>
      <c r="H286" s="16"/>
      <c r="I286" s="16"/>
      <c r="J286" s="16"/>
      <c r="K286" s="16"/>
      <c r="L286" s="18"/>
    </row>
    <row r="287" customFormat="false" ht="15" hidden="false" customHeight="false" outlineLevel="0" collapsed="false">
      <c r="A287" s="18"/>
      <c r="B287" s="16"/>
      <c r="C287" s="16"/>
      <c r="D287" s="51" t="str">
        <f aca="false">IF(C287="","",IFERROR(IF(LEFT(C287,1)="L",INDEX('Leads Pipeline'!$F$5:$F$1004,MATCH(C287,'Leads Pipeline'!$A$5:$A$1004,0)),INDEX('Active Clients'!$D$5:$D$504,MATCH(C287,'Active Clients'!$A$5:$A$504,0)))&amp;"","ID not found"))</f>
        <v/>
      </c>
      <c r="E287" s="51" t="str">
        <f aca="false">IF(C287="","",IFERROR(IF(LEFT(C287,1)="L",INDEX('Leads Pipeline'!$D$5:$D$1004,MATCH(C287,'Leads Pipeline'!$A$5:$A$1004,0)),INDEX('Active Clients'!$B$5:$B$504,MATCH(C287,'Active Clients'!$A$5:$A$504,0)))&amp;"","ID not found"))</f>
        <v/>
      </c>
      <c r="F287" s="51" t="str">
        <f aca="false">IF(C287="","",IFERROR(IF(LEFT(C287,1)="L",INDEX('Leads Pipeline'!$E$5:$E$1004,MATCH(C287,'Leads Pipeline'!$A$5:$A$1004,0)),INDEX('Active Clients'!$C$5:$C$504,MATCH(C287,'Active Clients'!$A$5:$A$504,0)))&amp;"","ID not found"))</f>
        <v/>
      </c>
      <c r="G287" s="16"/>
      <c r="H287" s="16"/>
      <c r="I287" s="16"/>
      <c r="J287" s="16"/>
      <c r="K287" s="16"/>
      <c r="L287" s="18"/>
    </row>
    <row r="288" customFormat="false" ht="15" hidden="false" customHeight="false" outlineLevel="0" collapsed="false">
      <c r="A288" s="18"/>
      <c r="B288" s="16"/>
      <c r="C288" s="16"/>
      <c r="D288" s="51" t="str">
        <f aca="false">IF(C288="","",IFERROR(IF(LEFT(C288,1)="L",INDEX('Leads Pipeline'!$F$5:$F$1004,MATCH(C288,'Leads Pipeline'!$A$5:$A$1004,0)),INDEX('Active Clients'!$D$5:$D$504,MATCH(C288,'Active Clients'!$A$5:$A$504,0)))&amp;"","ID not found"))</f>
        <v/>
      </c>
      <c r="E288" s="51" t="str">
        <f aca="false">IF(C288="","",IFERROR(IF(LEFT(C288,1)="L",INDEX('Leads Pipeline'!$D$5:$D$1004,MATCH(C288,'Leads Pipeline'!$A$5:$A$1004,0)),INDEX('Active Clients'!$B$5:$B$504,MATCH(C288,'Active Clients'!$A$5:$A$504,0)))&amp;"","ID not found"))</f>
        <v/>
      </c>
      <c r="F288" s="51" t="str">
        <f aca="false">IF(C288="","",IFERROR(IF(LEFT(C288,1)="L",INDEX('Leads Pipeline'!$E$5:$E$1004,MATCH(C288,'Leads Pipeline'!$A$5:$A$1004,0)),INDEX('Active Clients'!$C$5:$C$504,MATCH(C288,'Active Clients'!$A$5:$A$504,0)))&amp;"","ID not found"))</f>
        <v/>
      </c>
      <c r="G288" s="16"/>
      <c r="H288" s="16"/>
      <c r="I288" s="16"/>
      <c r="J288" s="16"/>
      <c r="K288" s="16"/>
      <c r="L288" s="18"/>
    </row>
    <row r="289" customFormat="false" ht="15" hidden="false" customHeight="false" outlineLevel="0" collapsed="false">
      <c r="A289" s="18"/>
      <c r="B289" s="16"/>
      <c r="C289" s="16"/>
      <c r="D289" s="51" t="str">
        <f aca="false">IF(C289="","",IFERROR(IF(LEFT(C289,1)="L",INDEX('Leads Pipeline'!$F$5:$F$1004,MATCH(C289,'Leads Pipeline'!$A$5:$A$1004,0)),INDEX('Active Clients'!$D$5:$D$504,MATCH(C289,'Active Clients'!$A$5:$A$504,0)))&amp;"","ID not found"))</f>
        <v/>
      </c>
      <c r="E289" s="51" t="str">
        <f aca="false">IF(C289="","",IFERROR(IF(LEFT(C289,1)="L",INDEX('Leads Pipeline'!$D$5:$D$1004,MATCH(C289,'Leads Pipeline'!$A$5:$A$1004,0)),INDEX('Active Clients'!$B$5:$B$504,MATCH(C289,'Active Clients'!$A$5:$A$504,0)))&amp;"","ID not found"))</f>
        <v/>
      </c>
      <c r="F289" s="51" t="str">
        <f aca="false">IF(C289="","",IFERROR(IF(LEFT(C289,1)="L",INDEX('Leads Pipeline'!$E$5:$E$1004,MATCH(C289,'Leads Pipeline'!$A$5:$A$1004,0)),INDEX('Active Clients'!$C$5:$C$504,MATCH(C289,'Active Clients'!$A$5:$A$504,0)))&amp;"","ID not found"))</f>
        <v/>
      </c>
      <c r="G289" s="16"/>
      <c r="H289" s="16"/>
      <c r="I289" s="16"/>
      <c r="J289" s="16"/>
      <c r="K289" s="16"/>
      <c r="L289" s="18"/>
    </row>
    <row r="290" customFormat="false" ht="15" hidden="false" customHeight="false" outlineLevel="0" collapsed="false">
      <c r="A290" s="18"/>
      <c r="B290" s="16"/>
      <c r="C290" s="16"/>
      <c r="D290" s="51" t="str">
        <f aca="false">IF(C290="","",IFERROR(IF(LEFT(C290,1)="L",INDEX('Leads Pipeline'!$F$5:$F$1004,MATCH(C290,'Leads Pipeline'!$A$5:$A$1004,0)),INDEX('Active Clients'!$D$5:$D$504,MATCH(C290,'Active Clients'!$A$5:$A$504,0)))&amp;"","ID not found"))</f>
        <v/>
      </c>
      <c r="E290" s="51" t="str">
        <f aca="false">IF(C290="","",IFERROR(IF(LEFT(C290,1)="L",INDEX('Leads Pipeline'!$D$5:$D$1004,MATCH(C290,'Leads Pipeline'!$A$5:$A$1004,0)),INDEX('Active Clients'!$B$5:$B$504,MATCH(C290,'Active Clients'!$A$5:$A$504,0)))&amp;"","ID not found"))</f>
        <v/>
      </c>
      <c r="F290" s="51" t="str">
        <f aca="false">IF(C290="","",IFERROR(IF(LEFT(C290,1)="L",INDEX('Leads Pipeline'!$E$5:$E$1004,MATCH(C290,'Leads Pipeline'!$A$5:$A$1004,0)),INDEX('Active Clients'!$C$5:$C$504,MATCH(C290,'Active Clients'!$A$5:$A$504,0)))&amp;"","ID not found"))</f>
        <v/>
      </c>
      <c r="G290" s="16"/>
      <c r="H290" s="16"/>
      <c r="I290" s="16"/>
      <c r="J290" s="16"/>
      <c r="K290" s="16"/>
      <c r="L290" s="18"/>
    </row>
    <row r="291" customFormat="false" ht="15" hidden="false" customHeight="false" outlineLevel="0" collapsed="false">
      <c r="A291" s="18"/>
      <c r="B291" s="16"/>
      <c r="C291" s="16"/>
      <c r="D291" s="51" t="str">
        <f aca="false">IF(C291="","",IFERROR(IF(LEFT(C291,1)="L",INDEX('Leads Pipeline'!$F$5:$F$1004,MATCH(C291,'Leads Pipeline'!$A$5:$A$1004,0)),INDEX('Active Clients'!$D$5:$D$504,MATCH(C291,'Active Clients'!$A$5:$A$504,0)))&amp;"","ID not found"))</f>
        <v/>
      </c>
      <c r="E291" s="51" t="str">
        <f aca="false">IF(C291="","",IFERROR(IF(LEFT(C291,1)="L",INDEX('Leads Pipeline'!$D$5:$D$1004,MATCH(C291,'Leads Pipeline'!$A$5:$A$1004,0)),INDEX('Active Clients'!$B$5:$B$504,MATCH(C291,'Active Clients'!$A$5:$A$504,0)))&amp;"","ID not found"))</f>
        <v/>
      </c>
      <c r="F291" s="51" t="str">
        <f aca="false">IF(C291="","",IFERROR(IF(LEFT(C291,1)="L",INDEX('Leads Pipeline'!$E$5:$E$1004,MATCH(C291,'Leads Pipeline'!$A$5:$A$1004,0)),INDEX('Active Clients'!$C$5:$C$504,MATCH(C291,'Active Clients'!$A$5:$A$504,0)))&amp;"","ID not found"))</f>
        <v/>
      </c>
      <c r="G291" s="16"/>
      <c r="H291" s="16"/>
      <c r="I291" s="16"/>
      <c r="J291" s="16"/>
      <c r="K291" s="16"/>
      <c r="L291" s="18"/>
    </row>
    <row r="292" customFormat="false" ht="15" hidden="false" customHeight="false" outlineLevel="0" collapsed="false">
      <c r="A292" s="18"/>
      <c r="B292" s="16"/>
      <c r="C292" s="16"/>
      <c r="D292" s="51" t="str">
        <f aca="false">IF(C292="","",IFERROR(IF(LEFT(C292,1)="L",INDEX('Leads Pipeline'!$F$5:$F$1004,MATCH(C292,'Leads Pipeline'!$A$5:$A$1004,0)),INDEX('Active Clients'!$D$5:$D$504,MATCH(C292,'Active Clients'!$A$5:$A$504,0)))&amp;"","ID not found"))</f>
        <v/>
      </c>
      <c r="E292" s="51" t="str">
        <f aca="false">IF(C292="","",IFERROR(IF(LEFT(C292,1)="L",INDEX('Leads Pipeline'!$D$5:$D$1004,MATCH(C292,'Leads Pipeline'!$A$5:$A$1004,0)),INDEX('Active Clients'!$B$5:$B$504,MATCH(C292,'Active Clients'!$A$5:$A$504,0)))&amp;"","ID not found"))</f>
        <v/>
      </c>
      <c r="F292" s="51" t="str">
        <f aca="false">IF(C292="","",IFERROR(IF(LEFT(C292,1)="L",INDEX('Leads Pipeline'!$E$5:$E$1004,MATCH(C292,'Leads Pipeline'!$A$5:$A$1004,0)),INDEX('Active Clients'!$C$5:$C$504,MATCH(C292,'Active Clients'!$A$5:$A$504,0)))&amp;"","ID not found"))</f>
        <v/>
      </c>
      <c r="G292" s="16"/>
      <c r="H292" s="16"/>
      <c r="I292" s="16"/>
      <c r="J292" s="16"/>
      <c r="K292" s="16"/>
      <c r="L292" s="18"/>
    </row>
    <row r="293" customFormat="false" ht="15" hidden="false" customHeight="false" outlineLevel="0" collapsed="false">
      <c r="A293" s="18"/>
      <c r="B293" s="16"/>
      <c r="C293" s="16"/>
      <c r="D293" s="51" t="str">
        <f aca="false">IF(C293="","",IFERROR(IF(LEFT(C293,1)="L",INDEX('Leads Pipeline'!$F$5:$F$1004,MATCH(C293,'Leads Pipeline'!$A$5:$A$1004,0)),INDEX('Active Clients'!$D$5:$D$504,MATCH(C293,'Active Clients'!$A$5:$A$504,0)))&amp;"","ID not found"))</f>
        <v/>
      </c>
      <c r="E293" s="51" t="str">
        <f aca="false">IF(C293="","",IFERROR(IF(LEFT(C293,1)="L",INDEX('Leads Pipeline'!$D$5:$D$1004,MATCH(C293,'Leads Pipeline'!$A$5:$A$1004,0)),INDEX('Active Clients'!$B$5:$B$504,MATCH(C293,'Active Clients'!$A$5:$A$504,0)))&amp;"","ID not found"))</f>
        <v/>
      </c>
      <c r="F293" s="51" t="str">
        <f aca="false">IF(C293="","",IFERROR(IF(LEFT(C293,1)="L",INDEX('Leads Pipeline'!$E$5:$E$1004,MATCH(C293,'Leads Pipeline'!$A$5:$A$1004,0)),INDEX('Active Clients'!$C$5:$C$504,MATCH(C293,'Active Clients'!$A$5:$A$504,0)))&amp;"","ID not found"))</f>
        <v/>
      </c>
      <c r="G293" s="16"/>
      <c r="H293" s="16"/>
      <c r="I293" s="16"/>
      <c r="J293" s="16"/>
      <c r="K293" s="16"/>
      <c r="L293" s="18"/>
    </row>
    <row r="294" customFormat="false" ht="15" hidden="false" customHeight="false" outlineLevel="0" collapsed="false">
      <c r="A294" s="18"/>
      <c r="B294" s="16"/>
      <c r="C294" s="16"/>
      <c r="D294" s="51" t="str">
        <f aca="false">IF(C294="","",IFERROR(IF(LEFT(C294,1)="L",INDEX('Leads Pipeline'!$F$5:$F$1004,MATCH(C294,'Leads Pipeline'!$A$5:$A$1004,0)),INDEX('Active Clients'!$D$5:$D$504,MATCH(C294,'Active Clients'!$A$5:$A$504,0)))&amp;"","ID not found"))</f>
        <v/>
      </c>
      <c r="E294" s="51" t="str">
        <f aca="false">IF(C294="","",IFERROR(IF(LEFT(C294,1)="L",INDEX('Leads Pipeline'!$D$5:$D$1004,MATCH(C294,'Leads Pipeline'!$A$5:$A$1004,0)),INDEX('Active Clients'!$B$5:$B$504,MATCH(C294,'Active Clients'!$A$5:$A$504,0)))&amp;"","ID not found"))</f>
        <v/>
      </c>
      <c r="F294" s="51" t="str">
        <f aca="false">IF(C294="","",IFERROR(IF(LEFT(C294,1)="L",INDEX('Leads Pipeline'!$E$5:$E$1004,MATCH(C294,'Leads Pipeline'!$A$5:$A$1004,0)),INDEX('Active Clients'!$C$5:$C$504,MATCH(C294,'Active Clients'!$A$5:$A$504,0)))&amp;"","ID not found"))</f>
        <v/>
      </c>
      <c r="G294" s="16"/>
      <c r="H294" s="16"/>
      <c r="I294" s="16"/>
      <c r="J294" s="16"/>
      <c r="K294" s="16"/>
      <c r="L294" s="18"/>
    </row>
    <row r="295" customFormat="false" ht="15" hidden="false" customHeight="false" outlineLevel="0" collapsed="false">
      <c r="A295" s="18"/>
      <c r="B295" s="16"/>
      <c r="C295" s="16"/>
      <c r="D295" s="51" t="str">
        <f aca="false">IF(C295="","",IFERROR(IF(LEFT(C295,1)="L",INDEX('Leads Pipeline'!$F$5:$F$1004,MATCH(C295,'Leads Pipeline'!$A$5:$A$1004,0)),INDEX('Active Clients'!$D$5:$D$504,MATCH(C295,'Active Clients'!$A$5:$A$504,0)))&amp;"","ID not found"))</f>
        <v/>
      </c>
      <c r="E295" s="51" t="str">
        <f aca="false">IF(C295="","",IFERROR(IF(LEFT(C295,1)="L",INDEX('Leads Pipeline'!$D$5:$D$1004,MATCH(C295,'Leads Pipeline'!$A$5:$A$1004,0)),INDEX('Active Clients'!$B$5:$B$504,MATCH(C295,'Active Clients'!$A$5:$A$504,0)))&amp;"","ID not found"))</f>
        <v/>
      </c>
      <c r="F295" s="51" t="str">
        <f aca="false">IF(C295="","",IFERROR(IF(LEFT(C295,1)="L",INDEX('Leads Pipeline'!$E$5:$E$1004,MATCH(C295,'Leads Pipeline'!$A$5:$A$1004,0)),INDEX('Active Clients'!$C$5:$C$504,MATCH(C295,'Active Clients'!$A$5:$A$504,0)))&amp;"","ID not found"))</f>
        <v/>
      </c>
      <c r="G295" s="16"/>
      <c r="H295" s="16"/>
      <c r="I295" s="16"/>
      <c r="J295" s="16"/>
      <c r="K295" s="16"/>
      <c r="L295" s="18"/>
    </row>
    <row r="296" customFormat="false" ht="15" hidden="false" customHeight="false" outlineLevel="0" collapsed="false">
      <c r="A296" s="18"/>
      <c r="B296" s="16"/>
      <c r="C296" s="16"/>
      <c r="D296" s="51" t="str">
        <f aca="false">IF(C296="","",IFERROR(IF(LEFT(C296,1)="L",INDEX('Leads Pipeline'!$F$5:$F$1004,MATCH(C296,'Leads Pipeline'!$A$5:$A$1004,0)),INDEX('Active Clients'!$D$5:$D$504,MATCH(C296,'Active Clients'!$A$5:$A$504,0)))&amp;"","ID not found"))</f>
        <v/>
      </c>
      <c r="E296" s="51" t="str">
        <f aca="false">IF(C296="","",IFERROR(IF(LEFT(C296,1)="L",INDEX('Leads Pipeline'!$D$5:$D$1004,MATCH(C296,'Leads Pipeline'!$A$5:$A$1004,0)),INDEX('Active Clients'!$B$5:$B$504,MATCH(C296,'Active Clients'!$A$5:$A$504,0)))&amp;"","ID not found"))</f>
        <v/>
      </c>
      <c r="F296" s="51" t="str">
        <f aca="false">IF(C296="","",IFERROR(IF(LEFT(C296,1)="L",INDEX('Leads Pipeline'!$E$5:$E$1004,MATCH(C296,'Leads Pipeline'!$A$5:$A$1004,0)),INDEX('Active Clients'!$C$5:$C$504,MATCH(C296,'Active Clients'!$A$5:$A$504,0)))&amp;"","ID not found"))</f>
        <v/>
      </c>
      <c r="G296" s="16"/>
      <c r="H296" s="16"/>
      <c r="I296" s="16"/>
      <c r="J296" s="16"/>
      <c r="K296" s="16"/>
      <c r="L296" s="18"/>
    </row>
    <row r="297" customFormat="false" ht="15" hidden="false" customHeight="false" outlineLevel="0" collapsed="false">
      <c r="A297" s="18"/>
      <c r="B297" s="16"/>
      <c r="C297" s="16"/>
      <c r="D297" s="51" t="str">
        <f aca="false">IF(C297="","",IFERROR(IF(LEFT(C297,1)="L",INDEX('Leads Pipeline'!$F$5:$F$1004,MATCH(C297,'Leads Pipeline'!$A$5:$A$1004,0)),INDEX('Active Clients'!$D$5:$D$504,MATCH(C297,'Active Clients'!$A$5:$A$504,0)))&amp;"","ID not found"))</f>
        <v/>
      </c>
      <c r="E297" s="51" t="str">
        <f aca="false">IF(C297="","",IFERROR(IF(LEFT(C297,1)="L",INDEX('Leads Pipeline'!$D$5:$D$1004,MATCH(C297,'Leads Pipeline'!$A$5:$A$1004,0)),INDEX('Active Clients'!$B$5:$B$504,MATCH(C297,'Active Clients'!$A$5:$A$504,0)))&amp;"","ID not found"))</f>
        <v/>
      </c>
      <c r="F297" s="51" t="str">
        <f aca="false">IF(C297="","",IFERROR(IF(LEFT(C297,1)="L",INDEX('Leads Pipeline'!$E$5:$E$1004,MATCH(C297,'Leads Pipeline'!$A$5:$A$1004,0)),INDEX('Active Clients'!$C$5:$C$504,MATCH(C297,'Active Clients'!$A$5:$A$504,0)))&amp;"","ID not found"))</f>
        <v/>
      </c>
      <c r="G297" s="16"/>
      <c r="H297" s="16"/>
      <c r="I297" s="16"/>
      <c r="J297" s="16"/>
      <c r="K297" s="16"/>
      <c r="L297" s="18"/>
    </row>
    <row r="298" customFormat="false" ht="15" hidden="false" customHeight="false" outlineLevel="0" collapsed="false">
      <c r="A298" s="18"/>
      <c r="B298" s="16"/>
      <c r="C298" s="16"/>
      <c r="D298" s="51" t="str">
        <f aca="false">IF(C298="","",IFERROR(IF(LEFT(C298,1)="L",INDEX('Leads Pipeline'!$F$5:$F$1004,MATCH(C298,'Leads Pipeline'!$A$5:$A$1004,0)),INDEX('Active Clients'!$D$5:$D$504,MATCH(C298,'Active Clients'!$A$5:$A$504,0)))&amp;"","ID not found"))</f>
        <v/>
      </c>
      <c r="E298" s="51" t="str">
        <f aca="false">IF(C298="","",IFERROR(IF(LEFT(C298,1)="L",INDEX('Leads Pipeline'!$D$5:$D$1004,MATCH(C298,'Leads Pipeline'!$A$5:$A$1004,0)),INDEX('Active Clients'!$B$5:$B$504,MATCH(C298,'Active Clients'!$A$5:$A$504,0)))&amp;"","ID not found"))</f>
        <v/>
      </c>
      <c r="F298" s="51" t="str">
        <f aca="false">IF(C298="","",IFERROR(IF(LEFT(C298,1)="L",INDEX('Leads Pipeline'!$E$5:$E$1004,MATCH(C298,'Leads Pipeline'!$A$5:$A$1004,0)),INDEX('Active Clients'!$C$5:$C$504,MATCH(C298,'Active Clients'!$A$5:$A$504,0)))&amp;"","ID not found"))</f>
        <v/>
      </c>
      <c r="G298" s="16"/>
      <c r="H298" s="16"/>
      <c r="I298" s="16"/>
      <c r="J298" s="16"/>
      <c r="K298" s="16"/>
      <c r="L298" s="18"/>
    </row>
    <row r="299" customFormat="false" ht="15" hidden="false" customHeight="false" outlineLevel="0" collapsed="false">
      <c r="A299" s="18"/>
      <c r="B299" s="16"/>
      <c r="C299" s="16"/>
      <c r="D299" s="51" t="str">
        <f aca="false">IF(C299="","",IFERROR(IF(LEFT(C299,1)="L",INDEX('Leads Pipeline'!$F$5:$F$1004,MATCH(C299,'Leads Pipeline'!$A$5:$A$1004,0)),INDEX('Active Clients'!$D$5:$D$504,MATCH(C299,'Active Clients'!$A$5:$A$504,0)))&amp;"","ID not found"))</f>
        <v/>
      </c>
      <c r="E299" s="51" t="str">
        <f aca="false">IF(C299="","",IFERROR(IF(LEFT(C299,1)="L",INDEX('Leads Pipeline'!$D$5:$D$1004,MATCH(C299,'Leads Pipeline'!$A$5:$A$1004,0)),INDEX('Active Clients'!$B$5:$B$504,MATCH(C299,'Active Clients'!$A$5:$A$504,0)))&amp;"","ID not found"))</f>
        <v/>
      </c>
      <c r="F299" s="51" t="str">
        <f aca="false">IF(C299="","",IFERROR(IF(LEFT(C299,1)="L",INDEX('Leads Pipeline'!$E$5:$E$1004,MATCH(C299,'Leads Pipeline'!$A$5:$A$1004,0)),INDEX('Active Clients'!$C$5:$C$504,MATCH(C299,'Active Clients'!$A$5:$A$504,0)))&amp;"","ID not found"))</f>
        <v/>
      </c>
      <c r="G299" s="16"/>
      <c r="H299" s="16"/>
      <c r="I299" s="16"/>
      <c r="J299" s="16"/>
      <c r="K299" s="16"/>
      <c r="L299" s="18"/>
    </row>
    <row r="300" customFormat="false" ht="15" hidden="false" customHeight="false" outlineLevel="0" collapsed="false">
      <c r="A300" s="18"/>
      <c r="B300" s="16"/>
      <c r="C300" s="16"/>
      <c r="D300" s="51" t="str">
        <f aca="false">IF(C300="","",IFERROR(IF(LEFT(C300,1)="L",INDEX('Leads Pipeline'!$F$5:$F$1004,MATCH(C300,'Leads Pipeline'!$A$5:$A$1004,0)),INDEX('Active Clients'!$D$5:$D$504,MATCH(C300,'Active Clients'!$A$5:$A$504,0)))&amp;"","ID not found"))</f>
        <v/>
      </c>
      <c r="E300" s="51" t="str">
        <f aca="false">IF(C300="","",IFERROR(IF(LEFT(C300,1)="L",INDEX('Leads Pipeline'!$D$5:$D$1004,MATCH(C300,'Leads Pipeline'!$A$5:$A$1004,0)),INDEX('Active Clients'!$B$5:$B$504,MATCH(C300,'Active Clients'!$A$5:$A$504,0)))&amp;"","ID not found"))</f>
        <v/>
      </c>
      <c r="F300" s="51" t="str">
        <f aca="false">IF(C300="","",IFERROR(IF(LEFT(C300,1)="L",INDEX('Leads Pipeline'!$E$5:$E$1004,MATCH(C300,'Leads Pipeline'!$A$5:$A$1004,0)),INDEX('Active Clients'!$C$5:$C$504,MATCH(C300,'Active Clients'!$A$5:$A$504,0)))&amp;"","ID not found"))</f>
        <v/>
      </c>
      <c r="G300" s="16"/>
      <c r="H300" s="16"/>
      <c r="I300" s="16"/>
      <c r="J300" s="16"/>
      <c r="K300" s="16"/>
      <c r="L300" s="18"/>
    </row>
    <row r="301" customFormat="false" ht="15" hidden="false" customHeight="false" outlineLevel="0" collapsed="false">
      <c r="A301" s="18"/>
      <c r="B301" s="16"/>
      <c r="C301" s="16"/>
      <c r="D301" s="51" t="str">
        <f aca="false">IF(C301="","",IFERROR(IF(LEFT(C301,1)="L",INDEX('Leads Pipeline'!$F$5:$F$1004,MATCH(C301,'Leads Pipeline'!$A$5:$A$1004,0)),INDEX('Active Clients'!$D$5:$D$504,MATCH(C301,'Active Clients'!$A$5:$A$504,0)))&amp;"","ID not found"))</f>
        <v/>
      </c>
      <c r="E301" s="51" t="str">
        <f aca="false">IF(C301="","",IFERROR(IF(LEFT(C301,1)="L",INDEX('Leads Pipeline'!$D$5:$D$1004,MATCH(C301,'Leads Pipeline'!$A$5:$A$1004,0)),INDEX('Active Clients'!$B$5:$B$504,MATCH(C301,'Active Clients'!$A$5:$A$504,0)))&amp;"","ID not found"))</f>
        <v/>
      </c>
      <c r="F301" s="51" t="str">
        <f aca="false">IF(C301="","",IFERROR(IF(LEFT(C301,1)="L",INDEX('Leads Pipeline'!$E$5:$E$1004,MATCH(C301,'Leads Pipeline'!$A$5:$A$1004,0)),INDEX('Active Clients'!$C$5:$C$504,MATCH(C301,'Active Clients'!$A$5:$A$504,0)))&amp;"","ID not found"))</f>
        <v/>
      </c>
      <c r="G301" s="16"/>
      <c r="H301" s="16"/>
      <c r="I301" s="16"/>
      <c r="J301" s="16"/>
      <c r="K301" s="16"/>
      <c r="L301" s="18"/>
    </row>
    <row r="302" customFormat="false" ht="15" hidden="false" customHeight="false" outlineLevel="0" collapsed="false">
      <c r="A302" s="18"/>
      <c r="B302" s="16"/>
      <c r="C302" s="16"/>
      <c r="D302" s="51" t="str">
        <f aca="false">IF(C302="","",IFERROR(IF(LEFT(C302,1)="L",INDEX('Leads Pipeline'!$F$5:$F$1004,MATCH(C302,'Leads Pipeline'!$A$5:$A$1004,0)),INDEX('Active Clients'!$D$5:$D$504,MATCH(C302,'Active Clients'!$A$5:$A$504,0)))&amp;"","ID not found"))</f>
        <v/>
      </c>
      <c r="E302" s="51" t="str">
        <f aca="false">IF(C302="","",IFERROR(IF(LEFT(C302,1)="L",INDEX('Leads Pipeline'!$D$5:$D$1004,MATCH(C302,'Leads Pipeline'!$A$5:$A$1004,0)),INDEX('Active Clients'!$B$5:$B$504,MATCH(C302,'Active Clients'!$A$5:$A$504,0)))&amp;"","ID not found"))</f>
        <v/>
      </c>
      <c r="F302" s="51" t="str">
        <f aca="false">IF(C302="","",IFERROR(IF(LEFT(C302,1)="L",INDEX('Leads Pipeline'!$E$5:$E$1004,MATCH(C302,'Leads Pipeline'!$A$5:$A$1004,0)),INDEX('Active Clients'!$C$5:$C$504,MATCH(C302,'Active Clients'!$A$5:$A$504,0)))&amp;"","ID not found"))</f>
        <v/>
      </c>
      <c r="G302" s="16"/>
      <c r="H302" s="16"/>
      <c r="I302" s="16"/>
      <c r="J302" s="16"/>
      <c r="K302" s="16"/>
      <c r="L302" s="18"/>
    </row>
    <row r="303" customFormat="false" ht="15" hidden="false" customHeight="false" outlineLevel="0" collapsed="false">
      <c r="A303" s="18"/>
      <c r="B303" s="16"/>
      <c r="C303" s="16"/>
      <c r="D303" s="51" t="str">
        <f aca="false">IF(C303="","",IFERROR(IF(LEFT(C303,1)="L",INDEX('Leads Pipeline'!$F$5:$F$1004,MATCH(C303,'Leads Pipeline'!$A$5:$A$1004,0)),INDEX('Active Clients'!$D$5:$D$504,MATCH(C303,'Active Clients'!$A$5:$A$504,0)))&amp;"","ID not found"))</f>
        <v/>
      </c>
      <c r="E303" s="51" t="str">
        <f aca="false">IF(C303="","",IFERROR(IF(LEFT(C303,1)="L",INDEX('Leads Pipeline'!$D$5:$D$1004,MATCH(C303,'Leads Pipeline'!$A$5:$A$1004,0)),INDEX('Active Clients'!$B$5:$B$504,MATCH(C303,'Active Clients'!$A$5:$A$504,0)))&amp;"","ID not found"))</f>
        <v/>
      </c>
      <c r="F303" s="51" t="str">
        <f aca="false">IF(C303="","",IFERROR(IF(LEFT(C303,1)="L",INDEX('Leads Pipeline'!$E$5:$E$1004,MATCH(C303,'Leads Pipeline'!$A$5:$A$1004,0)),INDEX('Active Clients'!$C$5:$C$504,MATCH(C303,'Active Clients'!$A$5:$A$504,0)))&amp;"","ID not found"))</f>
        <v/>
      </c>
      <c r="G303" s="16"/>
      <c r="H303" s="16"/>
      <c r="I303" s="16"/>
      <c r="J303" s="16"/>
      <c r="K303" s="16"/>
      <c r="L303" s="18"/>
    </row>
    <row r="304" customFormat="false" ht="15" hidden="false" customHeight="false" outlineLevel="0" collapsed="false">
      <c r="A304" s="18"/>
      <c r="B304" s="16"/>
      <c r="C304" s="16"/>
      <c r="D304" s="51" t="str">
        <f aca="false">IF(C304="","",IFERROR(IF(LEFT(C304,1)="L",INDEX('Leads Pipeline'!$F$5:$F$1004,MATCH(C304,'Leads Pipeline'!$A$5:$A$1004,0)),INDEX('Active Clients'!$D$5:$D$504,MATCH(C304,'Active Clients'!$A$5:$A$504,0)))&amp;"","ID not found"))</f>
        <v/>
      </c>
      <c r="E304" s="51" t="str">
        <f aca="false">IF(C304="","",IFERROR(IF(LEFT(C304,1)="L",INDEX('Leads Pipeline'!$D$5:$D$1004,MATCH(C304,'Leads Pipeline'!$A$5:$A$1004,0)),INDEX('Active Clients'!$B$5:$B$504,MATCH(C304,'Active Clients'!$A$5:$A$504,0)))&amp;"","ID not found"))</f>
        <v/>
      </c>
      <c r="F304" s="51" t="str">
        <f aca="false">IF(C304="","",IFERROR(IF(LEFT(C304,1)="L",INDEX('Leads Pipeline'!$E$5:$E$1004,MATCH(C304,'Leads Pipeline'!$A$5:$A$1004,0)),INDEX('Active Clients'!$C$5:$C$504,MATCH(C304,'Active Clients'!$A$5:$A$504,0)))&amp;"","ID not found"))</f>
        <v/>
      </c>
      <c r="G304" s="16"/>
      <c r="H304" s="16"/>
      <c r="I304" s="16"/>
      <c r="J304" s="16"/>
      <c r="K304" s="16"/>
      <c r="L304" s="18"/>
    </row>
    <row r="305" customFormat="false" ht="15" hidden="false" customHeight="false" outlineLevel="0" collapsed="false">
      <c r="A305" s="18"/>
      <c r="B305" s="16"/>
      <c r="C305" s="16"/>
      <c r="D305" s="51" t="str">
        <f aca="false">IF(C305="","",IFERROR(IF(LEFT(C305,1)="L",INDEX('Leads Pipeline'!$F$5:$F$1004,MATCH(C305,'Leads Pipeline'!$A$5:$A$1004,0)),INDEX('Active Clients'!$D$5:$D$504,MATCH(C305,'Active Clients'!$A$5:$A$504,0)))&amp;"","ID not found"))</f>
        <v/>
      </c>
      <c r="E305" s="51" t="str">
        <f aca="false">IF(C305="","",IFERROR(IF(LEFT(C305,1)="L",INDEX('Leads Pipeline'!$D$5:$D$1004,MATCH(C305,'Leads Pipeline'!$A$5:$A$1004,0)),INDEX('Active Clients'!$B$5:$B$504,MATCH(C305,'Active Clients'!$A$5:$A$504,0)))&amp;"","ID not found"))</f>
        <v/>
      </c>
      <c r="F305" s="51" t="str">
        <f aca="false">IF(C305="","",IFERROR(IF(LEFT(C305,1)="L",INDEX('Leads Pipeline'!$E$5:$E$1004,MATCH(C305,'Leads Pipeline'!$A$5:$A$1004,0)),INDEX('Active Clients'!$C$5:$C$504,MATCH(C305,'Active Clients'!$A$5:$A$504,0)))&amp;"","ID not found"))</f>
        <v/>
      </c>
      <c r="G305" s="16"/>
      <c r="H305" s="16"/>
      <c r="I305" s="16"/>
      <c r="J305" s="16"/>
      <c r="K305" s="16"/>
      <c r="L305" s="18"/>
    </row>
    <row r="306" customFormat="false" ht="15" hidden="false" customHeight="false" outlineLevel="0" collapsed="false">
      <c r="A306" s="18"/>
      <c r="B306" s="16"/>
      <c r="C306" s="16"/>
      <c r="D306" s="51" t="str">
        <f aca="false">IF(C306="","",IFERROR(IF(LEFT(C306,1)="L",INDEX('Leads Pipeline'!$F$5:$F$1004,MATCH(C306,'Leads Pipeline'!$A$5:$A$1004,0)),INDEX('Active Clients'!$D$5:$D$504,MATCH(C306,'Active Clients'!$A$5:$A$504,0)))&amp;"","ID not found"))</f>
        <v/>
      </c>
      <c r="E306" s="51" t="str">
        <f aca="false">IF(C306="","",IFERROR(IF(LEFT(C306,1)="L",INDEX('Leads Pipeline'!$D$5:$D$1004,MATCH(C306,'Leads Pipeline'!$A$5:$A$1004,0)),INDEX('Active Clients'!$B$5:$B$504,MATCH(C306,'Active Clients'!$A$5:$A$504,0)))&amp;"","ID not found"))</f>
        <v/>
      </c>
      <c r="F306" s="51" t="str">
        <f aca="false">IF(C306="","",IFERROR(IF(LEFT(C306,1)="L",INDEX('Leads Pipeline'!$E$5:$E$1004,MATCH(C306,'Leads Pipeline'!$A$5:$A$1004,0)),INDEX('Active Clients'!$C$5:$C$504,MATCH(C306,'Active Clients'!$A$5:$A$504,0)))&amp;"","ID not found"))</f>
        <v/>
      </c>
      <c r="G306" s="16"/>
      <c r="H306" s="16"/>
      <c r="I306" s="16"/>
      <c r="J306" s="16"/>
      <c r="K306" s="16"/>
      <c r="L306" s="18"/>
    </row>
    <row r="307" customFormat="false" ht="15" hidden="false" customHeight="false" outlineLevel="0" collapsed="false">
      <c r="A307" s="18"/>
      <c r="B307" s="16"/>
      <c r="C307" s="16"/>
      <c r="D307" s="51" t="str">
        <f aca="false">IF(C307="","",IFERROR(IF(LEFT(C307,1)="L",INDEX('Leads Pipeline'!$F$5:$F$1004,MATCH(C307,'Leads Pipeline'!$A$5:$A$1004,0)),INDEX('Active Clients'!$D$5:$D$504,MATCH(C307,'Active Clients'!$A$5:$A$504,0)))&amp;"","ID not found"))</f>
        <v/>
      </c>
      <c r="E307" s="51" t="str">
        <f aca="false">IF(C307="","",IFERROR(IF(LEFT(C307,1)="L",INDEX('Leads Pipeline'!$D$5:$D$1004,MATCH(C307,'Leads Pipeline'!$A$5:$A$1004,0)),INDEX('Active Clients'!$B$5:$B$504,MATCH(C307,'Active Clients'!$A$5:$A$504,0)))&amp;"","ID not found"))</f>
        <v/>
      </c>
      <c r="F307" s="51" t="str">
        <f aca="false">IF(C307="","",IFERROR(IF(LEFT(C307,1)="L",INDEX('Leads Pipeline'!$E$5:$E$1004,MATCH(C307,'Leads Pipeline'!$A$5:$A$1004,0)),INDEX('Active Clients'!$C$5:$C$504,MATCH(C307,'Active Clients'!$A$5:$A$504,0)))&amp;"","ID not found"))</f>
        <v/>
      </c>
      <c r="G307" s="16"/>
      <c r="H307" s="16"/>
      <c r="I307" s="16"/>
      <c r="J307" s="16"/>
      <c r="K307" s="16"/>
      <c r="L307" s="18"/>
    </row>
    <row r="308" customFormat="false" ht="15" hidden="false" customHeight="false" outlineLevel="0" collapsed="false">
      <c r="A308" s="18"/>
      <c r="B308" s="16"/>
      <c r="C308" s="16"/>
      <c r="D308" s="51" t="str">
        <f aca="false">IF(C308="","",IFERROR(IF(LEFT(C308,1)="L",INDEX('Leads Pipeline'!$F$5:$F$1004,MATCH(C308,'Leads Pipeline'!$A$5:$A$1004,0)),INDEX('Active Clients'!$D$5:$D$504,MATCH(C308,'Active Clients'!$A$5:$A$504,0)))&amp;"","ID not found"))</f>
        <v/>
      </c>
      <c r="E308" s="51" t="str">
        <f aca="false">IF(C308="","",IFERROR(IF(LEFT(C308,1)="L",INDEX('Leads Pipeline'!$D$5:$D$1004,MATCH(C308,'Leads Pipeline'!$A$5:$A$1004,0)),INDEX('Active Clients'!$B$5:$B$504,MATCH(C308,'Active Clients'!$A$5:$A$504,0)))&amp;"","ID not found"))</f>
        <v/>
      </c>
      <c r="F308" s="51" t="str">
        <f aca="false">IF(C308="","",IFERROR(IF(LEFT(C308,1)="L",INDEX('Leads Pipeline'!$E$5:$E$1004,MATCH(C308,'Leads Pipeline'!$A$5:$A$1004,0)),INDEX('Active Clients'!$C$5:$C$504,MATCH(C308,'Active Clients'!$A$5:$A$504,0)))&amp;"","ID not found"))</f>
        <v/>
      </c>
      <c r="G308" s="16"/>
      <c r="H308" s="16"/>
      <c r="I308" s="16"/>
      <c r="J308" s="16"/>
      <c r="K308" s="16"/>
      <c r="L308" s="18"/>
    </row>
    <row r="309" customFormat="false" ht="15" hidden="false" customHeight="false" outlineLevel="0" collapsed="false">
      <c r="A309" s="18"/>
      <c r="B309" s="16"/>
      <c r="C309" s="16"/>
      <c r="D309" s="51" t="str">
        <f aca="false">IF(C309="","",IFERROR(IF(LEFT(C309,1)="L",INDEX('Leads Pipeline'!$F$5:$F$1004,MATCH(C309,'Leads Pipeline'!$A$5:$A$1004,0)),INDEX('Active Clients'!$D$5:$D$504,MATCH(C309,'Active Clients'!$A$5:$A$504,0)))&amp;"","ID not found"))</f>
        <v/>
      </c>
      <c r="E309" s="51" t="str">
        <f aca="false">IF(C309="","",IFERROR(IF(LEFT(C309,1)="L",INDEX('Leads Pipeline'!$D$5:$D$1004,MATCH(C309,'Leads Pipeline'!$A$5:$A$1004,0)),INDEX('Active Clients'!$B$5:$B$504,MATCH(C309,'Active Clients'!$A$5:$A$504,0)))&amp;"","ID not found"))</f>
        <v/>
      </c>
      <c r="F309" s="51" t="str">
        <f aca="false">IF(C309="","",IFERROR(IF(LEFT(C309,1)="L",INDEX('Leads Pipeline'!$E$5:$E$1004,MATCH(C309,'Leads Pipeline'!$A$5:$A$1004,0)),INDEX('Active Clients'!$C$5:$C$504,MATCH(C309,'Active Clients'!$A$5:$A$504,0)))&amp;"","ID not found"))</f>
        <v/>
      </c>
      <c r="G309" s="16"/>
      <c r="H309" s="16"/>
      <c r="I309" s="16"/>
      <c r="J309" s="16"/>
      <c r="K309" s="16"/>
      <c r="L309" s="18"/>
    </row>
    <row r="310" customFormat="false" ht="15" hidden="false" customHeight="false" outlineLevel="0" collapsed="false">
      <c r="A310" s="18"/>
      <c r="B310" s="16"/>
      <c r="C310" s="16"/>
      <c r="D310" s="51" t="str">
        <f aca="false">IF(C310="","",IFERROR(IF(LEFT(C310,1)="L",INDEX('Leads Pipeline'!$F$5:$F$1004,MATCH(C310,'Leads Pipeline'!$A$5:$A$1004,0)),INDEX('Active Clients'!$D$5:$D$504,MATCH(C310,'Active Clients'!$A$5:$A$504,0)))&amp;"","ID not found"))</f>
        <v/>
      </c>
      <c r="E310" s="51" t="str">
        <f aca="false">IF(C310="","",IFERROR(IF(LEFT(C310,1)="L",INDEX('Leads Pipeline'!$D$5:$D$1004,MATCH(C310,'Leads Pipeline'!$A$5:$A$1004,0)),INDEX('Active Clients'!$B$5:$B$504,MATCH(C310,'Active Clients'!$A$5:$A$504,0)))&amp;"","ID not found"))</f>
        <v/>
      </c>
      <c r="F310" s="51" t="str">
        <f aca="false">IF(C310="","",IFERROR(IF(LEFT(C310,1)="L",INDEX('Leads Pipeline'!$E$5:$E$1004,MATCH(C310,'Leads Pipeline'!$A$5:$A$1004,0)),INDEX('Active Clients'!$C$5:$C$504,MATCH(C310,'Active Clients'!$A$5:$A$504,0)))&amp;"","ID not found"))</f>
        <v/>
      </c>
      <c r="G310" s="16"/>
      <c r="H310" s="16"/>
      <c r="I310" s="16"/>
      <c r="J310" s="16"/>
      <c r="K310" s="16"/>
      <c r="L310" s="18"/>
    </row>
    <row r="311" customFormat="false" ht="15" hidden="false" customHeight="false" outlineLevel="0" collapsed="false">
      <c r="A311" s="18"/>
      <c r="B311" s="16"/>
      <c r="C311" s="16"/>
      <c r="D311" s="51" t="str">
        <f aca="false">IF(C311="","",IFERROR(IF(LEFT(C311,1)="L",INDEX('Leads Pipeline'!$F$5:$F$1004,MATCH(C311,'Leads Pipeline'!$A$5:$A$1004,0)),INDEX('Active Clients'!$D$5:$D$504,MATCH(C311,'Active Clients'!$A$5:$A$504,0)))&amp;"","ID not found"))</f>
        <v/>
      </c>
      <c r="E311" s="51" t="str">
        <f aca="false">IF(C311="","",IFERROR(IF(LEFT(C311,1)="L",INDEX('Leads Pipeline'!$D$5:$D$1004,MATCH(C311,'Leads Pipeline'!$A$5:$A$1004,0)),INDEX('Active Clients'!$B$5:$B$504,MATCH(C311,'Active Clients'!$A$5:$A$504,0)))&amp;"","ID not found"))</f>
        <v/>
      </c>
      <c r="F311" s="51" t="str">
        <f aca="false">IF(C311="","",IFERROR(IF(LEFT(C311,1)="L",INDEX('Leads Pipeline'!$E$5:$E$1004,MATCH(C311,'Leads Pipeline'!$A$5:$A$1004,0)),INDEX('Active Clients'!$C$5:$C$504,MATCH(C311,'Active Clients'!$A$5:$A$504,0)))&amp;"","ID not found"))</f>
        <v/>
      </c>
      <c r="G311" s="16"/>
      <c r="H311" s="16"/>
      <c r="I311" s="16"/>
      <c r="J311" s="16"/>
      <c r="K311" s="16"/>
      <c r="L311" s="18"/>
    </row>
    <row r="312" customFormat="false" ht="15" hidden="false" customHeight="false" outlineLevel="0" collapsed="false">
      <c r="A312" s="18"/>
      <c r="B312" s="16"/>
      <c r="C312" s="16"/>
      <c r="D312" s="51" t="str">
        <f aca="false">IF(C312="","",IFERROR(IF(LEFT(C312,1)="L",INDEX('Leads Pipeline'!$F$5:$F$1004,MATCH(C312,'Leads Pipeline'!$A$5:$A$1004,0)),INDEX('Active Clients'!$D$5:$D$504,MATCH(C312,'Active Clients'!$A$5:$A$504,0)))&amp;"","ID not found"))</f>
        <v/>
      </c>
      <c r="E312" s="51" t="str">
        <f aca="false">IF(C312="","",IFERROR(IF(LEFT(C312,1)="L",INDEX('Leads Pipeline'!$D$5:$D$1004,MATCH(C312,'Leads Pipeline'!$A$5:$A$1004,0)),INDEX('Active Clients'!$B$5:$B$504,MATCH(C312,'Active Clients'!$A$5:$A$504,0)))&amp;"","ID not found"))</f>
        <v/>
      </c>
      <c r="F312" s="51" t="str">
        <f aca="false">IF(C312="","",IFERROR(IF(LEFT(C312,1)="L",INDEX('Leads Pipeline'!$E$5:$E$1004,MATCH(C312,'Leads Pipeline'!$A$5:$A$1004,0)),INDEX('Active Clients'!$C$5:$C$504,MATCH(C312,'Active Clients'!$A$5:$A$504,0)))&amp;"","ID not found"))</f>
        <v/>
      </c>
      <c r="G312" s="16"/>
      <c r="H312" s="16"/>
      <c r="I312" s="16"/>
      <c r="J312" s="16"/>
      <c r="K312" s="16"/>
      <c r="L312" s="18"/>
    </row>
    <row r="313" customFormat="false" ht="15" hidden="false" customHeight="false" outlineLevel="0" collapsed="false">
      <c r="A313" s="18"/>
      <c r="B313" s="16"/>
      <c r="C313" s="16"/>
      <c r="D313" s="51" t="str">
        <f aca="false">IF(C313="","",IFERROR(IF(LEFT(C313,1)="L",INDEX('Leads Pipeline'!$F$5:$F$1004,MATCH(C313,'Leads Pipeline'!$A$5:$A$1004,0)),INDEX('Active Clients'!$D$5:$D$504,MATCH(C313,'Active Clients'!$A$5:$A$504,0)))&amp;"","ID not found"))</f>
        <v/>
      </c>
      <c r="E313" s="51" t="str">
        <f aca="false">IF(C313="","",IFERROR(IF(LEFT(C313,1)="L",INDEX('Leads Pipeline'!$D$5:$D$1004,MATCH(C313,'Leads Pipeline'!$A$5:$A$1004,0)),INDEX('Active Clients'!$B$5:$B$504,MATCH(C313,'Active Clients'!$A$5:$A$504,0)))&amp;"","ID not found"))</f>
        <v/>
      </c>
      <c r="F313" s="51" t="str">
        <f aca="false">IF(C313="","",IFERROR(IF(LEFT(C313,1)="L",INDEX('Leads Pipeline'!$E$5:$E$1004,MATCH(C313,'Leads Pipeline'!$A$5:$A$1004,0)),INDEX('Active Clients'!$C$5:$C$504,MATCH(C313,'Active Clients'!$A$5:$A$504,0)))&amp;"","ID not found"))</f>
        <v/>
      </c>
      <c r="G313" s="16"/>
      <c r="H313" s="16"/>
      <c r="I313" s="16"/>
      <c r="J313" s="16"/>
      <c r="K313" s="16"/>
      <c r="L313" s="18"/>
    </row>
    <row r="314" customFormat="false" ht="15" hidden="false" customHeight="false" outlineLevel="0" collapsed="false">
      <c r="A314" s="18"/>
      <c r="B314" s="16"/>
      <c r="C314" s="16"/>
      <c r="D314" s="51" t="str">
        <f aca="false">IF(C314="","",IFERROR(IF(LEFT(C314,1)="L",INDEX('Leads Pipeline'!$F$5:$F$1004,MATCH(C314,'Leads Pipeline'!$A$5:$A$1004,0)),INDEX('Active Clients'!$D$5:$D$504,MATCH(C314,'Active Clients'!$A$5:$A$504,0)))&amp;"","ID not found"))</f>
        <v/>
      </c>
      <c r="E314" s="51" t="str">
        <f aca="false">IF(C314="","",IFERROR(IF(LEFT(C314,1)="L",INDEX('Leads Pipeline'!$D$5:$D$1004,MATCH(C314,'Leads Pipeline'!$A$5:$A$1004,0)),INDEX('Active Clients'!$B$5:$B$504,MATCH(C314,'Active Clients'!$A$5:$A$504,0)))&amp;"","ID not found"))</f>
        <v/>
      </c>
      <c r="F314" s="51" t="str">
        <f aca="false">IF(C314="","",IFERROR(IF(LEFT(C314,1)="L",INDEX('Leads Pipeline'!$E$5:$E$1004,MATCH(C314,'Leads Pipeline'!$A$5:$A$1004,0)),INDEX('Active Clients'!$C$5:$C$504,MATCH(C314,'Active Clients'!$A$5:$A$504,0)))&amp;"","ID not found"))</f>
        <v/>
      </c>
      <c r="G314" s="16"/>
      <c r="H314" s="16"/>
      <c r="I314" s="16"/>
      <c r="J314" s="16"/>
      <c r="K314" s="16"/>
      <c r="L314" s="18"/>
    </row>
    <row r="315" customFormat="false" ht="15" hidden="false" customHeight="false" outlineLevel="0" collapsed="false">
      <c r="A315" s="18"/>
      <c r="B315" s="16"/>
      <c r="C315" s="16"/>
      <c r="D315" s="51" t="str">
        <f aca="false">IF(C315="","",IFERROR(IF(LEFT(C315,1)="L",INDEX('Leads Pipeline'!$F$5:$F$1004,MATCH(C315,'Leads Pipeline'!$A$5:$A$1004,0)),INDEX('Active Clients'!$D$5:$D$504,MATCH(C315,'Active Clients'!$A$5:$A$504,0)))&amp;"","ID not found"))</f>
        <v/>
      </c>
      <c r="E315" s="51" t="str">
        <f aca="false">IF(C315="","",IFERROR(IF(LEFT(C315,1)="L",INDEX('Leads Pipeline'!$D$5:$D$1004,MATCH(C315,'Leads Pipeline'!$A$5:$A$1004,0)),INDEX('Active Clients'!$B$5:$B$504,MATCH(C315,'Active Clients'!$A$5:$A$504,0)))&amp;"","ID not found"))</f>
        <v/>
      </c>
      <c r="F315" s="51" t="str">
        <f aca="false">IF(C315="","",IFERROR(IF(LEFT(C315,1)="L",INDEX('Leads Pipeline'!$E$5:$E$1004,MATCH(C315,'Leads Pipeline'!$A$5:$A$1004,0)),INDEX('Active Clients'!$C$5:$C$504,MATCH(C315,'Active Clients'!$A$5:$A$504,0)))&amp;"","ID not found"))</f>
        <v/>
      </c>
      <c r="G315" s="16"/>
      <c r="H315" s="16"/>
      <c r="I315" s="16"/>
      <c r="J315" s="16"/>
      <c r="K315" s="16"/>
      <c r="L315" s="18"/>
    </row>
    <row r="316" customFormat="false" ht="15" hidden="false" customHeight="false" outlineLevel="0" collapsed="false">
      <c r="A316" s="18"/>
      <c r="B316" s="16"/>
      <c r="C316" s="16"/>
      <c r="D316" s="51" t="str">
        <f aca="false">IF(C316="","",IFERROR(IF(LEFT(C316,1)="L",INDEX('Leads Pipeline'!$F$5:$F$1004,MATCH(C316,'Leads Pipeline'!$A$5:$A$1004,0)),INDEX('Active Clients'!$D$5:$D$504,MATCH(C316,'Active Clients'!$A$5:$A$504,0)))&amp;"","ID not found"))</f>
        <v/>
      </c>
      <c r="E316" s="51" t="str">
        <f aca="false">IF(C316="","",IFERROR(IF(LEFT(C316,1)="L",INDEX('Leads Pipeline'!$D$5:$D$1004,MATCH(C316,'Leads Pipeline'!$A$5:$A$1004,0)),INDEX('Active Clients'!$B$5:$B$504,MATCH(C316,'Active Clients'!$A$5:$A$504,0)))&amp;"","ID not found"))</f>
        <v/>
      </c>
      <c r="F316" s="51" t="str">
        <f aca="false">IF(C316="","",IFERROR(IF(LEFT(C316,1)="L",INDEX('Leads Pipeline'!$E$5:$E$1004,MATCH(C316,'Leads Pipeline'!$A$5:$A$1004,0)),INDEX('Active Clients'!$C$5:$C$504,MATCH(C316,'Active Clients'!$A$5:$A$504,0)))&amp;"","ID not found"))</f>
        <v/>
      </c>
      <c r="G316" s="16"/>
      <c r="H316" s="16"/>
      <c r="I316" s="16"/>
      <c r="J316" s="16"/>
      <c r="K316" s="16"/>
      <c r="L316" s="18"/>
    </row>
    <row r="317" customFormat="false" ht="15" hidden="false" customHeight="false" outlineLevel="0" collapsed="false">
      <c r="A317" s="18"/>
      <c r="B317" s="16"/>
      <c r="C317" s="16"/>
      <c r="D317" s="51" t="str">
        <f aca="false">IF(C317="","",IFERROR(IF(LEFT(C317,1)="L",INDEX('Leads Pipeline'!$F$5:$F$1004,MATCH(C317,'Leads Pipeline'!$A$5:$A$1004,0)),INDEX('Active Clients'!$D$5:$D$504,MATCH(C317,'Active Clients'!$A$5:$A$504,0)))&amp;"","ID not found"))</f>
        <v/>
      </c>
      <c r="E317" s="51" t="str">
        <f aca="false">IF(C317="","",IFERROR(IF(LEFT(C317,1)="L",INDEX('Leads Pipeline'!$D$5:$D$1004,MATCH(C317,'Leads Pipeline'!$A$5:$A$1004,0)),INDEX('Active Clients'!$B$5:$B$504,MATCH(C317,'Active Clients'!$A$5:$A$504,0)))&amp;"","ID not found"))</f>
        <v/>
      </c>
      <c r="F317" s="51" t="str">
        <f aca="false">IF(C317="","",IFERROR(IF(LEFT(C317,1)="L",INDEX('Leads Pipeline'!$E$5:$E$1004,MATCH(C317,'Leads Pipeline'!$A$5:$A$1004,0)),INDEX('Active Clients'!$C$5:$C$504,MATCH(C317,'Active Clients'!$A$5:$A$504,0)))&amp;"","ID not found"))</f>
        <v/>
      </c>
      <c r="G317" s="16"/>
      <c r="H317" s="16"/>
      <c r="I317" s="16"/>
      <c r="J317" s="16"/>
      <c r="K317" s="16"/>
      <c r="L317" s="18"/>
    </row>
    <row r="318" customFormat="false" ht="15" hidden="false" customHeight="false" outlineLevel="0" collapsed="false">
      <c r="A318" s="18"/>
      <c r="B318" s="16"/>
      <c r="C318" s="16"/>
      <c r="D318" s="51" t="str">
        <f aca="false">IF(C318="","",IFERROR(IF(LEFT(C318,1)="L",INDEX('Leads Pipeline'!$F$5:$F$1004,MATCH(C318,'Leads Pipeline'!$A$5:$A$1004,0)),INDEX('Active Clients'!$D$5:$D$504,MATCH(C318,'Active Clients'!$A$5:$A$504,0)))&amp;"","ID not found"))</f>
        <v/>
      </c>
      <c r="E318" s="51" t="str">
        <f aca="false">IF(C318="","",IFERROR(IF(LEFT(C318,1)="L",INDEX('Leads Pipeline'!$D$5:$D$1004,MATCH(C318,'Leads Pipeline'!$A$5:$A$1004,0)),INDEX('Active Clients'!$B$5:$B$504,MATCH(C318,'Active Clients'!$A$5:$A$504,0)))&amp;"","ID not found"))</f>
        <v/>
      </c>
      <c r="F318" s="51" t="str">
        <f aca="false">IF(C318="","",IFERROR(IF(LEFT(C318,1)="L",INDEX('Leads Pipeline'!$E$5:$E$1004,MATCH(C318,'Leads Pipeline'!$A$5:$A$1004,0)),INDEX('Active Clients'!$C$5:$C$504,MATCH(C318,'Active Clients'!$A$5:$A$504,0)))&amp;"","ID not found"))</f>
        <v/>
      </c>
      <c r="G318" s="16"/>
      <c r="H318" s="16"/>
      <c r="I318" s="16"/>
      <c r="J318" s="16"/>
      <c r="K318" s="16"/>
      <c r="L318" s="18"/>
    </row>
    <row r="319" customFormat="false" ht="15" hidden="false" customHeight="false" outlineLevel="0" collapsed="false">
      <c r="A319" s="18"/>
      <c r="B319" s="16"/>
      <c r="C319" s="16"/>
      <c r="D319" s="51" t="str">
        <f aca="false">IF(C319="","",IFERROR(IF(LEFT(C319,1)="L",INDEX('Leads Pipeline'!$F$5:$F$1004,MATCH(C319,'Leads Pipeline'!$A$5:$A$1004,0)),INDEX('Active Clients'!$D$5:$D$504,MATCH(C319,'Active Clients'!$A$5:$A$504,0)))&amp;"","ID not found"))</f>
        <v/>
      </c>
      <c r="E319" s="51" t="str">
        <f aca="false">IF(C319="","",IFERROR(IF(LEFT(C319,1)="L",INDEX('Leads Pipeline'!$D$5:$D$1004,MATCH(C319,'Leads Pipeline'!$A$5:$A$1004,0)),INDEX('Active Clients'!$B$5:$B$504,MATCH(C319,'Active Clients'!$A$5:$A$504,0)))&amp;"","ID not found"))</f>
        <v/>
      </c>
      <c r="F319" s="51" t="str">
        <f aca="false">IF(C319="","",IFERROR(IF(LEFT(C319,1)="L",INDEX('Leads Pipeline'!$E$5:$E$1004,MATCH(C319,'Leads Pipeline'!$A$5:$A$1004,0)),INDEX('Active Clients'!$C$5:$C$504,MATCH(C319,'Active Clients'!$A$5:$A$504,0)))&amp;"","ID not found"))</f>
        <v/>
      </c>
      <c r="G319" s="16"/>
      <c r="H319" s="16"/>
      <c r="I319" s="16"/>
      <c r="J319" s="16"/>
      <c r="K319" s="16"/>
      <c r="L319" s="18"/>
    </row>
    <row r="320" customFormat="false" ht="15" hidden="false" customHeight="false" outlineLevel="0" collapsed="false">
      <c r="A320" s="18"/>
      <c r="B320" s="16"/>
      <c r="C320" s="16"/>
      <c r="D320" s="51" t="str">
        <f aca="false">IF(C320="","",IFERROR(IF(LEFT(C320,1)="L",INDEX('Leads Pipeline'!$F$5:$F$1004,MATCH(C320,'Leads Pipeline'!$A$5:$A$1004,0)),INDEX('Active Clients'!$D$5:$D$504,MATCH(C320,'Active Clients'!$A$5:$A$504,0)))&amp;"","ID not found"))</f>
        <v/>
      </c>
      <c r="E320" s="51" t="str">
        <f aca="false">IF(C320="","",IFERROR(IF(LEFT(C320,1)="L",INDEX('Leads Pipeline'!$D$5:$D$1004,MATCH(C320,'Leads Pipeline'!$A$5:$A$1004,0)),INDEX('Active Clients'!$B$5:$B$504,MATCH(C320,'Active Clients'!$A$5:$A$504,0)))&amp;"","ID not found"))</f>
        <v/>
      </c>
      <c r="F320" s="51" t="str">
        <f aca="false">IF(C320="","",IFERROR(IF(LEFT(C320,1)="L",INDEX('Leads Pipeline'!$E$5:$E$1004,MATCH(C320,'Leads Pipeline'!$A$5:$A$1004,0)),INDEX('Active Clients'!$C$5:$C$504,MATCH(C320,'Active Clients'!$A$5:$A$504,0)))&amp;"","ID not found"))</f>
        <v/>
      </c>
      <c r="G320" s="16"/>
      <c r="H320" s="16"/>
      <c r="I320" s="16"/>
      <c r="J320" s="16"/>
      <c r="K320" s="16"/>
      <c r="L320" s="18"/>
    </row>
    <row r="321" customFormat="false" ht="15" hidden="false" customHeight="false" outlineLevel="0" collapsed="false">
      <c r="A321" s="18"/>
      <c r="B321" s="16"/>
      <c r="C321" s="16"/>
      <c r="D321" s="51" t="str">
        <f aca="false">IF(C321="","",IFERROR(IF(LEFT(C321,1)="L",INDEX('Leads Pipeline'!$F$5:$F$1004,MATCH(C321,'Leads Pipeline'!$A$5:$A$1004,0)),INDEX('Active Clients'!$D$5:$D$504,MATCH(C321,'Active Clients'!$A$5:$A$504,0)))&amp;"","ID not found"))</f>
        <v/>
      </c>
      <c r="E321" s="51" t="str">
        <f aca="false">IF(C321="","",IFERROR(IF(LEFT(C321,1)="L",INDEX('Leads Pipeline'!$D$5:$D$1004,MATCH(C321,'Leads Pipeline'!$A$5:$A$1004,0)),INDEX('Active Clients'!$B$5:$B$504,MATCH(C321,'Active Clients'!$A$5:$A$504,0)))&amp;"","ID not found"))</f>
        <v/>
      </c>
      <c r="F321" s="51" t="str">
        <f aca="false">IF(C321="","",IFERROR(IF(LEFT(C321,1)="L",INDEX('Leads Pipeline'!$E$5:$E$1004,MATCH(C321,'Leads Pipeline'!$A$5:$A$1004,0)),INDEX('Active Clients'!$C$5:$C$504,MATCH(C321,'Active Clients'!$A$5:$A$504,0)))&amp;"","ID not found"))</f>
        <v/>
      </c>
      <c r="G321" s="16"/>
      <c r="H321" s="16"/>
      <c r="I321" s="16"/>
      <c r="J321" s="16"/>
      <c r="K321" s="16"/>
      <c r="L321" s="18"/>
    </row>
    <row r="322" customFormat="false" ht="15" hidden="false" customHeight="false" outlineLevel="0" collapsed="false">
      <c r="A322" s="18"/>
      <c r="B322" s="16"/>
      <c r="C322" s="16"/>
      <c r="D322" s="51" t="str">
        <f aca="false">IF(C322="","",IFERROR(IF(LEFT(C322,1)="L",INDEX('Leads Pipeline'!$F$5:$F$1004,MATCH(C322,'Leads Pipeline'!$A$5:$A$1004,0)),INDEX('Active Clients'!$D$5:$D$504,MATCH(C322,'Active Clients'!$A$5:$A$504,0)))&amp;"","ID not found"))</f>
        <v/>
      </c>
      <c r="E322" s="51" t="str">
        <f aca="false">IF(C322="","",IFERROR(IF(LEFT(C322,1)="L",INDEX('Leads Pipeline'!$D$5:$D$1004,MATCH(C322,'Leads Pipeline'!$A$5:$A$1004,0)),INDEX('Active Clients'!$B$5:$B$504,MATCH(C322,'Active Clients'!$A$5:$A$504,0)))&amp;"","ID not found"))</f>
        <v/>
      </c>
      <c r="F322" s="51" t="str">
        <f aca="false">IF(C322="","",IFERROR(IF(LEFT(C322,1)="L",INDEX('Leads Pipeline'!$E$5:$E$1004,MATCH(C322,'Leads Pipeline'!$A$5:$A$1004,0)),INDEX('Active Clients'!$C$5:$C$504,MATCH(C322,'Active Clients'!$A$5:$A$504,0)))&amp;"","ID not found"))</f>
        <v/>
      </c>
      <c r="G322" s="16"/>
      <c r="H322" s="16"/>
      <c r="I322" s="16"/>
      <c r="J322" s="16"/>
      <c r="K322" s="16"/>
      <c r="L322" s="18"/>
    </row>
    <row r="323" customFormat="false" ht="15" hidden="false" customHeight="false" outlineLevel="0" collapsed="false">
      <c r="A323" s="18"/>
      <c r="B323" s="16"/>
      <c r="C323" s="16"/>
      <c r="D323" s="51" t="str">
        <f aca="false">IF(C323="","",IFERROR(IF(LEFT(C323,1)="L",INDEX('Leads Pipeline'!$F$5:$F$1004,MATCH(C323,'Leads Pipeline'!$A$5:$A$1004,0)),INDEX('Active Clients'!$D$5:$D$504,MATCH(C323,'Active Clients'!$A$5:$A$504,0)))&amp;"","ID not found"))</f>
        <v/>
      </c>
      <c r="E323" s="51" t="str">
        <f aca="false">IF(C323="","",IFERROR(IF(LEFT(C323,1)="L",INDEX('Leads Pipeline'!$D$5:$D$1004,MATCH(C323,'Leads Pipeline'!$A$5:$A$1004,0)),INDEX('Active Clients'!$B$5:$B$504,MATCH(C323,'Active Clients'!$A$5:$A$504,0)))&amp;"","ID not found"))</f>
        <v/>
      </c>
      <c r="F323" s="51" t="str">
        <f aca="false">IF(C323="","",IFERROR(IF(LEFT(C323,1)="L",INDEX('Leads Pipeline'!$E$5:$E$1004,MATCH(C323,'Leads Pipeline'!$A$5:$A$1004,0)),INDEX('Active Clients'!$C$5:$C$504,MATCH(C323,'Active Clients'!$A$5:$A$504,0)))&amp;"","ID not found"))</f>
        <v/>
      </c>
      <c r="G323" s="16"/>
      <c r="H323" s="16"/>
      <c r="I323" s="16"/>
      <c r="J323" s="16"/>
      <c r="K323" s="16"/>
      <c r="L323" s="18"/>
    </row>
    <row r="324" customFormat="false" ht="15" hidden="false" customHeight="false" outlineLevel="0" collapsed="false">
      <c r="A324" s="18"/>
      <c r="B324" s="16"/>
      <c r="C324" s="16"/>
      <c r="D324" s="51" t="str">
        <f aca="false">IF(C324="","",IFERROR(IF(LEFT(C324,1)="L",INDEX('Leads Pipeline'!$F$5:$F$1004,MATCH(C324,'Leads Pipeline'!$A$5:$A$1004,0)),INDEX('Active Clients'!$D$5:$D$504,MATCH(C324,'Active Clients'!$A$5:$A$504,0)))&amp;"","ID not found"))</f>
        <v/>
      </c>
      <c r="E324" s="51" t="str">
        <f aca="false">IF(C324="","",IFERROR(IF(LEFT(C324,1)="L",INDEX('Leads Pipeline'!$D$5:$D$1004,MATCH(C324,'Leads Pipeline'!$A$5:$A$1004,0)),INDEX('Active Clients'!$B$5:$B$504,MATCH(C324,'Active Clients'!$A$5:$A$504,0)))&amp;"","ID not found"))</f>
        <v/>
      </c>
      <c r="F324" s="51" t="str">
        <f aca="false">IF(C324="","",IFERROR(IF(LEFT(C324,1)="L",INDEX('Leads Pipeline'!$E$5:$E$1004,MATCH(C324,'Leads Pipeline'!$A$5:$A$1004,0)),INDEX('Active Clients'!$C$5:$C$504,MATCH(C324,'Active Clients'!$A$5:$A$504,0)))&amp;"","ID not found"))</f>
        <v/>
      </c>
      <c r="G324" s="16"/>
      <c r="H324" s="16"/>
      <c r="I324" s="16"/>
      <c r="J324" s="16"/>
      <c r="K324" s="16"/>
      <c r="L324" s="18"/>
    </row>
    <row r="325" customFormat="false" ht="15" hidden="false" customHeight="false" outlineLevel="0" collapsed="false">
      <c r="A325" s="18"/>
      <c r="B325" s="16"/>
      <c r="C325" s="16"/>
      <c r="D325" s="51" t="str">
        <f aca="false">IF(C325="","",IFERROR(IF(LEFT(C325,1)="L",INDEX('Leads Pipeline'!$F$5:$F$1004,MATCH(C325,'Leads Pipeline'!$A$5:$A$1004,0)),INDEX('Active Clients'!$D$5:$D$504,MATCH(C325,'Active Clients'!$A$5:$A$504,0)))&amp;"","ID not found"))</f>
        <v/>
      </c>
      <c r="E325" s="51" t="str">
        <f aca="false">IF(C325="","",IFERROR(IF(LEFT(C325,1)="L",INDEX('Leads Pipeline'!$D$5:$D$1004,MATCH(C325,'Leads Pipeline'!$A$5:$A$1004,0)),INDEX('Active Clients'!$B$5:$B$504,MATCH(C325,'Active Clients'!$A$5:$A$504,0)))&amp;"","ID not found"))</f>
        <v/>
      </c>
      <c r="F325" s="51" t="str">
        <f aca="false">IF(C325="","",IFERROR(IF(LEFT(C325,1)="L",INDEX('Leads Pipeline'!$E$5:$E$1004,MATCH(C325,'Leads Pipeline'!$A$5:$A$1004,0)),INDEX('Active Clients'!$C$5:$C$504,MATCH(C325,'Active Clients'!$A$5:$A$504,0)))&amp;"","ID not found"))</f>
        <v/>
      </c>
      <c r="G325" s="16"/>
      <c r="H325" s="16"/>
      <c r="I325" s="16"/>
      <c r="J325" s="16"/>
      <c r="K325" s="16"/>
      <c r="L325" s="18"/>
    </row>
    <row r="326" customFormat="false" ht="15" hidden="false" customHeight="false" outlineLevel="0" collapsed="false">
      <c r="A326" s="18"/>
      <c r="B326" s="16"/>
      <c r="C326" s="16"/>
      <c r="D326" s="51" t="str">
        <f aca="false">IF(C326="","",IFERROR(IF(LEFT(C326,1)="L",INDEX('Leads Pipeline'!$F$5:$F$1004,MATCH(C326,'Leads Pipeline'!$A$5:$A$1004,0)),INDEX('Active Clients'!$D$5:$D$504,MATCH(C326,'Active Clients'!$A$5:$A$504,0)))&amp;"","ID not found"))</f>
        <v/>
      </c>
      <c r="E326" s="51" t="str">
        <f aca="false">IF(C326="","",IFERROR(IF(LEFT(C326,1)="L",INDEX('Leads Pipeline'!$D$5:$D$1004,MATCH(C326,'Leads Pipeline'!$A$5:$A$1004,0)),INDEX('Active Clients'!$B$5:$B$504,MATCH(C326,'Active Clients'!$A$5:$A$504,0)))&amp;"","ID not found"))</f>
        <v/>
      </c>
      <c r="F326" s="51" t="str">
        <f aca="false">IF(C326="","",IFERROR(IF(LEFT(C326,1)="L",INDEX('Leads Pipeline'!$E$5:$E$1004,MATCH(C326,'Leads Pipeline'!$A$5:$A$1004,0)),INDEX('Active Clients'!$C$5:$C$504,MATCH(C326,'Active Clients'!$A$5:$A$504,0)))&amp;"","ID not found"))</f>
        <v/>
      </c>
      <c r="G326" s="16"/>
      <c r="H326" s="16"/>
      <c r="I326" s="16"/>
      <c r="J326" s="16"/>
      <c r="K326" s="16"/>
      <c r="L326" s="18"/>
    </row>
    <row r="327" customFormat="false" ht="15" hidden="false" customHeight="false" outlineLevel="0" collapsed="false">
      <c r="A327" s="18"/>
      <c r="B327" s="16"/>
      <c r="C327" s="16"/>
      <c r="D327" s="51" t="str">
        <f aca="false">IF(C327="","",IFERROR(IF(LEFT(C327,1)="L",INDEX('Leads Pipeline'!$F$5:$F$1004,MATCH(C327,'Leads Pipeline'!$A$5:$A$1004,0)),INDEX('Active Clients'!$D$5:$D$504,MATCH(C327,'Active Clients'!$A$5:$A$504,0)))&amp;"","ID not found"))</f>
        <v/>
      </c>
      <c r="E327" s="51" t="str">
        <f aca="false">IF(C327="","",IFERROR(IF(LEFT(C327,1)="L",INDEX('Leads Pipeline'!$D$5:$D$1004,MATCH(C327,'Leads Pipeline'!$A$5:$A$1004,0)),INDEX('Active Clients'!$B$5:$B$504,MATCH(C327,'Active Clients'!$A$5:$A$504,0)))&amp;"","ID not found"))</f>
        <v/>
      </c>
      <c r="F327" s="51" t="str">
        <f aca="false">IF(C327="","",IFERROR(IF(LEFT(C327,1)="L",INDEX('Leads Pipeline'!$E$5:$E$1004,MATCH(C327,'Leads Pipeline'!$A$5:$A$1004,0)),INDEX('Active Clients'!$C$5:$C$504,MATCH(C327,'Active Clients'!$A$5:$A$504,0)))&amp;"","ID not found"))</f>
        <v/>
      </c>
      <c r="G327" s="16"/>
      <c r="H327" s="16"/>
      <c r="I327" s="16"/>
      <c r="J327" s="16"/>
      <c r="K327" s="16"/>
      <c r="L327" s="18"/>
    </row>
    <row r="328" customFormat="false" ht="15" hidden="false" customHeight="false" outlineLevel="0" collapsed="false">
      <c r="A328" s="18"/>
      <c r="B328" s="16"/>
      <c r="C328" s="16"/>
      <c r="D328" s="51" t="str">
        <f aca="false">IF(C328="","",IFERROR(IF(LEFT(C328,1)="L",INDEX('Leads Pipeline'!$F$5:$F$1004,MATCH(C328,'Leads Pipeline'!$A$5:$A$1004,0)),INDEX('Active Clients'!$D$5:$D$504,MATCH(C328,'Active Clients'!$A$5:$A$504,0)))&amp;"","ID not found"))</f>
        <v/>
      </c>
      <c r="E328" s="51" t="str">
        <f aca="false">IF(C328="","",IFERROR(IF(LEFT(C328,1)="L",INDEX('Leads Pipeline'!$D$5:$D$1004,MATCH(C328,'Leads Pipeline'!$A$5:$A$1004,0)),INDEX('Active Clients'!$B$5:$B$504,MATCH(C328,'Active Clients'!$A$5:$A$504,0)))&amp;"","ID not found"))</f>
        <v/>
      </c>
      <c r="F328" s="51" t="str">
        <f aca="false">IF(C328="","",IFERROR(IF(LEFT(C328,1)="L",INDEX('Leads Pipeline'!$E$5:$E$1004,MATCH(C328,'Leads Pipeline'!$A$5:$A$1004,0)),INDEX('Active Clients'!$C$5:$C$504,MATCH(C328,'Active Clients'!$A$5:$A$504,0)))&amp;"","ID not found"))</f>
        <v/>
      </c>
      <c r="G328" s="16"/>
      <c r="H328" s="16"/>
      <c r="I328" s="16"/>
      <c r="J328" s="16"/>
      <c r="K328" s="16"/>
      <c r="L328" s="18"/>
    </row>
    <row r="329" customFormat="false" ht="15" hidden="false" customHeight="false" outlineLevel="0" collapsed="false">
      <c r="A329" s="18"/>
      <c r="B329" s="16"/>
      <c r="C329" s="16"/>
      <c r="D329" s="51" t="str">
        <f aca="false">IF(C329="","",IFERROR(IF(LEFT(C329,1)="L",INDEX('Leads Pipeline'!$F$5:$F$1004,MATCH(C329,'Leads Pipeline'!$A$5:$A$1004,0)),INDEX('Active Clients'!$D$5:$D$504,MATCH(C329,'Active Clients'!$A$5:$A$504,0)))&amp;"","ID not found"))</f>
        <v/>
      </c>
      <c r="E329" s="51" t="str">
        <f aca="false">IF(C329="","",IFERROR(IF(LEFT(C329,1)="L",INDEX('Leads Pipeline'!$D$5:$D$1004,MATCH(C329,'Leads Pipeline'!$A$5:$A$1004,0)),INDEX('Active Clients'!$B$5:$B$504,MATCH(C329,'Active Clients'!$A$5:$A$504,0)))&amp;"","ID not found"))</f>
        <v/>
      </c>
      <c r="F329" s="51" t="str">
        <f aca="false">IF(C329="","",IFERROR(IF(LEFT(C329,1)="L",INDEX('Leads Pipeline'!$E$5:$E$1004,MATCH(C329,'Leads Pipeline'!$A$5:$A$1004,0)),INDEX('Active Clients'!$C$5:$C$504,MATCH(C329,'Active Clients'!$A$5:$A$504,0)))&amp;"","ID not found"))</f>
        <v/>
      </c>
      <c r="G329" s="16"/>
      <c r="H329" s="16"/>
      <c r="I329" s="16"/>
      <c r="J329" s="16"/>
      <c r="K329" s="16"/>
      <c r="L329" s="18"/>
    </row>
    <row r="330" customFormat="false" ht="15" hidden="false" customHeight="false" outlineLevel="0" collapsed="false">
      <c r="A330" s="18"/>
      <c r="B330" s="16"/>
      <c r="C330" s="16"/>
      <c r="D330" s="51" t="str">
        <f aca="false">IF(C330="","",IFERROR(IF(LEFT(C330,1)="L",INDEX('Leads Pipeline'!$F$5:$F$1004,MATCH(C330,'Leads Pipeline'!$A$5:$A$1004,0)),INDEX('Active Clients'!$D$5:$D$504,MATCH(C330,'Active Clients'!$A$5:$A$504,0)))&amp;"","ID not found"))</f>
        <v/>
      </c>
      <c r="E330" s="51" t="str">
        <f aca="false">IF(C330="","",IFERROR(IF(LEFT(C330,1)="L",INDEX('Leads Pipeline'!$D$5:$D$1004,MATCH(C330,'Leads Pipeline'!$A$5:$A$1004,0)),INDEX('Active Clients'!$B$5:$B$504,MATCH(C330,'Active Clients'!$A$5:$A$504,0)))&amp;"","ID not found"))</f>
        <v/>
      </c>
      <c r="F330" s="51" t="str">
        <f aca="false">IF(C330="","",IFERROR(IF(LEFT(C330,1)="L",INDEX('Leads Pipeline'!$E$5:$E$1004,MATCH(C330,'Leads Pipeline'!$A$5:$A$1004,0)),INDEX('Active Clients'!$C$5:$C$504,MATCH(C330,'Active Clients'!$A$5:$A$504,0)))&amp;"","ID not found"))</f>
        <v/>
      </c>
      <c r="G330" s="16"/>
      <c r="H330" s="16"/>
      <c r="I330" s="16"/>
      <c r="J330" s="16"/>
      <c r="K330" s="16"/>
      <c r="L330" s="18"/>
    </row>
    <row r="331" customFormat="false" ht="15" hidden="false" customHeight="false" outlineLevel="0" collapsed="false">
      <c r="A331" s="18"/>
      <c r="B331" s="16"/>
      <c r="C331" s="16"/>
      <c r="D331" s="51" t="str">
        <f aca="false">IF(C331="","",IFERROR(IF(LEFT(C331,1)="L",INDEX('Leads Pipeline'!$F$5:$F$1004,MATCH(C331,'Leads Pipeline'!$A$5:$A$1004,0)),INDEX('Active Clients'!$D$5:$D$504,MATCH(C331,'Active Clients'!$A$5:$A$504,0)))&amp;"","ID not found"))</f>
        <v/>
      </c>
      <c r="E331" s="51" t="str">
        <f aca="false">IF(C331="","",IFERROR(IF(LEFT(C331,1)="L",INDEX('Leads Pipeline'!$D$5:$D$1004,MATCH(C331,'Leads Pipeline'!$A$5:$A$1004,0)),INDEX('Active Clients'!$B$5:$B$504,MATCH(C331,'Active Clients'!$A$5:$A$504,0)))&amp;"","ID not found"))</f>
        <v/>
      </c>
      <c r="F331" s="51" t="str">
        <f aca="false">IF(C331="","",IFERROR(IF(LEFT(C331,1)="L",INDEX('Leads Pipeline'!$E$5:$E$1004,MATCH(C331,'Leads Pipeline'!$A$5:$A$1004,0)),INDEX('Active Clients'!$C$5:$C$504,MATCH(C331,'Active Clients'!$A$5:$A$504,0)))&amp;"","ID not found"))</f>
        <v/>
      </c>
      <c r="G331" s="16"/>
      <c r="H331" s="16"/>
      <c r="I331" s="16"/>
      <c r="J331" s="16"/>
      <c r="K331" s="16"/>
      <c r="L331" s="18"/>
    </row>
    <row r="332" customFormat="false" ht="15" hidden="false" customHeight="false" outlineLevel="0" collapsed="false">
      <c r="A332" s="18"/>
      <c r="B332" s="16"/>
      <c r="C332" s="16"/>
      <c r="D332" s="51" t="str">
        <f aca="false">IF(C332="","",IFERROR(IF(LEFT(C332,1)="L",INDEX('Leads Pipeline'!$F$5:$F$1004,MATCH(C332,'Leads Pipeline'!$A$5:$A$1004,0)),INDEX('Active Clients'!$D$5:$D$504,MATCH(C332,'Active Clients'!$A$5:$A$504,0)))&amp;"","ID not found"))</f>
        <v/>
      </c>
      <c r="E332" s="51" t="str">
        <f aca="false">IF(C332="","",IFERROR(IF(LEFT(C332,1)="L",INDEX('Leads Pipeline'!$D$5:$D$1004,MATCH(C332,'Leads Pipeline'!$A$5:$A$1004,0)),INDEX('Active Clients'!$B$5:$B$504,MATCH(C332,'Active Clients'!$A$5:$A$504,0)))&amp;"","ID not found"))</f>
        <v/>
      </c>
      <c r="F332" s="51" t="str">
        <f aca="false">IF(C332="","",IFERROR(IF(LEFT(C332,1)="L",INDEX('Leads Pipeline'!$E$5:$E$1004,MATCH(C332,'Leads Pipeline'!$A$5:$A$1004,0)),INDEX('Active Clients'!$C$5:$C$504,MATCH(C332,'Active Clients'!$A$5:$A$504,0)))&amp;"","ID not found"))</f>
        <v/>
      </c>
      <c r="G332" s="16"/>
      <c r="H332" s="16"/>
      <c r="I332" s="16"/>
      <c r="J332" s="16"/>
      <c r="K332" s="16"/>
      <c r="L332" s="18"/>
    </row>
    <row r="333" customFormat="false" ht="15" hidden="false" customHeight="false" outlineLevel="0" collapsed="false">
      <c r="A333" s="18"/>
      <c r="B333" s="16"/>
      <c r="C333" s="16"/>
      <c r="D333" s="51" t="str">
        <f aca="false">IF(C333="","",IFERROR(IF(LEFT(C333,1)="L",INDEX('Leads Pipeline'!$F$5:$F$1004,MATCH(C333,'Leads Pipeline'!$A$5:$A$1004,0)),INDEX('Active Clients'!$D$5:$D$504,MATCH(C333,'Active Clients'!$A$5:$A$504,0)))&amp;"","ID not found"))</f>
        <v/>
      </c>
      <c r="E333" s="51" t="str">
        <f aca="false">IF(C333="","",IFERROR(IF(LEFT(C333,1)="L",INDEX('Leads Pipeline'!$D$5:$D$1004,MATCH(C333,'Leads Pipeline'!$A$5:$A$1004,0)),INDEX('Active Clients'!$B$5:$B$504,MATCH(C333,'Active Clients'!$A$5:$A$504,0)))&amp;"","ID not found"))</f>
        <v/>
      </c>
      <c r="F333" s="51" t="str">
        <f aca="false">IF(C333="","",IFERROR(IF(LEFT(C333,1)="L",INDEX('Leads Pipeline'!$E$5:$E$1004,MATCH(C333,'Leads Pipeline'!$A$5:$A$1004,0)),INDEX('Active Clients'!$C$5:$C$504,MATCH(C333,'Active Clients'!$A$5:$A$504,0)))&amp;"","ID not found"))</f>
        <v/>
      </c>
      <c r="G333" s="16"/>
      <c r="H333" s="16"/>
      <c r="I333" s="16"/>
      <c r="J333" s="16"/>
      <c r="K333" s="16"/>
      <c r="L333" s="18"/>
    </row>
    <row r="334" customFormat="false" ht="15" hidden="false" customHeight="false" outlineLevel="0" collapsed="false">
      <c r="A334" s="18"/>
      <c r="B334" s="16"/>
      <c r="C334" s="16"/>
      <c r="D334" s="51" t="str">
        <f aca="false">IF(C334="","",IFERROR(IF(LEFT(C334,1)="L",INDEX('Leads Pipeline'!$F$5:$F$1004,MATCH(C334,'Leads Pipeline'!$A$5:$A$1004,0)),INDEX('Active Clients'!$D$5:$D$504,MATCH(C334,'Active Clients'!$A$5:$A$504,0)))&amp;"","ID not found"))</f>
        <v/>
      </c>
      <c r="E334" s="51" t="str">
        <f aca="false">IF(C334="","",IFERROR(IF(LEFT(C334,1)="L",INDEX('Leads Pipeline'!$D$5:$D$1004,MATCH(C334,'Leads Pipeline'!$A$5:$A$1004,0)),INDEX('Active Clients'!$B$5:$B$504,MATCH(C334,'Active Clients'!$A$5:$A$504,0)))&amp;"","ID not found"))</f>
        <v/>
      </c>
      <c r="F334" s="51" t="str">
        <f aca="false">IF(C334="","",IFERROR(IF(LEFT(C334,1)="L",INDEX('Leads Pipeline'!$E$5:$E$1004,MATCH(C334,'Leads Pipeline'!$A$5:$A$1004,0)),INDEX('Active Clients'!$C$5:$C$504,MATCH(C334,'Active Clients'!$A$5:$A$504,0)))&amp;"","ID not found"))</f>
        <v/>
      </c>
      <c r="G334" s="16"/>
      <c r="H334" s="16"/>
      <c r="I334" s="16"/>
      <c r="J334" s="16"/>
      <c r="K334" s="16"/>
      <c r="L334" s="18"/>
    </row>
    <row r="335" customFormat="false" ht="15" hidden="false" customHeight="false" outlineLevel="0" collapsed="false">
      <c r="A335" s="18"/>
      <c r="B335" s="16"/>
      <c r="C335" s="16"/>
      <c r="D335" s="51" t="str">
        <f aca="false">IF(C335="","",IFERROR(IF(LEFT(C335,1)="L",INDEX('Leads Pipeline'!$F$5:$F$1004,MATCH(C335,'Leads Pipeline'!$A$5:$A$1004,0)),INDEX('Active Clients'!$D$5:$D$504,MATCH(C335,'Active Clients'!$A$5:$A$504,0)))&amp;"","ID not found"))</f>
        <v/>
      </c>
      <c r="E335" s="51" t="str">
        <f aca="false">IF(C335="","",IFERROR(IF(LEFT(C335,1)="L",INDEX('Leads Pipeline'!$D$5:$D$1004,MATCH(C335,'Leads Pipeline'!$A$5:$A$1004,0)),INDEX('Active Clients'!$B$5:$B$504,MATCH(C335,'Active Clients'!$A$5:$A$504,0)))&amp;"","ID not found"))</f>
        <v/>
      </c>
      <c r="F335" s="51" t="str">
        <f aca="false">IF(C335="","",IFERROR(IF(LEFT(C335,1)="L",INDEX('Leads Pipeline'!$E$5:$E$1004,MATCH(C335,'Leads Pipeline'!$A$5:$A$1004,0)),INDEX('Active Clients'!$C$5:$C$504,MATCH(C335,'Active Clients'!$A$5:$A$504,0)))&amp;"","ID not found"))</f>
        <v/>
      </c>
      <c r="G335" s="16"/>
      <c r="H335" s="16"/>
      <c r="I335" s="16"/>
      <c r="J335" s="16"/>
      <c r="K335" s="16"/>
      <c r="L335" s="18"/>
    </row>
    <row r="336" customFormat="false" ht="15" hidden="false" customHeight="false" outlineLevel="0" collapsed="false">
      <c r="A336" s="18"/>
      <c r="B336" s="16"/>
      <c r="C336" s="16"/>
      <c r="D336" s="51" t="str">
        <f aca="false">IF(C336="","",IFERROR(IF(LEFT(C336,1)="L",INDEX('Leads Pipeline'!$F$5:$F$1004,MATCH(C336,'Leads Pipeline'!$A$5:$A$1004,0)),INDEX('Active Clients'!$D$5:$D$504,MATCH(C336,'Active Clients'!$A$5:$A$504,0)))&amp;"","ID not found"))</f>
        <v/>
      </c>
      <c r="E336" s="51" t="str">
        <f aca="false">IF(C336="","",IFERROR(IF(LEFT(C336,1)="L",INDEX('Leads Pipeline'!$D$5:$D$1004,MATCH(C336,'Leads Pipeline'!$A$5:$A$1004,0)),INDEX('Active Clients'!$B$5:$B$504,MATCH(C336,'Active Clients'!$A$5:$A$504,0)))&amp;"","ID not found"))</f>
        <v/>
      </c>
      <c r="F336" s="51" t="str">
        <f aca="false">IF(C336="","",IFERROR(IF(LEFT(C336,1)="L",INDEX('Leads Pipeline'!$E$5:$E$1004,MATCH(C336,'Leads Pipeline'!$A$5:$A$1004,0)),INDEX('Active Clients'!$C$5:$C$504,MATCH(C336,'Active Clients'!$A$5:$A$504,0)))&amp;"","ID not found"))</f>
        <v/>
      </c>
      <c r="G336" s="16"/>
      <c r="H336" s="16"/>
      <c r="I336" s="16"/>
      <c r="J336" s="16"/>
      <c r="K336" s="16"/>
      <c r="L336" s="18"/>
    </row>
    <row r="337" customFormat="false" ht="15" hidden="false" customHeight="false" outlineLevel="0" collapsed="false">
      <c r="A337" s="18"/>
      <c r="B337" s="16"/>
      <c r="C337" s="16"/>
      <c r="D337" s="51" t="str">
        <f aca="false">IF(C337="","",IFERROR(IF(LEFT(C337,1)="L",INDEX('Leads Pipeline'!$F$5:$F$1004,MATCH(C337,'Leads Pipeline'!$A$5:$A$1004,0)),INDEX('Active Clients'!$D$5:$D$504,MATCH(C337,'Active Clients'!$A$5:$A$504,0)))&amp;"","ID not found"))</f>
        <v/>
      </c>
      <c r="E337" s="51" t="str">
        <f aca="false">IF(C337="","",IFERROR(IF(LEFT(C337,1)="L",INDEX('Leads Pipeline'!$D$5:$D$1004,MATCH(C337,'Leads Pipeline'!$A$5:$A$1004,0)),INDEX('Active Clients'!$B$5:$B$504,MATCH(C337,'Active Clients'!$A$5:$A$504,0)))&amp;"","ID not found"))</f>
        <v/>
      </c>
      <c r="F337" s="51" t="str">
        <f aca="false">IF(C337="","",IFERROR(IF(LEFT(C337,1)="L",INDEX('Leads Pipeline'!$E$5:$E$1004,MATCH(C337,'Leads Pipeline'!$A$5:$A$1004,0)),INDEX('Active Clients'!$C$5:$C$504,MATCH(C337,'Active Clients'!$A$5:$A$504,0)))&amp;"","ID not found"))</f>
        <v/>
      </c>
      <c r="G337" s="16"/>
      <c r="H337" s="16"/>
      <c r="I337" s="16"/>
      <c r="J337" s="16"/>
      <c r="K337" s="16"/>
      <c r="L337" s="18"/>
    </row>
    <row r="338" customFormat="false" ht="15" hidden="false" customHeight="false" outlineLevel="0" collapsed="false">
      <c r="A338" s="18"/>
      <c r="B338" s="16"/>
      <c r="C338" s="16"/>
      <c r="D338" s="51" t="str">
        <f aca="false">IF(C338="","",IFERROR(IF(LEFT(C338,1)="L",INDEX('Leads Pipeline'!$F$5:$F$1004,MATCH(C338,'Leads Pipeline'!$A$5:$A$1004,0)),INDEX('Active Clients'!$D$5:$D$504,MATCH(C338,'Active Clients'!$A$5:$A$504,0)))&amp;"","ID not found"))</f>
        <v/>
      </c>
      <c r="E338" s="51" t="str">
        <f aca="false">IF(C338="","",IFERROR(IF(LEFT(C338,1)="L",INDEX('Leads Pipeline'!$D$5:$D$1004,MATCH(C338,'Leads Pipeline'!$A$5:$A$1004,0)),INDEX('Active Clients'!$B$5:$B$504,MATCH(C338,'Active Clients'!$A$5:$A$504,0)))&amp;"","ID not found"))</f>
        <v/>
      </c>
      <c r="F338" s="51" t="str">
        <f aca="false">IF(C338="","",IFERROR(IF(LEFT(C338,1)="L",INDEX('Leads Pipeline'!$E$5:$E$1004,MATCH(C338,'Leads Pipeline'!$A$5:$A$1004,0)),INDEX('Active Clients'!$C$5:$C$504,MATCH(C338,'Active Clients'!$A$5:$A$504,0)))&amp;"","ID not found"))</f>
        <v/>
      </c>
      <c r="G338" s="16"/>
      <c r="H338" s="16"/>
      <c r="I338" s="16"/>
      <c r="J338" s="16"/>
      <c r="K338" s="16"/>
      <c r="L338" s="18"/>
    </row>
    <row r="339" customFormat="false" ht="15" hidden="false" customHeight="false" outlineLevel="0" collapsed="false">
      <c r="A339" s="18"/>
      <c r="B339" s="16"/>
      <c r="C339" s="16"/>
      <c r="D339" s="51" t="str">
        <f aca="false">IF(C339="","",IFERROR(IF(LEFT(C339,1)="L",INDEX('Leads Pipeline'!$F$5:$F$1004,MATCH(C339,'Leads Pipeline'!$A$5:$A$1004,0)),INDEX('Active Clients'!$D$5:$D$504,MATCH(C339,'Active Clients'!$A$5:$A$504,0)))&amp;"","ID not found"))</f>
        <v/>
      </c>
      <c r="E339" s="51" t="str">
        <f aca="false">IF(C339="","",IFERROR(IF(LEFT(C339,1)="L",INDEX('Leads Pipeline'!$D$5:$D$1004,MATCH(C339,'Leads Pipeline'!$A$5:$A$1004,0)),INDEX('Active Clients'!$B$5:$B$504,MATCH(C339,'Active Clients'!$A$5:$A$504,0)))&amp;"","ID not found"))</f>
        <v/>
      </c>
      <c r="F339" s="51" t="str">
        <f aca="false">IF(C339="","",IFERROR(IF(LEFT(C339,1)="L",INDEX('Leads Pipeline'!$E$5:$E$1004,MATCH(C339,'Leads Pipeline'!$A$5:$A$1004,0)),INDEX('Active Clients'!$C$5:$C$504,MATCH(C339,'Active Clients'!$A$5:$A$504,0)))&amp;"","ID not found"))</f>
        <v/>
      </c>
      <c r="G339" s="16"/>
      <c r="H339" s="16"/>
      <c r="I339" s="16"/>
      <c r="J339" s="16"/>
      <c r="K339" s="16"/>
      <c r="L339" s="18"/>
    </row>
    <row r="340" customFormat="false" ht="15" hidden="false" customHeight="false" outlineLevel="0" collapsed="false">
      <c r="A340" s="18"/>
      <c r="B340" s="16"/>
      <c r="C340" s="16"/>
      <c r="D340" s="51" t="str">
        <f aca="false">IF(C340="","",IFERROR(IF(LEFT(C340,1)="L",INDEX('Leads Pipeline'!$F$5:$F$1004,MATCH(C340,'Leads Pipeline'!$A$5:$A$1004,0)),INDEX('Active Clients'!$D$5:$D$504,MATCH(C340,'Active Clients'!$A$5:$A$504,0)))&amp;"","ID not found"))</f>
        <v/>
      </c>
      <c r="E340" s="51" t="str">
        <f aca="false">IF(C340="","",IFERROR(IF(LEFT(C340,1)="L",INDEX('Leads Pipeline'!$D$5:$D$1004,MATCH(C340,'Leads Pipeline'!$A$5:$A$1004,0)),INDEX('Active Clients'!$B$5:$B$504,MATCH(C340,'Active Clients'!$A$5:$A$504,0)))&amp;"","ID not found"))</f>
        <v/>
      </c>
      <c r="F340" s="51" t="str">
        <f aca="false">IF(C340="","",IFERROR(IF(LEFT(C340,1)="L",INDEX('Leads Pipeline'!$E$5:$E$1004,MATCH(C340,'Leads Pipeline'!$A$5:$A$1004,0)),INDEX('Active Clients'!$C$5:$C$504,MATCH(C340,'Active Clients'!$A$5:$A$504,0)))&amp;"","ID not found"))</f>
        <v/>
      </c>
      <c r="G340" s="16"/>
      <c r="H340" s="16"/>
      <c r="I340" s="16"/>
      <c r="J340" s="16"/>
      <c r="K340" s="16"/>
      <c r="L340" s="18"/>
    </row>
    <row r="341" customFormat="false" ht="15" hidden="false" customHeight="false" outlineLevel="0" collapsed="false">
      <c r="A341" s="18"/>
      <c r="B341" s="16"/>
      <c r="C341" s="16"/>
      <c r="D341" s="51" t="str">
        <f aca="false">IF(C341="","",IFERROR(IF(LEFT(C341,1)="L",INDEX('Leads Pipeline'!$F$5:$F$1004,MATCH(C341,'Leads Pipeline'!$A$5:$A$1004,0)),INDEX('Active Clients'!$D$5:$D$504,MATCH(C341,'Active Clients'!$A$5:$A$504,0)))&amp;"","ID not found"))</f>
        <v/>
      </c>
      <c r="E341" s="51" t="str">
        <f aca="false">IF(C341="","",IFERROR(IF(LEFT(C341,1)="L",INDEX('Leads Pipeline'!$D$5:$D$1004,MATCH(C341,'Leads Pipeline'!$A$5:$A$1004,0)),INDEX('Active Clients'!$B$5:$B$504,MATCH(C341,'Active Clients'!$A$5:$A$504,0)))&amp;"","ID not found"))</f>
        <v/>
      </c>
      <c r="F341" s="51" t="str">
        <f aca="false">IF(C341="","",IFERROR(IF(LEFT(C341,1)="L",INDEX('Leads Pipeline'!$E$5:$E$1004,MATCH(C341,'Leads Pipeline'!$A$5:$A$1004,0)),INDEX('Active Clients'!$C$5:$C$504,MATCH(C341,'Active Clients'!$A$5:$A$504,0)))&amp;"","ID not found"))</f>
        <v/>
      </c>
      <c r="G341" s="16"/>
      <c r="H341" s="16"/>
      <c r="I341" s="16"/>
      <c r="J341" s="16"/>
      <c r="K341" s="16"/>
      <c r="L341" s="18"/>
    </row>
    <row r="342" customFormat="false" ht="15" hidden="false" customHeight="false" outlineLevel="0" collapsed="false">
      <c r="A342" s="18"/>
      <c r="B342" s="16"/>
      <c r="C342" s="16"/>
      <c r="D342" s="51" t="str">
        <f aca="false">IF(C342="","",IFERROR(IF(LEFT(C342,1)="L",INDEX('Leads Pipeline'!$F$5:$F$1004,MATCH(C342,'Leads Pipeline'!$A$5:$A$1004,0)),INDEX('Active Clients'!$D$5:$D$504,MATCH(C342,'Active Clients'!$A$5:$A$504,0)))&amp;"","ID not found"))</f>
        <v/>
      </c>
      <c r="E342" s="51" t="str">
        <f aca="false">IF(C342="","",IFERROR(IF(LEFT(C342,1)="L",INDEX('Leads Pipeline'!$D$5:$D$1004,MATCH(C342,'Leads Pipeline'!$A$5:$A$1004,0)),INDEX('Active Clients'!$B$5:$B$504,MATCH(C342,'Active Clients'!$A$5:$A$504,0)))&amp;"","ID not found"))</f>
        <v/>
      </c>
      <c r="F342" s="51" t="str">
        <f aca="false">IF(C342="","",IFERROR(IF(LEFT(C342,1)="L",INDEX('Leads Pipeline'!$E$5:$E$1004,MATCH(C342,'Leads Pipeline'!$A$5:$A$1004,0)),INDEX('Active Clients'!$C$5:$C$504,MATCH(C342,'Active Clients'!$A$5:$A$504,0)))&amp;"","ID not found"))</f>
        <v/>
      </c>
      <c r="G342" s="16"/>
      <c r="H342" s="16"/>
      <c r="I342" s="16"/>
      <c r="J342" s="16"/>
      <c r="K342" s="16"/>
      <c r="L342" s="18"/>
    </row>
    <row r="343" customFormat="false" ht="15" hidden="false" customHeight="false" outlineLevel="0" collapsed="false">
      <c r="A343" s="18"/>
      <c r="B343" s="16"/>
      <c r="C343" s="16"/>
      <c r="D343" s="51" t="str">
        <f aca="false">IF(C343="","",IFERROR(IF(LEFT(C343,1)="L",INDEX('Leads Pipeline'!$F$5:$F$1004,MATCH(C343,'Leads Pipeline'!$A$5:$A$1004,0)),INDEX('Active Clients'!$D$5:$D$504,MATCH(C343,'Active Clients'!$A$5:$A$504,0)))&amp;"","ID not found"))</f>
        <v/>
      </c>
      <c r="E343" s="51" t="str">
        <f aca="false">IF(C343="","",IFERROR(IF(LEFT(C343,1)="L",INDEX('Leads Pipeline'!$D$5:$D$1004,MATCH(C343,'Leads Pipeline'!$A$5:$A$1004,0)),INDEX('Active Clients'!$B$5:$B$504,MATCH(C343,'Active Clients'!$A$5:$A$504,0)))&amp;"","ID not found"))</f>
        <v/>
      </c>
      <c r="F343" s="51" t="str">
        <f aca="false">IF(C343="","",IFERROR(IF(LEFT(C343,1)="L",INDEX('Leads Pipeline'!$E$5:$E$1004,MATCH(C343,'Leads Pipeline'!$A$5:$A$1004,0)),INDEX('Active Clients'!$C$5:$C$504,MATCH(C343,'Active Clients'!$A$5:$A$504,0)))&amp;"","ID not found"))</f>
        <v/>
      </c>
      <c r="G343" s="16"/>
      <c r="H343" s="16"/>
      <c r="I343" s="16"/>
      <c r="J343" s="16"/>
      <c r="K343" s="16"/>
      <c r="L343" s="18"/>
    </row>
    <row r="344" customFormat="false" ht="15" hidden="false" customHeight="false" outlineLevel="0" collapsed="false">
      <c r="A344" s="18"/>
      <c r="B344" s="16"/>
      <c r="C344" s="16"/>
      <c r="D344" s="51" t="str">
        <f aca="false">IF(C344="","",IFERROR(IF(LEFT(C344,1)="L",INDEX('Leads Pipeline'!$F$5:$F$1004,MATCH(C344,'Leads Pipeline'!$A$5:$A$1004,0)),INDEX('Active Clients'!$D$5:$D$504,MATCH(C344,'Active Clients'!$A$5:$A$504,0)))&amp;"","ID not found"))</f>
        <v/>
      </c>
      <c r="E344" s="51" t="str">
        <f aca="false">IF(C344="","",IFERROR(IF(LEFT(C344,1)="L",INDEX('Leads Pipeline'!$D$5:$D$1004,MATCH(C344,'Leads Pipeline'!$A$5:$A$1004,0)),INDEX('Active Clients'!$B$5:$B$504,MATCH(C344,'Active Clients'!$A$5:$A$504,0)))&amp;"","ID not found"))</f>
        <v/>
      </c>
      <c r="F344" s="51" t="str">
        <f aca="false">IF(C344="","",IFERROR(IF(LEFT(C344,1)="L",INDEX('Leads Pipeline'!$E$5:$E$1004,MATCH(C344,'Leads Pipeline'!$A$5:$A$1004,0)),INDEX('Active Clients'!$C$5:$C$504,MATCH(C344,'Active Clients'!$A$5:$A$504,0)))&amp;"","ID not found"))</f>
        <v/>
      </c>
      <c r="G344" s="16"/>
      <c r="H344" s="16"/>
      <c r="I344" s="16"/>
      <c r="J344" s="16"/>
      <c r="K344" s="16"/>
      <c r="L344" s="18"/>
    </row>
    <row r="345" customFormat="false" ht="15" hidden="false" customHeight="false" outlineLevel="0" collapsed="false">
      <c r="A345" s="18"/>
      <c r="B345" s="16"/>
      <c r="C345" s="16"/>
      <c r="D345" s="51" t="str">
        <f aca="false">IF(C345="","",IFERROR(IF(LEFT(C345,1)="L",INDEX('Leads Pipeline'!$F$5:$F$1004,MATCH(C345,'Leads Pipeline'!$A$5:$A$1004,0)),INDEX('Active Clients'!$D$5:$D$504,MATCH(C345,'Active Clients'!$A$5:$A$504,0)))&amp;"","ID not found"))</f>
        <v/>
      </c>
      <c r="E345" s="51" t="str">
        <f aca="false">IF(C345="","",IFERROR(IF(LEFT(C345,1)="L",INDEX('Leads Pipeline'!$D$5:$D$1004,MATCH(C345,'Leads Pipeline'!$A$5:$A$1004,0)),INDEX('Active Clients'!$B$5:$B$504,MATCH(C345,'Active Clients'!$A$5:$A$504,0)))&amp;"","ID not found"))</f>
        <v/>
      </c>
      <c r="F345" s="51" t="str">
        <f aca="false">IF(C345="","",IFERROR(IF(LEFT(C345,1)="L",INDEX('Leads Pipeline'!$E$5:$E$1004,MATCH(C345,'Leads Pipeline'!$A$5:$A$1004,0)),INDEX('Active Clients'!$C$5:$C$504,MATCH(C345,'Active Clients'!$A$5:$A$504,0)))&amp;"","ID not found"))</f>
        <v/>
      </c>
      <c r="G345" s="16"/>
      <c r="H345" s="16"/>
      <c r="I345" s="16"/>
      <c r="J345" s="16"/>
      <c r="K345" s="16"/>
      <c r="L345" s="18"/>
    </row>
    <row r="346" customFormat="false" ht="15" hidden="false" customHeight="false" outlineLevel="0" collapsed="false">
      <c r="A346" s="18"/>
      <c r="B346" s="16"/>
      <c r="C346" s="16"/>
      <c r="D346" s="51" t="str">
        <f aca="false">IF(C346="","",IFERROR(IF(LEFT(C346,1)="L",INDEX('Leads Pipeline'!$F$5:$F$1004,MATCH(C346,'Leads Pipeline'!$A$5:$A$1004,0)),INDEX('Active Clients'!$D$5:$D$504,MATCH(C346,'Active Clients'!$A$5:$A$504,0)))&amp;"","ID not found"))</f>
        <v/>
      </c>
      <c r="E346" s="51" t="str">
        <f aca="false">IF(C346="","",IFERROR(IF(LEFT(C346,1)="L",INDEX('Leads Pipeline'!$D$5:$D$1004,MATCH(C346,'Leads Pipeline'!$A$5:$A$1004,0)),INDEX('Active Clients'!$B$5:$B$504,MATCH(C346,'Active Clients'!$A$5:$A$504,0)))&amp;"","ID not found"))</f>
        <v/>
      </c>
      <c r="F346" s="51" t="str">
        <f aca="false">IF(C346="","",IFERROR(IF(LEFT(C346,1)="L",INDEX('Leads Pipeline'!$E$5:$E$1004,MATCH(C346,'Leads Pipeline'!$A$5:$A$1004,0)),INDEX('Active Clients'!$C$5:$C$504,MATCH(C346,'Active Clients'!$A$5:$A$504,0)))&amp;"","ID not found"))</f>
        <v/>
      </c>
      <c r="G346" s="16"/>
      <c r="H346" s="16"/>
      <c r="I346" s="16"/>
      <c r="J346" s="16"/>
      <c r="K346" s="16"/>
      <c r="L346" s="18"/>
    </row>
    <row r="347" customFormat="false" ht="15" hidden="false" customHeight="false" outlineLevel="0" collapsed="false">
      <c r="A347" s="18"/>
      <c r="B347" s="16"/>
      <c r="C347" s="16"/>
      <c r="D347" s="51" t="str">
        <f aca="false">IF(C347="","",IFERROR(IF(LEFT(C347,1)="L",INDEX('Leads Pipeline'!$F$5:$F$1004,MATCH(C347,'Leads Pipeline'!$A$5:$A$1004,0)),INDEX('Active Clients'!$D$5:$D$504,MATCH(C347,'Active Clients'!$A$5:$A$504,0)))&amp;"","ID not found"))</f>
        <v/>
      </c>
      <c r="E347" s="51" t="str">
        <f aca="false">IF(C347="","",IFERROR(IF(LEFT(C347,1)="L",INDEX('Leads Pipeline'!$D$5:$D$1004,MATCH(C347,'Leads Pipeline'!$A$5:$A$1004,0)),INDEX('Active Clients'!$B$5:$B$504,MATCH(C347,'Active Clients'!$A$5:$A$504,0)))&amp;"","ID not found"))</f>
        <v/>
      </c>
      <c r="F347" s="51" t="str">
        <f aca="false">IF(C347="","",IFERROR(IF(LEFT(C347,1)="L",INDEX('Leads Pipeline'!$E$5:$E$1004,MATCH(C347,'Leads Pipeline'!$A$5:$A$1004,0)),INDEX('Active Clients'!$C$5:$C$504,MATCH(C347,'Active Clients'!$A$5:$A$504,0)))&amp;"","ID not found"))</f>
        <v/>
      </c>
      <c r="G347" s="16"/>
      <c r="H347" s="16"/>
      <c r="I347" s="16"/>
      <c r="J347" s="16"/>
      <c r="K347" s="16"/>
      <c r="L347" s="18"/>
    </row>
    <row r="348" customFormat="false" ht="15" hidden="false" customHeight="false" outlineLevel="0" collapsed="false">
      <c r="A348" s="18"/>
      <c r="B348" s="16"/>
      <c r="C348" s="16"/>
      <c r="D348" s="51" t="str">
        <f aca="false">IF(C348="","",IFERROR(IF(LEFT(C348,1)="L",INDEX('Leads Pipeline'!$F$5:$F$1004,MATCH(C348,'Leads Pipeline'!$A$5:$A$1004,0)),INDEX('Active Clients'!$D$5:$D$504,MATCH(C348,'Active Clients'!$A$5:$A$504,0)))&amp;"","ID not found"))</f>
        <v/>
      </c>
      <c r="E348" s="51" t="str">
        <f aca="false">IF(C348="","",IFERROR(IF(LEFT(C348,1)="L",INDEX('Leads Pipeline'!$D$5:$D$1004,MATCH(C348,'Leads Pipeline'!$A$5:$A$1004,0)),INDEX('Active Clients'!$B$5:$B$504,MATCH(C348,'Active Clients'!$A$5:$A$504,0)))&amp;"","ID not found"))</f>
        <v/>
      </c>
      <c r="F348" s="51" t="str">
        <f aca="false">IF(C348="","",IFERROR(IF(LEFT(C348,1)="L",INDEX('Leads Pipeline'!$E$5:$E$1004,MATCH(C348,'Leads Pipeline'!$A$5:$A$1004,0)),INDEX('Active Clients'!$C$5:$C$504,MATCH(C348,'Active Clients'!$A$5:$A$504,0)))&amp;"","ID not found"))</f>
        <v/>
      </c>
      <c r="G348" s="16"/>
      <c r="H348" s="16"/>
      <c r="I348" s="16"/>
      <c r="J348" s="16"/>
      <c r="K348" s="16"/>
      <c r="L348" s="18"/>
    </row>
    <row r="349" customFormat="false" ht="15" hidden="false" customHeight="false" outlineLevel="0" collapsed="false">
      <c r="A349" s="18"/>
      <c r="B349" s="16"/>
      <c r="C349" s="16"/>
      <c r="D349" s="51" t="str">
        <f aca="false">IF(C349="","",IFERROR(IF(LEFT(C349,1)="L",INDEX('Leads Pipeline'!$F$5:$F$1004,MATCH(C349,'Leads Pipeline'!$A$5:$A$1004,0)),INDEX('Active Clients'!$D$5:$D$504,MATCH(C349,'Active Clients'!$A$5:$A$504,0)))&amp;"","ID not found"))</f>
        <v/>
      </c>
      <c r="E349" s="51" t="str">
        <f aca="false">IF(C349="","",IFERROR(IF(LEFT(C349,1)="L",INDEX('Leads Pipeline'!$D$5:$D$1004,MATCH(C349,'Leads Pipeline'!$A$5:$A$1004,0)),INDEX('Active Clients'!$B$5:$B$504,MATCH(C349,'Active Clients'!$A$5:$A$504,0)))&amp;"","ID not found"))</f>
        <v/>
      </c>
      <c r="F349" s="51" t="str">
        <f aca="false">IF(C349="","",IFERROR(IF(LEFT(C349,1)="L",INDEX('Leads Pipeline'!$E$5:$E$1004,MATCH(C349,'Leads Pipeline'!$A$5:$A$1004,0)),INDEX('Active Clients'!$C$5:$C$504,MATCH(C349,'Active Clients'!$A$5:$A$504,0)))&amp;"","ID not found"))</f>
        <v/>
      </c>
      <c r="G349" s="16"/>
      <c r="H349" s="16"/>
      <c r="I349" s="16"/>
      <c r="J349" s="16"/>
      <c r="K349" s="16"/>
      <c r="L349" s="18"/>
    </row>
    <row r="350" customFormat="false" ht="15" hidden="false" customHeight="false" outlineLevel="0" collapsed="false">
      <c r="A350" s="18"/>
      <c r="B350" s="16"/>
      <c r="C350" s="16"/>
      <c r="D350" s="51" t="str">
        <f aca="false">IF(C350="","",IFERROR(IF(LEFT(C350,1)="L",INDEX('Leads Pipeline'!$F$5:$F$1004,MATCH(C350,'Leads Pipeline'!$A$5:$A$1004,0)),INDEX('Active Clients'!$D$5:$D$504,MATCH(C350,'Active Clients'!$A$5:$A$504,0)))&amp;"","ID not found"))</f>
        <v/>
      </c>
      <c r="E350" s="51" t="str">
        <f aca="false">IF(C350="","",IFERROR(IF(LEFT(C350,1)="L",INDEX('Leads Pipeline'!$D$5:$D$1004,MATCH(C350,'Leads Pipeline'!$A$5:$A$1004,0)),INDEX('Active Clients'!$B$5:$B$504,MATCH(C350,'Active Clients'!$A$5:$A$504,0)))&amp;"","ID not found"))</f>
        <v/>
      </c>
      <c r="F350" s="51" t="str">
        <f aca="false">IF(C350="","",IFERROR(IF(LEFT(C350,1)="L",INDEX('Leads Pipeline'!$E$5:$E$1004,MATCH(C350,'Leads Pipeline'!$A$5:$A$1004,0)),INDEX('Active Clients'!$C$5:$C$504,MATCH(C350,'Active Clients'!$A$5:$A$504,0)))&amp;"","ID not found"))</f>
        <v/>
      </c>
      <c r="G350" s="16"/>
      <c r="H350" s="16"/>
      <c r="I350" s="16"/>
      <c r="J350" s="16"/>
      <c r="K350" s="16"/>
      <c r="L350" s="18"/>
    </row>
    <row r="351" customFormat="false" ht="15" hidden="false" customHeight="false" outlineLevel="0" collapsed="false">
      <c r="A351" s="18"/>
      <c r="B351" s="16"/>
      <c r="C351" s="16"/>
      <c r="D351" s="51" t="str">
        <f aca="false">IF(C351="","",IFERROR(IF(LEFT(C351,1)="L",INDEX('Leads Pipeline'!$F$5:$F$1004,MATCH(C351,'Leads Pipeline'!$A$5:$A$1004,0)),INDEX('Active Clients'!$D$5:$D$504,MATCH(C351,'Active Clients'!$A$5:$A$504,0)))&amp;"","ID not found"))</f>
        <v/>
      </c>
      <c r="E351" s="51" t="str">
        <f aca="false">IF(C351="","",IFERROR(IF(LEFT(C351,1)="L",INDEX('Leads Pipeline'!$D$5:$D$1004,MATCH(C351,'Leads Pipeline'!$A$5:$A$1004,0)),INDEX('Active Clients'!$B$5:$B$504,MATCH(C351,'Active Clients'!$A$5:$A$504,0)))&amp;"","ID not found"))</f>
        <v/>
      </c>
      <c r="F351" s="51" t="str">
        <f aca="false">IF(C351="","",IFERROR(IF(LEFT(C351,1)="L",INDEX('Leads Pipeline'!$E$5:$E$1004,MATCH(C351,'Leads Pipeline'!$A$5:$A$1004,0)),INDEX('Active Clients'!$C$5:$C$504,MATCH(C351,'Active Clients'!$A$5:$A$504,0)))&amp;"","ID not found"))</f>
        <v/>
      </c>
      <c r="G351" s="16"/>
      <c r="H351" s="16"/>
      <c r="I351" s="16"/>
      <c r="J351" s="16"/>
      <c r="K351" s="16"/>
      <c r="L351" s="18"/>
    </row>
    <row r="352" customFormat="false" ht="15" hidden="false" customHeight="false" outlineLevel="0" collapsed="false">
      <c r="A352" s="18"/>
      <c r="B352" s="16"/>
      <c r="C352" s="16"/>
      <c r="D352" s="51" t="str">
        <f aca="false">IF(C352="","",IFERROR(IF(LEFT(C352,1)="L",INDEX('Leads Pipeline'!$F$5:$F$1004,MATCH(C352,'Leads Pipeline'!$A$5:$A$1004,0)),INDEX('Active Clients'!$D$5:$D$504,MATCH(C352,'Active Clients'!$A$5:$A$504,0)))&amp;"","ID not found"))</f>
        <v/>
      </c>
      <c r="E352" s="51" t="str">
        <f aca="false">IF(C352="","",IFERROR(IF(LEFT(C352,1)="L",INDEX('Leads Pipeline'!$D$5:$D$1004,MATCH(C352,'Leads Pipeline'!$A$5:$A$1004,0)),INDEX('Active Clients'!$B$5:$B$504,MATCH(C352,'Active Clients'!$A$5:$A$504,0)))&amp;"","ID not found"))</f>
        <v/>
      </c>
      <c r="F352" s="51" t="str">
        <f aca="false">IF(C352="","",IFERROR(IF(LEFT(C352,1)="L",INDEX('Leads Pipeline'!$E$5:$E$1004,MATCH(C352,'Leads Pipeline'!$A$5:$A$1004,0)),INDEX('Active Clients'!$C$5:$C$504,MATCH(C352,'Active Clients'!$A$5:$A$504,0)))&amp;"","ID not found"))</f>
        <v/>
      </c>
      <c r="G352" s="16"/>
      <c r="H352" s="16"/>
      <c r="I352" s="16"/>
      <c r="J352" s="16"/>
      <c r="K352" s="16"/>
      <c r="L352" s="18"/>
    </row>
    <row r="353" customFormat="false" ht="15" hidden="false" customHeight="false" outlineLevel="0" collapsed="false">
      <c r="A353" s="18"/>
      <c r="B353" s="16"/>
      <c r="C353" s="16"/>
      <c r="D353" s="51" t="str">
        <f aca="false">IF(C353="","",IFERROR(IF(LEFT(C353,1)="L",INDEX('Leads Pipeline'!$F$5:$F$1004,MATCH(C353,'Leads Pipeline'!$A$5:$A$1004,0)),INDEX('Active Clients'!$D$5:$D$504,MATCH(C353,'Active Clients'!$A$5:$A$504,0)))&amp;"","ID not found"))</f>
        <v/>
      </c>
      <c r="E353" s="51" t="str">
        <f aca="false">IF(C353="","",IFERROR(IF(LEFT(C353,1)="L",INDEX('Leads Pipeline'!$D$5:$D$1004,MATCH(C353,'Leads Pipeline'!$A$5:$A$1004,0)),INDEX('Active Clients'!$B$5:$B$504,MATCH(C353,'Active Clients'!$A$5:$A$504,0)))&amp;"","ID not found"))</f>
        <v/>
      </c>
      <c r="F353" s="51" t="str">
        <f aca="false">IF(C353="","",IFERROR(IF(LEFT(C353,1)="L",INDEX('Leads Pipeline'!$E$5:$E$1004,MATCH(C353,'Leads Pipeline'!$A$5:$A$1004,0)),INDEX('Active Clients'!$C$5:$C$504,MATCH(C353,'Active Clients'!$A$5:$A$504,0)))&amp;"","ID not found"))</f>
        <v/>
      </c>
      <c r="G353" s="16"/>
      <c r="H353" s="16"/>
      <c r="I353" s="16"/>
      <c r="J353" s="16"/>
      <c r="K353" s="16"/>
      <c r="L353" s="18"/>
    </row>
    <row r="354" customFormat="false" ht="15" hidden="false" customHeight="false" outlineLevel="0" collapsed="false">
      <c r="A354" s="18"/>
      <c r="B354" s="16"/>
      <c r="C354" s="16"/>
      <c r="D354" s="51" t="str">
        <f aca="false">IF(C354="","",IFERROR(IF(LEFT(C354,1)="L",INDEX('Leads Pipeline'!$F$5:$F$1004,MATCH(C354,'Leads Pipeline'!$A$5:$A$1004,0)),INDEX('Active Clients'!$D$5:$D$504,MATCH(C354,'Active Clients'!$A$5:$A$504,0)))&amp;"","ID not found"))</f>
        <v/>
      </c>
      <c r="E354" s="51" t="str">
        <f aca="false">IF(C354="","",IFERROR(IF(LEFT(C354,1)="L",INDEX('Leads Pipeline'!$D$5:$D$1004,MATCH(C354,'Leads Pipeline'!$A$5:$A$1004,0)),INDEX('Active Clients'!$B$5:$B$504,MATCH(C354,'Active Clients'!$A$5:$A$504,0)))&amp;"","ID not found"))</f>
        <v/>
      </c>
      <c r="F354" s="51" t="str">
        <f aca="false">IF(C354="","",IFERROR(IF(LEFT(C354,1)="L",INDEX('Leads Pipeline'!$E$5:$E$1004,MATCH(C354,'Leads Pipeline'!$A$5:$A$1004,0)),INDEX('Active Clients'!$C$5:$C$504,MATCH(C354,'Active Clients'!$A$5:$A$504,0)))&amp;"","ID not found"))</f>
        <v/>
      </c>
      <c r="G354" s="16"/>
      <c r="H354" s="16"/>
      <c r="I354" s="16"/>
      <c r="J354" s="16"/>
      <c r="K354" s="16"/>
      <c r="L354" s="18"/>
    </row>
    <row r="355" customFormat="false" ht="15" hidden="false" customHeight="false" outlineLevel="0" collapsed="false">
      <c r="A355" s="18"/>
      <c r="B355" s="16"/>
      <c r="C355" s="16"/>
      <c r="D355" s="51" t="str">
        <f aca="false">IF(C355="","",IFERROR(IF(LEFT(C355,1)="L",INDEX('Leads Pipeline'!$F$5:$F$1004,MATCH(C355,'Leads Pipeline'!$A$5:$A$1004,0)),INDEX('Active Clients'!$D$5:$D$504,MATCH(C355,'Active Clients'!$A$5:$A$504,0)))&amp;"","ID not found"))</f>
        <v/>
      </c>
      <c r="E355" s="51" t="str">
        <f aca="false">IF(C355="","",IFERROR(IF(LEFT(C355,1)="L",INDEX('Leads Pipeline'!$D$5:$D$1004,MATCH(C355,'Leads Pipeline'!$A$5:$A$1004,0)),INDEX('Active Clients'!$B$5:$B$504,MATCH(C355,'Active Clients'!$A$5:$A$504,0)))&amp;"","ID not found"))</f>
        <v/>
      </c>
      <c r="F355" s="51" t="str">
        <f aca="false">IF(C355="","",IFERROR(IF(LEFT(C355,1)="L",INDEX('Leads Pipeline'!$E$5:$E$1004,MATCH(C355,'Leads Pipeline'!$A$5:$A$1004,0)),INDEX('Active Clients'!$C$5:$C$504,MATCH(C355,'Active Clients'!$A$5:$A$504,0)))&amp;"","ID not found"))</f>
        <v/>
      </c>
      <c r="G355" s="16"/>
      <c r="H355" s="16"/>
      <c r="I355" s="16"/>
      <c r="J355" s="16"/>
      <c r="K355" s="16"/>
      <c r="L355" s="18"/>
    </row>
    <row r="356" customFormat="false" ht="15" hidden="false" customHeight="false" outlineLevel="0" collapsed="false">
      <c r="A356" s="18"/>
      <c r="B356" s="16"/>
      <c r="C356" s="16"/>
      <c r="D356" s="51" t="str">
        <f aca="false">IF(C356="","",IFERROR(IF(LEFT(C356,1)="L",INDEX('Leads Pipeline'!$F$5:$F$1004,MATCH(C356,'Leads Pipeline'!$A$5:$A$1004,0)),INDEX('Active Clients'!$D$5:$D$504,MATCH(C356,'Active Clients'!$A$5:$A$504,0)))&amp;"","ID not found"))</f>
        <v/>
      </c>
      <c r="E356" s="51" t="str">
        <f aca="false">IF(C356="","",IFERROR(IF(LEFT(C356,1)="L",INDEX('Leads Pipeline'!$D$5:$D$1004,MATCH(C356,'Leads Pipeline'!$A$5:$A$1004,0)),INDEX('Active Clients'!$B$5:$B$504,MATCH(C356,'Active Clients'!$A$5:$A$504,0)))&amp;"","ID not found"))</f>
        <v/>
      </c>
      <c r="F356" s="51" t="str">
        <f aca="false">IF(C356="","",IFERROR(IF(LEFT(C356,1)="L",INDEX('Leads Pipeline'!$E$5:$E$1004,MATCH(C356,'Leads Pipeline'!$A$5:$A$1004,0)),INDEX('Active Clients'!$C$5:$C$504,MATCH(C356,'Active Clients'!$A$5:$A$504,0)))&amp;"","ID not found"))</f>
        <v/>
      </c>
      <c r="G356" s="16"/>
      <c r="H356" s="16"/>
      <c r="I356" s="16"/>
      <c r="J356" s="16"/>
      <c r="K356" s="16"/>
      <c r="L356" s="18"/>
    </row>
    <row r="357" customFormat="false" ht="15" hidden="false" customHeight="false" outlineLevel="0" collapsed="false">
      <c r="A357" s="18"/>
      <c r="B357" s="16"/>
      <c r="C357" s="16"/>
      <c r="D357" s="51" t="str">
        <f aca="false">IF(C357="","",IFERROR(IF(LEFT(C357,1)="L",INDEX('Leads Pipeline'!$F$5:$F$1004,MATCH(C357,'Leads Pipeline'!$A$5:$A$1004,0)),INDEX('Active Clients'!$D$5:$D$504,MATCH(C357,'Active Clients'!$A$5:$A$504,0)))&amp;"","ID not found"))</f>
        <v/>
      </c>
      <c r="E357" s="51" t="str">
        <f aca="false">IF(C357="","",IFERROR(IF(LEFT(C357,1)="L",INDEX('Leads Pipeline'!$D$5:$D$1004,MATCH(C357,'Leads Pipeline'!$A$5:$A$1004,0)),INDEX('Active Clients'!$B$5:$B$504,MATCH(C357,'Active Clients'!$A$5:$A$504,0)))&amp;"","ID not found"))</f>
        <v/>
      </c>
      <c r="F357" s="51" t="str">
        <f aca="false">IF(C357="","",IFERROR(IF(LEFT(C357,1)="L",INDEX('Leads Pipeline'!$E$5:$E$1004,MATCH(C357,'Leads Pipeline'!$A$5:$A$1004,0)),INDEX('Active Clients'!$C$5:$C$504,MATCH(C357,'Active Clients'!$A$5:$A$504,0)))&amp;"","ID not found"))</f>
        <v/>
      </c>
      <c r="G357" s="16"/>
      <c r="H357" s="16"/>
      <c r="I357" s="16"/>
      <c r="J357" s="16"/>
      <c r="K357" s="16"/>
      <c r="L357" s="18"/>
    </row>
    <row r="358" customFormat="false" ht="15" hidden="false" customHeight="false" outlineLevel="0" collapsed="false">
      <c r="A358" s="18"/>
      <c r="B358" s="16"/>
      <c r="C358" s="16"/>
      <c r="D358" s="51" t="str">
        <f aca="false">IF(C358="","",IFERROR(IF(LEFT(C358,1)="L",INDEX('Leads Pipeline'!$F$5:$F$1004,MATCH(C358,'Leads Pipeline'!$A$5:$A$1004,0)),INDEX('Active Clients'!$D$5:$D$504,MATCH(C358,'Active Clients'!$A$5:$A$504,0)))&amp;"","ID not found"))</f>
        <v/>
      </c>
      <c r="E358" s="51" t="str">
        <f aca="false">IF(C358="","",IFERROR(IF(LEFT(C358,1)="L",INDEX('Leads Pipeline'!$D$5:$D$1004,MATCH(C358,'Leads Pipeline'!$A$5:$A$1004,0)),INDEX('Active Clients'!$B$5:$B$504,MATCH(C358,'Active Clients'!$A$5:$A$504,0)))&amp;"","ID not found"))</f>
        <v/>
      </c>
      <c r="F358" s="51" t="str">
        <f aca="false">IF(C358="","",IFERROR(IF(LEFT(C358,1)="L",INDEX('Leads Pipeline'!$E$5:$E$1004,MATCH(C358,'Leads Pipeline'!$A$5:$A$1004,0)),INDEX('Active Clients'!$C$5:$C$504,MATCH(C358,'Active Clients'!$A$5:$A$504,0)))&amp;"","ID not found"))</f>
        <v/>
      </c>
      <c r="G358" s="16"/>
      <c r="H358" s="16"/>
      <c r="I358" s="16"/>
      <c r="J358" s="16"/>
      <c r="K358" s="16"/>
      <c r="L358" s="18"/>
    </row>
    <row r="359" customFormat="false" ht="15" hidden="false" customHeight="false" outlineLevel="0" collapsed="false">
      <c r="A359" s="18"/>
      <c r="B359" s="16"/>
      <c r="C359" s="16"/>
      <c r="D359" s="51" t="str">
        <f aca="false">IF(C359="","",IFERROR(IF(LEFT(C359,1)="L",INDEX('Leads Pipeline'!$F$5:$F$1004,MATCH(C359,'Leads Pipeline'!$A$5:$A$1004,0)),INDEX('Active Clients'!$D$5:$D$504,MATCH(C359,'Active Clients'!$A$5:$A$504,0)))&amp;"","ID not found"))</f>
        <v/>
      </c>
      <c r="E359" s="51" t="str">
        <f aca="false">IF(C359="","",IFERROR(IF(LEFT(C359,1)="L",INDEX('Leads Pipeline'!$D$5:$D$1004,MATCH(C359,'Leads Pipeline'!$A$5:$A$1004,0)),INDEX('Active Clients'!$B$5:$B$504,MATCH(C359,'Active Clients'!$A$5:$A$504,0)))&amp;"","ID not found"))</f>
        <v/>
      </c>
      <c r="F359" s="51" t="str">
        <f aca="false">IF(C359="","",IFERROR(IF(LEFT(C359,1)="L",INDEX('Leads Pipeline'!$E$5:$E$1004,MATCH(C359,'Leads Pipeline'!$A$5:$A$1004,0)),INDEX('Active Clients'!$C$5:$C$504,MATCH(C359,'Active Clients'!$A$5:$A$504,0)))&amp;"","ID not found"))</f>
        <v/>
      </c>
      <c r="G359" s="16"/>
      <c r="H359" s="16"/>
      <c r="I359" s="16"/>
      <c r="J359" s="16"/>
      <c r="K359" s="16"/>
      <c r="L359" s="18"/>
    </row>
    <row r="360" customFormat="false" ht="15" hidden="false" customHeight="false" outlineLevel="0" collapsed="false">
      <c r="A360" s="18"/>
      <c r="B360" s="16"/>
      <c r="C360" s="16"/>
      <c r="D360" s="51" t="str">
        <f aca="false">IF(C360="","",IFERROR(IF(LEFT(C360,1)="L",INDEX('Leads Pipeline'!$F$5:$F$1004,MATCH(C360,'Leads Pipeline'!$A$5:$A$1004,0)),INDEX('Active Clients'!$D$5:$D$504,MATCH(C360,'Active Clients'!$A$5:$A$504,0)))&amp;"","ID not found"))</f>
        <v/>
      </c>
      <c r="E360" s="51" t="str">
        <f aca="false">IF(C360="","",IFERROR(IF(LEFT(C360,1)="L",INDEX('Leads Pipeline'!$D$5:$D$1004,MATCH(C360,'Leads Pipeline'!$A$5:$A$1004,0)),INDEX('Active Clients'!$B$5:$B$504,MATCH(C360,'Active Clients'!$A$5:$A$504,0)))&amp;"","ID not found"))</f>
        <v/>
      </c>
      <c r="F360" s="51" t="str">
        <f aca="false">IF(C360="","",IFERROR(IF(LEFT(C360,1)="L",INDEX('Leads Pipeline'!$E$5:$E$1004,MATCH(C360,'Leads Pipeline'!$A$5:$A$1004,0)),INDEX('Active Clients'!$C$5:$C$504,MATCH(C360,'Active Clients'!$A$5:$A$504,0)))&amp;"","ID not found"))</f>
        <v/>
      </c>
      <c r="G360" s="16"/>
      <c r="H360" s="16"/>
      <c r="I360" s="16"/>
      <c r="J360" s="16"/>
      <c r="K360" s="16"/>
      <c r="L360" s="18"/>
    </row>
    <row r="361" customFormat="false" ht="15" hidden="false" customHeight="false" outlineLevel="0" collapsed="false">
      <c r="A361" s="18"/>
      <c r="B361" s="16"/>
      <c r="C361" s="16"/>
      <c r="D361" s="51" t="str">
        <f aca="false">IF(C361="","",IFERROR(IF(LEFT(C361,1)="L",INDEX('Leads Pipeline'!$F$5:$F$1004,MATCH(C361,'Leads Pipeline'!$A$5:$A$1004,0)),INDEX('Active Clients'!$D$5:$D$504,MATCH(C361,'Active Clients'!$A$5:$A$504,0)))&amp;"","ID not found"))</f>
        <v/>
      </c>
      <c r="E361" s="51" t="str">
        <f aca="false">IF(C361="","",IFERROR(IF(LEFT(C361,1)="L",INDEX('Leads Pipeline'!$D$5:$D$1004,MATCH(C361,'Leads Pipeline'!$A$5:$A$1004,0)),INDEX('Active Clients'!$B$5:$B$504,MATCH(C361,'Active Clients'!$A$5:$A$504,0)))&amp;"","ID not found"))</f>
        <v/>
      </c>
      <c r="F361" s="51" t="str">
        <f aca="false">IF(C361="","",IFERROR(IF(LEFT(C361,1)="L",INDEX('Leads Pipeline'!$E$5:$E$1004,MATCH(C361,'Leads Pipeline'!$A$5:$A$1004,0)),INDEX('Active Clients'!$C$5:$C$504,MATCH(C361,'Active Clients'!$A$5:$A$504,0)))&amp;"","ID not found"))</f>
        <v/>
      </c>
      <c r="G361" s="16"/>
      <c r="H361" s="16"/>
      <c r="I361" s="16"/>
      <c r="J361" s="16"/>
      <c r="K361" s="16"/>
      <c r="L361" s="18"/>
    </row>
    <row r="362" customFormat="false" ht="15" hidden="false" customHeight="false" outlineLevel="0" collapsed="false">
      <c r="A362" s="18"/>
      <c r="B362" s="16"/>
      <c r="C362" s="16"/>
      <c r="D362" s="51" t="str">
        <f aca="false">IF(C362="","",IFERROR(IF(LEFT(C362,1)="L",INDEX('Leads Pipeline'!$F$5:$F$1004,MATCH(C362,'Leads Pipeline'!$A$5:$A$1004,0)),INDEX('Active Clients'!$D$5:$D$504,MATCH(C362,'Active Clients'!$A$5:$A$504,0)))&amp;"","ID not found"))</f>
        <v/>
      </c>
      <c r="E362" s="51" t="str">
        <f aca="false">IF(C362="","",IFERROR(IF(LEFT(C362,1)="L",INDEX('Leads Pipeline'!$D$5:$D$1004,MATCH(C362,'Leads Pipeline'!$A$5:$A$1004,0)),INDEX('Active Clients'!$B$5:$B$504,MATCH(C362,'Active Clients'!$A$5:$A$504,0)))&amp;"","ID not found"))</f>
        <v/>
      </c>
      <c r="F362" s="51" t="str">
        <f aca="false">IF(C362="","",IFERROR(IF(LEFT(C362,1)="L",INDEX('Leads Pipeline'!$E$5:$E$1004,MATCH(C362,'Leads Pipeline'!$A$5:$A$1004,0)),INDEX('Active Clients'!$C$5:$C$504,MATCH(C362,'Active Clients'!$A$5:$A$504,0)))&amp;"","ID not found"))</f>
        <v/>
      </c>
      <c r="G362" s="16"/>
      <c r="H362" s="16"/>
      <c r="I362" s="16"/>
      <c r="J362" s="16"/>
      <c r="K362" s="16"/>
      <c r="L362" s="18"/>
    </row>
    <row r="363" customFormat="false" ht="15" hidden="false" customHeight="false" outlineLevel="0" collapsed="false">
      <c r="A363" s="18"/>
      <c r="B363" s="16"/>
      <c r="C363" s="16"/>
      <c r="D363" s="51" t="str">
        <f aca="false">IF(C363="","",IFERROR(IF(LEFT(C363,1)="L",INDEX('Leads Pipeline'!$F$5:$F$1004,MATCH(C363,'Leads Pipeline'!$A$5:$A$1004,0)),INDEX('Active Clients'!$D$5:$D$504,MATCH(C363,'Active Clients'!$A$5:$A$504,0)))&amp;"","ID not found"))</f>
        <v/>
      </c>
      <c r="E363" s="51" t="str">
        <f aca="false">IF(C363="","",IFERROR(IF(LEFT(C363,1)="L",INDEX('Leads Pipeline'!$D$5:$D$1004,MATCH(C363,'Leads Pipeline'!$A$5:$A$1004,0)),INDEX('Active Clients'!$B$5:$B$504,MATCH(C363,'Active Clients'!$A$5:$A$504,0)))&amp;"","ID not found"))</f>
        <v/>
      </c>
      <c r="F363" s="51" t="str">
        <f aca="false">IF(C363="","",IFERROR(IF(LEFT(C363,1)="L",INDEX('Leads Pipeline'!$E$5:$E$1004,MATCH(C363,'Leads Pipeline'!$A$5:$A$1004,0)),INDEX('Active Clients'!$C$5:$C$504,MATCH(C363,'Active Clients'!$A$5:$A$504,0)))&amp;"","ID not found"))</f>
        <v/>
      </c>
      <c r="G363" s="16"/>
      <c r="H363" s="16"/>
      <c r="I363" s="16"/>
      <c r="J363" s="16"/>
      <c r="K363" s="16"/>
      <c r="L363" s="18"/>
    </row>
    <row r="364" customFormat="false" ht="15" hidden="false" customHeight="false" outlineLevel="0" collapsed="false">
      <c r="A364" s="18"/>
      <c r="B364" s="16"/>
      <c r="C364" s="16"/>
      <c r="D364" s="51" t="str">
        <f aca="false">IF(C364="","",IFERROR(IF(LEFT(C364,1)="L",INDEX('Leads Pipeline'!$F$5:$F$1004,MATCH(C364,'Leads Pipeline'!$A$5:$A$1004,0)),INDEX('Active Clients'!$D$5:$D$504,MATCH(C364,'Active Clients'!$A$5:$A$504,0)))&amp;"","ID not found"))</f>
        <v/>
      </c>
      <c r="E364" s="51" t="str">
        <f aca="false">IF(C364="","",IFERROR(IF(LEFT(C364,1)="L",INDEX('Leads Pipeline'!$D$5:$D$1004,MATCH(C364,'Leads Pipeline'!$A$5:$A$1004,0)),INDEX('Active Clients'!$B$5:$B$504,MATCH(C364,'Active Clients'!$A$5:$A$504,0)))&amp;"","ID not found"))</f>
        <v/>
      </c>
      <c r="F364" s="51" t="str">
        <f aca="false">IF(C364="","",IFERROR(IF(LEFT(C364,1)="L",INDEX('Leads Pipeline'!$E$5:$E$1004,MATCH(C364,'Leads Pipeline'!$A$5:$A$1004,0)),INDEX('Active Clients'!$C$5:$C$504,MATCH(C364,'Active Clients'!$A$5:$A$504,0)))&amp;"","ID not found"))</f>
        <v/>
      </c>
      <c r="G364" s="16"/>
      <c r="H364" s="16"/>
      <c r="I364" s="16"/>
      <c r="J364" s="16"/>
      <c r="K364" s="16"/>
      <c r="L364" s="18"/>
    </row>
    <row r="365" customFormat="false" ht="15" hidden="false" customHeight="false" outlineLevel="0" collapsed="false">
      <c r="A365" s="18"/>
      <c r="B365" s="16"/>
      <c r="C365" s="16"/>
      <c r="D365" s="51" t="str">
        <f aca="false">IF(C365="","",IFERROR(IF(LEFT(C365,1)="L",INDEX('Leads Pipeline'!$F$5:$F$1004,MATCH(C365,'Leads Pipeline'!$A$5:$A$1004,0)),INDEX('Active Clients'!$D$5:$D$504,MATCH(C365,'Active Clients'!$A$5:$A$504,0)))&amp;"","ID not found"))</f>
        <v/>
      </c>
      <c r="E365" s="51" t="str">
        <f aca="false">IF(C365="","",IFERROR(IF(LEFT(C365,1)="L",INDEX('Leads Pipeline'!$D$5:$D$1004,MATCH(C365,'Leads Pipeline'!$A$5:$A$1004,0)),INDEX('Active Clients'!$B$5:$B$504,MATCH(C365,'Active Clients'!$A$5:$A$504,0)))&amp;"","ID not found"))</f>
        <v/>
      </c>
      <c r="F365" s="51" t="str">
        <f aca="false">IF(C365="","",IFERROR(IF(LEFT(C365,1)="L",INDEX('Leads Pipeline'!$E$5:$E$1004,MATCH(C365,'Leads Pipeline'!$A$5:$A$1004,0)),INDEX('Active Clients'!$C$5:$C$504,MATCH(C365,'Active Clients'!$A$5:$A$504,0)))&amp;"","ID not found"))</f>
        <v/>
      </c>
      <c r="G365" s="16"/>
      <c r="H365" s="16"/>
      <c r="I365" s="16"/>
      <c r="J365" s="16"/>
      <c r="K365" s="16"/>
      <c r="L365" s="18"/>
    </row>
    <row r="366" customFormat="false" ht="15" hidden="false" customHeight="false" outlineLevel="0" collapsed="false">
      <c r="A366" s="18"/>
      <c r="B366" s="16"/>
      <c r="C366" s="16"/>
      <c r="D366" s="51" t="str">
        <f aca="false">IF(C366="","",IFERROR(IF(LEFT(C366,1)="L",INDEX('Leads Pipeline'!$F$5:$F$1004,MATCH(C366,'Leads Pipeline'!$A$5:$A$1004,0)),INDEX('Active Clients'!$D$5:$D$504,MATCH(C366,'Active Clients'!$A$5:$A$504,0)))&amp;"","ID not found"))</f>
        <v/>
      </c>
      <c r="E366" s="51" t="str">
        <f aca="false">IF(C366="","",IFERROR(IF(LEFT(C366,1)="L",INDEX('Leads Pipeline'!$D$5:$D$1004,MATCH(C366,'Leads Pipeline'!$A$5:$A$1004,0)),INDEX('Active Clients'!$B$5:$B$504,MATCH(C366,'Active Clients'!$A$5:$A$504,0)))&amp;"","ID not found"))</f>
        <v/>
      </c>
      <c r="F366" s="51" t="str">
        <f aca="false">IF(C366="","",IFERROR(IF(LEFT(C366,1)="L",INDEX('Leads Pipeline'!$E$5:$E$1004,MATCH(C366,'Leads Pipeline'!$A$5:$A$1004,0)),INDEX('Active Clients'!$C$5:$C$504,MATCH(C366,'Active Clients'!$A$5:$A$504,0)))&amp;"","ID not found"))</f>
        <v/>
      </c>
      <c r="G366" s="16"/>
      <c r="H366" s="16"/>
      <c r="I366" s="16"/>
      <c r="J366" s="16"/>
      <c r="K366" s="16"/>
      <c r="L366" s="18"/>
    </row>
    <row r="367" customFormat="false" ht="15" hidden="false" customHeight="false" outlineLevel="0" collapsed="false">
      <c r="A367" s="18"/>
      <c r="B367" s="16"/>
      <c r="C367" s="16"/>
      <c r="D367" s="51" t="str">
        <f aca="false">IF(C367="","",IFERROR(IF(LEFT(C367,1)="L",INDEX('Leads Pipeline'!$F$5:$F$1004,MATCH(C367,'Leads Pipeline'!$A$5:$A$1004,0)),INDEX('Active Clients'!$D$5:$D$504,MATCH(C367,'Active Clients'!$A$5:$A$504,0)))&amp;"","ID not found"))</f>
        <v/>
      </c>
      <c r="E367" s="51" t="str">
        <f aca="false">IF(C367="","",IFERROR(IF(LEFT(C367,1)="L",INDEX('Leads Pipeline'!$D$5:$D$1004,MATCH(C367,'Leads Pipeline'!$A$5:$A$1004,0)),INDEX('Active Clients'!$B$5:$B$504,MATCH(C367,'Active Clients'!$A$5:$A$504,0)))&amp;"","ID not found"))</f>
        <v/>
      </c>
      <c r="F367" s="51" t="str">
        <f aca="false">IF(C367="","",IFERROR(IF(LEFT(C367,1)="L",INDEX('Leads Pipeline'!$E$5:$E$1004,MATCH(C367,'Leads Pipeline'!$A$5:$A$1004,0)),INDEX('Active Clients'!$C$5:$C$504,MATCH(C367,'Active Clients'!$A$5:$A$504,0)))&amp;"","ID not found"))</f>
        <v/>
      </c>
      <c r="G367" s="16"/>
      <c r="H367" s="16"/>
      <c r="I367" s="16"/>
      <c r="J367" s="16"/>
      <c r="K367" s="16"/>
      <c r="L367" s="18"/>
    </row>
    <row r="368" customFormat="false" ht="15" hidden="false" customHeight="false" outlineLevel="0" collapsed="false">
      <c r="A368" s="18"/>
      <c r="B368" s="16"/>
      <c r="C368" s="16"/>
      <c r="D368" s="51" t="str">
        <f aca="false">IF(C368="","",IFERROR(IF(LEFT(C368,1)="L",INDEX('Leads Pipeline'!$F$5:$F$1004,MATCH(C368,'Leads Pipeline'!$A$5:$A$1004,0)),INDEX('Active Clients'!$D$5:$D$504,MATCH(C368,'Active Clients'!$A$5:$A$504,0)))&amp;"","ID not found"))</f>
        <v/>
      </c>
      <c r="E368" s="51" t="str">
        <f aca="false">IF(C368="","",IFERROR(IF(LEFT(C368,1)="L",INDEX('Leads Pipeline'!$D$5:$D$1004,MATCH(C368,'Leads Pipeline'!$A$5:$A$1004,0)),INDEX('Active Clients'!$B$5:$B$504,MATCH(C368,'Active Clients'!$A$5:$A$504,0)))&amp;"","ID not found"))</f>
        <v/>
      </c>
      <c r="F368" s="51" t="str">
        <f aca="false">IF(C368="","",IFERROR(IF(LEFT(C368,1)="L",INDEX('Leads Pipeline'!$E$5:$E$1004,MATCH(C368,'Leads Pipeline'!$A$5:$A$1004,0)),INDEX('Active Clients'!$C$5:$C$504,MATCH(C368,'Active Clients'!$A$5:$A$504,0)))&amp;"","ID not found"))</f>
        <v/>
      </c>
      <c r="G368" s="16"/>
      <c r="H368" s="16"/>
      <c r="I368" s="16"/>
      <c r="J368" s="16"/>
      <c r="K368" s="16"/>
      <c r="L368" s="18"/>
    </row>
    <row r="369" customFormat="false" ht="15" hidden="false" customHeight="false" outlineLevel="0" collapsed="false">
      <c r="A369" s="18"/>
      <c r="B369" s="16"/>
      <c r="C369" s="16"/>
      <c r="D369" s="51" t="str">
        <f aca="false">IF(C369="","",IFERROR(IF(LEFT(C369,1)="L",INDEX('Leads Pipeline'!$F$5:$F$1004,MATCH(C369,'Leads Pipeline'!$A$5:$A$1004,0)),INDEX('Active Clients'!$D$5:$D$504,MATCH(C369,'Active Clients'!$A$5:$A$504,0)))&amp;"","ID not found"))</f>
        <v/>
      </c>
      <c r="E369" s="51" t="str">
        <f aca="false">IF(C369="","",IFERROR(IF(LEFT(C369,1)="L",INDEX('Leads Pipeline'!$D$5:$D$1004,MATCH(C369,'Leads Pipeline'!$A$5:$A$1004,0)),INDEX('Active Clients'!$B$5:$B$504,MATCH(C369,'Active Clients'!$A$5:$A$504,0)))&amp;"","ID not found"))</f>
        <v/>
      </c>
      <c r="F369" s="51" t="str">
        <f aca="false">IF(C369="","",IFERROR(IF(LEFT(C369,1)="L",INDEX('Leads Pipeline'!$E$5:$E$1004,MATCH(C369,'Leads Pipeline'!$A$5:$A$1004,0)),INDEX('Active Clients'!$C$5:$C$504,MATCH(C369,'Active Clients'!$A$5:$A$504,0)))&amp;"","ID not found"))</f>
        <v/>
      </c>
      <c r="G369" s="16"/>
      <c r="H369" s="16"/>
      <c r="I369" s="16"/>
      <c r="J369" s="16"/>
      <c r="K369" s="16"/>
      <c r="L369" s="18"/>
    </row>
    <row r="370" customFormat="false" ht="15" hidden="false" customHeight="false" outlineLevel="0" collapsed="false">
      <c r="A370" s="18"/>
      <c r="B370" s="16"/>
      <c r="C370" s="16"/>
      <c r="D370" s="51" t="str">
        <f aca="false">IF(C370="","",IFERROR(IF(LEFT(C370,1)="L",INDEX('Leads Pipeline'!$F$5:$F$1004,MATCH(C370,'Leads Pipeline'!$A$5:$A$1004,0)),INDEX('Active Clients'!$D$5:$D$504,MATCH(C370,'Active Clients'!$A$5:$A$504,0)))&amp;"","ID not found"))</f>
        <v/>
      </c>
      <c r="E370" s="51" t="str">
        <f aca="false">IF(C370="","",IFERROR(IF(LEFT(C370,1)="L",INDEX('Leads Pipeline'!$D$5:$D$1004,MATCH(C370,'Leads Pipeline'!$A$5:$A$1004,0)),INDEX('Active Clients'!$B$5:$B$504,MATCH(C370,'Active Clients'!$A$5:$A$504,0)))&amp;"","ID not found"))</f>
        <v/>
      </c>
      <c r="F370" s="51" t="str">
        <f aca="false">IF(C370="","",IFERROR(IF(LEFT(C370,1)="L",INDEX('Leads Pipeline'!$E$5:$E$1004,MATCH(C370,'Leads Pipeline'!$A$5:$A$1004,0)),INDEX('Active Clients'!$C$5:$C$504,MATCH(C370,'Active Clients'!$A$5:$A$504,0)))&amp;"","ID not found"))</f>
        <v/>
      </c>
      <c r="G370" s="16"/>
      <c r="H370" s="16"/>
      <c r="I370" s="16"/>
      <c r="J370" s="16"/>
      <c r="K370" s="16"/>
      <c r="L370" s="18"/>
    </row>
    <row r="371" customFormat="false" ht="15" hidden="false" customHeight="false" outlineLevel="0" collapsed="false">
      <c r="A371" s="18"/>
      <c r="B371" s="16"/>
      <c r="C371" s="16"/>
      <c r="D371" s="51" t="str">
        <f aca="false">IF(C371="","",IFERROR(IF(LEFT(C371,1)="L",INDEX('Leads Pipeline'!$F$5:$F$1004,MATCH(C371,'Leads Pipeline'!$A$5:$A$1004,0)),INDEX('Active Clients'!$D$5:$D$504,MATCH(C371,'Active Clients'!$A$5:$A$504,0)))&amp;"","ID not found"))</f>
        <v/>
      </c>
      <c r="E371" s="51" t="str">
        <f aca="false">IF(C371="","",IFERROR(IF(LEFT(C371,1)="L",INDEX('Leads Pipeline'!$D$5:$D$1004,MATCH(C371,'Leads Pipeline'!$A$5:$A$1004,0)),INDEX('Active Clients'!$B$5:$B$504,MATCH(C371,'Active Clients'!$A$5:$A$504,0)))&amp;"","ID not found"))</f>
        <v/>
      </c>
      <c r="F371" s="51" t="str">
        <f aca="false">IF(C371="","",IFERROR(IF(LEFT(C371,1)="L",INDEX('Leads Pipeline'!$E$5:$E$1004,MATCH(C371,'Leads Pipeline'!$A$5:$A$1004,0)),INDEX('Active Clients'!$C$5:$C$504,MATCH(C371,'Active Clients'!$A$5:$A$504,0)))&amp;"","ID not found"))</f>
        <v/>
      </c>
      <c r="G371" s="16"/>
      <c r="H371" s="16"/>
      <c r="I371" s="16"/>
      <c r="J371" s="16"/>
      <c r="K371" s="16"/>
      <c r="L371" s="18"/>
    </row>
    <row r="372" customFormat="false" ht="15" hidden="false" customHeight="false" outlineLevel="0" collapsed="false">
      <c r="A372" s="18"/>
      <c r="B372" s="16"/>
      <c r="C372" s="16"/>
      <c r="D372" s="51" t="str">
        <f aca="false">IF(C372="","",IFERROR(IF(LEFT(C372,1)="L",INDEX('Leads Pipeline'!$F$5:$F$1004,MATCH(C372,'Leads Pipeline'!$A$5:$A$1004,0)),INDEX('Active Clients'!$D$5:$D$504,MATCH(C372,'Active Clients'!$A$5:$A$504,0)))&amp;"","ID not found"))</f>
        <v/>
      </c>
      <c r="E372" s="51" t="str">
        <f aca="false">IF(C372="","",IFERROR(IF(LEFT(C372,1)="L",INDEX('Leads Pipeline'!$D$5:$D$1004,MATCH(C372,'Leads Pipeline'!$A$5:$A$1004,0)),INDEX('Active Clients'!$B$5:$B$504,MATCH(C372,'Active Clients'!$A$5:$A$504,0)))&amp;"","ID not found"))</f>
        <v/>
      </c>
      <c r="F372" s="51" t="str">
        <f aca="false">IF(C372="","",IFERROR(IF(LEFT(C372,1)="L",INDEX('Leads Pipeline'!$E$5:$E$1004,MATCH(C372,'Leads Pipeline'!$A$5:$A$1004,0)),INDEX('Active Clients'!$C$5:$C$504,MATCH(C372,'Active Clients'!$A$5:$A$504,0)))&amp;"","ID not found"))</f>
        <v/>
      </c>
      <c r="G372" s="16"/>
      <c r="H372" s="16"/>
      <c r="I372" s="16"/>
      <c r="J372" s="16"/>
      <c r="K372" s="16"/>
      <c r="L372" s="18"/>
    </row>
    <row r="373" customFormat="false" ht="15" hidden="false" customHeight="false" outlineLevel="0" collapsed="false">
      <c r="A373" s="18"/>
      <c r="B373" s="16"/>
      <c r="C373" s="16"/>
      <c r="D373" s="51" t="str">
        <f aca="false">IF(C373="","",IFERROR(IF(LEFT(C373,1)="L",INDEX('Leads Pipeline'!$F$5:$F$1004,MATCH(C373,'Leads Pipeline'!$A$5:$A$1004,0)),INDEX('Active Clients'!$D$5:$D$504,MATCH(C373,'Active Clients'!$A$5:$A$504,0)))&amp;"","ID not found"))</f>
        <v/>
      </c>
      <c r="E373" s="51" t="str">
        <f aca="false">IF(C373="","",IFERROR(IF(LEFT(C373,1)="L",INDEX('Leads Pipeline'!$D$5:$D$1004,MATCH(C373,'Leads Pipeline'!$A$5:$A$1004,0)),INDEX('Active Clients'!$B$5:$B$504,MATCH(C373,'Active Clients'!$A$5:$A$504,0)))&amp;"","ID not found"))</f>
        <v/>
      </c>
      <c r="F373" s="51" t="str">
        <f aca="false">IF(C373="","",IFERROR(IF(LEFT(C373,1)="L",INDEX('Leads Pipeline'!$E$5:$E$1004,MATCH(C373,'Leads Pipeline'!$A$5:$A$1004,0)),INDEX('Active Clients'!$C$5:$C$504,MATCH(C373,'Active Clients'!$A$5:$A$504,0)))&amp;"","ID not found"))</f>
        <v/>
      </c>
      <c r="G373" s="16"/>
      <c r="H373" s="16"/>
      <c r="I373" s="16"/>
      <c r="J373" s="16"/>
      <c r="K373" s="16"/>
      <c r="L373" s="18"/>
    </row>
    <row r="374" customFormat="false" ht="15" hidden="false" customHeight="false" outlineLevel="0" collapsed="false">
      <c r="A374" s="18"/>
      <c r="B374" s="16"/>
      <c r="C374" s="16"/>
      <c r="D374" s="51" t="str">
        <f aca="false">IF(C374="","",IFERROR(IF(LEFT(C374,1)="L",INDEX('Leads Pipeline'!$F$5:$F$1004,MATCH(C374,'Leads Pipeline'!$A$5:$A$1004,0)),INDEX('Active Clients'!$D$5:$D$504,MATCH(C374,'Active Clients'!$A$5:$A$504,0)))&amp;"","ID not found"))</f>
        <v/>
      </c>
      <c r="E374" s="51" t="str">
        <f aca="false">IF(C374="","",IFERROR(IF(LEFT(C374,1)="L",INDEX('Leads Pipeline'!$D$5:$D$1004,MATCH(C374,'Leads Pipeline'!$A$5:$A$1004,0)),INDEX('Active Clients'!$B$5:$B$504,MATCH(C374,'Active Clients'!$A$5:$A$504,0)))&amp;"","ID not found"))</f>
        <v/>
      </c>
      <c r="F374" s="51" t="str">
        <f aca="false">IF(C374="","",IFERROR(IF(LEFT(C374,1)="L",INDEX('Leads Pipeline'!$E$5:$E$1004,MATCH(C374,'Leads Pipeline'!$A$5:$A$1004,0)),INDEX('Active Clients'!$C$5:$C$504,MATCH(C374,'Active Clients'!$A$5:$A$504,0)))&amp;"","ID not found"))</f>
        <v/>
      </c>
      <c r="G374" s="16"/>
      <c r="H374" s="16"/>
      <c r="I374" s="16"/>
      <c r="J374" s="16"/>
      <c r="K374" s="16"/>
      <c r="L374" s="18"/>
    </row>
    <row r="375" customFormat="false" ht="15" hidden="false" customHeight="false" outlineLevel="0" collapsed="false">
      <c r="A375" s="18"/>
      <c r="B375" s="16"/>
      <c r="C375" s="16"/>
      <c r="D375" s="51" t="str">
        <f aca="false">IF(C375="","",IFERROR(IF(LEFT(C375,1)="L",INDEX('Leads Pipeline'!$F$5:$F$1004,MATCH(C375,'Leads Pipeline'!$A$5:$A$1004,0)),INDEX('Active Clients'!$D$5:$D$504,MATCH(C375,'Active Clients'!$A$5:$A$504,0)))&amp;"","ID not found"))</f>
        <v/>
      </c>
      <c r="E375" s="51" t="str">
        <f aca="false">IF(C375="","",IFERROR(IF(LEFT(C375,1)="L",INDEX('Leads Pipeline'!$D$5:$D$1004,MATCH(C375,'Leads Pipeline'!$A$5:$A$1004,0)),INDEX('Active Clients'!$B$5:$B$504,MATCH(C375,'Active Clients'!$A$5:$A$504,0)))&amp;"","ID not found"))</f>
        <v/>
      </c>
      <c r="F375" s="51" t="str">
        <f aca="false">IF(C375="","",IFERROR(IF(LEFT(C375,1)="L",INDEX('Leads Pipeline'!$E$5:$E$1004,MATCH(C375,'Leads Pipeline'!$A$5:$A$1004,0)),INDEX('Active Clients'!$C$5:$C$504,MATCH(C375,'Active Clients'!$A$5:$A$504,0)))&amp;"","ID not found"))</f>
        <v/>
      </c>
      <c r="G375" s="16"/>
      <c r="H375" s="16"/>
      <c r="I375" s="16"/>
      <c r="J375" s="16"/>
      <c r="K375" s="16"/>
      <c r="L375" s="18"/>
    </row>
    <row r="376" customFormat="false" ht="15" hidden="false" customHeight="false" outlineLevel="0" collapsed="false">
      <c r="A376" s="18"/>
      <c r="B376" s="16"/>
      <c r="C376" s="16"/>
      <c r="D376" s="51" t="str">
        <f aca="false">IF(C376="","",IFERROR(IF(LEFT(C376,1)="L",INDEX('Leads Pipeline'!$F$5:$F$1004,MATCH(C376,'Leads Pipeline'!$A$5:$A$1004,0)),INDEX('Active Clients'!$D$5:$D$504,MATCH(C376,'Active Clients'!$A$5:$A$504,0)))&amp;"","ID not found"))</f>
        <v/>
      </c>
      <c r="E376" s="51" t="str">
        <f aca="false">IF(C376="","",IFERROR(IF(LEFT(C376,1)="L",INDEX('Leads Pipeline'!$D$5:$D$1004,MATCH(C376,'Leads Pipeline'!$A$5:$A$1004,0)),INDEX('Active Clients'!$B$5:$B$504,MATCH(C376,'Active Clients'!$A$5:$A$504,0)))&amp;"","ID not found"))</f>
        <v/>
      </c>
      <c r="F376" s="51" t="str">
        <f aca="false">IF(C376="","",IFERROR(IF(LEFT(C376,1)="L",INDEX('Leads Pipeline'!$E$5:$E$1004,MATCH(C376,'Leads Pipeline'!$A$5:$A$1004,0)),INDEX('Active Clients'!$C$5:$C$504,MATCH(C376,'Active Clients'!$A$5:$A$504,0)))&amp;"","ID not found"))</f>
        <v/>
      </c>
      <c r="G376" s="16"/>
      <c r="H376" s="16"/>
      <c r="I376" s="16"/>
      <c r="J376" s="16"/>
      <c r="K376" s="16"/>
      <c r="L376" s="18"/>
    </row>
    <row r="377" customFormat="false" ht="15" hidden="false" customHeight="false" outlineLevel="0" collapsed="false">
      <c r="A377" s="18"/>
      <c r="B377" s="16"/>
      <c r="C377" s="16"/>
      <c r="D377" s="51" t="str">
        <f aca="false">IF(C377="","",IFERROR(IF(LEFT(C377,1)="L",INDEX('Leads Pipeline'!$F$5:$F$1004,MATCH(C377,'Leads Pipeline'!$A$5:$A$1004,0)),INDEX('Active Clients'!$D$5:$D$504,MATCH(C377,'Active Clients'!$A$5:$A$504,0)))&amp;"","ID not found"))</f>
        <v/>
      </c>
      <c r="E377" s="51" t="str">
        <f aca="false">IF(C377="","",IFERROR(IF(LEFT(C377,1)="L",INDEX('Leads Pipeline'!$D$5:$D$1004,MATCH(C377,'Leads Pipeline'!$A$5:$A$1004,0)),INDEX('Active Clients'!$B$5:$B$504,MATCH(C377,'Active Clients'!$A$5:$A$504,0)))&amp;"","ID not found"))</f>
        <v/>
      </c>
      <c r="F377" s="51" t="str">
        <f aca="false">IF(C377="","",IFERROR(IF(LEFT(C377,1)="L",INDEX('Leads Pipeline'!$E$5:$E$1004,MATCH(C377,'Leads Pipeline'!$A$5:$A$1004,0)),INDEX('Active Clients'!$C$5:$C$504,MATCH(C377,'Active Clients'!$A$5:$A$504,0)))&amp;"","ID not found"))</f>
        <v/>
      </c>
      <c r="G377" s="16"/>
      <c r="H377" s="16"/>
      <c r="I377" s="16"/>
      <c r="J377" s="16"/>
      <c r="K377" s="16"/>
      <c r="L377" s="18"/>
    </row>
    <row r="378" customFormat="false" ht="15" hidden="false" customHeight="false" outlineLevel="0" collapsed="false">
      <c r="A378" s="18"/>
      <c r="B378" s="16"/>
      <c r="C378" s="16"/>
      <c r="D378" s="51" t="str">
        <f aca="false">IF(C378="","",IFERROR(IF(LEFT(C378,1)="L",INDEX('Leads Pipeline'!$F$5:$F$1004,MATCH(C378,'Leads Pipeline'!$A$5:$A$1004,0)),INDEX('Active Clients'!$D$5:$D$504,MATCH(C378,'Active Clients'!$A$5:$A$504,0)))&amp;"","ID not found"))</f>
        <v/>
      </c>
      <c r="E378" s="51" t="str">
        <f aca="false">IF(C378="","",IFERROR(IF(LEFT(C378,1)="L",INDEX('Leads Pipeline'!$D$5:$D$1004,MATCH(C378,'Leads Pipeline'!$A$5:$A$1004,0)),INDEX('Active Clients'!$B$5:$B$504,MATCH(C378,'Active Clients'!$A$5:$A$504,0)))&amp;"","ID not found"))</f>
        <v/>
      </c>
      <c r="F378" s="51" t="str">
        <f aca="false">IF(C378="","",IFERROR(IF(LEFT(C378,1)="L",INDEX('Leads Pipeline'!$E$5:$E$1004,MATCH(C378,'Leads Pipeline'!$A$5:$A$1004,0)),INDEX('Active Clients'!$C$5:$C$504,MATCH(C378,'Active Clients'!$A$5:$A$504,0)))&amp;"","ID not found"))</f>
        <v/>
      </c>
      <c r="G378" s="16"/>
      <c r="H378" s="16"/>
      <c r="I378" s="16"/>
      <c r="J378" s="16"/>
      <c r="K378" s="16"/>
      <c r="L378" s="18"/>
    </row>
    <row r="379" customFormat="false" ht="15" hidden="false" customHeight="false" outlineLevel="0" collapsed="false">
      <c r="A379" s="18"/>
      <c r="B379" s="16"/>
      <c r="C379" s="16"/>
      <c r="D379" s="51" t="str">
        <f aca="false">IF(C379="","",IFERROR(IF(LEFT(C379,1)="L",INDEX('Leads Pipeline'!$F$5:$F$1004,MATCH(C379,'Leads Pipeline'!$A$5:$A$1004,0)),INDEX('Active Clients'!$D$5:$D$504,MATCH(C379,'Active Clients'!$A$5:$A$504,0)))&amp;"","ID not found"))</f>
        <v/>
      </c>
      <c r="E379" s="51" t="str">
        <f aca="false">IF(C379="","",IFERROR(IF(LEFT(C379,1)="L",INDEX('Leads Pipeline'!$D$5:$D$1004,MATCH(C379,'Leads Pipeline'!$A$5:$A$1004,0)),INDEX('Active Clients'!$B$5:$B$504,MATCH(C379,'Active Clients'!$A$5:$A$504,0)))&amp;"","ID not found"))</f>
        <v/>
      </c>
      <c r="F379" s="51" t="str">
        <f aca="false">IF(C379="","",IFERROR(IF(LEFT(C379,1)="L",INDEX('Leads Pipeline'!$E$5:$E$1004,MATCH(C379,'Leads Pipeline'!$A$5:$A$1004,0)),INDEX('Active Clients'!$C$5:$C$504,MATCH(C379,'Active Clients'!$A$5:$A$504,0)))&amp;"","ID not found"))</f>
        <v/>
      </c>
      <c r="G379" s="16"/>
      <c r="H379" s="16"/>
      <c r="I379" s="16"/>
      <c r="J379" s="16"/>
      <c r="K379" s="16"/>
      <c r="L379" s="18"/>
    </row>
    <row r="380" customFormat="false" ht="15" hidden="false" customHeight="false" outlineLevel="0" collapsed="false">
      <c r="A380" s="18"/>
      <c r="B380" s="16"/>
      <c r="C380" s="16"/>
      <c r="D380" s="51" t="str">
        <f aca="false">IF(C380="","",IFERROR(IF(LEFT(C380,1)="L",INDEX('Leads Pipeline'!$F$5:$F$1004,MATCH(C380,'Leads Pipeline'!$A$5:$A$1004,0)),INDEX('Active Clients'!$D$5:$D$504,MATCH(C380,'Active Clients'!$A$5:$A$504,0)))&amp;"","ID not found"))</f>
        <v/>
      </c>
      <c r="E380" s="51" t="str">
        <f aca="false">IF(C380="","",IFERROR(IF(LEFT(C380,1)="L",INDEX('Leads Pipeline'!$D$5:$D$1004,MATCH(C380,'Leads Pipeline'!$A$5:$A$1004,0)),INDEX('Active Clients'!$B$5:$B$504,MATCH(C380,'Active Clients'!$A$5:$A$504,0)))&amp;"","ID not found"))</f>
        <v/>
      </c>
      <c r="F380" s="51" t="str">
        <f aca="false">IF(C380="","",IFERROR(IF(LEFT(C380,1)="L",INDEX('Leads Pipeline'!$E$5:$E$1004,MATCH(C380,'Leads Pipeline'!$A$5:$A$1004,0)),INDEX('Active Clients'!$C$5:$C$504,MATCH(C380,'Active Clients'!$A$5:$A$504,0)))&amp;"","ID not found"))</f>
        <v/>
      </c>
      <c r="G380" s="16"/>
      <c r="H380" s="16"/>
      <c r="I380" s="16"/>
      <c r="J380" s="16"/>
      <c r="K380" s="16"/>
      <c r="L380" s="18"/>
    </row>
    <row r="381" customFormat="false" ht="15" hidden="false" customHeight="false" outlineLevel="0" collapsed="false">
      <c r="A381" s="18"/>
      <c r="B381" s="16"/>
      <c r="C381" s="16"/>
      <c r="D381" s="51" t="str">
        <f aca="false">IF(C381="","",IFERROR(IF(LEFT(C381,1)="L",INDEX('Leads Pipeline'!$F$5:$F$1004,MATCH(C381,'Leads Pipeline'!$A$5:$A$1004,0)),INDEX('Active Clients'!$D$5:$D$504,MATCH(C381,'Active Clients'!$A$5:$A$504,0)))&amp;"","ID not found"))</f>
        <v/>
      </c>
      <c r="E381" s="51" t="str">
        <f aca="false">IF(C381="","",IFERROR(IF(LEFT(C381,1)="L",INDEX('Leads Pipeline'!$D$5:$D$1004,MATCH(C381,'Leads Pipeline'!$A$5:$A$1004,0)),INDEX('Active Clients'!$B$5:$B$504,MATCH(C381,'Active Clients'!$A$5:$A$504,0)))&amp;"","ID not found"))</f>
        <v/>
      </c>
      <c r="F381" s="51" t="str">
        <f aca="false">IF(C381="","",IFERROR(IF(LEFT(C381,1)="L",INDEX('Leads Pipeline'!$E$5:$E$1004,MATCH(C381,'Leads Pipeline'!$A$5:$A$1004,0)),INDEX('Active Clients'!$C$5:$C$504,MATCH(C381,'Active Clients'!$A$5:$A$504,0)))&amp;"","ID not found"))</f>
        <v/>
      </c>
      <c r="G381" s="16"/>
      <c r="H381" s="16"/>
      <c r="I381" s="16"/>
      <c r="J381" s="16"/>
      <c r="K381" s="16"/>
      <c r="L381" s="18"/>
    </row>
    <row r="382" customFormat="false" ht="15" hidden="false" customHeight="false" outlineLevel="0" collapsed="false">
      <c r="A382" s="18"/>
      <c r="B382" s="16"/>
      <c r="C382" s="16"/>
      <c r="D382" s="51" t="str">
        <f aca="false">IF(C382="","",IFERROR(IF(LEFT(C382,1)="L",INDEX('Leads Pipeline'!$F$5:$F$1004,MATCH(C382,'Leads Pipeline'!$A$5:$A$1004,0)),INDEX('Active Clients'!$D$5:$D$504,MATCH(C382,'Active Clients'!$A$5:$A$504,0)))&amp;"","ID not found"))</f>
        <v/>
      </c>
      <c r="E382" s="51" t="str">
        <f aca="false">IF(C382="","",IFERROR(IF(LEFT(C382,1)="L",INDEX('Leads Pipeline'!$D$5:$D$1004,MATCH(C382,'Leads Pipeline'!$A$5:$A$1004,0)),INDEX('Active Clients'!$B$5:$B$504,MATCH(C382,'Active Clients'!$A$5:$A$504,0)))&amp;"","ID not found"))</f>
        <v/>
      </c>
      <c r="F382" s="51" t="str">
        <f aca="false">IF(C382="","",IFERROR(IF(LEFT(C382,1)="L",INDEX('Leads Pipeline'!$E$5:$E$1004,MATCH(C382,'Leads Pipeline'!$A$5:$A$1004,0)),INDEX('Active Clients'!$C$5:$C$504,MATCH(C382,'Active Clients'!$A$5:$A$504,0)))&amp;"","ID not found"))</f>
        <v/>
      </c>
      <c r="G382" s="16"/>
      <c r="H382" s="16"/>
      <c r="I382" s="16"/>
      <c r="J382" s="16"/>
      <c r="K382" s="16"/>
      <c r="L382" s="18"/>
    </row>
    <row r="383" customFormat="false" ht="15" hidden="false" customHeight="false" outlineLevel="0" collapsed="false">
      <c r="A383" s="18"/>
      <c r="B383" s="16"/>
      <c r="C383" s="16"/>
      <c r="D383" s="51" t="str">
        <f aca="false">IF(C383="","",IFERROR(IF(LEFT(C383,1)="L",INDEX('Leads Pipeline'!$F$5:$F$1004,MATCH(C383,'Leads Pipeline'!$A$5:$A$1004,0)),INDEX('Active Clients'!$D$5:$D$504,MATCH(C383,'Active Clients'!$A$5:$A$504,0)))&amp;"","ID not found"))</f>
        <v/>
      </c>
      <c r="E383" s="51" t="str">
        <f aca="false">IF(C383="","",IFERROR(IF(LEFT(C383,1)="L",INDEX('Leads Pipeline'!$D$5:$D$1004,MATCH(C383,'Leads Pipeline'!$A$5:$A$1004,0)),INDEX('Active Clients'!$B$5:$B$504,MATCH(C383,'Active Clients'!$A$5:$A$504,0)))&amp;"","ID not found"))</f>
        <v/>
      </c>
      <c r="F383" s="51" t="str">
        <f aca="false">IF(C383="","",IFERROR(IF(LEFT(C383,1)="L",INDEX('Leads Pipeline'!$E$5:$E$1004,MATCH(C383,'Leads Pipeline'!$A$5:$A$1004,0)),INDEX('Active Clients'!$C$5:$C$504,MATCH(C383,'Active Clients'!$A$5:$A$504,0)))&amp;"","ID not found"))</f>
        <v/>
      </c>
      <c r="G383" s="16"/>
      <c r="H383" s="16"/>
      <c r="I383" s="16"/>
      <c r="J383" s="16"/>
      <c r="K383" s="16"/>
      <c r="L383" s="18"/>
    </row>
    <row r="384" customFormat="false" ht="15" hidden="false" customHeight="false" outlineLevel="0" collapsed="false">
      <c r="A384" s="18"/>
      <c r="B384" s="16"/>
      <c r="C384" s="16"/>
      <c r="D384" s="51" t="str">
        <f aca="false">IF(C384="","",IFERROR(IF(LEFT(C384,1)="L",INDEX('Leads Pipeline'!$F$5:$F$1004,MATCH(C384,'Leads Pipeline'!$A$5:$A$1004,0)),INDEX('Active Clients'!$D$5:$D$504,MATCH(C384,'Active Clients'!$A$5:$A$504,0)))&amp;"","ID not found"))</f>
        <v/>
      </c>
      <c r="E384" s="51" t="str">
        <f aca="false">IF(C384="","",IFERROR(IF(LEFT(C384,1)="L",INDEX('Leads Pipeline'!$D$5:$D$1004,MATCH(C384,'Leads Pipeline'!$A$5:$A$1004,0)),INDEX('Active Clients'!$B$5:$B$504,MATCH(C384,'Active Clients'!$A$5:$A$504,0)))&amp;"","ID not found"))</f>
        <v/>
      </c>
      <c r="F384" s="51" t="str">
        <f aca="false">IF(C384="","",IFERROR(IF(LEFT(C384,1)="L",INDEX('Leads Pipeline'!$E$5:$E$1004,MATCH(C384,'Leads Pipeline'!$A$5:$A$1004,0)),INDEX('Active Clients'!$C$5:$C$504,MATCH(C384,'Active Clients'!$A$5:$A$504,0)))&amp;"","ID not found"))</f>
        <v/>
      </c>
      <c r="G384" s="16"/>
      <c r="H384" s="16"/>
      <c r="I384" s="16"/>
      <c r="J384" s="16"/>
      <c r="K384" s="16"/>
      <c r="L384" s="18"/>
    </row>
    <row r="385" customFormat="false" ht="15" hidden="false" customHeight="false" outlineLevel="0" collapsed="false">
      <c r="A385" s="18"/>
      <c r="B385" s="16"/>
      <c r="C385" s="16"/>
      <c r="D385" s="51" t="str">
        <f aca="false">IF(C385="","",IFERROR(IF(LEFT(C385,1)="L",INDEX('Leads Pipeline'!$F$5:$F$1004,MATCH(C385,'Leads Pipeline'!$A$5:$A$1004,0)),INDEX('Active Clients'!$D$5:$D$504,MATCH(C385,'Active Clients'!$A$5:$A$504,0)))&amp;"","ID not found"))</f>
        <v/>
      </c>
      <c r="E385" s="51" t="str">
        <f aca="false">IF(C385="","",IFERROR(IF(LEFT(C385,1)="L",INDEX('Leads Pipeline'!$D$5:$D$1004,MATCH(C385,'Leads Pipeline'!$A$5:$A$1004,0)),INDEX('Active Clients'!$B$5:$B$504,MATCH(C385,'Active Clients'!$A$5:$A$504,0)))&amp;"","ID not found"))</f>
        <v/>
      </c>
      <c r="F385" s="51" t="str">
        <f aca="false">IF(C385="","",IFERROR(IF(LEFT(C385,1)="L",INDEX('Leads Pipeline'!$E$5:$E$1004,MATCH(C385,'Leads Pipeline'!$A$5:$A$1004,0)),INDEX('Active Clients'!$C$5:$C$504,MATCH(C385,'Active Clients'!$A$5:$A$504,0)))&amp;"","ID not found"))</f>
        <v/>
      </c>
      <c r="G385" s="16"/>
      <c r="H385" s="16"/>
      <c r="I385" s="16"/>
      <c r="J385" s="16"/>
      <c r="K385" s="16"/>
      <c r="L385" s="18"/>
    </row>
    <row r="386" customFormat="false" ht="15" hidden="false" customHeight="false" outlineLevel="0" collapsed="false">
      <c r="A386" s="18"/>
      <c r="B386" s="16"/>
      <c r="C386" s="16"/>
      <c r="D386" s="51" t="str">
        <f aca="false">IF(C386="","",IFERROR(IF(LEFT(C386,1)="L",INDEX('Leads Pipeline'!$F$5:$F$1004,MATCH(C386,'Leads Pipeline'!$A$5:$A$1004,0)),INDEX('Active Clients'!$D$5:$D$504,MATCH(C386,'Active Clients'!$A$5:$A$504,0)))&amp;"","ID not found"))</f>
        <v/>
      </c>
      <c r="E386" s="51" t="str">
        <f aca="false">IF(C386="","",IFERROR(IF(LEFT(C386,1)="L",INDEX('Leads Pipeline'!$D$5:$D$1004,MATCH(C386,'Leads Pipeline'!$A$5:$A$1004,0)),INDEX('Active Clients'!$B$5:$B$504,MATCH(C386,'Active Clients'!$A$5:$A$504,0)))&amp;"","ID not found"))</f>
        <v/>
      </c>
      <c r="F386" s="51" t="str">
        <f aca="false">IF(C386="","",IFERROR(IF(LEFT(C386,1)="L",INDEX('Leads Pipeline'!$E$5:$E$1004,MATCH(C386,'Leads Pipeline'!$A$5:$A$1004,0)),INDEX('Active Clients'!$C$5:$C$504,MATCH(C386,'Active Clients'!$A$5:$A$504,0)))&amp;"","ID not found"))</f>
        <v/>
      </c>
      <c r="G386" s="16"/>
      <c r="H386" s="16"/>
      <c r="I386" s="16"/>
      <c r="J386" s="16"/>
      <c r="K386" s="16"/>
      <c r="L386" s="18"/>
    </row>
    <row r="387" customFormat="false" ht="15" hidden="false" customHeight="false" outlineLevel="0" collapsed="false">
      <c r="A387" s="18"/>
      <c r="B387" s="16"/>
      <c r="C387" s="16"/>
      <c r="D387" s="51" t="str">
        <f aca="false">IF(C387="","",IFERROR(IF(LEFT(C387,1)="L",INDEX('Leads Pipeline'!$F$5:$F$1004,MATCH(C387,'Leads Pipeline'!$A$5:$A$1004,0)),INDEX('Active Clients'!$D$5:$D$504,MATCH(C387,'Active Clients'!$A$5:$A$504,0)))&amp;"","ID not found"))</f>
        <v/>
      </c>
      <c r="E387" s="51" t="str">
        <f aca="false">IF(C387="","",IFERROR(IF(LEFT(C387,1)="L",INDEX('Leads Pipeline'!$D$5:$D$1004,MATCH(C387,'Leads Pipeline'!$A$5:$A$1004,0)),INDEX('Active Clients'!$B$5:$B$504,MATCH(C387,'Active Clients'!$A$5:$A$504,0)))&amp;"","ID not found"))</f>
        <v/>
      </c>
      <c r="F387" s="51" t="str">
        <f aca="false">IF(C387="","",IFERROR(IF(LEFT(C387,1)="L",INDEX('Leads Pipeline'!$E$5:$E$1004,MATCH(C387,'Leads Pipeline'!$A$5:$A$1004,0)),INDEX('Active Clients'!$C$5:$C$504,MATCH(C387,'Active Clients'!$A$5:$A$504,0)))&amp;"","ID not found"))</f>
        <v/>
      </c>
      <c r="G387" s="16"/>
      <c r="H387" s="16"/>
      <c r="I387" s="16"/>
      <c r="J387" s="16"/>
      <c r="K387" s="16"/>
      <c r="L387" s="18"/>
    </row>
    <row r="388" customFormat="false" ht="15" hidden="false" customHeight="false" outlineLevel="0" collapsed="false">
      <c r="A388" s="18"/>
      <c r="B388" s="16"/>
      <c r="C388" s="16"/>
      <c r="D388" s="51" t="str">
        <f aca="false">IF(C388="","",IFERROR(IF(LEFT(C388,1)="L",INDEX('Leads Pipeline'!$F$5:$F$1004,MATCH(C388,'Leads Pipeline'!$A$5:$A$1004,0)),INDEX('Active Clients'!$D$5:$D$504,MATCH(C388,'Active Clients'!$A$5:$A$504,0)))&amp;"","ID not found"))</f>
        <v/>
      </c>
      <c r="E388" s="51" t="str">
        <f aca="false">IF(C388="","",IFERROR(IF(LEFT(C388,1)="L",INDEX('Leads Pipeline'!$D$5:$D$1004,MATCH(C388,'Leads Pipeline'!$A$5:$A$1004,0)),INDEX('Active Clients'!$B$5:$B$504,MATCH(C388,'Active Clients'!$A$5:$A$504,0)))&amp;"","ID not found"))</f>
        <v/>
      </c>
      <c r="F388" s="51" t="str">
        <f aca="false">IF(C388="","",IFERROR(IF(LEFT(C388,1)="L",INDEX('Leads Pipeline'!$E$5:$E$1004,MATCH(C388,'Leads Pipeline'!$A$5:$A$1004,0)),INDEX('Active Clients'!$C$5:$C$504,MATCH(C388,'Active Clients'!$A$5:$A$504,0)))&amp;"","ID not found"))</f>
        <v/>
      </c>
      <c r="G388" s="16"/>
      <c r="H388" s="16"/>
      <c r="I388" s="16"/>
      <c r="J388" s="16"/>
      <c r="K388" s="16"/>
      <c r="L388" s="18"/>
    </row>
    <row r="389" customFormat="false" ht="15" hidden="false" customHeight="false" outlineLevel="0" collapsed="false">
      <c r="A389" s="18"/>
      <c r="B389" s="16"/>
      <c r="C389" s="16"/>
      <c r="D389" s="51" t="str">
        <f aca="false">IF(C389="","",IFERROR(IF(LEFT(C389,1)="L",INDEX('Leads Pipeline'!$F$5:$F$1004,MATCH(C389,'Leads Pipeline'!$A$5:$A$1004,0)),INDEX('Active Clients'!$D$5:$D$504,MATCH(C389,'Active Clients'!$A$5:$A$504,0)))&amp;"","ID not found"))</f>
        <v/>
      </c>
      <c r="E389" s="51" t="str">
        <f aca="false">IF(C389="","",IFERROR(IF(LEFT(C389,1)="L",INDEX('Leads Pipeline'!$D$5:$D$1004,MATCH(C389,'Leads Pipeline'!$A$5:$A$1004,0)),INDEX('Active Clients'!$B$5:$B$504,MATCH(C389,'Active Clients'!$A$5:$A$504,0)))&amp;"","ID not found"))</f>
        <v/>
      </c>
      <c r="F389" s="51" t="str">
        <f aca="false">IF(C389="","",IFERROR(IF(LEFT(C389,1)="L",INDEX('Leads Pipeline'!$E$5:$E$1004,MATCH(C389,'Leads Pipeline'!$A$5:$A$1004,0)),INDEX('Active Clients'!$C$5:$C$504,MATCH(C389,'Active Clients'!$A$5:$A$504,0)))&amp;"","ID not found"))</f>
        <v/>
      </c>
      <c r="G389" s="16"/>
      <c r="H389" s="16"/>
      <c r="I389" s="16"/>
      <c r="J389" s="16"/>
      <c r="K389" s="16"/>
      <c r="L389" s="18"/>
    </row>
    <row r="390" customFormat="false" ht="15" hidden="false" customHeight="false" outlineLevel="0" collapsed="false">
      <c r="A390" s="18"/>
      <c r="B390" s="16"/>
      <c r="C390" s="16"/>
      <c r="D390" s="51" t="str">
        <f aca="false">IF(C390="","",IFERROR(IF(LEFT(C390,1)="L",INDEX('Leads Pipeline'!$F$5:$F$1004,MATCH(C390,'Leads Pipeline'!$A$5:$A$1004,0)),INDEX('Active Clients'!$D$5:$D$504,MATCH(C390,'Active Clients'!$A$5:$A$504,0)))&amp;"","ID not found"))</f>
        <v/>
      </c>
      <c r="E390" s="51" t="str">
        <f aca="false">IF(C390="","",IFERROR(IF(LEFT(C390,1)="L",INDEX('Leads Pipeline'!$D$5:$D$1004,MATCH(C390,'Leads Pipeline'!$A$5:$A$1004,0)),INDEX('Active Clients'!$B$5:$B$504,MATCH(C390,'Active Clients'!$A$5:$A$504,0)))&amp;"","ID not found"))</f>
        <v/>
      </c>
      <c r="F390" s="51" t="str">
        <f aca="false">IF(C390="","",IFERROR(IF(LEFT(C390,1)="L",INDEX('Leads Pipeline'!$E$5:$E$1004,MATCH(C390,'Leads Pipeline'!$A$5:$A$1004,0)),INDEX('Active Clients'!$C$5:$C$504,MATCH(C390,'Active Clients'!$A$5:$A$504,0)))&amp;"","ID not found"))</f>
        <v/>
      </c>
      <c r="G390" s="16"/>
      <c r="H390" s="16"/>
      <c r="I390" s="16"/>
      <c r="J390" s="16"/>
      <c r="K390" s="16"/>
      <c r="L390" s="18"/>
    </row>
    <row r="391" customFormat="false" ht="15" hidden="false" customHeight="false" outlineLevel="0" collapsed="false">
      <c r="A391" s="18"/>
      <c r="B391" s="16"/>
      <c r="C391" s="16"/>
      <c r="D391" s="51" t="str">
        <f aca="false">IF(C391="","",IFERROR(IF(LEFT(C391,1)="L",INDEX('Leads Pipeline'!$F$5:$F$1004,MATCH(C391,'Leads Pipeline'!$A$5:$A$1004,0)),INDEX('Active Clients'!$D$5:$D$504,MATCH(C391,'Active Clients'!$A$5:$A$504,0)))&amp;"","ID not found"))</f>
        <v/>
      </c>
      <c r="E391" s="51" t="str">
        <f aca="false">IF(C391="","",IFERROR(IF(LEFT(C391,1)="L",INDEX('Leads Pipeline'!$D$5:$D$1004,MATCH(C391,'Leads Pipeline'!$A$5:$A$1004,0)),INDEX('Active Clients'!$B$5:$B$504,MATCH(C391,'Active Clients'!$A$5:$A$504,0)))&amp;"","ID not found"))</f>
        <v/>
      </c>
      <c r="F391" s="51" t="str">
        <f aca="false">IF(C391="","",IFERROR(IF(LEFT(C391,1)="L",INDEX('Leads Pipeline'!$E$5:$E$1004,MATCH(C391,'Leads Pipeline'!$A$5:$A$1004,0)),INDEX('Active Clients'!$C$5:$C$504,MATCH(C391,'Active Clients'!$A$5:$A$504,0)))&amp;"","ID not found"))</f>
        <v/>
      </c>
      <c r="G391" s="16"/>
      <c r="H391" s="16"/>
      <c r="I391" s="16"/>
      <c r="J391" s="16"/>
      <c r="K391" s="16"/>
      <c r="L391" s="18"/>
    </row>
    <row r="392" customFormat="false" ht="15" hidden="false" customHeight="false" outlineLevel="0" collapsed="false">
      <c r="A392" s="18"/>
      <c r="B392" s="16"/>
      <c r="C392" s="16"/>
      <c r="D392" s="51" t="str">
        <f aca="false">IF(C392="","",IFERROR(IF(LEFT(C392,1)="L",INDEX('Leads Pipeline'!$F$5:$F$1004,MATCH(C392,'Leads Pipeline'!$A$5:$A$1004,0)),INDEX('Active Clients'!$D$5:$D$504,MATCH(C392,'Active Clients'!$A$5:$A$504,0)))&amp;"","ID not found"))</f>
        <v/>
      </c>
      <c r="E392" s="51" t="str">
        <f aca="false">IF(C392="","",IFERROR(IF(LEFT(C392,1)="L",INDEX('Leads Pipeline'!$D$5:$D$1004,MATCH(C392,'Leads Pipeline'!$A$5:$A$1004,0)),INDEX('Active Clients'!$B$5:$B$504,MATCH(C392,'Active Clients'!$A$5:$A$504,0)))&amp;"","ID not found"))</f>
        <v/>
      </c>
      <c r="F392" s="51" t="str">
        <f aca="false">IF(C392="","",IFERROR(IF(LEFT(C392,1)="L",INDEX('Leads Pipeline'!$E$5:$E$1004,MATCH(C392,'Leads Pipeline'!$A$5:$A$1004,0)),INDEX('Active Clients'!$C$5:$C$504,MATCH(C392,'Active Clients'!$A$5:$A$504,0)))&amp;"","ID not found"))</f>
        <v/>
      </c>
      <c r="G392" s="16"/>
      <c r="H392" s="16"/>
      <c r="I392" s="16"/>
      <c r="J392" s="16"/>
      <c r="K392" s="16"/>
      <c r="L392" s="18"/>
    </row>
    <row r="393" customFormat="false" ht="15" hidden="false" customHeight="false" outlineLevel="0" collapsed="false">
      <c r="A393" s="18"/>
      <c r="B393" s="16"/>
      <c r="C393" s="16"/>
      <c r="D393" s="51" t="str">
        <f aca="false">IF(C393="","",IFERROR(IF(LEFT(C393,1)="L",INDEX('Leads Pipeline'!$F$5:$F$1004,MATCH(C393,'Leads Pipeline'!$A$5:$A$1004,0)),INDEX('Active Clients'!$D$5:$D$504,MATCH(C393,'Active Clients'!$A$5:$A$504,0)))&amp;"","ID not found"))</f>
        <v/>
      </c>
      <c r="E393" s="51" t="str">
        <f aca="false">IF(C393="","",IFERROR(IF(LEFT(C393,1)="L",INDEX('Leads Pipeline'!$D$5:$D$1004,MATCH(C393,'Leads Pipeline'!$A$5:$A$1004,0)),INDEX('Active Clients'!$B$5:$B$504,MATCH(C393,'Active Clients'!$A$5:$A$504,0)))&amp;"","ID not found"))</f>
        <v/>
      </c>
      <c r="F393" s="51" t="str">
        <f aca="false">IF(C393="","",IFERROR(IF(LEFT(C393,1)="L",INDEX('Leads Pipeline'!$E$5:$E$1004,MATCH(C393,'Leads Pipeline'!$A$5:$A$1004,0)),INDEX('Active Clients'!$C$5:$C$504,MATCH(C393,'Active Clients'!$A$5:$A$504,0)))&amp;"","ID not found"))</f>
        <v/>
      </c>
      <c r="G393" s="16"/>
      <c r="H393" s="16"/>
      <c r="I393" s="16"/>
      <c r="J393" s="16"/>
      <c r="K393" s="16"/>
      <c r="L393" s="18"/>
    </row>
    <row r="394" customFormat="false" ht="15" hidden="false" customHeight="false" outlineLevel="0" collapsed="false">
      <c r="A394" s="18"/>
      <c r="B394" s="16"/>
      <c r="C394" s="16"/>
      <c r="D394" s="51" t="str">
        <f aca="false">IF(C394="","",IFERROR(IF(LEFT(C394,1)="L",INDEX('Leads Pipeline'!$F$5:$F$1004,MATCH(C394,'Leads Pipeline'!$A$5:$A$1004,0)),INDEX('Active Clients'!$D$5:$D$504,MATCH(C394,'Active Clients'!$A$5:$A$504,0)))&amp;"","ID not found"))</f>
        <v/>
      </c>
      <c r="E394" s="51" t="str">
        <f aca="false">IF(C394="","",IFERROR(IF(LEFT(C394,1)="L",INDEX('Leads Pipeline'!$D$5:$D$1004,MATCH(C394,'Leads Pipeline'!$A$5:$A$1004,0)),INDEX('Active Clients'!$B$5:$B$504,MATCH(C394,'Active Clients'!$A$5:$A$504,0)))&amp;"","ID not found"))</f>
        <v/>
      </c>
      <c r="F394" s="51" t="str">
        <f aca="false">IF(C394="","",IFERROR(IF(LEFT(C394,1)="L",INDEX('Leads Pipeline'!$E$5:$E$1004,MATCH(C394,'Leads Pipeline'!$A$5:$A$1004,0)),INDEX('Active Clients'!$C$5:$C$504,MATCH(C394,'Active Clients'!$A$5:$A$504,0)))&amp;"","ID not found"))</f>
        <v/>
      </c>
      <c r="G394" s="16"/>
      <c r="H394" s="16"/>
      <c r="I394" s="16"/>
      <c r="J394" s="16"/>
      <c r="K394" s="16"/>
      <c r="L394" s="18"/>
    </row>
    <row r="395" customFormat="false" ht="15" hidden="false" customHeight="false" outlineLevel="0" collapsed="false">
      <c r="A395" s="18"/>
      <c r="B395" s="16"/>
      <c r="C395" s="16"/>
      <c r="D395" s="51" t="str">
        <f aca="false">IF(C395="","",IFERROR(IF(LEFT(C395,1)="L",INDEX('Leads Pipeline'!$F$5:$F$1004,MATCH(C395,'Leads Pipeline'!$A$5:$A$1004,0)),INDEX('Active Clients'!$D$5:$D$504,MATCH(C395,'Active Clients'!$A$5:$A$504,0)))&amp;"","ID not found"))</f>
        <v/>
      </c>
      <c r="E395" s="51" t="str">
        <f aca="false">IF(C395="","",IFERROR(IF(LEFT(C395,1)="L",INDEX('Leads Pipeline'!$D$5:$D$1004,MATCH(C395,'Leads Pipeline'!$A$5:$A$1004,0)),INDEX('Active Clients'!$B$5:$B$504,MATCH(C395,'Active Clients'!$A$5:$A$504,0)))&amp;"","ID not found"))</f>
        <v/>
      </c>
      <c r="F395" s="51" t="str">
        <f aca="false">IF(C395="","",IFERROR(IF(LEFT(C395,1)="L",INDEX('Leads Pipeline'!$E$5:$E$1004,MATCH(C395,'Leads Pipeline'!$A$5:$A$1004,0)),INDEX('Active Clients'!$C$5:$C$504,MATCH(C395,'Active Clients'!$A$5:$A$504,0)))&amp;"","ID not found"))</f>
        <v/>
      </c>
      <c r="G395" s="16"/>
      <c r="H395" s="16"/>
      <c r="I395" s="16"/>
      <c r="J395" s="16"/>
      <c r="K395" s="16"/>
      <c r="L395" s="18"/>
    </row>
    <row r="396" customFormat="false" ht="15" hidden="false" customHeight="false" outlineLevel="0" collapsed="false">
      <c r="A396" s="18"/>
      <c r="B396" s="16"/>
      <c r="C396" s="16"/>
      <c r="D396" s="51" t="str">
        <f aca="false">IF(C396="","",IFERROR(IF(LEFT(C396,1)="L",INDEX('Leads Pipeline'!$F$5:$F$1004,MATCH(C396,'Leads Pipeline'!$A$5:$A$1004,0)),INDEX('Active Clients'!$D$5:$D$504,MATCH(C396,'Active Clients'!$A$5:$A$504,0)))&amp;"","ID not found"))</f>
        <v/>
      </c>
      <c r="E396" s="51" t="str">
        <f aca="false">IF(C396="","",IFERROR(IF(LEFT(C396,1)="L",INDEX('Leads Pipeline'!$D$5:$D$1004,MATCH(C396,'Leads Pipeline'!$A$5:$A$1004,0)),INDEX('Active Clients'!$B$5:$B$504,MATCH(C396,'Active Clients'!$A$5:$A$504,0)))&amp;"","ID not found"))</f>
        <v/>
      </c>
      <c r="F396" s="51" t="str">
        <f aca="false">IF(C396="","",IFERROR(IF(LEFT(C396,1)="L",INDEX('Leads Pipeline'!$E$5:$E$1004,MATCH(C396,'Leads Pipeline'!$A$5:$A$1004,0)),INDEX('Active Clients'!$C$5:$C$504,MATCH(C396,'Active Clients'!$A$5:$A$504,0)))&amp;"","ID not found"))</f>
        <v/>
      </c>
      <c r="G396" s="16"/>
      <c r="H396" s="16"/>
      <c r="I396" s="16"/>
      <c r="J396" s="16"/>
      <c r="K396" s="16"/>
      <c r="L396" s="18"/>
    </row>
    <row r="397" customFormat="false" ht="15" hidden="false" customHeight="false" outlineLevel="0" collapsed="false">
      <c r="A397" s="18"/>
      <c r="B397" s="16"/>
      <c r="C397" s="16"/>
      <c r="D397" s="51" t="str">
        <f aca="false">IF(C397="","",IFERROR(IF(LEFT(C397,1)="L",INDEX('Leads Pipeline'!$F$5:$F$1004,MATCH(C397,'Leads Pipeline'!$A$5:$A$1004,0)),INDEX('Active Clients'!$D$5:$D$504,MATCH(C397,'Active Clients'!$A$5:$A$504,0)))&amp;"","ID not found"))</f>
        <v/>
      </c>
      <c r="E397" s="51" t="str">
        <f aca="false">IF(C397="","",IFERROR(IF(LEFT(C397,1)="L",INDEX('Leads Pipeline'!$D$5:$D$1004,MATCH(C397,'Leads Pipeline'!$A$5:$A$1004,0)),INDEX('Active Clients'!$B$5:$B$504,MATCH(C397,'Active Clients'!$A$5:$A$504,0)))&amp;"","ID not found"))</f>
        <v/>
      </c>
      <c r="F397" s="51" t="str">
        <f aca="false">IF(C397="","",IFERROR(IF(LEFT(C397,1)="L",INDEX('Leads Pipeline'!$E$5:$E$1004,MATCH(C397,'Leads Pipeline'!$A$5:$A$1004,0)),INDEX('Active Clients'!$C$5:$C$504,MATCH(C397,'Active Clients'!$A$5:$A$504,0)))&amp;"","ID not found"))</f>
        <v/>
      </c>
      <c r="G397" s="16"/>
      <c r="H397" s="16"/>
      <c r="I397" s="16"/>
      <c r="J397" s="16"/>
      <c r="K397" s="16"/>
      <c r="L397" s="18"/>
    </row>
    <row r="398" customFormat="false" ht="15" hidden="false" customHeight="false" outlineLevel="0" collapsed="false">
      <c r="A398" s="18"/>
      <c r="B398" s="16"/>
      <c r="C398" s="16"/>
      <c r="D398" s="51" t="str">
        <f aca="false">IF(C398="","",IFERROR(IF(LEFT(C398,1)="L",INDEX('Leads Pipeline'!$F$5:$F$1004,MATCH(C398,'Leads Pipeline'!$A$5:$A$1004,0)),INDEX('Active Clients'!$D$5:$D$504,MATCH(C398,'Active Clients'!$A$5:$A$504,0)))&amp;"","ID not found"))</f>
        <v/>
      </c>
      <c r="E398" s="51" t="str">
        <f aca="false">IF(C398="","",IFERROR(IF(LEFT(C398,1)="L",INDEX('Leads Pipeline'!$D$5:$D$1004,MATCH(C398,'Leads Pipeline'!$A$5:$A$1004,0)),INDEX('Active Clients'!$B$5:$B$504,MATCH(C398,'Active Clients'!$A$5:$A$504,0)))&amp;"","ID not found"))</f>
        <v/>
      </c>
      <c r="F398" s="51" t="str">
        <f aca="false">IF(C398="","",IFERROR(IF(LEFT(C398,1)="L",INDEX('Leads Pipeline'!$E$5:$E$1004,MATCH(C398,'Leads Pipeline'!$A$5:$A$1004,0)),INDEX('Active Clients'!$C$5:$C$504,MATCH(C398,'Active Clients'!$A$5:$A$504,0)))&amp;"","ID not found"))</f>
        <v/>
      </c>
      <c r="G398" s="16"/>
      <c r="H398" s="16"/>
      <c r="I398" s="16"/>
      <c r="J398" s="16"/>
      <c r="K398" s="16"/>
      <c r="L398" s="18"/>
    </row>
    <row r="399" customFormat="false" ht="15" hidden="false" customHeight="false" outlineLevel="0" collapsed="false">
      <c r="A399" s="18"/>
      <c r="B399" s="16"/>
      <c r="C399" s="16"/>
      <c r="D399" s="51" t="str">
        <f aca="false">IF(C399="","",IFERROR(IF(LEFT(C399,1)="L",INDEX('Leads Pipeline'!$F$5:$F$1004,MATCH(C399,'Leads Pipeline'!$A$5:$A$1004,0)),INDEX('Active Clients'!$D$5:$D$504,MATCH(C399,'Active Clients'!$A$5:$A$504,0)))&amp;"","ID not found"))</f>
        <v/>
      </c>
      <c r="E399" s="51" t="str">
        <f aca="false">IF(C399="","",IFERROR(IF(LEFT(C399,1)="L",INDEX('Leads Pipeline'!$D$5:$D$1004,MATCH(C399,'Leads Pipeline'!$A$5:$A$1004,0)),INDEX('Active Clients'!$B$5:$B$504,MATCH(C399,'Active Clients'!$A$5:$A$504,0)))&amp;"","ID not found"))</f>
        <v/>
      </c>
      <c r="F399" s="51" t="str">
        <f aca="false">IF(C399="","",IFERROR(IF(LEFT(C399,1)="L",INDEX('Leads Pipeline'!$E$5:$E$1004,MATCH(C399,'Leads Pipeline'!$A$5:$A$1004,0)),INDEX('Active Clients'!$C$5:$C$504,MATCH(C399,'Active Clients'!$A$5:$A$504,0)))&amp;"","ID not found"))</f>
        <v/>
      </c>
      <c r="G399" s="16"/>
      <c r="H399" s="16"/>
      <c r="I399" s="16"/>
      <c r="J399" s="16"/>
      <c r="K399" s="16"/>
      <c r="L399" s="18"/>
    </row>
    <row r="400" customFormat="false" ht="15" hidden="false" customHeight="false" outlineLevel="0" collapsed="false">
      <c r="A400" s="18"/>
      <c r="B400" s="16"/>
      <c r="C400" s="16"/>
      <c r="D400" s="51" t="str">
        <f aca="false">IF(C400="","",IFERROR(IF(LEFT(C400,1)="L",INDEX('Leads Pipeline'!$F$5:$F$1004,MATCH(C400,'Leads Pipeline'!$A$5:$A$1004,0)),INDEX('Active Clients'!$D$5:$D$504,MATCH(C400,'Active Clients'!$A$5:$A$504,0)))&amp;"","ID not found"))</f>
        <v/>
      </c>
      <c r="E400" s="51" t="str">
        <f aca="false">IF(C400="","",IFERROR(IF(LEFT(C400,1)="L",INDEX('Leads Pipeline'!$D$5:$D$1004,MATCH(C400,'Leads Pipeline'!$A$5:$A$1004,0)),INDEX('Active Clients'!$B$5:$B$504,MATCH(C400,'Active Clients'!$A$5:$A$504,0)))&amp;"","ID not found"))</f>
        <v/>
      </c>
      <c r="F400" s="51" t="str">
        <f aca="false">IF(C400="","",IFERROR(IF(LEFT(C400,1)="L",INDEX('Leads Pipeline'!$E$5:$E$1004,MATCH(C400,'Leads Pipeline'!$A$5:$A$1004,0)),INDEX('Active Clients'!$C$5:$C$504,MATCH(C400,'Active Clients'!$A$5:$A$504,0)))&amp;"","ID not found"))</f>
        <v/>
      </c>
      <c r="G400" s="16"/>
      <c r="H400" s="16"/>
      <c r="I400" s="16"/>
      <c r="J400" s="16"/>
      <c r="K400" s="16"/>
      <c r="L400" s="18"/>
    </row>
    <row r="401" customFormat="false" ht="15" hidden="false" customHeight="false" outlineLevel="0" collapsed="false">
      <c r="A401" s="18"/>
      <c r="B401" s="16"/>
      <c r="C401" s="16"/>
      <c r="D401" s="51" t="str">
        <f aca="false">IF(C401="","",IFERROR(IF(LEFT(C401,1)="L",INDEX('Leads Pipeline'!$F$5:$F$1004,MATCH(C401,'Leads Pipeline'!$A$5:$A$1004,0)),INDEX('Active Clients'!$D$5:$D$504,MATCH(C401,'Active Clients'!$A$5:$A$504,0)))&amp;"","ID not found"))</f>
        <v/>
      </c>
      <c r="E401" s="51" t="str">
        <f aca="false">IF(C401="","",IFERROR(IF(LEFT(C401,1)="L",INDEX('Leads Pipeline'!$D$5:$D$1004,MATCH(C401,'Leads Pipeline'!$A$5:$A$1004,0)),INDEX('Active Clients'!$B$5:$B$504,MATCH(C401,'Active Clients'!$A$5:$A$504,0)))&amp;"","ID not found"))</f>
        <v/>
      </c>
      <c r="F401" s="51" t="str">
        <f aca="false">IF(C401="","",IFERROR(IF(LEFT(C401,1)="L",INDEX('Leads Pipeline'!$E$5:$E$1004,MATCH(C401,'Leads Pipeline'!$A$5:$A$1004,0)),INDEX('Active Clients'!$C$5:$C$504,MATCH(C401,'Active Clients'!$A$5:$A$504,0)))&amp;"","ID not found"))</f>
        <v/>
      </c>
      <c r="G401" s="16"/>
      <c r="H401" s="16"/>
      <c r="I401" s="16"/>
      <c r="J401" s="16"/>
      <c r="K401" s="16"/>
      <c r="L401" s="18"/>
    </row>
    <row r="402" customFormat="false" ht="15" hidden="false" customHeight="false" outlineLevel="0" collapsed="false">
      <c r="A402" s="18"/>
      <c r="B402" s="16"/>
      <c r="C402" s="16"/>
      <c r="D402" s="51" t="str">
        <f aca="false">IF(C402="","",IFERROR(IF(LEFT(C402,1)="L",INDEX('Leads Pipeline'!$F$5:$F$1004,MATCH(C402,'Leads Pipeline'!$A$5:$A$1004,0)),INDEX('Active Clients'!$D$5:$D$504,MATCH(C402,'Active Clients'!$A$5:$A$504,0)))&amp;"","ID not found"))</f>
        <v/>
      </c>
      <c r="E402" s="51" t="str">
        <f aca="false">IF(C402="","",IFERROR(IF(LEFT(C402,1)="L",INDEX('Leads Pipeline'!$D$5:$D$1004,MATCH(C402,'Leads Pipeline'!$A$5:$A$1004,0)),INDEX('Active Clients'!$B$5:$B$504,MATCH(C402,'Active Clients'!$A$5:$A$504,0)))&amp;"","ID not found"))</f>
        <v/>
      </c>
      <c r="F402" s="51" t="str">
        <f aca="false">IF(C402="","",IFERROR(IF(LEFT(C402,1)="L",INDEX('Leads Pipeline'!$E$5:$E$1004,MATCH(C402,'Leads Pipeline'!$A$5:$A$1004,0)),INDEX('Active Clients'!$C$5:$C$504,MATCH(C402,'Active Clients'!$A$5:$A$504,0)))&amp;"","ID not found"))</f>
        <v/>
      </c>
      <c r="G402" s="16"/>
      <c r="H402" s="16"/>
      <c r="I402" s="16"/>
      <c r="J402" s="16"/>
      <c r="K402" s="16"/>
      <c r="L402" s="18"/>
    </row>
    <row r="403" customFormat="false" ht="15" hidden="false" customHeight="false" outlineLevel="0" collapsed="false">
      <c r="A403" s="18"/>
      <c r="B403" s="16"/>
      <c r="C403" s="16"/>
      <c r="D403" s="51" t="str">
        <f aca="false">IF(C403="","",IFERROR(IF(LEFT(C403,1)="L",INDEX('Leads Pipeline'!$F$5:$F$1004,MATCH(C403,'Leads Pipeline'!$A$5:$A$1004,0)),INDEX('Active Clients'!$D$5:$D$504,MATCH(C403,'Active Clients'!$A$5:$A$504,0)))&amp;"","ID not found"))</f>
        <v/>
      </c>
      <c r="E403" s="51" t="str">
        <f aca="false">IF(C403="","",IFERROR(IF(LEFT(C403,1)="L",INDEX('Leads Pipeline'!$D$5:$D$1004,MATCH(C403,'Leads Pipeline'!$A$5:$A$1004,0)),INDEX('Active Clients'!$B$5:$B$504,MATCH(C403,'Active Clients'!$A$5:$A$504,0)))&amp;"","ID not found"))</f>
        <v/>
      </c>
      <c r="F403" s="51" t="str">
        <f aca="false">IF(C403="","",IFERROR(IF(LEFT(C403,1)="L",INDEX('Leads Pipeline'!$E$5:$E$1004,MATCH(C403,'Leads Pipeline'!$A$5:$A$1004,0)),INDEX('Active Clients'!$C$5:$C$504,MATCH(C403,'Active Clients'!$A$5:$A$504,0)))&amp;"","ID not found"))</f>
        <v/>
      </c>
      <c r="G403" s="16"/>
      <c r="H403" s="16"/>
      <c r="I403" s="16"/>
      <c r="J403" s="16"/>
      <c r="K403" s="16"/>
      <c r="L403" s="18"/>
    </row>
    <row r="404" customFormat="false" ht="15" hidden="false" customHeight="false" outlineLevel="0" collapsed="false">
      <c r="A404" s="18"/>
      <c r="B404" s="16"/>
      <c r="C404" s="16"/>
      <c r="D404" s="51" t="str">
        <f aca="false">IF(C404="","",IFERROR(IF(LEFT(C404,1)="L",INDEX('Leads Pipeline'!$F$5:$F$1004,MATCH(C404,'Leads Pipeline'!$A$5:$A$1004,0)),INDEX('Active Clients'!$D$5:$D$504,MATCH(C404,'Active Clients'!$A$5:$A$504,0)))&amp;"","ID not found"))</f>
        <v/>
      </c>
      <c r="E404" s="51" t="str">
        <f aca="false">IF(C404="","",IFERROR(IF(LEFT(C404,1)="L",INDEX('Leads Pipeline'!$D$5:$D$1004,MATCH(C404,'Leads Pipeline'!$A$5:$A$1004,0)),INDEX('Active Clients'!$B$5:$B$504,MATCH(C404,'Active Clients'!$A$5:$A$504,0)))&amp;"","ID not found"))</f>
        <v/>
      </c>
      <c r="F404" s="51" t="str">
        <f aca="false">IF(C404="","",IFERROR(IF(LEFT(C404,1)="L",INDEX('Leads Pipeline'!$E$5:$E$1004,MATCH(C404,'Leads Pipeline'!$A$5:$A$1004,0)),INDEX('Active Clients'!$C$5:$C$504,MATCH(C404,'Active Clients'!$A$5:$A$504,0)))&amp;"","ID not found"))</f>
        <v/>
      </c>
      <c r="G404" s="16"/>
      <c r="H404" s="16"/>
      <c r="I404" s="16"/>
      <c r="J404" s="16"/>
      <c r="K404" s="16"/>
      <c r="L404" s="18"/>
    </row>
    <row r="405" customFormat="false" ht="15" hidden="false" customHeight="false" outlineLevel="0" collapsed="false">
      <c r="A405" s="18"/>
      <c r="B405" s="16"/>
      <c r="C405" s="16"/>
      <c r="D405" s="51" t="str">
        <f aca="false">IF(C405="","",IFERROR(IF(LEFT(C405,1)="L",INDEX('Leads Pipeline'!$F$5:$F$1004,MATCH(C405,'Leads Pipeline'!$A$5:$A$1004,0)),INDEX('Active Clients'!$D$5:$D$504,MATCH(C405,'Active Clients'!$A$5:$A$504,0)))&amp;"","ID not found"))</f>
        <v/>
      </c>
      <c r="E405" s="51" t="str">
        <f aca="false">IF(C405="","",IFERROR(IF(LEFT(C405,1)="L",INDEX('Leads Pipeline'!$D$5:$D$1004,MATCH(C405,'Leads Pipeline'!$A$5:$A$1004,0)),INDEX('Active Clients'!$B$5:$B$504,MATCH(C405,'Active Clients'!$A$5:$A$504,0)))&amp;"","ID not found"))</f>
        <v/>
      </c>
      <c r="F405" s="51" t="str">
        <f aca="false">IF(C405="","",IFERROR(IF(LEFT(C405,1)="L",INDEX('Leads Pipeline'!$E$5:$E$1004,MATCH(C405,'Leads Pipeline'!$A$5:$A$1004,0)),INDEX('Active Clients'!$C$5:$C$504,MATCH(C405,'Active Clients'!$A$5:$A$504,0)))&amp;"","ID not found"))</f>
        <v/>
      </c>
      <c r="G405" s="16"/>
      <c r="H405" s="16"/>
      <c r="I405" s="16"/>
      <c r="J405" s="16"/>
      <c r="K405" s="16"/>
      <c r="L405" s="18"/>
    </row>
    <row r="406" customFormat="false" ht="15" hidden="false" customHeight="false" outlineLevel="0" collapsed="false">
      <c r="A406" s="18"/>
      <c r="B406" s="16"/>
      <c r="C406" s="16"/>
      <c r="D406" s="51" t="str">
        <f aca="false">IF(C406="","",IFERROR(IF(LEFT(C406,1)="L",INDEX('Leads Pipeline'!$F$5:$F$1004,MATCH(C406,'Leads Pipeline'!$A$5:$A$1004,0)),INDEX('Active Clients'!$D$5:$D$504,MATCH(C406,'Active Clients'!$A$5:$A$504,0)))&amp;"","ID not found"))</f>
        <v/>
      </c>
      <c r="E406" s="51" t="str">
        <f aca="false">IF(C406="","",IFERROR(IF(LEFT(C406,1)="L",INDEX('Leads Pipeline'!$D$5:$D$1004,MATCH(C406,'Leads Pipeline'!$A$5:$A$1004,0)),INDEX('Active Clients'!$B$5:$B$504,MATCH(C406,'Active Clients'!$A$5:$A$504,0)))&amp;"","ID not found"))</f>
        <v/>
      </c>
      <c r="F406" s="51" t="str">
        <f aca="false">IF(C406="","",IFERROR(IF(LEFT(C406,1)="L",INDEX('Leads Pipeline'!$E$5:$E$1004,MATCH(C406,'Leads Pipeline'!$A$5:$A$1004,0)),INDEX('Active Clients'!$C$5:$C$504,MATCH(C406,'Active Clients'!$A$5:$A$504,0)))&amp;"","ID not found"))</f>
        <v/>
      </c>
      <c r="G406" s="16"/>
      <c r="H406" s="16"/>
      <c r="I406" s="16"/>
      <c r="J406" s="16"/>
      <c r="K406" s="16"/>
      <c r="L406" s="18"/>
    </row>
    <row r="407" customFormat="false" ht="15" hidden="false" customHeight="false" outlineLevel="0" collapsed="false">
      <c r="A407" s="18"/>
      <c r="B407" s="16"/>
      <c r="C407" s="16"/>
      <c r="D407" s="51" t="str">
        <f aca="false">IF(C407="","",IFERROR(IF(LEFT(C407,1)="L",INDEX('Leads Pipeline'!$F$5:$F$1004,MATCH(C407,'Leads Pipeline'!$A$5:$A$1004,0)),INDEX('Active Clients'!$D$5:$D$504,MATCH(C407,'Active Clients'!$A$5:$A$504,0)))&amp;"","ID not found"))</f>
        <v/>
      </c>
      <c r="E407" s="51" t="str">
        <f aca="false">IF(C407="","",IFERROR(IF(LEFT(C407,1)="L",INDEX('Leads Pipeline'!$D$5:$D$1004,MATCH(C407,'Leads Pipeline'!$A$5:$A$1004,0)),INDEX('Active Clients'!$B$5:$B$504,MATCH(C407,'Active Clients'!$A$5:$A$504,0)))&amp;"","ID not found"))</f>
        <v/>
      </c>
      <c r="F407" s="51" t="str">
        <f aca="false">IF(C407="","",IFERROR(IF(LEFT(C407,1)="L",INDEX('Leads Pipeline'!$E$5:$E$1004,MATCH(C407,'Leads Pipeline'!$A$5:$A$1004,0)),INDEX('Active Clients'!$C$5:$C$504,MATCH(C407,'Active Clients'!$A$5:$A$504,0)))&amp;"","ID not found"))</f>
        <v/>
      </c>
      <c r="G407" s="16"/>
      <c r="H407" s="16"/>
      <c r="I407" s="16"/>
      <c r="J407" s="16"/>
      <c r="K407" s="16"/>
      <c r="L407" s="18"/>
    </row>
    <row r="408" customFormat="false" ht="15" hidden="false" customHeight="false" outlineLevel="0" collapsed="false">
      <c r="A408" s="18"/>
      <c r="B408" s="16"/>
      <c r="C408" s="16"/>
      <c r="D408" s="51" t="str">
        <f aca="false">IF(C408="","",IFERROR(IF(LEFT(C408,1)="L",INDEX('Leads Pipeline'!$F$5:$F$1004,MATCH(C408,'Leads Pipeline'!$A$5:$A$1004,0)),INDEX('Active Clients'!$D$5:$D$504,MATCH(C408,'Active Clients'!$A$5:$A$504,0)))&amp;"","ID not found"))</f>
        <v/>
      </c>
      <c r="E408" s="51" t="str">
        <f aca="false">IF(C408="","",IFERROR(IF(LEFT(C408,1)="L",INDEX('Leads Pipeline'!$D$5:$D$1004,MATCH(C408,'Leads Pipeline'!$A$5:$A$1004,0)),INDEX('Active Clients'!$B$5:$B$504,MATCH(C408,'Active Clients'!$A$5:$A$504,0)))&amp;"","ID not found"))</f>
        <v/>
      </c>
      <c r="F408" s="51" t="str">
        <f aca="false">IF(C408="","",IFERROR(IF(LEFT(C408,1)="L",INDEX('Leads Pipeline'!$E$5:$E$1004,MATCH(C408,'Leads Pipeline'!$A$5:$A$1004,0)),INDEX('Active Clients'!$C$5:$C$504,MATCH(C408,'Active Clients'!$A$5:$A$504,0)))&amp;"","ID not found"))</f>
        <v/>
      </c>
      <c r="G408" s="16"/>
      <c r="H408" s="16"/>
      <c r="I408" s="16"/>
      <c r="J408" s="16"/>
      <c r="K408" s="16"/>
      <c r="L408" s="18"/>
    </row>
    <row r="409" customFormat="false" ht="15" hidden="false" customHeight="false" outlineLevel="0" collapsed="false">
      <c r="A409" s="18"/>
      <c r="B409" s="16"/>
      <c r="C409" s="16"/>
      <c r="D409" s="51" t="str">
        <f aca="false">IF(C409="","",IFERROR(IF(LEFT(C409,1)="L",INDEX('Leads Pipeline'!$F$5:$F$1004,MATCH(C409,'Leads Pipeline'!$A$5:$A$1004,0)),INDEX('Active Clients'!$D$5:$D$504,MATCH(C409,'Active Clients'!$A$5:$A$504,0)))&amp;"","ID not found"))</f>
        <v/>
      </c>
      <c r="E409" s="51" t="str">
        <f aca="false">IF(C409="","",IFERROR(IF(LEFT(C409,1)="L",INDEX('Leads Pipeline'!$D$5:$D$1004,MATCH(C409,'Leads Pipeline'!$A$5:$A$1004,0)),INDEX('Active Clients'!$B$5:$B$504,MATCH(C409,'Active Clients'!$A$5:$A$504,0)))&amp;"","ID not found"))</f>
        <v/>
      </c>
      <c r="F409" s="51" t="str">
        <f aca="false">IF(C409="","",IFERROR(IF(LEFT(C409,1)="L",INDEX('Leads Pipeline'!$E$5:$E$1004,MATCH(C409,'Leads Pipeline'!$A$5:$A$1004,0)),INDEX('Active Clients'!$C$5:$C$504,MATCH(C409,'Active Clients'!$A$5:$A$504,0)))&amp;"","ID not found"))</f>
        <v/>
      </c>
      <c r="G409" s="16"/>
      <c r="H409" s="16"/>
      <c r="I409" s="16"/>
      <c r="J409" s="16"/>
      <c r="K409" s="16"/>
      <c r="L409" s="18"/>
    </row>
    <row r="410" customFormat="false" ht="15" hidden="false" customHeight="false" outlineLevel="0" collapsed="false">
      <c r="A410" s="18"/>
      <c r="B410" s="16"/>
      <c r="C410" s="16"/>
      <c r="D410" s="51" t="str">
        <f aca="false">IF(C410="","",IFERROR(IF(LEFT(C410,1)="L",INDEX('Leads Pipeline'!$F$5:$F$1004,MATCH(C410,'Leads Pipeline'!$A$5:$A$1004,0)),INDEX('Active Clients'!$D$5:$D$504,MATCH(C410,'Active Clients'!$A$5:$A$504,0)))&amp;"","ID not found"))</f>
        <v/>
      </c>
      <c r="E410" s="51" t="str">
        <f aca="false">IF(C410="","",IFERROR(IF(LEFT(C410,1)="L",INDEX('Leads Pipeline'!$D$5:$D$1004,MATCH(C410,'Leads Pipeline'!$A$5:$A$1004,0)),INDEX('Active Clients'!$B$5:$B$504,MATCH(C410,'Active Clients'!$A$5:$A$504,0)))&amp;"","ID not found"))</f>
        <v/>
      </c>
      <c r="F410" s="51" t="str">
        <f aca="false">IF(C410="","",IFERROR(IF(LEFT(C410,1)="L",INDEX('Leads Pipeline'!$E$5:$E$1004,MATCH(C410,'Leads Pipeline'!$A$5:$A$1004,0)),INDEX('Active Clients'!$C$5:$C$504,MATCH(C410,'Active Clients'!$A$5:$A$504,0)))&amp;"","ID not found"))</f>
        <v/>
      </c>
      <c r="G410" s="16"/>
      <c r="H410" s="16"/>
      <c r="I410" s="16"/>
      <c r="J410" s="16"/>
      <c r="K410" s="16"/>
      <c r="L410" s="18"/>
    </row>
    <row r="411" customFormat="false" ht="15" hidden="false" customHeight="false" outlineLevel="0" collapsed="false">
      <c r="A411" s="18"/>
      <c r="B411" s="16"/>
      <c r="C411" s="16"/>
      <c r="D411" s="51" t="str">
        <f aca="false">IF(C411="","",IFERROR(IF(LEFT(C411,1)="L",INDEX('Leads Pipeline'!$F$5:$F$1004,MATCH(C411,'Leads Pipeline'!$A$5:$A$1004,0)),INDEX('Active Clients'!$D$5:$D$504,MATCH(C411,'Active Clients'!$A$5:$A$504,0)))&amp;"","ID not found"))</f>
        <v/>
      </c>
      <c r="E411" s="51" t="str">
        <f aca="false">IF(C411="","",IFERROR(IF(LEFT(C411,1)="L",INDEX('Leads Pipeline'!$D$5:$D$1004,MATCH(C411,'Leads Pipeline'!$A$5:$A$1004,0)),INDEX('Active Clients'!$B$5:$B$504,MATCH(C411,'Active Clients'!$A$5:$A$504,0)))&amp;"","ID not found"))</f>
        <v/>
      </c>
      <c r="F411" s="51" t="str">
        <f aca="false">IF(C411="","",IFERROR(IF(LEFT(C411,1)="L",INDEX('Leads Pipeline'!$E$5:$E$1004,MATCH(C411,'Leads Pipeline'!$A$5:$A$1004,0)),INDEX('Active Clients'!$C$5:$C$504,MATCH(C411,'Active Clients'!$A$5:$A$504,0)))&amp;"","ID not found"))</f>
        <v/>
      </c>
      <c r="G411" s="16"/>
      <c r="H411" s="16"/>
      <c r="I411" s="16"/>
      <c r="J411" s="16"/>
      <c r="K411" s="16"/>
      <c r="L411" s="18"/>
    </row>
    <row r="412" customFormat="false" ht="15" hidden="false" customHeight="false" outlineLevel="0" collapsed="false">
      <c r="A412" s="18"/>
      <c r="B412" s="16"/>
      <c r="C412" s="16"/>
      <c r="D412" s="51" t="str">
        <f aca="false">IF(C412="","",IFERROR(IF(LEFT(C412,1)="L",INDEX('Leads Pipeline'!$F$5:$F$1004,MATCH(C412,'Leads Pipeline'!$A$5:$A$1004,0)),INDEX('Active Clients'!$D$5:$D$504,MATCH(C412,'Active Clients'!$A$5:$A$504,0)))&amp;"","ID not found"))</f>
        <v/>
      </c>
      <c r="E412" s="51" t="str">
        <f aca="false">IF(C412="","",IFERROR(IF(LEFT(C412,1)="L",INDEX('Leads Pipeline'!$D$5:$D$1004,MATCH(C412,'Leads Pipeline'!$A$5:$A$1004,0)),INDEX('Active Clients'!$B$5:$B$504,MATCH(C412,'Active Clients'!$A$5:$A$504,0)))&amp;"","ID not found"))</f>
        <v/>
      </c>
      <c r="F412" s="51" t="str">
        <f aca="false">IF(C412="","",IFERROR(IF(LEFT(C412,1)="L",INDEX('Leads Pipeline'!$E$5:$E$1004,MATCH(C412,'Leads Pipeline'!$A$5:$A$1004,0)),INDEX('Active Clients'!$C$5:$C$504,MATCH(C412,'Active Clients'!$A$5:$A$504,0)))&amp;"","ID not found"))</f>
        <v/>
      </c>
      <c r="G412" s="16"/>
      <c r="H412" s="16"/>
      <c r="I412" s="16"/>
      <c r="J412" s="16"/>
      <c r="K412" s="16"/>
      <c r="L412" s="18"/>
    </row>
    <row r="413" customFormat="false" ht="15" hidden="false" customHeight="false" outlineLevel="0" collapsed="false">
      <c r="A413" s="18"/>
      <c r="B413" s="16"/>
      <c r="C413" s="16"/>
      <c r="D413" s="51" t="str">
        <f aca="false">IF(C413="","",IFERROR(IF(LEFT(C413,1)="L",INDEX('Leads Pipeline'!$F$5:$F$1004,MATCH(C413,'Leads Pipeline'!$A$5:$A$1004,0)),INDEX('Active Clients'!$D$5:$D$504,MATCH(C413,'Active Clients'!$A$5:$A$504,0)))&amp;"","ID not found"))</f>
        <v/>
      </c>
      <c r="E413" s="51" t="str">
        <f aca="false">IF(C413="","",IFERROR(IF(LEFT(C413,1)="L",INDEX('Leads Pipeline'!$D$5:$D$1004,MATCH(C413,'Leads Pipeline'!$A$5:$A$1004,0)),INDEX('Active Clients'!$B$5:$B$504,MATCH(C413,'Active Clients'!$A$5:$A$504,0)))&amp;"","ID not found"))</f>
        <v/>
      </c>
      <c r="F413" s="51" t="str">
        <f aca="false">IF(C413="","",IFERROR(IF(LEFT(C413,1)="L",INDEX('Leads Pipeline'!$E$5:$E$1004,MATCH(C413,'Leads Pipeline'!$A$5:$A$1004,0)),INDEX('Active Clients'!$C$5:$C$504,MATCH(C413,'Active Clients'!$A$5:$A$504,0)))&amp;"","ID not found"))</f>
        <v/>
      </c>
      <c r="G413" s="16"/>
      <c r="H413" s="16"/>
      <c r="I413" s="16"/>
      <c r="J413" s="16"/>
      <c r="K413" s="16"/>
      <c r="L413" s="18"/>
    </row>
    <row r="414" customFormat="false" ht="15" hidden="false" customHeight="false" outlineLevel="0" collapsed="false">
      <c r="A414" s="18"/>
      <c r="B414" s="16"/>
      <c r="C414" s="16"/>
      <c r="D414" s="51" t="str">
        <f aca="false">IF(C414="","",IFERROR(IF(LEFT(C414,1)="L",INDEX('Leads Pipeline'!$F$5:$F$1004,MATCH(C414,'Leads Pipeline'!$A$5:$A$1004,0)),INDEX('Active Clients'!$D$5:$D$504,MATCH(C414,'Active Clients'!$A$5:$A$504,0)))&amp;"","ID not found"))</f>
        <v/>
      </c>
      <c r="E414" s="51" t="str">
        <f aca="false">IF(C414="","",IFERROR(IF(LEFT(C414,1)="L",INDEX('Leads Pipeline'!$D$5:$D$1004,MATCH(C414,'Leads Pipeline'!$A$5:$A$1004,0)),INDEX('Active Clients'!$B$5:$B$504,MATCH(C414,'Active Clients'!$A$5:$A$504,0)))&amp;"","ID not found"))</f>
        <v/>
      </c>
      <c r="F414" s="51" t="str">
        <f aca="false">IF(C414="","",IFERROR(IF(LEFT(C414,1)="L",INDEX('Leads Pipeline'!$E$5:$E$1004,MATCH(C414,'Leads Pipeline'!$A$5:$A$1004,0)),INDEX('Active Clients'!$C$5:$C$504,MATCH(C414,'Active Clients'!$A$5:$A$504,0)))&amp;"","ID not found"))</f>
        <v/>
      </c>
      <c r="G414" s="16"/>
      <c r="H414" s="16"/>
      <c r="I414" s="16"/>
      <c r="J414" s="16"/>
      <c r="K414" s="16"/>
      <c r="L414" s="18"/>
    </row>
    <row r="415" customFormat="false" ht="15" hidden="false" customHeight="false" outlineLevel="0" collapsed="false">
      <c r="A415" s="18"/>
      <c r="B415" s="16"/>
      <c r="C415" s="16"/>
      <c r="D415" s="51" t="str">
        <f aca="false">IF(C415="","",IFERROR(IF(LEFT(C415,1)="L",INDEX('Leads Pipeline'!$F$5:$F$1004,MATCH(C415,'Leads Pipeline'!$A$5:$A$1004,0)),INDEX('Active Clients'!$D$5:$D$504,MATCH(C415,'Active Clients'!$A$5:$A$504,0)))&amp;"","ID not found"))</f>
        <v/>
      </c>
      <c r="E415" s="51" t="str">
        <f aca="false">IF(C415="","",IFERROR(IF(LEFT(C415,1)="L",INDEX('Leads Pipeline'!$D$5:$D$1004,MATCH(C415,'Leads Pipeline'!$A$5:$A$1004,0)),INDEX('Active Clients'!$B$5:$B$504,MATCH(C415,'Active Clients'!$A$5:$A$504,0)))&amp;"","ID not found"))</f>
        <v/>
      </c>
      <c r="F415" s="51" t="str">
        <f aca="false">IF(C415="","",IFERROR(IF(LEFT(C415,1)="L",INDEX('Leads Pipeline'!$E$5:$E$1004,MATCH(C415,'Leads Pipeline'!$A$5:$A$1004,0)),INDEX('Active Clients'!$C$5:$C$504,MATCH(C415,'Active Clients'!$A$5:$A$504,0)))&amp;"","ID not found"))</f>
        <v/>
      </c>
      <c r="G415" s="16"/>
      <c r="H415" s="16"/>
      <c r="I415" s="16"/>
      <c r="J415" s="16"/>
      <c r="K415" s="16"/>
      <c r="L415" s="18"/>
    </row>
    <row r="416" customFormat="false" ht="15" hidden="false" customHeight="false" outlineLevel="0" collapsed="false">
      <c r="A416" s="18"/>
      <c r="B416" s="16"/>
      <c r="C416" s="16"/>
      <c r="D416" s="51" t="str">
        <f aca="false">IF(C416="","",IFERROR(IF(LEFT(C416,1)="L",INDEX('Leads Pipeline'!$F$5:$F$1004,MATCH(C416,'Leads Pipeline'!$A$5:$A$1004,0)),INDEX('Active Clients'!$D$5:$D$504,MATCH(C416,'Active Clients'!$A$5:$A$504,0)))&amp;"","ID not found"))</f>
        <v/>
      </c>
      <c r="E416" s="51" t="str">
        <f aca="false">IF(C416="","",IFERROR(IF(LEFT(C416,1)="L",INDEX('Leads Pipeline'!$D$5:$D$1004,MATCH(C416,'Leads Pipeline'!$A$5:$A$1004,0)),INDEX('Active Clients'!$B$5:$B$504,MATCH(C416,'Active Clients'!$A$5:$A$504,0)))&amp;"","ID not found"))</f>
        <v/>
      </c>
      <c r="F416" s="51" t="str">
        <f aca="false">IF(C416="","",IFERROR(IF(LEFT(C416,1)="L",INDEX('Leads Pipeline'!$E$5:$E$1004,MATCH(C416,'Leads Pipeline'!$A$5:$A$1004,0)),INDEX('Active Clients'!$C$5:$C$504,MATCH(C416,'Active Clients'!$A$5:$A$504,0)))&amp;"","ID not found"))</f>
        <v/>
      </c>
      <c r="G416" s="16"/>
      <c r="H416" s="16"/>
      <c r="I416" s="16"/>
      <c r="J416" s="16"/>
      <c r="K416" s="16"/>
      <c r="L416" s="18"/>
    </row>
    <row r="417" customFormat="false" ht="15" hidden="false" customHeight="false" outlineLevel="0" collapsed="false">
      <c r="A417" s="18"/>
      <c r="B417" s="16"/>
      <c r="C417" s="16"/>
      <c r="D417" s="51" t="str">
        <f aca="false">IF(C417="","",IFERROR(IF(LEFT(C417,1)="L",INDEX('Leads Pipeline'!$F$5:$F$1004,MATCH(C417,'Leads Pipeline'!$A$5:$A$1004,0)),INDEX('Active Clients'!$D$5:$D$504,MATCH(C417,'Active Clients'!$A$5:$A$504,0)))&amp;"","ID not found"))</f>
        <v/>
      </c>
      <c r="E417" s="51" t="str">
        <f aca="false">IF(C417="","",IFERROR(IF(LEFT(C417,1)="L",INDEX('Leads Pipeline'!$D$5:$D$1004,MATCH(C417,'Leads Pipeline'!$A$5:$A$1004,0)),INDEX('Active Clients'!$B$5:$B$504,MATCH(C417,'Active Clients'!$A$5:$A$504,0)))&amp;"","ID not found"))</f>
        <v/>
      </c>
      <c r="F417" s="51" t="str">
        <f aca="false">IF(C417="","",IFERROR(IF(LEFT(C417,1)="L",INDEX('Leads Pipeline'!$E$5:$E$1004,MATCH(C417,'Leads Pipeline'!$A$5:$A$1004,0)),INDEX('Active Clients'!$C$5:$C$504,MATCH(C417,'Active Clients'!$A$5:$A$504,0)))&amp;"","ID not found"))</f>
        <v/>
      </c>
      <c r="G417" s="16"/>
      <c r="H417" s="16"/>
      <c r="I417" s="16"/>
      <c r="J417" s="16"/>
      <c r="K417" s="16"/>
      <c r="L417" s="18"/>
    </row>
    <row r="418" customFormat="false" ht="15" hidden="false" customHeight="false" outlineLevel="0" collapsed="false">
      <c r="A418" s="18"/>
      <c r="B418" s="16"/>
      <c r="C418" s="16"/>
      <c r="D418" s="51" t="str">
        <f aca="false">IF(C418="","",IFERROR(IF(LEFT(C418,1)="L",INDEX('Leads Pipeline'!$F$5:$F$1004,MATCH(C418,'Leads Pipeline'!$A$5:$A$1004,0)),INDEX('Active Clients'!$D$5:$D$504,MATCH(C418,'Active Clients'!$A$5:$A$504,0)))&amp;"","ID not found"))</f>
        <v/>
      </c>
      <c r="E418" s="51" t="str">
        <f aca="false">IF(C418="","",IFERROR(IF(LEFT(C418,1)="L",INDEX('Leads Pipeline'!$D$5:$D$1004,MATCH(C418,'Leads Pipeline'!$A$5:$A$1004,0)),INDEX('Active Clients'!$B$5:$B$504,MATCH(C418,'Active Clients'!$A$5:$A$504,0)))&amp;"","ID not found"))</f>
        <v/>
      </c>
      <c r="F418" s="51" t="str">
        <f aca="false">IF(C418="","",IFERROR(IF(LEFT(C418,1)="L",INDEX('Leads Pipeline'!$E$5:$E$1004,MATCH(C418,'Leads Pipeline'!$A$5:$A$1004,0)),INDEX('Active Clients'!$C$5:$C$504,MATCH(C418,'Active Clients'!$A$5:$A$504,0)))&amp;"","ID not found"))</f>
        <v/>
      </c>
      <c r="G418" s="16"/>
      <c r="H418" s="16"/>
      <c r="I418" s="16"/>
      <c r="J418" s="16"/>
      <c r="K418" s="16"/>
      <c r="L418" s="18"/>
    </row>
    <row r="419" customFormat="false" ht="15" hidden="false" customHeight="false" outlineLevel="0" collapsed="false">
      <c r="A419" s="18"/>
      <c r="B419" s="16"/>
      <c r="C419" s="16"/>
      <c r="D419" s="51" t="str">
        <f aca="false">IF(C419="","",IFERROR(IF(LEFT(C419,1)="L",INDEX('Leads Pipeline'!$F$5:$F$1004,MATCH(C419,'Leads Pipeline'!$A$5:$A$1004,0)),INDEX('Active Clients'!$D$5:$D$504,MATCH(C419,'Active Clients'!$A$5:$A$504,0)))&amp;"","ID not found"))</f>
        <v/>
      </c>
      <c r="E419" s="51" t="str">
        <f aca="false">IF(C419="","",IFERROR(IF(LEFT(C419,1)="L",INDEX('Leads Pipeline'!$D$5:$D$1004,MATCH(C419,'Leads Pipeline'!$A$5:$A$1004,0)),INDEX('Active Clients'!$B$5:$B$504,MATCH(C419,'Active Clients'!$A$5:$A$504,0)))&amp;"","ID not found"))</f>
        <v/>
      </c>
      <c r="F419" s="51" t="str">
        <f aca="false">IF(C419="","",IFERROR(IF(LEFT(C419,1)="L",INDEX('Leads Pipeline'!$E$5:$E$1004,MATCH(C419,'Leads Pipeline'!$A$5:$A$1004,0)),INDEX('Active Clients'!$C$5:$C$504,MATCH(C419,'Active Clients'!$A$5:$A$504,0)))&amp;"","ID not found"))</f>
        <v/>
      </c>
      <c r="G419" s="16"/>
      <c r="H419" s="16"/>
      <c r="I419" s="16"/>
      <c r="J419" s="16"/>
      <c r="K419" s="16"/>
      <c r="L419" s="18"/>
    </row>
    <row r="420" customFormat="false" ht="15" hidden="false" customHeight="false" outlineLevel="0" collapsed="false">
      <c r="A420" s="18"/>
      <c r="B420" s="16"/>
      <c r="C420" s="16"/>
      <c r="D420" s="51" t="str">
        <f aca="false">IF(C420="","",IFERROR(IF(LEFT(C420,1)="L",INDEX('Leads Pipeline'!$F$5:$F$1004,MATCH(C420,'Leads Pipeline'!$A$5:$A$1004,0)),INDEX('Active Clients'!$D$5:$D$504,MATCH(C420,'Active Clients'!$A$5:$A$504,0)))&amp;"","ID not found"))</f>
        <v/>
      </c>
      <c r="E420" s="51" t="str">
        <f aca="false">IF(C420="","",IFERROR(IF(LEFT(C420,1)="L",INDEX('Leads Pipeline'!$D$5:$D$1004,MATCH(C420,'Leads Pipeline'!$A$5:$A$1004,0)),INDEX('Active Clients'!$B$5:$B$504,MATCH(C420,'Active Clients'!$A$5:$A$504,0)))&amp;"","ID not found"))</f>
        <v/>
      </c>
      <c r="F420" s="51" t="str">
        <f aca="false">IF(C420="","",IFERROR(IF(LEFT(C420,1)="L",INDEX('Leads Pipeline'!$E$5:$E$1004,MATCH(C420,'Leads Pipeline'!$A$5:$A$1004,0)),INDEX('Active Clients'!$C$5:$C$504,MATCH(C420,'Active Clients'!$A$5:$A$504,0)))&amp;"","ID not found"))</f>
        <v/>
      </c>
      <c r="G420" s="16"/>
      <c r="H420" s="16"/>
      <c r="I420" s="16"/>
      <c r="J420" s="16"/>
      <c r="K420" s="16"/>
      <c r="L420" s="18"/>
    </row>
    <row r="421" customFormat="false" ht="15" hidden="false" customHeight="false" outlineLevel="0" collapsed="false">
      <c r="A421" s="18"/>
      <c r="B421" s="16"/>
      <c r="C421" s="16"/>
      <c r="D421" s="51" t="str">
        <f aca="false">IF(C421="","",IFERROR(IF(LEFT(C421,1)="L",INDEX('Leads Pipeline'!$F$5:$F$1004,MATCH(C421,'Leads Pipeline'!$A$5:$A$1004,0)),INDEX('Active Clients'!$D$5:$D$504,MATCH(C421,'Active Clients'!$A$5:$A$504,0)))&amp;"","ID not found"))</f>
        <v/>
      </c>
      <c r="E421" s="51" t="str">
        <f aca="false">IF(C421="","",IFERROR(IF(LEFT(C421,1)="L",INDEX('Leads Pipeline'!$D$5:$D$1004,MATCH(C421,'Leads Pipeline'!$A$5:$A$1004,0)),INDEX('Active Clients'!$B$5:$B$504,MATCH(C421,'Active Clients'!$A$5:$A$504,0)))&amp;"","ID not found"))</f>
        <v/>
      </c>
      <c r="F421" s="51" t="str">
        <f aca="false">IF(C421="","",IFERROR(IF(LEFT(C421,1)="L",INDEX('Leads Pipeline'!$E$5:$E$1004,MATCH(C421,'Leads Pipeline'!$A$5:$A$1004,0)),INDEX('Active Clients'!$C$5:$C$504,MATCH(C421,'Active Clients'!$A$5:$A$504,0)))&amp;"","ID not found"))</f>
        <v/>
      </c>
      <c r="G421" s="16"/>
      <c r="H421" s="16"/>
      <c r="I421" s="16"/>
      <c r="J421" s="16"/>
      <c r="K421" s="16"/>
      <c r="L421" s="18"/>
    </row>
    <row r="422" customFormat="false" ht="15" hidden="false" customHeight="false" outlineLevel="0" collapsed="false">
      <c r="A422" s="18"/>
      <c r="B422" s="16"/>
      <c r="C422" s="16"/>
      <c r="D422" s="51" t="str">
        <f aca="false">IF(C422="","",IFERROR(IF(LEFT(C422,1)="L",INDEX('Leads Pipeline'!$F$5:$F$1004,MATCH(C422,'Leads Pipeline'!$A$5:$A$1004,0)),INDEX('Active Clients'!$D$5:$D$504,MATCH(C422,'Active Clients'!$A$5:$A$504,0)))&amp;"","ID not found"))</f>
        <v/>
      </c>
      <c r="E422" s="51" t="str">
        <f aca="false">IF(C422="","",IFERROR(IF(LEFT(C422,1)="L",INDEX('Leads Pipeline'!$D$5:$D$1004,MATCH(C422,'Leads Pipeline'!$A$5:$A$1004,0)),INDEX('Active Clients'!$B$5:$B$504,MATCH(C422,'Active Clients'!$A$5:$A$504,0)))&amp;"","ID not found"))</f>
        <v/>
      </c>
      <c r="F422" s="51" t="str">
        <f aca="false">IF(C422="","",IFERROR(IF(LEFT(C422,1)="L",INDEX('Leads Pipeline'!$E$5:$E$1004,MATCH(C422,'Leads Pipeline'!$A$5:$A$1004,0)),INDEX('Active Clients'!$C$5:$C$504,MATCH(C422,'Active Clients'!$A$5:$A$504,0)))&amp;"","ID not found"))</f>
        <v/>
      </c>
      <c r="G422" s="16"/>
      <c r="H422" s="16"/>
      <c r="I422" s="16"/>
      <c r="J422" s="16"/>
      <c r="K422" s="16"/>
      <c r="L422" s="18"/>
    </row>
    <row r="423" customFormat="false" ht="15" hidden="false" customHeight="false" outlineLevel="0" collapsed="false">
      <c r="A423" s="18"/>
      <c r="B423" s="16"/>
      <c r="C423" s="16"/>
      <c r="D423" s="51" t="str">
        <f aca="false">IF(C423="","",IFERROR(IF(LEFT(C423,1)="L",INDEX('Leads Pipeline'!$F$5:$F$1004,MATCH(C423,'Leads Pipeline'!$A$5:$A$1004,0)),INDEX('Active Clients'!$D$5:$D$504,MATCH(C423,'Active Clients'!$A$5:$A$504,0)))&amp;"","ID not found"))</f>
        <v/>
      </c>
      <c r="E423" s="51" t="str">
        <f aca="false">IF(C423="","",IFERROR(IF(LEFT(C423,1)="L",INDEX('Leads Pipeline'!$D$5:$D$1004,MATCH(C423,'Leads Pipeline'!$A$5:$A$1004,0)),INDEX('Active Clients'!$B$5:$B$504,MATCH(C423,'Active Clients'!$A$5:$A$504,0)))&amp;"","ID not found"))</f>
        <v/>
      </c>
      <c r="F423" s="51" t="str">
        <f aca="false">IF(C423="","",IFERROR(IF(LEFT(C423,1)="L",INDEX('Leads Pipeline'!$E$5:$E$1004,MATCH(C423,'Leads Pipeline'!$A$5:$A$1004,0)),INDEX('Active Clients'!$C$5:$C$504,MATCH(C423,'Active Clients'!$A$5:$A$504,0)))&amp;"","ID not found"))</f>
        <v/>
      </c>
      <c r="G423" s="16"/>
      <c r="H423" s="16"/>
      <c r="I423" s="16"/>
      <c r="J423" s="16"/>
      <c r="K423" s="16"/>
      <c r="L423" s="18"/>
    </row>
    <row r="424" customFormat="false" ht="15" hidden="false" customHeight="false" outlineLevel="0" collapsed="false">
      <c r="A424" s="18"/>
      <c r="B424" s="16"/>
      <c r="C424" s="16"/>
      <c r="D424" s="51" t="str">
        <f aca="false">IF(C424="","",IFERROR(IF(LEFT(C424,1)="L",INDEX('Leads Pipeline'!$F$5:$F$1004,MATCH(C424,'Leads Pipeline'!$A$5:$A$1004,0)),INDEX('Active Clients'!$D$5:$D$504,MATCH(C424,'Active Clients'!$A$5:$A$504,0)))&amp;"","ID not found"))</f>
        <v/>
      </c>
      <c r="E424" s="51" t="str">
        <f aca="false">IF(C424="","",IFERROR(IF(LEFT(C424,1)="L",INDEX('Leads Pipeline'!$D$5:$D$1004,MATCH(C424,'Leads Pipeline'!$A$5:$A$1004,0)),INDEX('Active Clients'!$B$5:$B$504,MATCH(C424,'Active Clients'!$A$5:$A$504,0)))&amp;"","ID not found"))</f>
        <v/>
      </c>
      <c r="F424" s="51" t="str">
        <f aca="false">IF(C424="","",IFERROR(IF(LEFT(C424,1)="L",INDEX('Leads Pipeline'!$E$5:$E$1004,MATCH(C424,'Leads Pipeline'!$A$5:$A$1004,0)),INDEX('Active Clients'!$C$5:$C$504,MATCH(C424,'Active Clients'!$A$5:$A$504,0)))&amp;"","ID not found"))</f>
        <v/>
      </c>
      <c r="G424" s="16"/>
      <c r="H424" s="16"/>
      <c r="I424" s="16"/>
      <c r="J424" s="16"/>
      <c r="K424" s="16"/>
      <c r="L424" s="18"/>
    </row>
    <row r="425" customFormat="false" ht="15" hidden="false" customHeight="false" outlineLevel="0" collapsed="false">
      <c r="A425" s="18"/>
      <c r="B425" s="16"/>
      <c r="C425" s="16"/>
      <c r="D425" s="51" t="str">
        <f aca="false">IF(C425="","",IFERROR(IF(LEFT(C425,1)="L",INDEX('Leads Pipeline'!$F$5:$F$1004,MATCH(C425,'Leads Pipeline'!$A$5:$A$1004,0)),INDEX('Active Clients'!$D$5:$D$504,MATCH(C425,'Active Clients'!$A$5:$A$504,0)))&amp;"","ID not found"))</f>
        <v/>
      </c>
      <c r="E425" s="51" t="str">
        <f aca="false">IF(C425="","",IFERROR(IF(LEFT(C425,1)="L",INDEX('Leads Pipeline'!$D$5:$D$1004,MATCH(C425,'Leads Pipeline'!$A$5:$A$1004,0)),INDEX('Active Clients'!$B$5:$B$504,MATCH(C425,'Active Clients'!$A$5:$A$504,0)))&amp;"","ID not found"))</f>
        <v/>
      </c>
      <c r="F425" s="51" t="str">
        <f aca="false">IF(C425="","",IFERROR(IF(LEFT(C425,1)="L",INDEX('Leads Pipeline'!$E$5:$E$1004,MATCH(C425,'Leads Pipeline'!$A$5:$A$1004,0)),INDEX('Active Clients'!$C$5:$C$504,MATCH(C425,'Active Clients'!$A$5:$A$504,0)))&amp;"","ID not found"))</f>
        <v/>
      </c>
      <c r="G425" s="16"/>
      <c r="H425" s="16"/>
      <c r="I425" s="16"/>
      <c r="J425" s="16"/>
      <c r="K425" s="16"/>
      <c r="L425" s="18"/>
    </row>
    <row r="426" customFormat="false" ht="15" hidden="false" customHeight="false" outlineLevel="0" collapsed="false">
      <c r="A426" s="18"/>
      <c r="B426" s="16"/>
      <c r="C426" s="16"/>
      <c r="D426" s="51" t="str">
        <f aca="false">IF(C426="","",IFERROR(IF(LEFT(C426,1)="L",INDEX('Leads Pipeline'!$F$5:$F$1004,MATCH(C426,'Leads Pipeline'!$A$5:$A$1004,0)),INDEX('Active Clients'!$D$5:$D$504,MATCH(C426,'Active Clients'!$A$5:$A$504,0)))&amp;"","ID not found"))</f>
        <v/>
      </c>
      <c r="E426" s="51" t="str">
        <f aca="false">IF(C426="","",IFERROR(IF(LEFT(C426,1)="L",INDEX('Leads Pipeline'!$D$5:$D$1004,MATCH(C426,'Leads Pipeline'!$A$5:$A$1004,0)),INDEX('Active Clients'!$B$5:$B$504,MATCH(C426,'Active Clients'!$A$5:$A$504,0)))&amp;"","ID not found"))</f>
        <v/>
      </c>
      <c r="F426" s="51" t="str">
        <f aca="false">IF(C426="","",IFERROR(IF(LEFT(C426,1)="L",INDEX('Leads Pipeline'!$E$5:$E$1004,MATCH(C426,'Leads Pipeline'!$A$5:$A$1004,0)),INDEX('Active Clients'!$C$5:$C$504,MATCH(C426,'Active Clients'!$A$5:$A$504,0)))&amp;"","ID not found"))</f>
        <v/>
      </c>
      <c r="G426" s="16"/>
      <c r="H426" s="16"/>
      <c r="I426" s="16"/>
      <c r="J426" s="16"/>
      <c r="K426" s="16"/>
      <c r="L426" s="18"/>
    </row>
    <row r="427" customFormat="false" ht="15" hidden="false" customHeight="false" outlineLevel="0" collapsed="false">
      <c r="A427" s="18"/>
      <c r="B427" s="16"/>
      <c r="C427" s="16"/>
      <c r="D427" s="51" t="str">
        <f aca="false">IF(C427="","",IFERROR(IF(LEFT(C427,1)="L",INDEX('Leads Pipeline'!$F$5:$F$1004,MATCH(C427,'Leads Pipeline'!$A$5:$A$1004,0)),INDEX('Active Clients'!$D$5:$D$504,MATCH(C427,'Active Clients'!$A$5:$A$504,0)))&amp;"","ID not found"))</f>
        <v/>
      </c>
      <c r="E427" s="51" t="str">
        <f aca="false">IF(C427="","",IFERROR(IF(LEFT(C427,1)="L",INDEX('Leads Pipeline'!$D$5:$D$1004,MATCH(C427,'Leads Pipeline'!$A$5:$A$1004,0)),INDEX('Active Clients'!$B$5:$B$504,MATCH(C427,'Active Clients'!$A$5:$A$504,0)))&amp;"","ID not found"))</f>
        <v/>
      </c>
      <c r="F427" s="51" t="str">
        <f aca="false">IF(C427="","",IFERROR(IF(LEFT(C427,1)="L",INDEX('Leads Pipeline'!$E$5:$E$1004,MATCH(C427,'Leads Pipeline'!$A$5:$A$1004,0)),INDEX('Active Clients'!$C$5:$C$504,MATCH(C427,'Active Clients'!$A$5:$A$504,0)))&amp;"","ID not found"))</f>
        <v/>
      </c>
      <c r="G427" s="16"/>
      <c r="H427" s="16"/>
      <c r="I427" s="16"/>
      <c r="J427" s="16"/>
      <c r="K427" s="16"/>
      <c r="L427" s="18"/>
    </row>
    <row r="428" customFormat="false" ht="15" hidden="false" customHeight="false" outlineLevel="0" collapsed="false">
      <c r="A428" s="18"/>
      <c r="B428" s="16"/>
      <c r="C428" s="16"/>
      <c r="D428" s="51" t="str">
        <f aca="false">IF(C428="","",IFERROR(IF(LEFT(C428,1)="L",INDEX('Leads Pipeline'!$F$5:$F$1004,MATCH(C428,'Leads Pipeline'!$A$5:$A$1004,0)),INDEX('Active Clients'!$D$5:$D$504,MATCH(C428,'Active Clients'!$A$5:$A$504,0)))&amp;"","ID not found"))</f>
        <v/>
      </c>
      <c r="E428" s="51" t="str">
        <f aca="false">IF(C428="","",IFERROR(IF(LEFT(C428,1)="L",INDEX('Leads Pipeline'!$D$5:$D$1004,MATCH(C428,'Leads Pipeline'!$A$5:$A$1004,0)),INDEX('Active Clients'!$B$5:$B$504,MATCH(C428,'Active Clients'!$A$5:$A$504,0)))&amp;"","ID not found"))</f>
        <v/>
      </c>
      <c r="F428" s="51" t="str">
        <f aca="false">IF(C428="","",IFERROR(IF(LEFT(C428,1)="L",INDEX('Leads Pipeline'!$E$5:$E$1004,MATCH(C428,'Leads Pipeline'!$A$5:$A$1004,0)),INDEX('Active Clients'!$C$5:$C$504,MATCH(C428,'Active Clients'!$A$5:$A$504,0)))&amp;"","ID not found"))</f>
        <v/>
      </c>
      <c r="G428" s="16"/>
      <c r="H428" s="16"/>
      <c r="I428" s="16"/>
      <c r="J428" s="16"/>
      <c r="K428" s="16"/>
      <c r="L428" s="18"/>
    </row>
    <row r="429" customFormat="false" ht="15" hidden="false" customHeight="false" outlineLevel="0" collapsed="false">
      <c r="A429" s="18"/>
      <c r="B429" s="16"/>
      <c r="C429" s="16"/>
      <c r="D429" s="51" t="str">
        <f aca="false">IF(C429="","",IFERROR(IF(LEFT(C429,1)="L",INDEX('Leads Pipeline'!$F$5:$F$1004,MATCH(C429,'Leads Pipeline'!$A$5:$A$1004,0)),INDEX('Active Clients'!$D$5:$D$504,MATCH(C429,'Active Clients'!$A$5:$A$504,0)))&amp;"","ID not found"))</f>
        <v/>
      </c>
      <c r="E429" s="51" t="str">
        <f aca="false">IF(C429="","",IFERROR(IF(LEFT(C429,1)="L",INDEX('Leads Pipeline'!$D$5:$D$1004,MATCH(C429,'Leads Pipeline'!$A$5:$A$1004,0)),INDEX('Active Clients'!$B$5:$B$504,MATCH(C429,'Active Clients'!$A$5:$A$504,0)))&amp;"","ID not found"))</f>
        <v/>
      </c>
      <c r="F429" s="51" t="str">
        <f aca="false">IF(C429="","",IFERROR(IF(LEFT(C429,1)="L",INDEX('Leads Pipeline'!$E$5:$E$1004,MATCH(C429,'Leads Pipeline'!$A$5:$A$1004,0)),INDEX('Active Clients'!$C$5:$C$504,MATCH(C429,'Active Clients'!$A$5:$A$504,0)))&amp;"","ID not found"))</f>
        <v/>
      </c>
      <c r="G429" s="16"/>
      <c r="H429" s="16"/>
      <c r="I429" s="16"/>
      <c r="J429" s="16"/>
      <c r="K429" s="16"/>
      <c r="L429" s="18"/>
    </row>
    <row r="430" customFormat="false" ht="15" hidden="false" customHeight="false" outlineLevel="0" collapsed="false">
      <c r="A430" s="18"/>
      <c r="B430" s="16"/>
      <c r="C430" s="16"/>
      <c r="D430" s="51" t="str">
        <f aca="false">IF(C430="","",IFERROR(IF(LEFT(C430,1)="L",INDEX('Leads Pipeline'!$F$5:$F$1004,MATCH(C430,'Leads Pipeline'!$A$5:$A$1004,0)),INDEX('Active Clients'!$D$5:$D$504,MATCH(C430,'Active Clients'!$A$5:$A$504,0)))&amp;"","ID not found"))</f>
        <v/>
      </c>
      <c r="E430" s="51" t="str">
        <f aca="false">IF(C430="","",IFERROR(IF(LEFT(C430,1)="L",INDEX('Leads Pipeline'!$D$5:$D$1004,MATCH(C430,'Leads Pipeline'!$A$5:$A$1004,0)),INDEX('Active Clients'!$B$5:$B$504,MATCH(C430,'Active Clients'!$A$5:$A$504,0)))&amp;"","ID not found"))</f>
        <v/>
      </c>
      <c r="F430" s="51" t="str">
        <f aca="false">IF(C430="","",IFERROR(IF(LEFT(C430,1)="L",INDEX('Leads Pipeline'!$E$5:$E$1004,MATCH(C430,'Leads Pipeline'!$A$5:$A$1004,0)),INDEX('Active Clients'!$C$5:$C$504,MATCH(C430,'Active Clients'!$A$5:$A$504,0)))&amp;"","ID not found"))</f>
        <v/>
      </c>
      <c r="G430" s="16"/>
      <c r="H430" s="16"/>
      <c r="I430" s="16"/>
      <c r="J430" s="16"/>
      <c r="K430" s="16"/>
      <c r="L430" s="18"/>
    </row>
    <row r="431" customFormat="false" ht="15" hidden="false" customHeight="false" outlineLevel="0" collapsed="false">
      <c r="A431" s="18"/>
      <c r="B431" s="16"/>
      <c r="C431" s="16"/>
      <c r="D431" s="51" t="str">
        <f aca="false">IF(C431="","",IFERROR(IF(LEFT(C431,1)="L",INDEX('Leads Pipeline'!$F$5:$F$1004,MATCH(C431,'Leads Pipeline'!$A$5:$A$1004,0)),INDEX('Active Clients'!$D$5:$D$504,MATCH(C431,'Active Clients'!$A$5:$A$504,0)))&amp;"","ID not found"))</f>
        <v/>
      </c>
      <c r="E431" s="51" t="str">
        <f aca="false">IF(C431="","",IFERROR(IF(LEFT(C431,1)="L",INDEX('Leads Pipeline'!$D$5:$D$1004,MATCH(C431,'Leads Pipeline'!$A$5:$A$1004,0)),INDEX('Active Clients'!$B$5:$B$504,MATCH(C431,'Active Clients'!$A$5:$A$504,0)))&amp;"","ID not found"))</f>
        <v/>
      </c>
      <c r="F431" s="51" t="str">
        <f aca="false">IF(C431="","",IFERROR(IF(LEFT(C431,1)="L",INDEX('Leads Pipeline'!$E$5:$E$1004,MATCH(C431,'Leads Pipeline'!$A$5:$A$1004,0)),INDEX('Active Clients'!$C$5:$C$504,MATCH(C431,'Active Clients'!$A$5:$A$504,0)))&amp;"","ID not found"))</f>
        <v/>
      </c>
      <c r="G431" s="16"/>
      <c r="H431" s="16"/>
      <c r="I431" s="16"/>
      <c r="J431" s="16"/>
      <c r="K431" s="16"/>
      <c r="L431" s="18"/>
    </row>
    <row r="432" customFormat="false" ht="15" hidden="false" customHeight="false" outlineLevel="0" collapsed="false">
      <c r="A432" s="18"/>
      <c r="B432" s="16"/>
      <c r="C432" s="16"/>
      <c r="D432" s="51" t="str">
        <f aca="false">IF(C432="","",IFERROR(IF(LEFT(C432,1)="L",INDEX('Leads Pipeline'!$F$5:$F$1004,MATCH(C432,'Leads Pipeline'!$A$5:$A$1004,0)),INDEX('Active Clients'!$D$5:$D$504,MATCH(C432,'Active Clients'!$A$5:$A$504,0)))&amp;"","ID not found"))</f>
        <v/>
      </c>
      <c r="E432" s="51" t="str">
        <f aca="false">IF(C432="","",IFERROR(IF(LEFT(C432,1)="L",INDEX('Leads Pipeline'!$D$5:$D$1004,MATCH(C432,'Leads Pipeline'!$A$5:$A$1004,0)),INDEX('Active Clients'!$B$5:$B$504,MATCH(C432,'Active Clients'!$A$5:$A$504,0)))&amp;"","ID not found"))</f>
        <v/>
      </c>
      <c r="F432" s="51" t="str">
        <f aca="false">IF(C432="","",IFERROR(IF(LEFT(C432,1)="L",INDEX('Leads Pipeline'!$E$5:$E$1004,MATCH(C432,'Leads Pipeline'!$A$5:$A$1004,0)),INDEX('Active Clients'!$C$5:$C$504,MATCH(C432,'Active Clients'!$A$5:$A$504,0)))&amp;"","ID not found"))</f>
        <v/>
      </c>
      <c r="G432" s="16"/>
      <c r="H432" s="16"/>
      <c r="I432" s="16"/>
      <c r="J432" s="16"/>
      <c r="K432" s="16"/>
      <c r="L432" s="18"/>
    </row>
    <row r="433" customFormat="false" ht="15" hidden="false" customHeight="false" outlineLevel="0" collapsed="false">
      <c r="A433" s="18"/>
      <c r="B433" s="16"/>
      <c r="C433" s="16"/>
      <c r="D433" s="51" t="str">
        <f aca="false">IF(C433="","",IFERROR(IF(LEFT(C433,1)="L",INDEX('Leads Pipeline'!$F$5:$F$1004,MATCH(C433,'Leads Pipeline'!$A$5:$A$1004,0)),INDEX('Active Clients'!$D$5:$D$504,MATCH(C433,'Active Clients'!$A$5:$A$504,0)))&amp;"","ID not found"))</f>
        <v/>
      </c>
      <c r="E433" s="51" t="str">
        <f aca="false">IF(C433="","",IFERROR(IF(LEFT(C433,1)="L",INDEX('Leads Pipeline'!$D$5:$D$1004,MATCH(C433,'Leads Pipeline'!$A$5:$A$1004,0)),INDEX('Active Clients'!$B$5:$B$504,MATCH(C433,'Active Clients'!$A$5:$A$504,0)))&amp;"","ID not found"))</f>
        <v/>
      </c>
      <c r="F433" s="51" t="str">
        <f aca="false">IF(C433="","",IFERROR(IF(LEFT(C433,1)="L",INDEX('Leads Pipeline'!$E$5:$E$1004,MATCH(C433,'Leads Pipeline'!$A$5:$A$1004,0)),INDEX('Active Clients'!$C$5:$C$504,MATCH(C433,'Active Clients'!$A$5:$A$504,0)))&amp;"","ID not found"))</f>
        <v/>
      </c>
      <c r="G433" s="16"/>
      <c r="H433" s="16"/>
      <c r="I433" s="16"/>
      <c r="J433" s="16"/>
      <c r="K433" s="16"/>
      <c r="L433" s="18"/>
    </row>
    <row r="434" customFormat="false" ht="15" hidden="false" customHeight="false" outlineLevel="0" collapsed="false">
      <c r="A434" s="18"/>
      <c r="B434" s="16"/>
      <c r="C434" s="16"/>
      <c r="D434" s="51" t="str">
        <f aca="false">IF(C434="","",IFERROR(IF(LEFT(C434,1)="L",INDEX('Leads Pipeline'!$F$5:$F$1004,MATCH(C434,'Leads Pipeline'!$A$5:$A$1004,0)),INDEX('Active Clients'!$D$5:$D$504,MATCH(C434,'Active Clients'!$A$5:$A$504,0)))&amp;"","ID not found"))</f>
        <v/>
      </c>
      <c r="E434" s="51" t="str">
        <f aca="false">IF(C434="","",IFERROR(IF(LEFT(C434,1)="L",INDEX('Leads Pipeline'!$D$5:$D$1004,MATCH(C434,'Leads Pipeline'!$A$5:$A$1004,0)),INDEX('Active Clients'!$B$5:$B$504,MATCH(C434,'Active Clients'!$A$5:$A$504,0)))&amp;"","ID not found"))</f>
        <v/>
      </c>
      <c r="F434" s="51" t="str">
        <f aca="false">IF(C434="","",IFERROR(IF(LEFT(C434,1)="L",INDEX('Leads Pipeline'!$E$5:$E$1004,MATCH(C434,'Leads Pipeline'!$A$5:$A$1004,0)),INDEX('Active Clients'!$C$5:$C$504,MATCH(C434,'Active Clients'!$A$5:$A$504,0)))&amp;"","ID not found"))</f>
        <v/>
      </c>
      <c r="G434" s="16"/>
      <c r="H434" s="16"/>
      <c r="I434" s="16"/>
      <c r="J434" s="16"/>
      <c r="K434" s="16"/>
      <c r="L434" s="18"/>
    </row>
    <row r="435" customFormat="false" ht="15" hidden="false" customHeight="false" outlineLevel="0" collapsed="false">
      <c r="A435" s="18"/>
      <c r="B435" s="16"/>
      <c r="C435" s="16"/>
      <c r="D435" s="51" t="str">
        <f aca="false">IF(C435="","",IFERROR(IF(LEFT(C435,1)="L",INDEX('Leads Pipeline'!$F$5:$F$1004,MATCH(C435,'Leads Pipeline'!$A$5:$A$1004,0)),INDEX('Active Clients'!$D$5:$D$504,MATCH(C435,'Active Clients'!$A$5:$A$504,0)))&amp;"","ID not found"))</f>
        <v/>
      </c>
      <c r="E435" s="51" t="str">
        <f aca="false">IF(C435="","",IFERROR(IF(LEFT(C435,1)="L",INDEX('Leads Pipeline'!$D$5:$D$1004,MATCH(C435,'Leads Pipeline'!$A$5:$A$1004,0)),INDEX('Active Clients'!$B$5:$B$504,MATCH(C435,'Active Clients'!$A$5:$A$504,0)))&amp;"","ID not found"))</f>
        <v/>
      </c>
      <c r="F435" s="51" t="str">
        <f aca="false">IF(C435="","",IFERROR(IF(LEFT(C435,1)="L",INDEX('Leads Pipeline'!$E$5:$E$1004,MATCH(C435,'Leads Pipeline'!$A$5:$A$1004,0)),INDEX('Active Clients'!$C$5:$C$504,MATCH(C435,'Active Clients'!$A$5:$A$504,0)))&amp;"","ID not found"))</f>
        <v/>
      </c>
      <c r="G435" s="16"/>
      <c r="H435" s="16"/>
      <c r="I435" s="16"/>
      <c r="J435" s="16"/>
      <c r="K435" s="16"/>
      <c r="L435" s="18"/>
    </row>
    <row r="436" customFormat="false" ht="15" hidden="false" customHeight="false" outlineLevel="0" collapsed="false">
      <c r="A436" s="18"/>
      <c r="B436" s="16"/>
      <c r="C436" s="16"/>
      <c r="D436" s="51" t="str">
        <f aca="false">IF(C436="","",IFERROR(IF(LEFT(C436,1)="L",INDEX('Leads Pipeline'!$F$5:$F$1004,MATCH(C436,'Leads Pipeline'!$A$5:$A$1004,0)),INDEX('Active Clients'!$D$5:$D$504,MATCH(C436,'Active Clients'!$A$5:$A$504,0)))&amp;"","ID not found"))</f>
        <v/>
      </c>
      <c r="E436" s="51" t="str">
        <f aca="false">IF(C436="","",IFERROR(IF(LEFT(C436,1)="L",INDEX('Leads Pipeline'!$D$5:$D$1004,MATCH(C436,'Leads Pipeline'!$A$5:$A$1004,0)),INDEX('Active Clients'!$B$5:$B$504,MATCH(C436,'Active Clients'!$A$5:$A$504,0)))&amp;"","ID not found"))</f>
        <v/>
      </c>
      <c r="F436" s="51" t="str">
        <f aca="false">IF(C436="","",IFERROR(IF(LEFT(C436,1)="L",INDEX('Leads Pipeline'!$E$5:$E$1004,MATCH(C436,'Leads Pipeline'!$A$5:$A$1004,0)),INDEX('Active Clients'!$C$5:$C$504,MATCH(C436,'Active Clients'!$A$5:$A$504,0)))&amp;"","ID not found"))</f>
        <v/>
      </c>
      <c r="G436" s="16"/>
      <c r="H436" s="16"/>
      <c r="I436" s="16"/>
      <c r="J436" s="16"/>
      <c r="K436" s="16"/>
      <c r="L436" s="18"/>
    </row>
    <row r="437" customFormat="false" ht="15" hidden="false" customHeight="false" outlineLevel="0" collapsed="false">
      <c r="A437" s="18"/>
      <c r="B437" s="16"/>
      <c r="C437" s="16"/>
      <c r="D437" s="51" t="str">
        <f aca="false">IF(C437="","",IFERROR(IF(LEFT(C437,1)="L",INDEX('Leads Pipeline'!$F$5:$F$1004,MATCH(C437,'Leads Pipeline'!$A$5:$A$1004,0)),INDEX('Active Clients'!$D$5:$D$504,MATCH(C437,'Active Clients'!$A$5:$A$504,0)))&amp;"","ID not found"))</f>
        <v/>
      </c>
      <c r="E437" s="51" t="str">
        <f aca="false">IF(C437="","",IFERROR(IF(LEFT(C437,1)="L",INDEX('Leads Pipeline'!$D$5:$D$1004,MATCH(C437,'Leads Pipeline'!$A$5:$A$1004,0)),INDEX('Active Clients'!$B$5:$B$504,MATCH(C437,'Active Clients'!$A$5:$A$504,0)))&amp;"","ID not found"))</f>
        <v/>
      </c>
      <c r="F437" s="51" t="str">
        <f aca="false">IF(C437="","",IFERROR(IF(LEFT(C437,1)="L",INDEX('Leads Pipeline'!$E$5:$E$1004,MATCH(C437,'Leads Pipeline'!$A$5:$A$1004,0)),INDEX('Active Clients'!$C$5:$C$504,MATCH(C437,'Active Clients'!$A$5:$A$504,0)))&amp;"","ID not found"))</f>
        <v/>
      </c>
      <c r="G437" s="16"/>
      <c r="H437" s="16"/>
      <c r="I437" s="16"/>
      <c r="J437" s="16"/>
      <c r="K437" s="16"/>
      <c r="L437" s="18"/>
    </row>
    <row r="438" customFormat="false" ht="15" hidden="false" customHeight="false" outlineLevel="0" collapsed="false">
      <c r="A438" s="18"/>
      <c r="B438" s="16"/>
      <c r="C438" s="16"/>
      <c r="D438" s="51" t="str">
        <f aca="false">IF(C438="","",IFERROR(IF(LEFT(C438,1)="L",INDEX('Leads Pipeline'!$F$5:$F$1004,MATCH(C438,'Leads Pipeline'!$A$5:$A$1004,0)),INDEX('Active Clients'!$D$5:$D$504,MATCH(C438,'Active Clients'!$A$5:$A$504,0)))&amp;"","ID not found"))</f>
        <v/>
      </c>
      <c r="E438" s="51" t="str">
        <f aca="false">IF(C438="","",IFERROR(IF(LEFT(C438,1)="L",INDEX('Leads Pipeline'!$D$5:$D$1004,MATCH(C438,'Leads Pipeline'!$A$5:$A$1004,0)),INDEX('Active Clients'!$B$5:$B$504,MATCH(C438,'Active Clients'!$A$5:$A$504,0)))&amp;"","ID not found"))</f>
        <v/>
      </c>
      <c r="F438" s="51" t="str">
        <f aca="false">IF(C438="","",IFERROR(IF(LEFT(C438,1)="L",INDEX('Leads Pipeline'!$E$5:$E$1004,MATCH(C438,'Leads Pipeline'!$A$5:$A$1004,0)),INDEX('Active Clients'!$C$5:$C$504,MATCH(C438,'Active Clients'!$A$5:$A$504,0)))&amp;"","ID not found"))</f>
        <v/>
      </c>
      <c r="G438" s="16"/>
      <c r="H438" s="16"/>
      <c r="I438" s="16"/>
      <c r="J438" s="16"/>
      <c r="K438" s="16"/>
      <c r="L438" s="18"/>
    </row>
    <row r="439" customFormat="false" ht="15" hidden="false" customHeight="false" outlineLevel="0" collapsed="false">
      <c r="A439" s="18"/>
      <c r="B439" s="16"/>
      <c r="C439" s="16"/>
      <c r="D439" s="51" t="str">
        <f aca="false">IF(C439="","",IFERROR(IF(LEFT(C439,1)="L",INDEX('Leads Pipeline'!$F$5:$F$1004,MATCH(C439,'Leads Pipeline'!$A$5:$A$1004,0)),INDEX('Active Clients'!$D$5:$D$504,MATCH(C439,'Active Clients'!$A$5:$A$504,0)))&amp;"","ID not found"))</f>
        <v/>
      </c>
      <c r="E439" s="51" t="str">
        <f aca="false">IF(C439="","",IFERROR(IF(LEFT(C439,1)="L",INDEX('Leads Pipeline'!$D$5:$D$1004,MATCH(C439,'Leads Pipeline'!$A$5:$A$1004,0)),INDEX('Active Clients'!$B$5:$B$504,MATCH(C439,'Active Clients'!$A$5:$A$504,0)))&amp;"","ID not found"))</f>
        <v/>
      </c>
      <c r="F439" s="51" t="str">
        <f aca="false">IF(C439="","",IFERROR(IF(LEFT(C439,1)="L",INDEX('Leads Pipeline'!$E$5:$E$1004,MATCH(C439,'Leads Pipeline'!$A$5:$A$1004,0)),INDEX('Active Clients'!$C$5:$C$504,MATCH(C439,'Active Clients'!$A$5:$A$504,0)))&amp;"","ID not found"))</f>
        <v/>
      </c>
      <c r="G439" s="16"/>
      <c r="H439" s="16"/>
      <c r="I439" s="16"/>
      <c r="J439" s="16"/>
      <c r="K439" s="16"/>
      <c r="L439" s="18"/>
    </row>
    <row r="440" customFormat="false" ht="15" hidden="false" customHeight="false" outlineLevel="0" collapsed="false">
      <c r="A440" s="18"/>
      <c r="B440" s="16"/>
      <c r="C440" s="16"/>
      <c r="D440" s="51" t="str">
        <f aca="false">IF(C440="","",IFERROR(IF(LEFT(C440,1)="L",INDEX('Leads Pipeline'!$F$5:$F$1004,MATCH(C440,'Leads Pipeline'!$A$5:$A$1004,0)),INDEX('Active Clients'!$D$5:$D$504,MATCH(C440,'Active Clients'!$A$5:$A$504,0)))&amp;"","ID not found"))</f>
        <v/>
      </c>
      <c r="E440" s="51" t="str">
        <f aca="false">IF(C440="","",IFERROR(IF(LEFT(C440,1)="L",INDEX('Leads Pipeline'!$D$5:$D$1004,MATCH(C440,'Leads Pipeline'!$A$5:$A$1004,0)),INDEX('Active Clients'!$B$5:$B$504,MATCH(C440,'Active Clients'!$A$5:$A$504,0)))&amp;"","ID not found"))</f>
        <v/>
      </c>
      <c r="F440" s="51" t="str">
        <f aca="false">IF(C440="","",IFERROR(IF(LEFT(C440,1)="L",INDEX('Leads Pipeline'!$E$5:$E$1004,MATCH(C440,'Leads Pipeline'!$A$5:$A$1004,0)),INDEX('Active Clients'!$C$5:$C$504,MATCH(C440,'Active Clients'!$A$5:$A$504,0)))&amp;"","ID not found"))</f>
        <v/>
      </c>
      <c r="G440" s="16"/>
      <c r="H440" s="16"/>
      <c r="I440" s="16"/>
      <c r="J440" s="16"/>
      <c r="K440" s="16"/>
      <c r="L440" s="18"/>
    </row>
    <row r="441" customFormat="false" ht="15" hidden="false" customHeight="false" outlineLevel="0" collapsed="false">
      <c r="A441" s="18"/>
      <c r="B441" s="16"/>
      <c r="C441" s="16"/>
      <c r="D441" s="51" t="str">
        <f aca="false">IF(C441="","",IFERROR(IF(LEFT(C441,1)="L",INDEX('Leads Pipeline'!$F$5:$F$1004,MATCH(C441,'Leads Pipeline'!$A$5:$A$1004,0)),INDEX('Active Clients'!$D$5:$D$504,MATCH(C441,'Active Clients'!$A$5:$A$504,0)))&amp;"","ID not found"))</f>
        <v/>
      </c>
      <c r="E441" s="51" t="str">
        <f aca="false">IF(C441="","",IFERROR(IF(LEFT(C441,1)="L",INDEX('Leads Pipeline'!$D$5:$D$1004,MATCH(C441,'Leads Pipeline'!$A$5:$A$1004,0)),INDEX('Active Clients'!$B$5:$B$504,MATCH(C441,'Active Clients'!$A$5:$A$504,0)))&amp;"","ID not found"))</f>
        <v/>
      </c>
      <c r="F441" s="51" t="str">
        <f aca="false">IF(C441="","",IFERROR(IF(LEFT(C441,1)="L",INDEX('Leads Pipeline'!$E$5:$E$1004,MATCH(C441,'Leads Pipeline'!$A$5:$A$1004,0)),INDEX('Active Clients'!$C$5:$C$504,MATCH(C441,'Active Clients'!$A$5:$A$504,0)))&amp;"","ID not found"))</f>
        <v/>
      </c>
      <c r="G441" s="16"/>
      <c r="H441" s="16"/>
      <c r="I441" s="16"/>
      <c r="J441" s="16"/>
      <c r="K441" s="16"/>
      <c r="L441" s="18"/>
    </row>
    <row r="442" customFormat="false" ht="15" hidden="false" customHeight="false" outlineLevel="0" collapsed="false">
      <c r="A442" s="18"/>
      <c r="B442" s="16"/>
      <c r="C442" s="16"/>
      <c r="D442" s="51" t="str">
        <f aca="false">IF(C442="","",IFERROR(IF(LEFT(C442,1)="L",INDEX('Leads Pipeline'!$F$5:$F$1004,MATCH(C442,'Leads Pipeline'!$A$5:$A$1004,0)),INDEX('Active Clients'!$D$5:$D$504,MATCH(C442,'Active Clients'!$A$5:$A$504,0)))&amp;"","ID not found"))</f>
        <v/>
      </c>
      <c r="E442" s="51" t="str">
        <f aca="false">IF(C442="","",IFERROR(IF(LEFT(C442,1)="L",INDEX('Leads Pipeline'!$D$5:$D$1004,MATCH(C442,'Leads Pipeline'!$A$5:$A$1004,0)),INDEX('Active Clients'!$B$5:$B$504,MATCH(C442,'Active Clients'!$A$5:$A$504,0)))&amp;"","ID not found"))</f>
        <v/>
      </c>
      <c r="F442" s="51" t="str">
        <f aca="false">IF(C442="","",IFERROR(IF(LEFT(C442,1)="L",INDEX('Leads Pipeline'!$E$5:$E$1004,MATCH(C442,'Leads Pipeline'!$A$5:$A$1004,0)),INDEX('Active Clients'!$C$5:$C$504,MATCH(C442,'Active Clients'!$A$5:$A$504,0)))&amp;"","ID not found"))</f>
        <v/>
      </c>
      <c r="G442" s="16"/>
      <c r="H442" s="16"/>
      <c r="I442" s="16"/>
      <c r="J442" s="16"/>
      <c r="K442" s="16"/>
      <c r="L442" s="18"/>
    </row>
    <row r="443" customFormat="false" ht="15" hidden="false" customHeight="false" outlineLevel="0" collapsed="false">
      <c r="A443" s="18"/>
      <c r="B443" s="16"/>
      <c r="C443" s="16"/>
      <c r="D443" s="51" t="str">
        <f aca="false">IF(C443="","",IFERROR(IF(LEFT(C443,1)="L",INDEX('Leads Pipeline'!$F$5:$F$1004,MATCH(C443,'Leads Pipeline'!$A$5:$A$1004,0)),INDEX('Active Clients'!$D$5:$D$504,MATCH(C443,'Active Clients'!$A$5:$A$504,0)))&amp;"","ID not found"))</f>
        <v/>
      </c>
      <c r="E443" s="51" t="str">
        <f aca="false">IF(C443="","",IFERROR(IF(LEFT(C443,1)="L",INDEX('Leads Pipeline'!$D$5:$D$1004,MATCH(C443,'Leads Pipeline'!$A$5:$A$1004,0)),INDEX('Active Clients'!$B$5:$B$504,MATCH(C443,'Active Clients'!$A$5:$A$504,0)))&amp;"","ID not found"))</f>
        <v/>
      </c>
      <c r="F443" s="51" t="str">
        <f aca="false">IF(C443="","",IFERROR(IF(LEFT(C443,1)="L",INDEX('Leads Pipeline'!$E$5:$E$1004,MATCH(C443,'Leads Pipeline'!$A$5:$A$1004,0)),INDEX('Active Clients'!$C$5:$C$504,MATCH(C443,'Active Clients'!$A$5:$A$504,0)))&amp;"","ID not found"))</f>
        <v/>
      </c>
      <c r="G443" s="16"/>
      <c r="H443" s="16"/>
      <c r="I443" s="16"/>
      <c r="J443" s="16"/>
      <c r="K443" s="16"/>
      <c r="L443" s="18"/>
    </row>
    <row r="444" customFormat="false" ht="15" hidden="false" customHeight="false" outlineLevel="0" collapsed="false">
      <c r="A444" s="18"/>
      <c r="B444" s="16"/>
      <c r="C444" s="16"/>
      <c r="D444" s="51" t="str">
        <f aca="false">IF(C444="","",IFERROR(IF(LEFT(C444,1)="L",INDEX('Leads Pipeline'!$F$5:$F$1004,MATCH(C444,'Leads Pipeline'!$A$5:$A$1004,0)),INDEX('Active Clients'!$D$5:$D$504,MATCH(C444,'Active Clients'!$A$5:$A$504,0)))&amp;"","ID not found"))</f>
        <v/>
      </c>
      <c r="E444" s="51" t="str">
        <f aca="false">IF(C444="","",IFERROR(IF(LEFT(C444,1)="L",INDEX('Leads Pipeline'!$D$5:$D$1004,MATCH(C444,'Leads Pipeline'!$A$5:$A$1004,0)),INDEX('Active Clients'!$B$5:$B$504,MATCH(C444,'Active Clients'!$A$5:$A$504,0)))&amp;"","ID not found"))</f>
        <v/>
      </c>
      <c r="F444" s="51" t="str">
        <f aca="false">IF(C444="","",IFERROR(IF(LEFT(C444,1)="L",INDEX('Leads Pipeline'!$E$5:$E$1004,MATCH(C444,'Leads Pipeline'!$A$5:$A$1004,0)),INDEX('Active Clients'!$C$5:$C$504,MATCH(C444,'Active Clients'!$A$5:$A$504,0)))&amp;"","ID not found"))</f>
        <v/>
      </c>
      <c r="G444" s="16"/>
      <c r="H444" s="16"/>
      <c r="I444" s="16"/>
      <c r="J444" s="16"/>
      <c r="K444" s="16"/>
      <c r="L444" s="18"/>
    </row>
    <row r="445" customFormat="false" ht="15" hidden="false" customHeight="false" outlineLevel="0" collapsed="false">
      <c r="A445" s="18"/>
      <c r="B445" s="16"/>
      <c r="C445" s="16"/>
      <c r="D445" s="51" t="str">
        <f aca="false">IF(C445="","",IFERROR(IF(LEFT(C445,1)="L",INDEX('Leads Pipeline'!$F$5:$F$1004,MATCH(C445,'Leads Pipeline'!$A$5:$A$1004,0)),INDEX('Active Clients'!$D$5:$D$504,MATCH(C445,'Active Clients'!$A$5:$A$504,0)))&amp;"","ID not found"))</f>
        <v/>
      </c>
      <c r="E445" s="51" t="str">
        <f aca="false">IF(C445="","",IFERROR(IF(LEFT(C445,1)="L",INDEX('Leads Pipeline'!$D$5:$D$1004,MATCH(C445,'Leads Pipeline'!$A$5:$A$1004,0)),INDEX('Active Clients'!$B$5:$B$504,MATCH(C445,'Active Clients'!$A$5:$A$504,0)))&amp;"","ID not found"))</f>
        <v/>
      </c>
      <c r="F445" s="51" t="str">
        <f aca="false">IF(C445="","",IFERROR(IF(LEFT(C445,1)="L",INDEX('Leads Pipeline'!$E$5:$E$1004,MATCH(C445,'Leads Pipeline'!$A$5:$A$1004,0)),INDEX('Active Clients'!$C$5:$C$504,MATCH(C445,'Active Clients'!$A$5:$A$504,0)))&amp;"","ID not found"))</f>
        <v/>
      </c>
      <c r="G445" s="16"/>
      <c r="H445" s="16"/>
      <c r="I445" s="16"/>
      <c r="J445" s="16"/>
      <c r="K445" s="16"/>
      <c r="L445" s="18"/>
    </row>
    <row r="446" customFormat="false" ht="15" hidden="false" customHeight="false" outlineLevel="0" collapsed="false">
      <c r="A446" s="18"/>
      <c r="B446" s="16"/>
      <c r="C446" s="16"/>
      <c r="D446" s="51" t="str">
        <f aca="false">IF(C446="","",IFERROR(IF(LEFT(C446,1)="L",INDEX('Leads Pipeline'!$F$5:$F$1004,MATCH(C446,'Leads Pipeline'!$A$5:$A$1004,0)),INDEX('Active Clients'!$D$5:$D$504,MATCH(C446,'Active Clients'!$A$5:$A$504,0)))&amp;"","ID not found"))</f>
        <v/>
      </c>
      <c r="E446" s="51" t="str">
        <f aca="false">IF(C446="","",IFERROR(IF(LEFT(C446,1)="L",INDEX('Leads Pipeline'!$D$5:$D$1004,MATCH(C446,'Leads Pipeline'!$A$5:$A$1004,0)),INDEX('Active Clients'!$B$5:$B$504,MATCH(C446,'Active Clients'!$A$5:$A$504,0)))&amp;"","ID not found"))</f>
        <v/>
      </c>
      <c r="F446" s="51" t="str">
        <f aca="false">IF(C446="","",IFERROR(IF(LEFT(C446,1)="L",INDEX('Leads Pipeline'!$E$5:$E$1004,MATCH(C446,'Leads Pipeline'!$A$5:$A$1004,0)),INDEX('Active Clients'!$C$5:$C$504,MATCH(C446,'Active Clients'!$A$5:$A$504,0)))&amp;"","ID not found"))</f>
        <v/>
      </c>
      <c r="G446" s="16"/>
      <c r="H446" s="16"/>
      <c r="I446" s="16"/>
      <c r="J446" s="16"/>
      <c r="K446" s="16"/>
      <c r="L446" s="18"/>
    </row>
    <row r="447" customFormat="false" ht="15" hidden="false" customHeight="false" outlineLevel="0" collapsed="false">
      <c r="A447" s="18"/>
      <c r="B447" s="16"/>
      <c r="C447" s="16"/>
      <c r="D447" s="51" t="str">
        <f aca="false">IF(C447="","",IFERROR(IF(LEFT(C447,1)="L",INDEX('Leads Pipeline'!$F$5:$F$1004,MATCH(C447,'Leads Pipeline'!$A$5:$A$1004,0)),INDEX('Active Clients'!$D$5:$D$504,MATCH(C447,'Active Clients'!$A$5:$A$504,0)))&amp;"","ID not found"))</f>
        <v/>
      </c>
      <c r="E447" s="51" t="str">
        <f aca="false">IF(C447="","",IFERROR(IF(LEFT(C447,1)="L",INDEX('Leads Pipeline'!$D$5:$D$1004,MATCH(C447,'Leads Pipeline'!$A$5:$A$1004,0)),INDEX('Active Clients'!$B$5:$B$504,MATCH(C447,'Active Clients'!$A$5:$A$504,0)))&amp;"","ID not found"))</f>
        <v/>
      </c>
      <c r="F447" s="51" t="str">
        <f aca="false">IF(C447="","",IFERROR(IF(LEFT(C447,1)="L",INDEX('Leads Pipeline'!$E$5:$E$1004,MATCH(C447,'Leads Pipeline'!$A$5:$A$1004,0)),INDEX('Active Clients'!$C$5:$C$504,MATCH(C447,'Active Clients'!$A$5:$A$504,0)))&amp;"","ID not found"))</f>
        <v/>
      </c>
      <c r="G447" s="16"/>
      <c r="H447" s="16"/>
      <c r="I447" s="16"/>
      <c r="J447" s="16"/>
      <c r="K447" s="16"/>
      <c r="L447" s="18"/>
    </row>
    <row r="448" customFormat="false" ht="15" hidden="false" customHeight="false" outlineLevel="0" collapsed="false">
      <c r="A448" s="18"/>
      <c r="B448" s="16"/>
      <c r="C448" s="16"/>
      <c r="D448" s="51" t="str">
        <f aca="false">IF(C448="","",IFERROR(IF(LEFT(C448,1)="L",INDEX('Leads Pipeline'!$F$5:$F$1004,MATCH(C448,'Leads Pipeline'!$A$5:$A$1004,0)),INDEX('Active Clients'!$D$5:$D$504,MATCH(C448,'Active Clients'!$A$5:$A$504,0)))&amp;"","ID not found"))</f>
        <v/>
      </c>
      <c r="E448" s="51" t="str">
        <f aca="false">IF(C448="","",IFERROR(IF(LEFT(C448,1)="L",INDEX('Leads Pipeline'!$D$5:$D$1004,MATCH(C448,'Leads Pipeline'!$A$5:$A$1004,0)),INDEX('Active Clients'!$B$5:$B$504,MATCH(C448,'Active Clients'!$A$5:$A$504,0)))&amp;"","ID not found"))</f>
        <v/>
      </c>
      <c r="F448" s="51" t="str">
        <f aca="false">IF(C448="","",IFERROR(IF(LEFT(C448,1)="L",INDEX('Leads Pipeline'!$E$5:$E$1004,MATCH(C448,'Leads Pipeline'!$A$5:$A$1004,0)),INDEX('Active Clients'!$C$5:$C$504,MATCH(C448,'Active Clients'!$A$5:$A$504,0)))&amp;"","ID not found"))</f>
        <v/>
      </c>
      <c r="G448" s="16"/>
      <c r="H448" s="16"/>
      <c r="I448" s="16"/>
      <c r="J448" s="16"/>
      <c r="K448" s="16"/>
      <c r="L448" s="18"/>
    </row>
    <row r="449" customFormat="false" ht="15" hidden="false" customHeight="false" outlineLevel="0" collapsed="false">
      <c r="A449" s="18"/>
      <c r="B449" s="16"/>
      <c r="C449" s="16"/>
      <c r="D449" s="51" t="str">
        <f aca="false">IF(C449="","",IFERROR(IF(LEFT(C449,1)="L",INDEX('Leads Pipeline'!$F$5:$F$1004,MATCH(C449,'Leads Pipeline'!$A$5:$A$1004,0)),INDEX('Active Clients'!$D$5:$D$504,MATCH(C449,'Active Clients'!$A$5:$A$504,0)))&amp;"","ID not found"))</f>
        <v/>
      </c>
      <c r="E449" s="51" t="str">
        <f aca="false">IF(C449="","",IFERROR(IF(LEFT(C449,1)="L",INDEX('Leads Pipeline'!$D$5:$D$1004,MATCH(C449,'Leads Pipeline'!$A$5:$A$1004,0)),INDEX('Active Clients'!$B$5:$B$504,MATCH(C449,'Active Clients'!$A$5:$A$504,0)))&amp;"","ID not found"))</f>
        <v/>
      </c>
      <c r="F449" s="51" t="str">
        <f aca="false">IF(C449="","",IFERROR(IF(LEFT(C449,1)="L",INDEX('Leads Pipeline'!$E$5:$E$1004,MATCH(C449,'Leads Pipeline'!$A$5:$A$1004,0)),INDEX('Active Clients'!$C$5:$C$504,MATCH(C449,'Active Clients'!$A$5:$A$504,0)))&amp;"","ID not found"))</f>
        <v/>
      </c>
      <c r="G449" s="16"/>
      <c r="H449" s="16"/>
      <c r="I449" s="16"/>
      <c r="J449" s="16"/>
      <c r="K449" s="16"/>
      <c r="L449" s="18"/>
    </row>
    <row r="450" customFormat="false" ht="15" hidden="false" customHeight="false" outlineLevel="0" collapsed="false">
      <c r="A450" s="18"/>
      <c r="B450" s="16"/>
      <c r="C450" s="16"/>
      <c r="D450" s="51" t="str">
        <f aca="false">IF(C450="","",IFERROR(IF(LEFT(C450,1)="L",INDEX('Leads Pipeline'!$F$5:$F$1004,MATCH(C450,'Leads Pipeline'!$A$5:$A$1004,0)),INDEX('Active Clients'!$D$5:$D$504,MATCH(C450,'Active Clients'!$A$5:$A$504,0)))&amp;"","ID not found"))</f>
        <v/>
      </c>
      <c r="E450" s="51" t="str">
        <f aca="false">IF(C450="","",IFERROR(IF(LEFT(C450,1)="L",INDEX('Leads Pipeline'!$D$5:$D$1004,MATCH(C450,'Leads Pipeline'!$A$5:$A$1004,0)),INDEX('Active Clients'!$B$5:$B$504,MATCH(C450,'Active Clients'!$A$5:$A$504,0)))&amp;"","ID not found"))</f>
        <v/>
      </c>
      <c r="F450" s="51" t="str">
        <f aca="false">IF(C450="","",IFERROR(IF(LEFT(C450,1)="L",INDEX('Leads Pipeline'!$E$5:$E$1004,MATCH(C450,'Leads Pipeline'!$A$5:$A$1004,0)),INDEX('Active Clients'!$C$5:$C$504,MATCH(C450,'Active Clients'!$A$5:$A$504,0)))&amp;"","ID not found"))</f>
        <v/>
      </c>
      <c r="G450" s="16"/>
      <c r="H450" s="16"/>
      <c r="I450" s="16"/>
      <c r="J450" s="16"/>
      <c r="K450" s="16"/>
      <c r="L450" s="18"/>
    </row>
    <row r="451" customFormat="false" ht="15" hidden="false" customHeight="false" outlineLevel="0" collapsed="false">
      <c r="A451" s="18"/>
      <c r="B451" s="16"/>
      <c r="C451" s="16"/>
      <c r="D451" s="51" t="str">
        <f aca="false">IF(C451="","",IFERROR(IF(LEFT(C451,1)="L",INDEX('Leads Pipeline'!$F$5:$F$1004,MATCH(C451,'Leads Pipeline'!$A$5:$A$1004,0)),INDEX('Active Clients'!$D$5:$D$504,MATCH(C451,'Active Clients'!$A$5:$A$504,0)))&amp;"","ID not found"))</f>
        <v/>
      </c>
      <c r="E451" s="51" t="str">
        <f aca="false">IF(C451="","",IFERROR(IF(LEFT(C451,1)="L",INDEX('Leads Pipeline'!$D$5:$D$1004,MATCH(C451,'Leads Pipeline'!$A$5:$A$1004,0)),INDEX('Active Clients'!$B$5:$B$504,MATCH(C451,'Active Clients'!$A$5:$A$504,0)))&amp;"","ID not found"))</f>
        <v/>
      </c>
      <c r="F451" s="51" t="str">
        <f aca="false">IF(C451="","",IFERROR(IF(LEFT(C451,1)="L",INDEX('Leads Pipeline'!$E$5:$E$1004,MATCH(C451,'Leads Pipeline'!$A$5:$A$1004,0)),INDEX('Active Clients'!$C$5:$C$504,MATCH(C451,'Active Clients'!$A$5:$A$504,0)))&amp;"","ID not found"))</f>
        <v/>
      </c>
      <c r="G451" s="16"/>
      <c r="H451" s="16"/>
      <c r="I451" s="16"/>
      <c r="J451" s="16"/>
      <c r="K451" s="16"/>
      <c r="L451" s="18"/>
    </row>
    <row r="452" customFormat="false" ht="15" hidden="false" customHeight="false" outlineLevel="0" collapsed="false">
      <c r="A452" s="18"/>
      <c r="B452" s="16"/>
      <c r="C452" s="16"/>
      <c r="D452" s="51" t="str">
        <f aca="false">IF(C452="","",IFERROR(IF(LEFT(C452,1)="L",INDEX('Leads Pipeline'!$F$5:$F$1004,MATCH(C452,'Leads Pipeline'!$A$5:$A$1004,0)),INDEX('Active Clients'!$D$5:$D$504,MATCH(C452,'Active Clients'!$A$5:$A$504,0)))&amp;"","ID not found"))</f>
        <v/>
      </c>
      <c r="E452" s="51" t="str">
        <f aca="false">IF(C452="","",IFERROR(IF(LEFT(C452,1)="L",INDEX('Leads Pipeline'!$D$5:$D$1004,MATCH(C452,'Leads Pipeline'!$A$5:$A$1004,0)),INDEX('Active Clients'!$B$5:$B$504,MATCH(C452,'Active Clients'!$A$5:$A$504,0)))&amp;"","ID not found"))</f>
        <v/>
      </c>
      <c r="F452" s="51" t="str">
        <f aca="false">IF(C452="","",IFERROR(IF(LEFT(C452,1)="L",INDEX('Leads Pipeline'!$E$5:$E$1004,MATCH(C452,'Leads Pipeline'!$A$5:$A$1004,0)),INDEX('Active Clients'!$C$5:$C$504,MATCH(C452,'Active Clients'!$A$5:$A$504,0)))&amp;"","ID not found"))</f>
        <v/>
      </c>
      <c r="G452" s="16"/>
      <c r="H452" s="16"/>
      <c r="I452" s="16"/>
      <c r="J452" s="16"/>
      <c r="K452" s="16"/>
      <c r="L452" s="18"/>
    </row>
    <row r="453" customFormat="false" ht="15" hidden="false" customHeight="false" outlineLevel="0" collapsed="false">
      <c r="A453" s="18"/>
      <c r="B453" s="16"/>
      <c r="C453" s="16"/>
      <c r="D453" s="51" t="str">
        <f aca="false">IF(C453="","",IFERROR(IF(LEFT(C453,1)="L",INDEX('Leads Pipeline'!$F$5:$F$1004,MATCH(C453,'Leads Pipeline'!$A$5:$A$1004,0)),INDEX('Active Clients'!$D$5:$D$504,MATCH(C453,'Active Clients'!$A$5:$A$504,0)))&amp;"","ID not found"))</f>
        <v/>
      </c>
      <c r="E453" s="51" t="str">
        <f aca="false">IF(C453="","",IFERROR(IF(LEFT(C453,1)="L",INDEX('Leads Pipeline'!$D$5:$D$1004,MATCH(C453,'Leads Pipeline'!$A$5:$A$1004,0)),INDEX('Active Clients'!$B$5:$B$504,MATCH(C453,'Active Clients'!$A$5:$A$504,0)))&amp;"","ID not found"))</f>
        <v/>
      </c>
      <c r="F453" s="51" t="str">
        <f aca="false">IF(C453="","",IFERROR(IF(LEFT(C453,1)="L",INDEX('Leads Pipeline'!$E$5:$E$1004,MATCH(C453,'Leads Pipeline'!$A$5:$A$1004,0)),INDEX('Active Clients'!$C$5:$C$504,MATCH(C453,'Active Clients'!$A$5:$A$504,0)))&amp;"","ID not found"))</f>
        <v/>
      </c>
      <c r="G453" s="16"/>
      <c r="H453" s="16"/>
      <c r="I453" s="16"/>
      <c r="J453" s="16"/>
      <c r="K453" s="16"/>
      <c r="L453" s="18"/>
    </row>
    <row r="454" customFormat="false" ht="15" hidden="false" customHeight="false" outlineLevel="0" collapsed="false">
      <c r="A454" s="18"/>
      <c r="B454" s="16"/>
      <c r="C454" s="16"/>
      <c r="D454" s="51" t="str">
        <f aca="false">IF(C454="","",IFERROR(IF(LEFT(C454,1)="L",INDEX('Leads Pipeline'!$F$5:$F$1004,MATCH(C454,'Leads Pipeline'!$A$5:$A$1004,0)),INDEX('Active Clients'!$D$5:$D$504,MATCH(C454,'Active Clients'!$A$5:$A$504,0)))&amp;"","ID not found"))</f>
        <v/>
      </c>
      <c r="E454" s="51" t="str">
        <f aca="false">IF(C454="","",IFERROR(IF(LEFT(C454,1)="L",INDEX('Leads Pipeline'!$D$5:$D$1004,MATCH(C454,'Leads Pipeline'!$A$5:$A$1004,0)),INDEX('Active Clients'!$B$5:$B$504,MATCH(C454,'Active Clients'!$A$5:$A$504,0)))&amp;"","ID not found"))</f>
        <v/>
      </c>
      <c r="F454" s="51" t="str">
        <f aca="false">IF(C454="","",IFERROR(IF(LEFT(C454,1)="L",INDEX('Leads Pipeline'!$E$5:$E$1004,MATCH(C454,'Leads Pipeline'!$A$5:$A$1004,0)),INDEX('Active Clients'!$C$5:$C$504,MATCH(C454,'Active Clients'!$A$5:$A$504,0)))&amp;"","ID not found"))</f>
        <v/>
      </c>
      <c r="G454" s="16"/>
      <c r="H454" s="16"/>
      <c r="I454" s="16"/>
      <c r="J454" s="16"/>
      <c r="K454" s="16"/>
      <c r="L454" s="18"/>
    </row>
    <row r="455" customFormat="false" ht="15" hidden="false" customHeight="false" outlineLevel="0" collapsed="false">
      <c r="A455" s="18"/>
      <c r="B455" s="16"/>
      <c r="C455" s="16"/>
      <c r="D455" s="51" t="str">
        <f aca="false">IF(C455="","",IFERROR(IF(LEFT(C455,1)="L",INDEX('Leads Pipeline'!$F$5:$F$1004,MATCH(C455,'Leads Pipeline'!$A$5:$A$1004,0)),INDEX('Active Clients'!$D$5:$D$504,MATCH(C455,'Active Clients'!$A$5:$A$504,0)))&amp;"","ID not found"))</f>
        <v/>
      </c>
      <c r="E455" s="51" t="str">
        <f aca="false">IF(C455="","",IFERROR(IF(LEFT(C455,1)="L",INDEX('Leads Pipeline'!$D$5:$D$1004,MATCH(C455,'Leads Pipeline'!$A$5:$A$1004,0)),INDEX('Active Clients'!$B$5:$B$504,MATCH(C455,'Active Clients'!$A$5:$A$504,0)))&amp;"","ID not found"))</f>
        <v/>
      </c>
      <c r="F455" s="51" t="str">
        <f aca="false">IF(C455="","",IFERROR(IF(LEFT(C455,1)="L",INDEX('Leads Pipeline'!$E$5:$E$1004,MATCH(C455,'Leads Pipeline'!$A$5:$A$1004,0)),INDEX('Active Clients'!$C$5:$C$504,MATCH(C455,'Active Clients'!$A$5:$A$504,0)))&amp;"","ID not found"))</f>
        <v/>
      </c>
      <c r="G455" s="16"/>
      <c r="H455" s="16"/>
      <c r="I455" s="16"/>
      <c r="J455" s="16"/>
      <c r="K455" s="16"/>
      <c r="L455" s="18"/>
    </row>
    <row r="456" customFormat="false" ht="15" hidden="false" customHeight="false" outlineLevel="0" collapsed="false">
      <c r="A456" s="18"/>
      <c r="B456" s="16"/>
      <c r="C456" s="16"/>
      <c r="D456" s="51" t="str">
        <f aca="false">IF(C456="","",IFERROR(IF(LEFT(C456,1)="L",INDEX('Leads Pipeline'!$F$5:$F$1004,MATCH(C456,'Leads Pipeline'!$A$5:$A$1004,0)),INDEX('Active Clients'!$D$5:$D$504,MATCH(C456,'Active Clients'!$A$5:$A$504,0)))&amp;"","ID not found"))</f>
        <v/>
      </c>
      <c r="E456" s="51" t="str">
        <f aca="false">IF(C456="","",IFERROR(IF(LEFT(C456,1)="L",INDEX('Leads Pipeline'!$D$5:$D$1004,MATCH(C456,'Leads Pipeline'!$A$5:$A$1004,0)),INDEX('Active Clients'!$B$5:$B$504,MATCH(C456,'Active Clients'!$A$5:$A$504,0)))&amp;"","ID not found"))</f>
        <v/>
      </c>
      <c r="F456" s="51" t="str">
        <f aca="false">IF(C456="","",IFERROR(IF(LEFT(C456,1)="L",INDEX('Leads Pipeline'!$E$5:$E$1004,MATCH(C456,'Leads Pipeline'!$A$5:$A$1004,0)),INDEX('Active Clients'!$C$5:$C$504,MATCH(C456,'Active Clients'!$A$5:$A$504,0)))&amp;"","ID not found"))</f>
        <v/>
      </c>
      <c r="G456" s="16"/>
      <c r="H456" s="16"/>
      <c r="I456" s="16"/>
      <c r="J456" s="16"/>
      <c r="K456" s="16"/>
      <c r="L456" s="18"/>
    </row>
    <row r="457" customFormat="false" ht="15" hidden="false" customHeight="false" outlineLevel="0" collapsed="false">
      <c r="A457" s="18"/>
      <c r="B457" s="16"/>
      <c r="C457" s="16"/>
      <c r="D457" s="51" t="str">
        <f aca="false">IF(C457="","",IFERROR(IF(LEFT(C457,1)="L",INDEX('Leads Pipeline'!$F$5:$F$1004,MATCH(C457,'Leads Pipeline'!$A$5:$A$1004,0)),INDEX('Active Clients'!$D$5:$D$504,MATCH(C457,'Active Clients'!$A$5:$A$504,0)))&amp;"","ID not found"))</f>
        <v/>
      </c>
      <c r="E457" s="51" t="str">
        <f aca="false">IF(C457="","",IFERROR(IF(LEFT(C457,1)="L",INDEX('Leads Pipeline'!$D$5:$D$1004,MATCH(C457,'Leads Pipeline'!$A$5:$A$1004,0)),INDEX('Active Clients'!$B$5:$B$504,MATCH(C457,'Active Clients'!$A$5:$A$504,0)))&amp;"","ID not found"))</f>
        <v/>
      </c>
      <c r="F457" s="51" t="str">
        <f aca="false">IF(C457="","",IFERROR(IF(LEFT(C457,1)="L",INDEX('Leads Pipeline'!$E$5:$E$1004,MATCH(C457,'Leads Pipeline'!$A$5:$A$1004,0)),INDEX('Active Clients'!$C$5:$C$504,MATCH(C457,'Active Clients'!$A$5:$A$504,0)))&amp;"","ID not found"))</f>
        <v/>
      </c>
      <c r="G457" s="16"/>
      <c r="H457" s="16"/>
      <c r="I457" s="16"/>
      <c r="J457" s="16"/>
      <c r="K457" s="16"/>
      <c r="L457" s="18"/>
    </row>
    <row r="458" customFormat="false" ht="15" hidden="false" customHeight="false" outlineLevel="0" collapsed="false">
      <c r="A458" s="18"/>
      <c r="B458" s="16"/>
      <c r="C458" s="16"/>
      <c r="D458" s="51" t="str">
        <f aca="false">IF(C458="","",IFERROR(IF(LEFT(C458,1)="L",INDEX('Leads Pipeline'!$F$5:$F$1004,MATCH(C458,'Leads Pipeline'!$A$5:$A$1004,0)),INDEX('Active Clients'!$D$5:$D$504,MATCH(C458,'Active Clients'!$A$5:$A$504,0)))&amp;"","ID not found"))</f>
        <v/>
      </c>
      <c r="E458" s="51" t="str">
        <f aca="false">IF(C458="","",IFERROR(IF(LEFT(C458,1)="L",INDEX('Leads Pipeline'!$D$5:$D$1004,MATCH(C458,'Leads Pipeline'!$A$5:$A$1004,0)),INDEX('Active Clients'!$B$5:$B$504,MATCH(C458,'Active Clients'!$A$5:$A$504,0)))&amp;"","ID not found"))</f>
        <v/>
      </c>
      <c r="F458" s="51" t="str">
        <f aca="false">IF(C458="","",IFERROR(IF(LEFT(C458,1)="L",INDEX('Leads Pipeline'!$E$5:$E$1004,MATCH(C458,'Leads Pipeline'!$A$5:$A$1004,0)),INDEX('Active Clients'!$C$5:$C$504,MATCH(C458,'Active Clients'!$A$5:$A$504,0)))&amp;"","ID not found"))</f>
        <v/>
      </c>
      <c r="G458" s="16"/>
      <c r="H458" s="16"/>
      <c r="I458" s="16"/>
      <c r="J458" s="16"/>
      <c r="K458" s="16"/>
      <c r="L458" s="18"/>
    </row>
    <row r="459" customFormat="false" ht="15" hidden="false" customHeight="false" outlineLevel="0" collapsed="false">
      <c r="A459" s="18"/>
      <c r="B459" s="16"/>
      <c r="C459" s="16"/>
      <c r="D459" s="51" t="str">
        <f aca="false">IF(C459="","",IFERROR(IF(LEFT(C459,1)="L",INDEX('Leads Pipeline'!$F$5:$F$1004,MATCH(C459,'Leads Pipeline'!$A$5:$A$1004,0)),INDEX('Active Clients'!$D$5:$D$504,MATCH(C459,'Active Clients'!$A$5:$A$504,0)))&amp;"","ID not found"))</f>
        <v/>
      </c>
      <c r="E459" s="51" t="str">
        <f aca="false">IF(C459="","",IFERROR(IF(LEFT(C459,1)="L",INDEX('Leads Pipeline'!$D$5:$D$1004,MATCH(C459,'Leads Pipeline'!$A$5:$A$1004,0)),INDEX('Active Clients'!$B$5:$B$504,MATCH(C459,'Active Clients'!$A$5:$A$504,0)))&amp;"","ID not found"))</f>
        <v/>
      </c>
      <c r="F459" s="51" t="str">
        <f aca="false">IF(C459="","",IFERROR(IF(LEFT(C459,1)="L",INDEX('Leads Pipeline'!$E$5:$E$1004,MATCH(C459,'Leads Pipeline'!$A$5:$A$1004,0)),INDEX('Active Clients'!$C$5:$C$504,MATCH(C459,'Active Clients'!$A$5:$A$504,0)))&amp;"","ID not found"))</f>
        <v/>
      </c>
      <c r="G459" s="16"/>
      <c r="H459" s="16"/>
      <c r="I459" s="16"/>
      <c r="J459" s="16"/>
      <c r="K459" s="16"/>
      <c r="L459" s="18"/>
    </row>
    <row r="460" customFormat="false" ht="15" hidden="false" customHeight="false" outlineLevel="0" collapsed="false">
      <c r="A460" s="18"/>
      <c r="B460" s="16"/>
      <c r="C460" s="16"/>
      <c r="D460" s="51" t="str">
        <f aca="false">IF(C460="","",IFERROR(IF(LEFT(C460,1)="L",INDEX('Leads Pipeline'!$F$5:$F$1004,MATCH(C460,'Leads Pipeline'!$A$5:$A$1004,0)),INDEX('Active Clients'!$D$5:$D$504,MATCH(C460,'Active Clients'!$A$5:$A$504,0)))&amp;"","ID not found"))</f>
        <v/>
      </c>
      <c r="E460" s="51" t="str">
        <f aca="false">IF(C460="","",IFERROR(IF(LEFT(C460,1)="L",INDEX('Leads Pipeline'!$D$5:$D$1004,MATCH(C460,'Leads Pipeline'!$A$5:$A$1004,0)),INDEX('Active Clients'!$B$5:$B$504,MATCH(C460,'Active Clients'!$A$5:$A$504,0)))&amp;"","ID not found"))</f>
        <v/>
      </c>
      <c r="F460" s="51" t="str">
        <f aca="false">IF(C460="","",IFERROR(IF(LEFT(C460,1)="L",INDEX('Leads Pipeline'!$E$5:$E$1004,MATCH(C460,'Leads Pipeline'!$A$5:$A$1004,0)),INDEX('Active Clients'!$C$5:$C$504,MATCH(C460,'Active Clients'!$A$5:$A$504,0)))&amp;"","ID not found"))</f>
        <v/>
      </c>
      <c r="G460" s="16"/>
      <c r="H460" s="16"/>
      <c r="I460" s="16"/>
      <c r="J460" s="16"/>
      <c r="K460" s="16"/>
      <c r="L460" s="18"/>
    </row>
    <row r="461" customFormat="false" ht="15" hidden="false" customHeight="false" outlineLevel="0" collapsed="false">
      <c r="A461" s="18"/>
      <c r="B461" s="16"/>
      <c r="C461" s="16"/>
      <c r="D461" s="51" t="str">
        <f aca="false">IF(C461="","",IFERROR(IF(LEFT(C461,1)="L",INDEX('Leads Pipeline'!$F$5:$F$1004,MATCH(C461,'Leads Pipeline'!$A$5:$A$1004,0)),INDEX('Active Clients'!$D$5:$D$504,MATCH(C461,'Active Clients'!$A$5:$A$504,0)))&amp;"","ID not found"))</f>
        <v/>
      </c>
      <c r="E461" s="51" t="str">
        <f aca="false">IF(C461="","",IFERROR(IF(LEFT(C461,1)="L",INDEX('Leads Pipeline'!$D$5:$D$1004,MATCH(C461,'Leads Pipeline'!$A$5:$A$1004,0)),INDEX('Active Clients'!$B$5:$B$504,MATCH(C461,'Active Clients'!$A$5:$A$504,0)))&amp;"","ID not found"))</f>
        <v/>
      </c>
      <c r="F461" s="51" t="str">
        <f aca="false">IF(C461="","",IFERROR(IF(LEFT(C461,1)="L",INDEX('Leads Pipeline'!$E$5:$E$1004,MATCH(C461,'Leads Pipeline'!$A$5:$A$1004,0)),INDEX('Active Clients'!$C$5:$C$504,MATCH(C461,'Active Clients'!$A$5:$A$504,0)))&amp;"","ID not found"))</f>
        <v/>
      </c>
      <c r="G461" s="16"/>
      <c r="H461" s="16"/>
      <c r="I461" s="16"/>
      <c r="J461" s="16"/>
      <c r="K461" s="16"/>
      <c r="L461" s="18"/>
    </row>
    <row r="462" customFormat="false" ht="15" hidden="false" customHeight="false" outlineLevel="0" collapsed="false">
      <c r="A462" s="18"/>
      <c r="B462" s="16"/>
      <c r="C462" s="16"/>
      <c r="D462" s="51" t="str">
        <f aca="false">IF(C462="","",IFERROR(IF(LEFT(C462,1)="L",INDEX('Leads Pipeline'!$F$5:$F$1004,MATCH(C462,'Leads Pipeline'!$A$5:$A$1004,0)),INDEX('Active Clients'!$D$5:$D$504,MATCH(C462,'Active Clients'!$A$5:$A$504,0)))&amp;"","ID not found"))</f>
        <v/>
      </c>
      <c r="E462" s="51" t="str">
        <f aca="false">IF(C462="","",IFERROR(IF(LEFT(C462,1)="L",INDEX('Leads Pipeline'!$D$5:$D$1004,MATCH(C462,'Leads Pipeline'!$A$5:$A$1004,0)),INDEX('Active Clients'!$B$5:$B$504,MATCH(C462,'Active Clients'!$A$5:$A$504,0)))&amp;"","ID not found"))</f>
        <v/>
      </c>
      <c r="F462" s="51" t="str">
        <f aca="false">IF(C462="","",IFERROR(IF(LEFT(C462,1)="L",INDEX('Leads Pipeline'!$E$5:$E$1004,MATCH(C462,'Leads Pipeline'!$A$5:$A$1004,0)),INDEX('Active Clients'!$C$5:$C$504,MATCH(C462,'Active Clients'!$A$5:$A$504,0)))&amp;"","ID not found"))</f>
        <v/>
      </c>
      <c r="G462" s="16"/>
      <c r="H462" s="16"/>
      <c r="I462" s="16"/>
      <c r="J462" s="16"/>
      <c r="K462" s="16"/>
      <c r="L462" s="18"/>
    </row>
    <row r="463" customFormat="false" ht="15" hidden="false" customHeight="false" outlineLevel="0" collapsed="false">
      <c r="A463" s="18"/>
      <c r="B463" s="16"/>
      <c r="C463" s="16"/>
      <c r="D463" s="51" t="str">
        <f aca="false">IF(C463="","",IFERROR(IF(LEFT(C463,1)="L",INDEX('Leads Pipeline'!$F$5:$F$1004,MATCH(C463,'Leads Pipeline'!$A$5:$A$1004,0)),INDEX('Active Clients'!$D$5:$D$504,MATCH(C463,'Active Clients'!$A$5:$A$504,0)))&amp;"","ID not found"))</f>
        <v/>
      </c>
      <c r="E463" s="51" t="str">
        <f aca="false">IF(C463="","",IFERROR(IF(LEFT(C463,1)="L",INDEX('Leads Pipeline'!$D$5:$D$1004,MATCH(C463,'Leads Pipeline'!$A$5:$A$1004,0)),INDEX('Active Clients'!$B$5:$B$504,MATCH(C463,'Active Clients'!$A$5:$A$504,0)))&amp;"","ID not found"))</f>
        <v/>
      </c>
      <c r="F463" s="51" t="str">
        <f aca="false">IF(C463="","",IFERROR(IF(LEFT(C463,1)="L",INDEX('Leads Pipeline'!$E$5:$E$1004,MATCH(C463,'Leads Pipeline'!$A$5:$A$1004,0)),INDEX('Active Clients'!$C$5:$C$504,MATCH(C463,'Active Clients'!$A$5:$A$504,0)))&amp;"","ID not found"))</f>
        <v/>
      </c>
      <c r="G463" s="16"/>
      <c r="H463" s="16"/>
      <c r="I463" s="16"/>
      <c r="J463" s="16"/>
      <c r="K463" s="16"/>
      <c r="L463" s="18"/>
    </row>
    <row r="464" customFormat="false" ht="15" hidden="false" customHeight="false" outlineLevel="0" collapsed="false">
      <c r="A464" s="18"/>
      <c r="B464" s="16"/>
      <c r="C464" s="16"/>
      <c r="D464" s="51" t="str">
        <f aca="false">IF(C464="","",IFERROR(IF(LEFT(C464,1)="L",INDEX('Leads Pipeline'!$F$5:$F$1004,MATCH(C464,'Leads Pipeline'!$A$5:$A$1004,0)),INDEX('Active Clients'!$D$5:$D$504,MATCH(C464,'Active Clients'!$A$5:$A$504,0)))&amp;"","ID not found"))</f>
        <v/>
      </c>
      <c r="E464" s="51" t="str">
        <f aca="false">IF(C464="","",IFERROR(IF(LEFT(C464,1)="L",INDEX('Leads Pipeline'!$D$5:$D$1004,MATCH(C464,'Leads Pipeline'!$A$5:$A$1004,0)),INDEX('Active Clients'!$B$5:$B$504,MATCH(C464,'Active Clients'!$A$5:$A$504,0)))&amp;"","ID not found"))</f>
        <v/>
      </c>
      <c r="F464" s="51" t="str">
        <f aca="false">IF(C464="","",IFERROR(IF(LEFT(C464,1)="L",INDEX('Leads Pipeline'!$E$5:$E$1004,MATCH(C464,'Leads Pipeline'!$A$5:$A$1004,0)),INDEX('Active Clients'!$C$5:$C$504,MATCH(C464,'Active Clients'!$A$5:$A$504,0)))&amp;"","ID not found"))</f>
        <v/>
      </c>
      <c r="G464" s="16"/>
      <c r="H464" s="16"/>
      <c r="I464" s="16"/>
      <c r="J464" s="16"/>
      <c r="K464" s="16"/>
      <c r="L464" s="18"/>
    </row>
    <row r="465" customFormat="false" ht="15" hidden="false" customHeight="false" outlineLevel="0" collapsed="false">
      <c r="A465" s="18"/>
      <c r="B465" s="16"/>
      <c r="C465" s="16"/>
      <c r="D465" s="51" t="str">
        <f aca="false">IF(C465="","",IFERROR(IF(LEFT(C465,1)="L",INDEX('Leads Pipeline'!$F$5:$F$1004,MATCH(C465,'Leads Pipeline'!$A$5:$A$1004,0)),INDEX('Active Clients'!$D$5:$D$504,MATCH(C465,'Active Clients'!$A$5:$A$504,0)))&amp;"","ID not found"))</f>
        <v/>
      </c>
      <c r="E465" s="51" t="str">
        <f aca="false">IF(C465="","",IFERROR(IF(LEFT(C465,1)="L",INDEX('Leads Pipeline'!$D$5:$D$1004,MATCH(C465,'Leads Pipeline'!$A$5:$A$1004,0)),INDEX('Active Clients'!$B$5:$B$504,MATCH(C465,'Active Clients'!$A$5:$A$504,0)))&amp;"","ID not found"))</f>
        <v/>
      </c>
      <c r="F465" s="51" t="str">
        <f aca="false">IF(C465="","",IFERROR(IF(LEFT(C465,1)="L",INDEX('Leads Pipeline'!$E$5:$E$1004,MATCH(C465,'Leads Pipeline'!$A$5:$A$1004,0)),INDEX('Active Clients'!$C$5:$C$504,MATCH(C465,'Active Clients'!$A$5:$A$504,0)))&amp;"","ID not found"))</f>
        <v/>
      </c>
      <c r="G465" s="16"/>
      <c r="H465" s="16"/>
      <c r="I465" s="16"/>
      <c r="J465" s="16"/>
      <c r="K465" s="16"/>
      <c r="L465" s="18"/>
    </row>
    <row r="466" customFormat="false" ht="15" hidden="false" customHeight="false" outlineLevel="0" collapsed="false">
      <c r="A466" s="18"/>
      <c r="B466" s="16"/>
      <c r="C466" s="16"/>
      <c r="D466" s="51" t="str">
        <f aca="false">IF(C466="","",IFERROR(IF(LEFT(C466,1)="L",INDEX('Leads Pipeline'!$F$5:$F$1004,MATCH(C466,'Leads Pipeline'!$A$5:$A$1004,0)),INDEX('Active Clients'!$D$5:$D$504,MATCH(C466,'Active Clients'!$A$5:$A$504,0)))&amp;"","ID not found"))</f>
        <v/>
      </c>
      <c r="E466" s="51" t="str">
        <f aca="false">IF(C466="","",IFERROR(IF(LEFT(C466,1)="L",INDEX('Leads Pipeline'!$D$5:$D$1004,MATCH(C466,'Leads Pipeline'!$A$5:$A$1004,0)),INDEX('Active Clients'!$B$5:$B$504,MATCH(C466,'Active Clients'!$A$5:$A$504,0)))&amp;"","ID not found"))</f>
        <v/>
      </c>
      <c r="F466" s="51" t="str">
        <f aca="false">IF(C466="","",IFERROR(IF(LEFT(C466,1)="L",INDEX('Leads Pipeline'!$E$5:$E$1004,MATCH(C466,'Leads Pipeline'!$A$5:$A$1004,0)),INDEX('Active Clients'!$C$5:$C$504,MATCH(C466,'Active Clients'!$A$5:$A$504,0)))&amp;"","ID not found"))</f>
        <v/>
      </c>
      <c r="G466" s="16"/>
      <c r="H466" s="16"/>
      <c r="I466" s="16"/>
      <c r="J466" s="16"/>
      <c r="K466" s="16"/>
      <c r="L466" s="18"/>
    </row>
    <row r="467" customFormat="false" ht="15" hidden="false" customHeight="false" outlineLevel="0" collapsed="false">
      <c r="A467" s="18"/>
      <c r="B467" s="16"/>
      <c r="C467" s="16"/>
      <c r="D467" s="51" t="str">
        <f aca="false">IF(C467="","",IFERROR(IF(LEFT(C467,1)="L",INDEX('Leads Pipeline'!$F$5:$F$1004,MATCH(C467,'Leads Pipeline'!$A$5:$A$1004,0)),INDEX('Active Clients'!$D$5:$D$504,MATCH(C467,'Active Clients'!$A$5:$A$504,0)))&amp;"","ID not found"))</f>
        <v/>
      </c>
      <c r="E467" s="51" t="str">
        <f aca="false">IF(C467="","",IFERROR(IF(LEFT(C467,1)="L",INDEX('Leads Pipeline'!$D$5:$D$1004,MATCH(C467,'Leads Pipeline'!$A$5:$A$1004,0)),INDEX('Active Clients'!$B$5:$B$504,MATCH(C467,'Active Clients'!$A$5:$A$504,0)))&amp;"","ID not found"))</f>
        <v/>
      </c>
      <c r="F467" s="51" t="str">
        <f aca="false">IF(C467="","",IFERROR(IF(LEFT(C467,1)="L",INDEX('Leads Pipeline'!$E$5:$E$1004,MATCH(C467,'Leads Pipeline'!$A$5:$A$1004,0)),INDEX('Active Clients'!$C$5:$C$504,MATCH(C467,'Active Clients'!$A$5:$A$504,0)))&amp;"","ID not found"))</f>
        <v/>
      </c>
      <c r="G467" s="16"/>
      <c r="H467" s="16"/>
      <c r="I467" s="16"/>
      <c r="J467" s="16"/>
      <c r="K467" s="16"/>
      <c r="L467" s="18"/>
    </row>
    <row r="468" customFormat="false" ht="15" hidden="false" customHeight="false" outlineLevel="0" collapsed="false">
      <c r="A468" s="18"/>
      <c r="B468" s="16"/>
      <c r="C468" s="16"/>
      <c r="D468" s="51" t="str">
        <f aca="false">IF(C468="","",IFERROR(IF(LEFT(C468,1)="L",INDEX('Leads Pipeline'!$F$5:$F$1004,MATCH(C468,'Leads Pipeline'!$A$5:$A$1004,0)),INDEX('Active Clients'!$D$5:$D$504,MATCH(C468,'Active Clients'!$A$5:$A$504,0)))&amp;"","ID not found"))</f>
        <v/>
      </c>
      <c r="E468" s="51" t="str">
        <f aca="false">IF(C468="","",IFERROR(IF(LEFT(C468,1)="L",INDEX('Leads Pipeline'!$D$5:$D$1004,MATCH(C468,'Leads Pipeline'!$A$5:$A$1004,0)),INDEX('Active Clients'!$B$5:$B$504,MATCH(C468,'Active Clients'!$A$5:$A$504,0)))&amp;"","ID not found"))</f>
        <v/>
      </c>
      <c r="F468" s="51" t="str">
        <f aca="false">IF(C468="","",IFERROR(IF(LEFT(C468,1)="L",INDEX('Leads Pipeline'!$E$5:$E$1004,MATCH(C468,'Leads Pipeline'!$A$5:$A$1004,0)),INDEX('Active Clients'!$C$5:$C$504,MATCH(C468,'Active Clients'!$A$5:$A$504,0)))&amp;"","ID not found"))</f>
        <v/>
      </c>
      <c r="G468" s="16"/>
      <c r="H468" s="16"/>
      <c r="I468" s="16"/>
      <c r="J468" s="16"/>
      <c r="K468" s="16"/>
      <c r="L468" s="18"/>
    </row>
    <row r="469" customFormat="false" ht="15" hidden="false" customHeight="false" outlineLevel="0" collapsed="false">
      <c r="A469" s="18"/>
      <c r="B469" s="16"/>
      <c r="C469" s="16"/>
      <c r="D469" s="51" t="str">
        <f aca="false">IF(C469="","",IFERROR(IF(LEFT(C469,1)="L",INDEX('Leads Pipeline'!$F$5:$F$1004,MATCH(C469,'Leads Pipeline'!$A$5:$A$1004,0)),INDEX('Active Clients'!$D$5:$D$504,MATCH(C469,'Active Clients'!$A$5:$A$504,0)))&amp;"","ID not found"))</f>
        <v/>
      </c>
      <c r="E469" s="51" t="str">
        <f aca="false">IF(C469="","",IFERROR(IF(LEFT(C469,1)="L",INDEX('Leads Pipeline'!$D$5:$D$1004,MATCH(C469,'Leads Pipeline'!$A$5:$A$1004,0)),INDEX('Active Clients'!$B$5:$B$504,MATCH(C469,'Active Clients'!$A$5:$A$504,0)))&amp;"","ID not found"))</f>
        <v/>
      </c>
      <c r="F469" s="51" t="str">
        <f aca="false">IF(C469="","",IFERROR(IF(LEFT(C469,1)="L",INDEX('Leads Pipeline'!$E$5:$E$1004,MATCH(C469,'Leads Pipeline'!$A$5:$A$1004,0)),INDEX('Active Clients'!$C$5:$C$504,MATCH(C469,'Active Clients'!$A$5:$A$504,0)))&amp;"","ID not found"))</f>
        <v/>
      </c>
      <c r="G469" s="16"/>
      <c r="H469" s="16"/>
      <c r="I469" s="16"/>
      <c r="J469" s="16"/>
      <c r="K469" s="16"/>
      <c r="L469" s="18"/>
    </row>
    <row r="470" customFormat="false" ht="15" hidden="false" customHeight="false" outlineLevel="0" collapsed="false">
      <c r="A470" s="18"/>
      <c r="B470" s="16"/>
      <c r="C470" s="16"/>
      <c r="D470" s="51" t="str">
        <f aca="false">IF(C470="","",IFERROR(IF(LEFT(C470,1)="L",INDEX('Leads Pipeline'!$F$5:$F$1004,MATCH(C470,'Leads Pipeline'!$A$5:$A$1004,0)),INDEX('Active Clients'!$D$5:$D$504,MATCH(C470,'Active Clients'!$A$5:$A$504,0)))&amp;"","ID not found"))</f>
        <v/>
      </c>
      <c r="E470" s="51" t="str">
        <f aca="false">IF(C470="","",IFERROR(IF(LEFT(C470,1)="L",INDEX('Leads Pipeline'!$D$5:$D$1004,MATCH(C470,'Leads Pipeline'!$A$5:$A$1004,0)),INDEX('Active Clients'!$B$5:$B$504,MATCH(C470,'Active Clients'!$A$5:$A$504,0)))&amp;"","ID not found"))</f>
        <v/>
      </c>
      <c r="F470" s="51" t="str">
        <f aca="false">IF(C470="","",IFERROR(IF(LEFT(C470,1)="L",INDEX('Leads Pipeline'!$E$5:$E$1004,MATCH(C470,'Leads Pipeline'!$A$5:$A$1004,0)),INDEX('Active Clients'!$C$5:$C$504,MATCH(C470,'Active Clients'!$A$5:$A$504,0)))&amp;"","ID not found"))</f>
        <v/>
      </c>
      <c r="G470" s="16"/>
      <c r="H470" s="16"/>
      <c r="I470" s="16"/>
      <c r="J470" s="16"/>
      <c r="K470" s="16"/>
      <c r="L470" s="18"/>
    </row>
    <row r="471" customFormat="false" ht="15" hidden="false" customHeight="false" outlineLevel="0" collapsed="false">
      <c r="A471" s="18"/>
      <c r="B471" s="16"/>
      <c r="C471" s="16"/>
      <c r="D471" s="51" t="str">
        <f aca="false">IF(C471="","",IFERROR(IF(LEFT(C471,1)="L",INDEX('Leads Pipeline'!$F$5:$F$1004,MATCH(C471,'Leads Pipeline'!$A$5:$A$1004,0)),INDEX('Active Clients'!$D$5:$D$504,MATCH(C471,'Active Clients'!$A$5:$A$504,0)))&amp;"","ID not found"))</f>
        <v/>
      </c>
      <c r="E471" s="51" t="str">
        <f aca="false">IF(C471="","",IFERROR(IF(LEFT(C471,1)="L",INDEX('Leads Pipeline'!$D$5:$D$1004,MATCH(C471,'Leads Pipeline'!$A$5:$A$1004,0)),INDEX('Active Clients'!$B$5:$B$504,MATCH(C471,'Active Clients'!$A$5:$A$504,0)))&amp;"","ID not found"))</f>
        <v/>
      </c>
      <c r="F471" s="51" t="str">
        <f aca="false">IF(C471="","",IFERROR(IF(LEFT(C471,1)="L",INDEX('Leads Pipeline'!$E$5:$E$1004,MATCH(C471,'Leads Pipeline'!$A$5:$A$1004,0)),INDEX('Active Clients'!$C$5:$C$504,MATCH(C471,'Active Clients'!$A$5:$A$504,0)))&amp;"","ID not found"))</f>
        <v/>
      </c>
      <c r="G471" s="16"/>
      <c r="H471" s="16"/>
      <c r="I471" s="16"/>
      <c r="J471" s="16"/>
      <c r="K471" s="16"/>
      <c r="L471" s="18"/>
    </row>
    <row r="472" customFormat="false" ht="15" hidden="false" customHeight="false" outlineLevel="0" collapsed="false">
      <c r="A472" s="18"/>
      <c r="B472" s="16"/>
      <c r="C472" s="16"/>
      <c r="D472" s="51" t="str">
        <f aca="false">IF(C472="","",IFERROR(IF(LEFT(C472,1)="L",INDEX('Leads Pipeline'!$F$5:$F$1004,MATCH(C472,'Leads Pipeline'!$A$5:$A$1004,0)),INDEX('Active Clients'!$D$5:$D$504,MATCH(C472,'Active Clients'!$A$5:$A$504,0)))&amp;"","ID not found"))</f>
        <v/>
      </c>
      <c r="E472" s="51" t="str">
        <f aca="false">IF(C472="","",IFERROR(IF(LEFT(C472,1)="L",INDEX('Leads Pipeline'!$D$5:$D$1004,MATCH(C472,'Leads Pipeline'!$A$5:$A$1004,0)),INDEX('Active Clients'!$B$5:$B$504,MATCH(C472,'Active Clients'!$A$5:$A$504,0)))&amp;"","ID not found"))</f>
        <v/>
      </c>
      <c r="F472" s="51" t="str">
        <f aca="false">IF(C472="","",IFERROR(IF(LEFT(C472,1)="L",INDEX('Leads Pipeline'!$E$5:$E$1004,MATCH(C472,'Leads Pipeline'!$A$5:$A$1004,0)),INDEX('Active Clients'!$C$5:$C$504,MATCH(C472,'Active Clients'!$A$5:$A$504,0)))&amp;"","ID not found"))</f>
        <v/>
      </c>
      <c r="G472" s="16"/>
      <c r="H472" s="16"/>
      <c r="I472" s="16"/>
      <c r="J472" s="16"/>
      <c r="K472" s="16"/>
      <c r="L472" s="18"/>
    </row>
    <row r="473" customFormat="false" ht="15" hidden="false" customHeight="false" outlineLevel="0" collapsed="false">
      <c r="A473" s="18"/>
      <c r="B473" s="16"/>
      <c r="C473" s="16"/>
      <c r="D473" s="51" t="str">
        <f aca="false">IF(C473="","",IFERROR(IF(LEFT(C473,1)="L",INDEX('Leads Pipeline'!$F$5:$F$1004,MATCH(C473,'Leads Pipeline'!$A$5:$A$1004,0)),INDEX('Active Clients'!$D$5:$D$504,MATCH(C473,'Active Clients'!$A$5:$A$504,0)))&amp;"","ID not found"))</f>
        <v/>
      </c>
      <c r="E473" s="51" t="str">
        <f aca="false">IF(C473="","",IFERROR(IF(LEFT(C473,1)="L",INDEX('Leads Pipeline'!$D$5:$D$1004,MATCH(C473,'Leads Pipeline'!$A$5:$A$1004,0)),INDEX('Active Clients'!$B$5:$B$504,MATCH(C473,'Active Clients'!$A$5:$A$504,0)))&amp;"","ID not found"))</f>
        <v/>
      </c>
      <c r="F473" s="51" t="str">
        <f aca="false">IF(C473="","",IFERROR(IF(LEFT(C473,1)="L",INDEX('Leads Pipeline'!$E$5:$E$1004,MATCH(C473,'Leads Pipeline'!$A$5:$A$1004,0)),INDEX('Active Clients'!$C$5:$C$504,MATCH(C473,'Active Clients'!$A$5:$A$504,0)))&amp;"","ID not found"))</f>
        <v/>
      </c>
      <c r="G473" s="16"/>
      <c r="H473" s="16"/>
      <c r="I473" s="16"/>
      <c r="J473" s="16"/>
      <c r="K473" s="16"/>
      <c r="L473" s="18"/>
    </row>
    <row r="474" customFormat="false" ht="15" hidden="false" customHeight="false" outlineLevel="0" collapsed="false">
      <c r="A474" s="18"/>
      <c r="B474" s="16"/>
      <c r="C474" s="16"/>
      <c r="D474" s="51" t="str">
        <f aca="false">IF(C474="","",IFERROR(IF(LEFT(C474,1)="L",INDEX('Leads Pipeline'!$F$5:$F$1004,MATCH(C474,'Leads Pipeline'!$A$5:$A$1004,0)),INDEX('Active Clients'!$D$5:$D$504,MATCH(C474,'Active Clients'!$A$5:$A$504,0)))&amp;"","ID not found"))</f>
        <v/>
      </c>
      <c r="E474" s="51" t="str">
        <f aca="false">IF(C474="","",IFERROR(IF(LEFT(C474,1)="L",INDEX('Leads Pipeline'!$D$5:$D$1004,MATCH(C474,'Leads Pipeline'!$A$5:$A$1004,0)),INDEX('Active Clients'!$B$5:$B$504,MATCH(C474,'Active Clients'!$A$5:$A$504,0)))&amp;"","ID not found"))</f>
        <v/>
      </c>
      <c r="F474" s="51" t="str">
        <f aca="false">IF(C474="","",IFERROR(IF(LEFT(C474,1)="L",INDEX('Leads Pipeline'!$E$5:$E$1004,MATCH(C474,'Leads Pipeline'!$A$5:$A$1004,0)),INDEX('Active Clients'!$C$5:$C$504,MATCH(C474,'Active Clients'!$A$5:$A$504,0)))&amp;"","ID not found"))</f>
        <v/>
      </c>
      <c r="G474" s="16"/>
      <c r="H474" s="16"/>
      <c r="I474" s="16"/>
      <c r="J474" s="16"/>
      <c r="K474" s="16"/>
      <c r="L474" s="18"/>
    </row>
    <row r="475" customFormat="false" ht="15" hidden="false" customHeight="false" outlineLevel="0" collapsed="false">
      <c r="A475" s="18"/>
      <c r="B475" s="16"/>
      <c r="C475" s="16"/>
      <c r="D475" s="51" t="str">
        <f aca="false">IF(C475="","",IFERROR(IF(LEFT(C475,1)="L",INDEX('Leads Pipeline'!$F$5:$F$1004,MATCH(C475,'Leads Pipeline'!$A$5:$A$1004,0)),INDEX('Active Clients'!$D$5:$D$504,MATCH(C475,'Active Clients'!$A$5:$A$504,0)))&amp;"","ID not found"))</f>
        <v/>
      </c>
      <c r="E475" s="51" t="str">
        <f aca="false">IF(C475="","",IFERROR(IF(LEFT(C475,1)="L",INDEX('Leads Pipeline'!$D$5:$D$1004,MATCH(C475,'Leads Pipeline'!$A$5:$A$1004,0)),INDEX('Active Clients'!$B$5:$B$504,MATCH(C475,'Active Clients'!$A$5:$A$504,0)))&amp;"","ID not found"))</f>
        <v/>
      </c>
      <c r="F475" s="51" t="str">
        <f aca="false">IF(C475="","",IFERROR(IF(LEFT(C475,1)="L",INDEX('Leads Pipeline'!$E$5:$E$1004,MATCH(C475,'Leads Pipeline'!$A$5:$A$1004,0)),INDEX('Active Clients'!$C$5:$C$504,MATCH(C475,'Active Clients'!$A$5:$A$504,0)))&amp;"","ID not found"))</f>
        <v/>
      </c>
      <c r="G475" s="16"/>
      <c r="H475" s="16"/>
      <c r="I475" s="16"/>
      <c r="J475" s="16"/>
      <c r="K475" s="16"/>
      <c r="L475" s="18"/>
    </row>
    <row r="476" customFormat="false" ht="15" hidden="false" customHeight="false" outlineLevel="0" collapsed="false">
      <c r="A476" s="18"/>
      <c r="B476" s="16"/>
      <c r="C476" s="16"/>
      <c r="D476" s="51" t="str">
        <f aca="false">IF(C476="","",IFERROR(IF(LEFT(C476,1)="L",INDEX('Leads Pipeline'!$F$5:$F$1004,MATCH(C476,'Leads Pipeline'!$A$5:$A$1004,0)),INDEX('Active Clients'!$D$5:$D$504,MATCH(C476,'Active Clients'!$A$5:$A$504,0)))&amp;"","ID not found"))</f>
        <v/>
      </c>
      <c r="E476" s="51" t="str">
        <f aca="false">IF(C476="","",IFERROR(IF(LEFT(C476,1)="L",INDEX('Leads Pipeline'!$D$5:$D$1004,MATCH(C476,'Leads Pipeline'!$A$5:$A$1004,0)),INDEX('Active Clients'!$B$5:$B$504,MATCH(C476,'Active Clients'!$A$5:$A$504,0)))&amp;"","ID not found"))</f>
        <v/>
      </c>
      <c r="F476" s="51" t="str">
        <f aca="false">IF(C476="","",IFERROR(IF(LEFT(C476,1)="L",INDEX('Leads Pipeline'!$E$5:$E$1004,MATCH(C476,'Leads Pipeline'!$A$5:$A$1004,0)),INDEX('Active Clients'!$C$5:$C$504,MATCH(C476,'Active Clients'!$A$5:$A$504,0)))&amp;"","ID not found"))</f>
        <v/>
      </c>
      <c r="G476" s="16"/>
      <c r="H476" s="16"/>
      <c r="I476" s="16"/>
      <c r="J476" s="16"/>
      <c r="K476" s="16"/>
      <c r="L476" s="18"/>
    </row>
    <row r="477" customFormat="false" ht="15" hidden="false" customHeight="false" outlineLevel="0" collapsed="false">
      <c r="A477" s="18"/>
      <c r="B477" s="16"/>
      <c r="C477" s="16"/>
      <c r="D477" s="51" t="str">
        <f aca="false">IF(C477="","",IFERROR(IF(LEFT(C477,1)="L",INDEX('Leads Pipeline'!$F$5:$F$1004,MATCH(C477,'Leads Pipeline'!$A$5:$A$1004,0)),INDEX('Active Clients'!$D$5:$D$504,MATCH(C477,'Active Clients'!$A$5:$A$504,0)))&amp;"","ID not found"))</f>
        <v/>
      </c>
      <c r="E477" s="51" t="str">
        <f aca="false">IF(C477="","",IFERROR(IF(LEFT(C477,1)="L",INDEX('Leads Pipeline'!$D$5:$D$1004,MATCH(C477,'Leads Pipeline'!$A$5:$A$1004,0)),INDEX('Active Clients'!$B$5:$B$504,MATCH(C477,'Active Clients'!$A$5:$A$504,0)))&amp;"","ID not found"))</f>
        <v/>
      </c>
      <c r="F477" s="51" t="str">
        <f aca="false">IF(C477="","",IFERROR(IF(LEFT(C477,1)="L",INDEX('Leads Pipeline'!$E$5:$E$1004,MATCH(C477,'Leads Pipeline'!$A$5:$A$1004,0)),INDEX('Active Clients'!$C$5:$C$504,MATCH(C477,'Active Clients'!$A$5:$A$504,0)))&amp;"","ID not found"))</f>
        <v/>
      </c>
      <c r="G477" s="16"/>
      <c r="H477" s="16"/>
      <c r="I477" s="16"/>
      <c r="J477" s="16"/>
      <c r="K477" s="16"/>
      <c r="L477" s="18"/>
    </row>
    <row r="478" customFormat="false" ht="15" hidden="false" customHeight="false" outlineLevel="0" collapsed="false">
      <c r="A478" s="18"/>
      <c r="B478" s="16"/>
      <c r="C478" s="16"/>
      <c r="D478" s="51" t="str">
        <f aca="false">IF(C478="","",IFERROR(IF(LEFT(C478,1)="L",INDEX('Leads Pipeline'!$F$5:$F$1004,MATCH(C478,'Leads Pipeline'!$A$5:$A$1004,0)),INDEX('Active Clients'!$D$5:$D$504,MATCH(C478,'Active Clients'!$A$5:$A$504,0)))&amp;"","ID not found"))</f>
        <v/>
      </c>
      <c r="E478" s="51" t="str">
        <f aca="false">IF(C478="","",IFERROR(IF(LEFT(C478,1)="L",INDEX('Leads Pipeline'!$D$5:$D$1004,MATCH(C478,'Leads Pipeline'!$A$5:$A$1004,0)),INDEX('Active Clients'!$B$5:$B$504,MATCH(C478,'Active Clients'!$A$5:$A$504,0)))&amp;"","ID not found"))</f>
        <v/>
      </c>
      <c r="F478" s="51" t="str">
        <f aca="false">IF(C478="","",IFERROR(IF(LEFT(C478,1)="L",INDEX('Leads Pipeline'!$E$5:$E$1004,MATCH(C478,'Leads Pipeline'!$A$5:$A$1004,0)),INDEX('Active Clients'!$C$5:$C$504,MATCH(C478,'Active Clients'!$A$5:$A$504,0)))&amp;"","ID not found"))</f>
        <v/>
      </c>
      <c r="G478" s="16"/>
      <c r="H478" s="16"/>
      <c r="I478" s="16"/>
      <c r="J478" s="16"/>
      <c r="K478" s="16"/>
      <c r="L478" s="18"/>
    </row>
    <row r="479" customFormat="false" ht="15" hidden="false" customHeight="false" outlineLevel="0" collapsed="false">
      <c r="A479" s="18"/>
      <c r="B479" s="16"/>
      <c r="C479" s="16"/>
      <c r="D479" s="51" t="str">
        <f aca="false">IF(C479="","",IFERROR(IF(LEFT(C479,1)="L",INDEX('Leads Pipeline'!$F$5:$F$1004,MATCH(C479,'Leads Pipeline'!$A$5:$A$1004,0)),INDEX('Active Clients'!$D$5:$D$504,MATCH(C479,'Active Clients'!$A$5:$A$504,0)))&amp;"","ID not found"))</f>
        <v/>
      </c>
      <c r="E479" s="51" t="str">
        <f aca="false">IF(C479="","",IFERROR(IF(LEFT(C479,1)="L",INDEX('Leads Pipeline'!$D$5:$D$1004,MATCH(C479,'Leads Pipeline'!$A$5:$A$1004,0)),INDEX('Active Clients'!$B$5:$B$504,MATCH(C479,'Active Clients'!$A$5:$A$504,0)))&amp;"","ID not found"))</f>
        <v/>
      </c>
      <c r="F479" s="51" t="str">
        <f aca="false">IF(C479="","",IFERROR(IF(LEFT(C479,1)="L",INDEX('Leads Pipeline'!$E$5:$E$1004,MATCH(C479,'Leads Pipeline'!$A$5:$A$1004,0)),INDEX('Active Clients'!$C$5:$C$504,MATCH(C479,'Active Clients'!$A$5:$A$504,0)))&amp;"","ID not found"))</f>
        <v/>
      </c>
      <c r="G479" s="16"/>
      <c r="H479" s="16"/>
      <c r="I479" s="16"/>
      <c r="J479" s="16"/>
      <c r="K479" s="16"/>
      <c r="L479" s="18"/>
    </row>
    <row r="480" customFormat="false" ht="15" hidden="false" customHeight="false" outlineLevel="0" collapsed="false">
      <c r="A480" s="18"/>
      <c r="B480" s="16"/>
      <c r="C480" s="16"/>
      <c r="D480" s="51" t="str">
        <f aca="false">IF(C480="","",IFERROR(IF(LEFT(C480,1)="L",INDEX('Leads Pipeline'!$F$5:$F$1004,MATCH(C480,'Leads Pipeline'!$A$5:$A$1004,0)),INDEX('Active Clients'!$D$5:$D$504,MATCH(C480,'Active Clients'!$A$5:$A$504,0)))&amp;"","ID not found"))</f>
        <v/>
      </c>
      <c r="E480" s="51" t="str">
        <f aca="false">IF(C480="","",IFERROR(IF(LEFT(C480,1)="L",INDEX('Leads Pipeline'!$D$5:$D$1004,MATCH(C480,'Leads Pipeline'!$A$5:$A$1004,0)),INDEX('Active Clients'!$B$5:$B$504,MATCH(C480,'Active Clients'!$A$5:$A$504,0)))&amp;"","ID not found"))</f>
        <v/>
      </c>
      <c r="F480" s="51" t="str">
        <f aca="false">IF(C480="","",IFERROR(IF(LEFT(C480,1)="L",INDEX('Leads Pipeline'!$E$5:$E$1004,MATCH(C480,'Leads Pipeline'!$A$5:$A$1004,0)),INDEX('Active Clients'!$C$5:$C$504,MATCH(C480,'Active Clients'!$A$5:$A$504,0)))&amp;"","ID not found"))</f>
        <v/>
      </c>
      <c r="G480" s="16"/>
      <c r="H480" s="16"/>
      <c r="I480" s="16"/>
      <c r="J480" s="16"/>
      <c r="K480" s="16"/>
      <c r="L480" s="18"/>
    </row>
    <row r="481" customFormat="false" ht="15" hidden="false" customHeight="false" outlineLevel="0" collapsed="false">
      <c r="A481" s="18"/>
      <c r="B481" s="16"/>
      <c r="C481" s="16"/>
      <c r="D481" s="51" t="str">
        <f aca="false">IF(C481="","",IFERROR(IF(LEFT(C481,1)="L",INDEX('Leads Pipeline'!$F$5:$F$1004,MATCH(C481,'Leads Pipeline'!$A$5:$A$1004,0)),INDEX('Active Clients'!$D$5:$D$504,MATCH(C481,'Active Clients'!$A$5:$A$504,0)))&amp;"","ID not found"))</f>
        <v/>
      </c>
      <c r="E481" s="51" t="str">
        <f aca="false">IF(C481="","",IFERROR(IF(LEFT(C481,1)="L",INDEX('Leads Pipeline'!$D$5:$D$1004,MATCH(C481,'Leads Pipeline'!$A$5:$A$1004,0)),INDEX('Active Clients'!$B$5:$B$504,MATCH(C481,'Active Clients'!$A$5:$A$504,0)))&amp;"","ID not found"))</f>
        <v/>
      </c>
      <c r="F481" s="51" t="str">
        <f aca="false">IF(C481="","",IFERROR(IF(LEFT(C481,1)="L",INDEX('Leads Pipeline'!$E$5:$E$1004,MATCH(C481,'Leads Pipeline'!$A$5:$A$1004,0)),INDEX('Active Clients'!$C$5:$C$504,MATCH(C481,'Active Clients'!$A$5:$A$504,0)))&amp;"","ID not found"))</f>
        <v/>
      </c>
      <c r="G481" s="16"/>
      <c r="H481" s="16"/>
      <c r="I481" s="16"/>
      <c r="J481" s="16"/>
      <c r="K481" s="16"/>
      <c r="L481" s="18"/>
    </row>
    <row r="482" customFormat="false" ht="15" hidden="false" customHeight="false" outlineLevel="0" collapsed="false">
      <c r="A482" s="18"/>
      <c r="B482" s="16"/>
      <c r="C482" s="16"/>
      <c r="D482" s="51" t="str">
        <f aca="false">IF(C482="","",IFERROR(IF(LEFT(C482,1)="L",INDEX('Leads Pipeline'!$F$5:$F$1004,MATCH(C482,'Leads Pipeline'!$A$5:$A$1004,0)),INDEX('Active Clients'!$D$5:$D$504,MATCH(C482,'Active Clients'!$A$5:$A$504,0)))&amp;"","ID not found"))</f>
        <v/>
      </c>
      <c r="E482" s="51" t="str">
        <f aca="false">IF(C482="","",IFERROR(IF(LEFT(C482,1)="L",INDEX('Leads Pipeline'!$D$5:$D$1004,MATCH(C482,'Leads Pipeline'!$A$5:$A$1004,0)),INDEX('Active Clients'!$B$5:$B$504,MATCH(C482,'Active Clients'!$A$5:$A$504,0)))&amp;"","ID not found"))</f>
        <v/>
      </c>
      <c r="F482" s="51" t="str">
        <f aca="false">IF(C482="","",IFERROR(IF(LEFT(C482,1)="L",INDEX('Leads Pipeline'!$E$5:$E$1004,MATCH(C482,'Leads Pipeline'!$A$5:$A$1004,0)),INDEX('Active Clients'!$C$5:$C$504,MATCH(C482,'Active Clients'!$A$5:$A$504,0)))&amp;"","ID not found"))</f>
        <v/>
      </c>
      <c r="G482" s="16"/>
      <c r="H482" s="16"/>
      <c r="I482" s="16"/>
      <c r="J482" s="16"/>
      <c r="K482" s="16"/>
      <c r="L482" s="18"/>
    </row>
    <row r="483" customFormat="false" ht="15" hidden="false" customHeight="false" outlineLevel="0" collapsed="false">
      <c r="A483" s="18"/>
      <c r="B483" s="16"/>
      <c r="C483" s="16"/>
      <c r="D483" s="51" t="str">
        <f aca="false">IF(C483="","",IFERROR(IF(LEFT(C483,1)="L",INDEX('Leads Pipeline'!$F$5:$F$1004,MATCH(C483,'Leads Pipeline'!$A$5:$A$1004,0)),INDEX('Active Clients'!$D$5:$D$504,MATCH(C483,'Active Clients'!$A$5:$A$504,0)))&amp;"","ID not found"))</f>
        <v/>
      </c>
      <c r="E483" s="51" t="str">
        <f aca="false">IF(C483="","",IFERROR(IF(LEFT(C483,1)="L",INDEX('Leads Pipeline'!$D$5:$D$1004,MATCH(C483,'Leads Pipeline'!$A$5:$A$1004,0)),INDEX('Active Clients'!$B$5:$B$504,MATCH(C483,'Active Clients'!$A$5:$A$504,0)))&amp;"","ID not found"))</f>
        <v/>
      </c>
      <c r="F483" s="51" t="str">
        <f aca="false">IF(C483="","",IFERROR(IF(LEFT(C483,1)="L",INDEX('Leads Pipeline'!$E$5:$E$1004,MATCH(C483,'Leads Pipeline'!$A$5:$A$1004,0)),INDEX('Active Clients'!$C$5:$C$504,MATCH(C483,'Active Clients'!$A$5:$A$504,0)))&amp;"","ID not found"))</f>
        <v/>
      </c>
      <c r="G483" s="16"/>
      <c r="H483" s="16"/>
      <c r="I483" s="16"/>
      <c r="J483" s="16"/>
      <c r="K483" s="16"/>
      <c r="L483" s="18"/>
    </row>
    <row r="484" customFormat="false" ht="15" hidden="false" customHeight="false" outlineLevel="0" collapsed="false">
      <c r="A484" s="18"/>
      <c r="B484" s="16"/>
      <c r="C484" s="16"/>
      <c r="D484" s="51" t="str">
        <f aca="false">IF(C484="","",IFERROR(IF(LEFT(C484,1)="L",INDEX('Leads Pipeline'!$F$5:$F$1004,MATCH(C484,'Leads Pipeline'!$A$5:$A$1004,0)),INDEX('Active Clients'!$D$5:$D$504,MATCH(C484,'Active Clients'!$A$5:$A$504,0)))&amp;"","ID not found"))</f>
        <v/>
      </c>
      <c r="E484" s="51" t="str">
        <f aca="false">IF(C484="","",IFERROR(IF(LEFT(C484,1)="L",INDEX('Leads Pipeline'!$D$5:$D$1004,MATCH(C484,'Leads Pipeline'!$A$5:$A$1004,0)),INDEX('Active Clients'!$B$5:$B$504,MATCH(C484,'Active Clients'!$A$5:$A$504,0)))&amp;"","ID not found"))</f>
        <v/>
      </c>
      <c r="F484" s="51" t="str">
        <f aca="false">IF(C484="","",IFERROR(IF(LEFT(C484,1)="L",INDEX('Leads Pipeline'!$E$5:$E$1004,MATCH(C484,'Leads Pipeline'!$A$5:$A$1004,0)),INDEX('Active Clients'!$C$5:$C$504,MATCH(C484,'Active Clients'!$A$5:$A$504,0)))&amp;"","ID not found"))</f>
        <v/>
      </c>
      <c r="G484" s="16"/>
      <c r="H484" s="16"/>
      <c r="I484" s="16"/>
      <c r="J484" s="16"/>
      <c r="K484" s="16"/>
      <c r="L484" s="18"/>
    </row>
    <row r="485" customFormat="false" ht="15" hidden="false" customHeight="false" outlineLevel="0" collapsed="false">
      <c r="A485" s="18"/>
      <c r="B485" s="16"/>
      <c r="C485" s="16"/>
      <c r="D485" s="51" t="str">
        <f aca="false">IF(C485="","",IFERROR(IF(LEFT(C485,1)="L",INDEX('Leads Pipeline'!$F$5:$F$1004,MATCH(C485,'Leads Pipeline'!$A$5:$A$1004,0)),INDEX('Active Clients'!$D$5:$D$504,MATCH(C485,'Active Clients'!$A$5:$A$504,0)))&amp;"","ID not found"))</f>
        <v/>
      </c>
      <c r="E485" s="51" t="str">
        <f aca="false">IF(C485="","",IFERROR(IF(LEFT(C485,1)="L",INDEX('Leads Pipeline'!$D$5:$D$1004,MATCH(C485,'Leads Pipeline'!$A$5:$A$1004,0)),INDEX('Active Clients'!$B$5:$B$504,MATCH(C485,'Active Clients'!$A$5:$A$504,0)))&amp;"","ID not found"))</f>
        <v/>
      </c>
      <c r="F485" s="51" t="str">
        <f aca="false">IF(C485="","",IFERROR(IF(LEFT(C485,1)="L",INDEX('Leads Pipeline'!$E$5:$E$1004,MATCH(C485,'Leads Pipeline'!$A$5:$A$1004,0)),INDEX('Active Clients'!$C$5:$C$504,MATCH(C485,'Active Clients'!$A$5:$A$504,0)))&amp;"","ID not found"))</f>
        <v/>
      </c>
      <c r="G485" s="16"/>
      <c r="H485" s="16"/>
      <c r="I485" s="16"/>
      <c r="J485" s="16"/>
      <c r="K485" s="16"/>
      <c r="L485" s="18"/>
    </row>
    <row r="486" customFormat="false" ht="15" hidden="false" customHeight="false" outlineLevel="0" collapsed="false">
      <c r="A486" s="18"/>
      <c r="B486" s="16"/>
      <c r="C486" s="16"/>
      <c r="D486" s="51" t="str">
        <f aca="false">IF(C486="","",IFERROR(IF(LEFT(C486,1)="L",INDEX('Leads Pipeline'!$F$5:$F$1004,MATCH(C486,'Leads Pipeline'!$A$5:$A$1004,0)),INDEX('Active Clients'!$D$5:$D$504,MATCH(C486,'Active Clients'!$A$5:$A$504,0)))&amp;"","ID not found"))</f>
        <v/>
      </c>
      <c r="E486" s="51" t="str">
        <f aca="false">IF(C486="","",IFERROR(IF(LEFT(C486,1)="L",INDEX('Leads Pipeline'!$D$5:$D$1004,MATCH(C486,'Leads Pipeline'!$A$5:$A$1004,0)),INDEX('Active Clients'!$B$5:$B$504,MATCH(C486,'Active Clients'!$A$5:$A$504,0)))&amp;"","ID not found"))</f>
        <v/>
      </c>
      <c r="F486" s="51" t="str">
        <f aca="false">IF(C486="","",IFERROR(IF(LEFT(C486,1)="L",INDEX('Leads Pipeline'!$E$5:$E$1004,MATCH(C486,'Leads Pipeline'!$A$5:$A$1004,0)),INDEX('Active Clients'!$C$5:$C$504,MATCH(C486,'Active Clients'!$A$5:$A$504,0)))&amp;"","ID not found"))</f>
        <v/>
      </c>
      <c r="G486" s="16"/>
      <c r="H486" s="16"/>
      <c r="I486" s="16"/>
      <c r="J486" s="16"/>
      <c r="K486" s="16"/>
      <c r="L486" s="18"/>
    </row>
    <row r="487" customFormat="false" ht="15" hidden="false" customHeight="false" outlineLevel="0" collapsed="false">
      <c r="A487" s="18"/>
      <c r="B487" s="16"/>
      <c r="C487" s="16"/>
      <c r="D487" s="51" t="str">
        <f aca="false">IF(C487="","",IFERROR(IF(LEFT(C487,1)="L",INDEX('Leads Pipeline'!$F$5:$F$1004,MATCH(C487,'Leads Pipeline'!$A$5:$A$1004,0)),INDEX('Active Clients'!$D$5:$D$504,MATCH(C487,'Active Clients'!$A$5:$A$504,0)))&amp;"","ID not found"))</f>
        <v/>
      </c>
      <c r="E487" s="51" t="str">
        <f aca="false">IF(C487="","",IFERROR(IF(LEFT(C487,1)="L",INDEX('Leads Pipeline'!$D$5:$D$1004,MATCH(C487,'Leads Pipeline'!$A$5:$A$1004,0)),INDEX('Active Clients'!$B$5:$B$504,MATCH(C487,'Active Clients'!$A$5:$A$504,0)))&amp;"","ID not found"))</f>
        <v/>
      </c>
      <c r="F487" s="51" t="str">
        <f aca="false">IF(C487="","",IFERROR(IF(LEFT(C487,1)="L",INDEX('Leads Pipeline'!$E$5:$E$1004,MATCH(C487,'Leads Pipeline'!$A$5:$A$1004,0)),INDEX('Active Clients'!$C$5:$C$504,MATCH(C487,'Active Clients'!$A$5:$A$504,0)))&amp;"","ID not found"))</f>
        <v/>
      </c>
      <c r="G487" s="16"/>
      <c r="H487" s="16"/>
      <c r="I487" s="16"/>
      <c r="J487" s="16"/>
      <c r="K487" s="16"/>
      <c r="L487" s="18"/>
    </row>
    <row r="488" customFormat="false" ht="15" hidden="false" customHeight="false" outlineLevel="0" collapsed="false">
      <c r="A488" s="18"/>
      <c r="B488" s="16"/>
      <c r="C488" s="16"/>
      <c r="D488" s="51" t="str">
        <f aca="false">IF(C488="","",IFERROR(IF(LEFT(C488,1)="L",INDEX('Leads Pipeline'!$F$5:$F$1004,MATCH(C488,'Leads Pipeline'!$A$5:$A$1004,0)),INDEX('Active Clients'!$D$5:$D$504,MATCH(C488,'Active Clients'!$A$5:$A$504,0)))&amp;"","ID not found"))</f>
        <v/>
      </c>
      <c r="E488" s="51" t="str">
        <f aca="false">IF(C488="","",IFERROR(IF(LEFT(C488,1)="L",INDEX('Leads Pipeline'!$D$5:$D$1004,MATCH(C488,'Leads Pipeline'!$A$5:$A$1004,0)),INDEX('Active Clients'!$B$5:$B$504,MATCH(C488,'Active Clients'!$A$5:$A$504,0)))&amp;"","ID not found"))</f>
        <v/>
      </c>
      <c r="F488" s="51" t="str">
        <f aca="false">IF(C488="","",IFERROR(IF(LEFT(C488,1)="L",INDEX('Leads Pipeline'!$E$5:$E$1004,MATCH(C488,'Leads Pipeline'!$A$5:$A$1004,0)),INDEX('Active Clients'!$C$5:$C$504,MATCH(C488,'Active Clients'!$A$5:$A$504,0)))&amp;"","ID not found"))</f>
        <v/>
      </c>
      <c r="G488" s="16"/>
      <c r="H488" s="16"/>
      <c r="I488" s="16"/>
      <c r="J488" s="16"/>
      <c r="K488" s="16"/>
      <c r="L488" s="18"/>
    </row>
    <row r="489" customFormat="false" ht="15" hidden="false" customHeight="false" outlineLevel="0" collapsed="false">
      <c r="A489" s="18"/>
      <c r="B489" s="16"/>
      <c r="C489" s="16"/>
      <c r="D489" s="51" t="str">
        <f aca="false">IF(C489="","",IFERROR(IF(LEFT(C489,1)="L",INDEX('Leads Pipeline'!$F$5:$F$1004,MATCH(C489,'Leads Pipeline'!$A$5:$A$1004,0)),INDEX('Active Clients'!$D$5:$D$504,MATCH(C489,'Active Clients'!$A$5:$A$504,0)))&amp;"","ID not found"))</f>
        <v/>
      </c>
      <c r="E489" s="51" t="str">
        <f aca="false">IF(C489="","",IFERROR(IF(LEFT(C489,1)="L",INDEX('Leads Pipeline'!$D$5:$D$1004,MATCH(C489,'Leads Pipeline'!$A$5:$A$1004,0)),INDEX('Active Clients'!$B$5:$B$504,MATCH(C489,'Active Clients'!$A$5:$A$504,0)))&amp;"","ID not found"))</f>
        <v/>
      </c>
      <c r="F489" s="51" t="str">
        <f aca="false">IF(C489="","",IFERROR(IF(LEFT(C489,1)="L",INDEX('Leads Pipeline'!$E$5:$E$1004,MATCH(C489,'Leads Pipeline'!$A$5:$A$1004,0)),INDEX('Active Clients'!$C$5:$C$504,MATCH(C489,'Active Clients'!$A$5:$A$504,0)))&amp;"","ID not found"))</f>
        <v/>
      </c>
      <c r="G489" s="16"/>
      <c r="H489" s="16"/>
      <c r="I489" s="16"/>
      <c r="J489" s="16"/>
      <c r="K489" s="16"/>
      <c r="L489" s="18"/>
    </row>
    <row r="490" customFormat="false" ht="15" hidden="false" customHeight="false" outlineLevel="0" collapsed="false">
      <c r="A490" s="18"/>
      <c r="B490" s="16"/>
      <c r="C490" s="16"/>
      <c r="D490" s="51" t="str">
        <f aca="false">IF(C490="","",IFERROR(IF(LEFT(C490,1)="L",INDEX('Leads Pipeline'!$F$5:$F$1004,MATCH(C490,'Leads Pipeline'!$A$5:$A$1004,0)),INDEX('Active Clients'!$D$5:$D$504,MATCH(C490,'Active Clients'!$A$5:$A$504,0)))&amp;"","ID not found"))</f>
        <v/>
      </c>
      <c r="E490" s="51" t="str">
        <f aca="false">IF(C490="","",IFERROR(IF(LEFT(C490,1)="L",INDEX('Leads Pipeline'!$D$5:$D$1004,MATCH(C490,'Leads Pipeline'!$A$5:$A$1004,0)),INDEX('Active Clients'!$B$5:$B$504,MATCH(C490,'Active Clients'!$A$5:$A$504,0)))&amp;"","ID not found"))</f>
        <v/>
      </c>
      <c r="F490" s="51" t="str">
        <f aca="false">IF(C490="","",IFERROR(IF(LEFT(C490,1)="L",INDEX('Leads Pipeline'!$E$5:$E$1004,MATCH(C490,'Leads Pipeline'!$A$5:$A$1004,0)),INDEX('Active Clients'!$C$5:$C$504,MATCH(C490,'Active Clients'!$A$5:$A$504,0)))&amp;"","ID not found"))</f>
        <v/>
      </c>
      <c r="G490" s="16"/>
      <c r="H490" s="16"/>
      <c r="I490" s="16"/>
      <c r="J490" s="16"/>
      <c r="K490" s="16"/>
      <c r="L490" s="18"/>
    </row>
    <row r="491" customFormat="false" ht="15" hidden="false" customHeight="false" outlineLevel="0" collapsed="false">
      <c r="A491" s="18"/>
      <c r="B491" s="16"/>
      <c r="C491" s="16"/>
      <c r="D491" s="51" t="str">
        <f aca="false">IF(C491="","",IFERROR(IF(LEFT(C491,1)="L",INDEX('Leads Pipeline'!$F$5:$F$1004,MATCH(C491,'Leads Pipeline'!$A$5:$A$1004,0)),INDEX('Active Clients'!$D$5:$D$504,MATCH(C491,'Active Clients'!$A$5:$A$504,0)))&amp;"","ID not found"))</f>
        <v/>
      </c>
      <c r="E491" s="51" t="str">
        <f aca="false">IF(C491="","",IFERROR(IF(LEFT(C491,1)="L",INDEX('Leads Pipeline'!$D$5:$D$1004,MATCH(C491,'Leads Pipeline'!$A$5:$A$1004,0)),INDEX('Active Clients'!$B$5:$B$504,MATCH(C491,'Active Clients'!$A$5:$A$504,0)))&amp;"","ID not found"))</f>
        <v/>
      </c>
      <c r="F491" s="51" t="str">
        <f aca="false">IF(C491="","",IFERROR(IF(LEFT(C491,1)="L",INDEX('Leads Pipeline'!$E$5:$E$1004,MATCH(C491,'Leads Pipeline'!$A$5:$A$1004,0)),INDEX('Active Clients'!$C$5:$C$504,MATCH(C491,'Active Clients'!$A$5:$A$504,0)))&amp;"","ID not found"))</f>
        <v/>
      </c>
      <c r="G491" s="16"/>
      <c r="H491" s="16"/>
      <c r="I491" s="16"/>
      <c r="J491" s="16"/>
      <c r="K491" s="16"/>
      <c r="L491" s="18"/>
    </row>
    <row r="492" customFormat="false" ht="15" hidden="false" customHeight="false" outlineLevel="0" collapsed="false">
      <c r="A492" s="18"/>
      <c r="B492" s="16"/>
      <c r="C492" s="16"/>
      <c r="D492" s="51" t="str">
        <f aca="false">IF(C492="","",IFERROR(IF(LEFT(C492,1)="L",INDEX('Leads Pipeline'!$F$5:$F$1004,MATCH(C492,'Leads Pipeline'!$A$5:$A$1004,0)),INDEX('Active Clients'!$D$5:$D$504,MATCH(C492,'Active Clients'!$A$5:$A$504,0)))&amp;"","ID not found"))</f>
        <v/>
      </c>
      <c r="E492" s="51" t="str">
        <f aca="false">IF(C492="","",IFERROR(IF(LEFT(C492,1)="L",INDEX('Leads Pipeline'!$D$5:$D$1004,MATCH(C492,'Leads Pipeline'!$A$5:$A$1004,0)),INDEX('Active Clients'!$B$5:$B$504,MATCH(C492,'Active Clients'!$A$5:$A$504,0)))&amp;"","ID not found"))</f>
        <v/>
      </c>
      <c r="F492" s="51" t="str">
        <f aca="false">IF(C492="","",IFERROR(IF(LEFT(C492,1)="L",INDEX('Leads Pipeline'!$E$5:$E$1004,MATCH(C492,'Leads Pipeline'!$A$5:$A$1004,0)),INDEX('Active Clients'!$C$5:$C$504,MATCH(C492,'Active Clients'!$A$5:$A$504,0)))&amp;"","ID not found"))</f>
        <v/>
      </c>
      <c r="G492" s="16"/>
      <c r="H492" s="16"/>
      <c r="I492" s="16"/>
      <c r="J492" s="16"/>
      <c r="K492" s="16"/>
      <c r="L492" s="18"/>
    </row>
    <row r="493" customFormat="false" ht="15" hidden="false" customHeight="false" outlineLevel="0" collapsed="false">
      <c r="A493" s="18"/>
      <c r="B493" s="16"/>
      <c r="C493" s="16"/>
      <c r="D493" s="51" t="str">
        <f aca="false">IF(C493="","",IFERROR(IF(LEFT(C493,1)="L",INDEX('Leads Pipeline'!$F$5:$F$1004,MATCH(C493,'Leads Pipeline'!$A$5:$A$1004,0)),INDEX('Active Clients'!$D$5:$D$504,MATCH(C493,'Active Clients'!$A$5:$A$504,0)))&amp;"","ID not found"))</f>
        <v/>
      </c>
      <c r="E493" s="51" t="str">
        <f aca="false">IF(C493="","",IFERROR(IF(LEFT(C493,1)="L",INDEX('Leads Pipeline'!$D$5:$D$1004,MATCH(C493,'Leads Pipeline'!$A$5:$A$1004,0)),INDEX('Active Clients'!$B$5:$B$504,MATCH(C493,'Active Clients'!$A$5:$A$504,0)))&amp;"","ID not found"))</f>
        <v/>
      </c>
      <c r="F493" s="51" t="str">
        <f aca="false">IF(C493="","",IFERROR(IF(LEFT(C493,1)="L",INDEX('Leads Pipeline'!$E$5:$E$1004,MATCH(C493,'Leads Pipeline'!$A$5:$A$1004,0)),INDEX('Active Clients'!$C$5:$C$504,MATCH(C493,'Active Clients'!$A$5:$A$504,0)))&amp;"","ID not found"))</f>
        <v/>
      </c>
      <c r="G493" s="16"/>
      <c r="H493" s="16"/>
      <c r="I493" s="16"/>
      <c r="J493" s="16"/>
      <c r="K493" s="16"/>
      <c r="L493" s="18"/>
    </row>
    <row r="494" customFormat="false" ht="15" hidden="false" customHeight="false" outlineLevel="0" collapsed="false">
      <c r="A494" s="18"/>
      <c r="B494" s="16"/>
      <c r="C494" s="16"/>
      <c r="D494" s="51" t="str">
        <f aca="false">IF(C494="","",IFERROR(IF(LEFT(C494,1)="L",INDEX('Leads Pipeline'!$F$5:$F$1004,MATCH(C494,'Leads Pipeline'!$A$5:$A$1004,0)),INDEX('Active Clients'!$D$5:$D$504,MATCH(C494,'Active Clients'!$A$5:$A$504,0)))&amp;"","ID not found"))</f>
        <v/>
      </c>
      <c r="E494" s="51" t="str">
        <f aca="false">IF(C494="","",IFERROR(IF(LEFT(C494,1)="L",INDEX('Leads Pipeline'!$D$5:$D$1004,MATCH(C494,'Leads Pipeline'!$A$5:$A$1004,0)),INDEX('Active Clients'!$B$5:$B$504,MATCH(C494,'Active Clients'!$A$5:$A$504,0)))&amp;"","ID not found"))</f>
        <v/>
      </c>
      <c r="F494" s="51" t="str">
        <f aca="false">IF(C494="","",IFERROR(IF(LEFT(C494,1)="L",INDEX('Leads Pipeline'!$E$5:$E$1004,MATCH(C494,'Leads Pipeline'!$A$5:$A$1004,0)),INDEX('Active Clients'!$C$5:$C$504,MATCH(C494,'Active Clients'!$A$5:$A$504,0)))&amp;"","ID not found"))</f>
        <v/>
      </c>
      <c r="G494" s="16"/>
      <c r="H494" s="16"/>
      <c r="I494" s="16"/>
      <c r="J494" s="16"/>
      <c r="K494" s="16"/>
      <c r="L494" s="18"/>
    </row>
    <row r="495" customFormat="false" ht="15" hidden="false" customHeight="false" outlineLevel="0" collapsed="false">
      <c r="A495" s="18"/>
      <c r="B495" s="16"/>
      <c r="C495" s="16"/>
      <c r="D495" s="51" t="str">
        <f aca="false">IF(C495="","",IFERROR(IF(LEFT(C495,1)="L",INDEX('Leads Pipeline'!$F$5:$F$1004,MATCH(C495,'Leads Pipeline'!$A$5:$A$1004,0)),INDEX('Active Clients'!$D$5:$D$504,MATCH(C495,'Active Clients'!$A$5:$A$504,0)))&amp;"","ID not found"))</f>
        <v/>
      </c>
      <c r="E495" s="51" t="str">
        <f aca="false">IF(C495="","",IFERROR(IF(LEFT(C495,1)="L",INDEX('Leads Pipeline'!$D$5:$D$1004,MATCH(C495,'Leads Pipeline'!$A$5:$A$1004,0)),INDEX('Active Clients'!$B$5:$B$504,MATCH(C495,'Active Clients'!$A$5:$A$504,0)))&amp;"","ID not found"))</f>
        <v/>
      </c>
      <c r="F495" s="51" t="str">
        <f aca="false">IF(C495="","",IFERROR(IF(LEFT(C495,1)="L",INDEX('Leads Pipeline'!$E$5:$E$1004,MATCH(C495,'Leads Pipeline'!$A$5:$A$1004,0)),INDEX('Active Clients'!$C$5:$C$504,MATCH(C495,'Active Clients'!$A$5:$A$504,0)))&amp;"","ID not found"))</f>
        <v/>
      </c>
      <c r="G495" s="16"/>
      <c r="H495" s="16"/>
      <c r="I495" s="16"/>
      <c r="J495" s="16"/>
      <c r="K495" s="16"/>
      <c r="L495" s="18"/>
    </row>
    <row r="496" customFormat="false" ht="15" hidden="false" customHeight="false" outlineLevel="0" collapsed="false">
      <c r="A496" s="18"/>
      <c r="B496" s="16"/>
      <c r="C496" s="16"/>
      <c r="D496" s="51" t="str">
        <f aca="false">IF(C496="","",IFERROR(IF(LEFT(C496,1)="L",INDEX('Leads Pipeline'!$F$5:$F$1004,MATCH(C496,'Leads Pipeline'!$A$5:$A$1004,0)),INDEX('Active Clients'!$D$5:$D$504,MATCH(C496,'Active Clients'!$A$5:$A$504,0)))&amp;"","ID not found"))</f>
        <v/>
      </c>
      <c r="E496" s="51" t="str">
        <f aca="false">IF(C496="","",IFERROR(IF(LEFT(C496,1)="L",INDEX('Leads Pipeline'!$D$5:$D$1004,MATCH(C496,'Leads Pipeline'!$A$5:$A$1004,0)),INDEX('Active Clients'!$B$5:$B$504,MATCH(C496,'Active Clients'!$A$5:$A$504,0)))&amp;"","ID not found"))</f>
        <v/>
      </c>
      <c r="F496" s="51" t="str">
        <f aca="false">IF(C496="","",IFERROR(IF(LEFT(C496,1)="L",INDEX('Leads Pipeline'!$E$5:$E$1004,MATCH(C496,'Leads Pipeline'!$A$5:$A$1004,0)),INDEX('Active Clients'!$C$5:$C$504,MATCH(C496,'Active Clients'!$A$5:$A$504,0)))&amp;"","ID not found"))</f>
        <v/>
      </c>
      <c r="G496" s="16"/>
      <c r="H496" s="16"/>
      <c r="I496" s="16"/>
      <c r="J496" s="16"/>
      <c r="K496" s="16"/>
      <c r="L496" s="18"/>
    </row>
    <row r="497" customFormat="false" ht="15" hidden="false" customHeight="false" outlineLevel="0" collapsed="false">
      <c r="A497" s="18"/>
      <c r="B497" s="16"/>
      <c r="C497" s="16"/>
      <c r="D497" s="51" t="str">
        <f aca="false">IF(C497="","",IFERROR(IF(LEFT(C497,1)="L",INDEX('Leads Pipeline'!$F$5:$F$1004,MATCH(C497,'Leads Pipeline'!$A$5:$A$1004,0)),INDEX('Active Clients'!$D$5:$D$504,MATCH(C497,'Active Clients'!$A$5:$A$504,0)))&amp;"","ID not found"))</f>
        <v/>
      </c>
      <c r="E497" s="51" t="str">
        <f aca="false">IF(C497="","",IFERROR(IF(LEFT(C497,1)="L",INDEX('Leads Pipeline'!$D$5:$D$1004,MATCH(C497,'Leads Pipeline'!$A$5:$A$1004,0)),INDEX('Active Clients'!$B$5:$B$504,MATCH(C497,'Active Clients'!$A$5:$A$504,0)))&amp;"","ID not found"))</f>
        <v/>
      </c>
      <c r="F497" s="51" t="str">
        <f aca="false">IF(C497="","",IFERROR(IF(LEFT(C497,1)="L",INDEX('Leads Pipeline'!$E$5:$E$1004,MATCH(C497,'Leads Pipeline'!$A$5:$A$1004,0)),INDEX('Active Clients'!$C$5:$C$504,MATCH(C497,'Active Clients'!$A$5:$A$504,0)))&amp;"","ID not found"))</f>
        <v/>
      </c>
      <c r="G497" s="16"/>
      <c r="H497" s="16"/>
      <c r="I497" s="16"/>
      <c r="J497" s="16"/>
      <c r="K497" s="16"/>
      <c r="L497" s="18"/>
    </row>
    <row r="498" customFormat="false" ht="15" hidden="false" customHeight="false" outlineLevel="0" collapsed="false">
      <c r="A498" s="18"/>
      <c r="B498" s="16"/>
      <c r="C498" s="16"/>
      <c r="D498" s="51" t="str">
        <f aca="false">IF(C498="","",IFERROR(IF(LEFT(C498,1)="L",INDEX('Leads Pipeline'!$F$5:$F$1004,MATCH(C498,'Leads Pipeline'!$A$5:$A$1004,0)),INDEX('Active Clients'!$D$5:$D$504,MATCH(C498,'Active Clients'!$A$5:$A$504,0)))&amp;"","ID not found"))</f>
        <v/>
      </c>
      <c r="E498" s="51" t="str">
        <f aca="false">IF(C498="","",IFERROR(IF(LEFT(C498,1)="L",INDEX('Leads Pipeline'!$D$5:$D$1004,MATCH(C498,'Leads Pipeline'!$A$5:$A$1004,0)),INDEX('Active Clients'!$B$5:$B$504,MATCH(C498,'Active Clients'!$A$5:$A$504,0)))&amp;"","ID not found"))</f>
        <v/>
      </c>
      <c r="F498" s="51" t="str">
        <f aca="false">IF(C498="","",IFERROR(IF(LEFT(C498,1)="L",INDEX('Leads Pipeline'!$E$5:$E$1004,MATCH(C498,'Leads Pipeline'!$A$5:$A$1004,0)),INDEX('Active Clients'!$C$5:$C$504,MATCH(C498,'Active Clients'!$A$5:$A$504,0)))&amp;"","ID not found"))</f>
        <v/>
      </c>
      <c r="G498" s="16"/>
      <c r="H498" s="16"/>
      <c r="I498" s="16"/>
      <c r="J498" s="16"/>
      <c r="K498" s="16"/>
      <c r="L498" s="18"/>
    </row>
    <row r="499" customFormat="false" ht="15" hidden="false" customHeight="false" outlineLevel="0" collapsed="false">
      <c r="A499" s="18"/>
      <c r="B499" s="16"/>
      <c r="C499" s="16"/>
      <c r="D499" s="51" t="str">
        <f aca="false">IF(C499="","",IFERROR(IF(LEFT(C499,1)="L",INDEX('Leads Pipeline'!$F$5:$F$1004,MATCH(C499,'Leads Pipeline'!$A$5:$A$1004,0)),INDEX('Active Clients'!$D$5:$D$504,MATCH(C499,'Active Clients'!$A$5:$A$504,0)))&amp;"","ID not found"))</f>
        <v/>
      </c>
      <c r="E499" s="51" t="str">
        <f aca="false">IF(C499="","",IFERROR(IF(LEFT(C499,1)="L",INDEX('Leads Pipeline'!$D$5:$D$1004,MATCH(C499,'Leads Pipeline'!$A$5:$A$1004,0)),INDEX('Active Clients'!$B$5:$B$504,MATCH(C499,'Active Clients'!$A$5:$A$504,0)))&amp;"","ID not found"))</f>
        <v/>
      </c>
      <c r="F499" s="51" t="str">
        <f aca="false">IF(C499="","",IFERROR(IF(LEFT(C499,1)="L",INDEX('Leads Pipeline'!$E$5:$E$1004,MATCH(C499,'Leads Pipeline'!$A$5:$A$1004,0)),INDEX('Active Clients'!$C$5:$C$504,MATCH(C499,'Active Clients'!$A$5:$A$504,0)))&amp;"","ID not found"))</f>
        <v/>
      </c>
      <c r="G499" s="16"/>
      <c r="H499" s="16"/>
      <c r="I499" s="16"/>
      <c r="J499" s="16"/>
      <c r="K499" s="16"/>
      <c r="L499" s="18"/>
    </row>
    <row r="500" customFormat="false" ht="15" hidden="false" customHeight="false" outlineLevel="0" collapsed="false">
      <c r="A500" s="18"/>
      <c r="B500" s="16"/>
      <c r="C500" s="16"/>
      <c r="D500" s="51" t="str">
        <f aca="false">IF(C500="","",IFERROR(IF(LEFT(C500,1)="L",INDEX('Leads Pipeline'!$F$5:$F$1004,MATCH(C500,'Leads Pipeline'!$A$5:$A$1004,0)),INDEX('Active Clients'!$D$5:$D$504,MATCH(C500,'Active Clients'!$A$5:$A$504,0)))&amp;"","ID not found"))</f>
        <v/>
      </c>
      <c r="E500" s="51" t="str">
        <f aca="false">IF(C500="","",IFERROR(IF(LEFT(C500,1)="L",INDEX('Leads Pipeline'!$D$5:$D$1004,MATCH(C500,'Leads Pipeline'!$A$5:$A$1004,0)),INDEX('Active Clients'!$B$5:$B$504,MATCH(C500,'Active Clients'!$A$5:$A$504,0)))&amp;"","ID not found"))</f>
        <v/>
      </c>
      <c r="F500" s="51" t="str">
        <f aca="false">IF(C500="","",IFERROR(IF(LEFT(C500,1)="L",INDEX('Leads Pipeline'!$E$5:$E$1004,MATCH(C500,'Leads Pipeline'!$A$5:$A$1004,0)),INDEX('Active Clients'!$C$5:$C$504,MATCH(C500,'Active Clients'!$A$5:$A$504,0)))&amp;"","ID not found"))</f>
        <v/>
      </c>
      <c r="G500" s="16"/>
      <c r="H500" s="16"/>
      <c r="I500" s="16"/>
      <c r="J500" s="16"/>
      <c r="K500" s="16"/>
      <c r="L500" s="18"/>
    </row>
    <row r="501" customFormat="false" ht="15" hidden="false" customHeight="false" outlineLevel="0" collapsed="false">
      <c r="A501" s="18"/>
      <c r="B501" s="16"/>
      <c r="C501" s="16"/>
      <c r="D501" s="51" t="str">
        <f aca="false">IF(C501="","",IFERROR(IF(LEFT(C501,1)="L",INDEX('Leads Pipeline'!$F$5:$F$1004,MATCH(C501,'Leads Pipeline'!$A$5:$A$1004,0)),INDEX('Active Clients'!$D$5:$D$504,MATCH(C501,'Active Clients'!$A$5:$A$504,0)))&amp;"","ID not found"))</f>
        <v/>
      </c>
      <c r="E501" s="51" t="str">
        <f aca="false">IF(C501="","",IFERROR(IF(LEFT(C501,1)="L",INDEX('Leads Pipeline'!$D$5:$D$1004,MATCH(C501,'Leads Pipeline'!$A$5:$A$1004,0)),INDEX('Active Clients'!$B$5:$B$504,MATCH(C501,'Active Clients'!$A$5:$A$504,0)))&amp;"","ID not found"))</f>
        <v/>
      </c>
      <c r="F501" s="51" t="str">
        <f aca="false">IF(C501="","",IFERROR(IF(LEFT(C501,1)="L",INDEX('Leads Pipeline'!$E$5:$E$1004,MATCH(C501,'Leads Pipeline'!$A$5:$A$1004,0)),INDEX('Active Clients'!$C$5:$C$504,MATCH(C501,'Active Clients'!$A$5:$A$504,0)))&amp;"","ID not found"))</f>
        <v/>
      </c>
      <c r="G501" s="16"/>
      <c r="H501" s="16"/>
      <c r="I501" s="16"/>
      <c r="J501" s="16"/>
      <c r="K501" s="16"/>
      <c r="L501" s="18"/>
    </row>
    <row r="502" customFormat="false" ht="15" hidden="false" customHeight="false" outlineLevel="0" collapsed="false">
      <c r="A502" s="18"/>
      <c r="B502" s="16"/>
      <c r="C502" s="16"/>
      <c r="D502" s="51" t="str">
        <f aca="false">IF(C502="","",IFERROR(IF(LEFT(C502,1)="L",INDEX('Leads Pipeline'!$F$5:$F$1004,MATCH(C502,'Leads Pipeline'!$A$5:$A$1004,0)),INDEX('Active Clients'!$D$5:$D$504,MATCH(C502,'Active Clients'!$A$5:$A$504,0)))&amp;"","ID not found"))</f>
        <v/>
      </c>
      <c r="E502" s="51" t="str">
        <f aca="false">IF(C502="","",IFERROR(IF(LEFT(C502,1)="L",INDEX('Leads Pipeline'!$D$5:$D$1004,MATCH(C502,'Leads Pipeline'!$A$5:$A$1004,0)),INDEX('Active Clients'!$B$5:$B$504,MATCH(C502,'Active Clients'!$A$5:$A$504,0)))&amp;"","ID not found"))</f>
        <v/>
      </c>
      <c r="F502" s="51" t="str">
        <f aca="false">IF(C502="","",IFERROR(IF(LEFT(C502,1)="L",INDEX('Leads Pipeline'!$E$5:$E$1004,MATCH(C502,'Leads Pipeline'!$A$5:$A$1004,0)),INDEX('Active Clients'!$C$5:$C$504,MATCH(C502,'Active Clients'!$A$5:$A$504,0)))&amp;"","ID not found"))</f>
        <v/>
      </c>
      <c r="G502" s="16"/>
      <c r="H502" s="16"/>
      <c r="I502" s="16"/>
      <c r="J502" s="16"/>
      <c r="K502" s="16"/>
      <c r="L502" s="18"/>
    </row>
    <row r="503" customFormat="false" ht="15" hidden="false" customHeight="false" outlineLevel="0" collapsed="false">
      <c r="A503" s="18"/>
      <c r="B503" s="16"/>
      <c r="C503" s="16"/>
      <c r="D503" s="51" t="str">
        <f aca="false">IF(C503="","",IFERROR(IF(LEFT(C503,1)="L",INDEX('Leads Pipeline'!$F$5:$F$1004,MATCH(C503,'Leads Pipeline'!$A$5:$A$1004,0)),INDEX('Active Clients'!$D$5:$D$504,MATCH(C503,'Active Clients'!$A$5:$A$504,0)))&amp;"","ID not found"))</f>
        <v/>
      </c>
      <c r="E503" s="51" t="str">
        <f aca="false">IF(C503="","",IFERROR(IF(LEFT(C503,1)="L",INDEX('Leads Pipeline'!$D$5:$D$1004,MATCH(C503,'Leads Pipeline'!$A$5:$A$1004,0)),INDEX('Active Clients'!$B$5:$B$504,MATCH(C503,'Active Clients'!$A$5:$A$504,0)))&amp;"","ID not found"))</f>
        <v/>
      </c>
      <c r="F503" s="51" t="str">
        <f aca="false">IF(C503="","",IFERROR(IF(LEFT(C503,1)="L",INDEX('Leads Pipeline'!$E$5:$E$1004,MATCH(C503,'Leads Pipeline'!$A$5:$A$1004,0)),INDEX('Active Clients'!$C$5:$C$504,MATCH(C503,'Active Clients'!$A$5:$A$504,0)))&amp;"","ID not found"))</f>
        <v/>
      </c>
      <c r="G503" s="16"/>
      <c r="H503" s="16"/>
      <c r="I503" s="16"/>
      <c r="J503" s="16"/>
      <c r="K503" s="16"/>
      <c r="L503" s="18"/>
    </row>
    <row r="504" customFormat="false" ht="15" hidden="false" customHeight="false" outlineLevel="0" collapsed="false">
      <c r="A504" s="18"/>
      <c r="B504" s="16"/>
      <c r="C504" s="16"/>
      <c r="D504" s="51" t="str">
        <f aca="false">IF(C504="","",IFERROR(IF(LEFT(C504,1)="L",INDEX('Leads Pipeline'!$F$5:$F$1004,MATCH(C504,'Leads Pipeline'!$A$5:$A$1004,0)),INDEX('Active Clients'!$D$5:$D$504,MATCH(C504,'Active Clients'!$A$5:$A$504,0)))&amp;"","ID not found"))</f>
        <v/>
      </c>
      <c r="E504" s="51" t="str">
        <f aca="false">IF(C504="","",IFERROR(IF(LEFT(C504,1)="L",INDEX('Leads Pipeline'!$D$5:$D$1004,MATCH(C504,'Leads Pipeline'!$A$5:$A$1004,0)),INDEX('Active Clients'!$B$5:$B$504,MATCH(C504,'Active Clients'!$A$5:$A$504,0)))&amp;"","ID not found"))</f>
        <v/>
      </c>
      <c r="F504" s="51" t="str">
        <f aca="false">IF(C504="","",IFERROR(IF(LEFT(C504,1)="L",INDEX('Leads Pipeline'!$E$5:$E$1004,MATCH(C504,'Leads Pipeline'!$A$5:$A$1004,0)),INDEX('Active Clients'!$C$5:$C$504,MATCH(C504,'Active Clients'!$A$5:$A$504,0)))&amp;"","ID not found"))</f>
        <v/>
      </c>
      <c r="G504" s="16"/>
      <c r="H504" s="16"/>
      <c r="I504" s="16"/>
      <c r="J504" s="16"/>
      <c r="K504" s="16"/>
      <c r="L504" s="18"/>
    </row>
    <row r="505" customFormat="false" ht="15" hidden="false" customHeight="false" outlineLevel="0" collapsed="false">
      <c r="A505" s="18"/>
      <c r="B505" s="16"/>
      <c r="C505" s="16"/>
      <c r="D505" s="51" t="str">
        <f aca="false">IF(C505="","",IFERROR(IF(LEFT(C505,1)="L",INDEX('Leads Pipeline'!$F$5:$F$1004,MATCH(C505,'Leads Pipeline'!$A$5:$A$1004,0)),INDEX('Active Clients'!$D$5:$D$504,MATCH(C505,'Active Clients'!$A$5:$A$504,0)))&amp;"","ID not found"))</f>
        <v/>
      </c>
      <c r="E505" s="51" t="str">
        <f aca="false">IF(C505="","",IFERROR(IF(LEFT(C505,1)="L",INDEX('Leads Pipeline'!$D$5:$D$1004,MATCH(C505,'Leads Pipeline'!$A$5:$A$1004,0)),INDEX('Active Clients'!$B$5:$B$504,MATCH(C505,'Active Clients'!$A$5:$A$504,0)))&amp;"","ID not found"))</f>
        <v/>
      </c>
      <c r="F505" s="51" t="str">
        <f aca="false">IF(C505="","",IFERROR(IF(LEFT(C505,1)="L",INDEX('Leads Pipeline'!$E$5:$E$1004,MATCH(C505,'Leads Pipeline'!$A$5:$A$1004,0)),INDEX('Active Clients'!$C$5:$C$504,MATCH(C505,'Active Clients'!$A$5:$A$504,0)))&amp;"","ID not found"))</f>
        <v/>
      </c>
      <c r="G505" s="16"/>
      <c r="H505" s="16"/>
      <c r="I505" s="16"/>
      <c r="J505" s="16"/>
      <c r="K505" s="16"/>
      <c r="L505" s="18"/>
    </row>
    <row r="506" customFormat="false" ht="15" hidden="false" customHeight="false" outlineLevel="0" collapsed="false">
      <c r="A506" s="18"/>
      <c r="B506" s="16"/>
      <c r="C506" s="16"/>
      <c r="D506" s="51" t="str">
        <f aca="false">IF(C506="","",IFERROR(IF(LEFT(C506,1)="L",INDEX('Leads Pipeline'!$F$5:$F$1004,MATCH(C506,'Leads Pipeline'!$A$5:$A$1004,0)),INDEX('Active Clients'!$D$5:$D$504,MATCH(C506,'Active Clients'!$A$5:$A$504,0)))&amp;"","ID not found"))</f>
        <v/>
      </c>
      <c r="E506" s="51" t="str">
        <f aca="false">IF(C506="","",IFERROR(IF(LEFT(C506,1)="L",INDEX('Leads Pipeline'!$D$5:$D$1004,MATCH(C506,'Leads Pipeline'!$A$5:$A$1004,0)),INDEX('Active Clients'!$B$5:$B$504,MATCH(C506,'Active Clients'!$A$5:$A$504,0)))&amp;"","ID not found"))</f>
        <v/>
      </c>
      <c r="F506" s="51" t="str">
        <f aca="false">IF(C506="","",IFERROR(IF(LEFT(C506,1)="L",INDEX('Leads Pipeline'!$E$5:$E$1004,MATCH(C506,'Leads Pipeline'!$A$5:$A$1004,0)),INDEX('Active Clients'!$C$5:$C$504,MATCH(C506,'Active Clients'!$A$5:$A$504,0)))&amp;"","ID not found"))</f>
        <v/>
      </c>
      <c r="G506" s="16"/>
      <c r="H506" s="16"/>
      <c r="I506" s="16"/>
      <c r="J506" s="16"/>
      <c r="K506" s="16"/>
      <c r="L506" s="18"/>
    </row>
    <row r="507" customFormat="false" ht="15" hidden="false" customHeight="false" outlineLevel="0" collapsed="false">
      <c r="A507" s="18"/>
      <c r="B507" s="16"/>
      <c r="C507" s="16"/>
      <c r="D507" s="51" t="str">
        <f aca="false">IF(C507="","",IFERROR(IF(LEFT(C507,1)="L",INDEX('Leads Pipeline'!$F$5:$F$1004,MATCH(C507,'Leads Pipeline'!$A$5:$A$1004,0)),INDEX('Active Clients'!$D$5:$D$504,MATCH(C507,'Active Clients'!$A$5:$A$504,0)))&amp;"","ID not found"))</f>
        <v/>
      </c>
      <c r="E507" s="51" t="str">
        <f aca="false">IF(C507="","",IFERROR(IF(LEFT(C507,1)="L",INDEX('Leads Pipeline'!$D$5:$D$1004,MATCH(C507,'Leads Pipeline'!$A$5:$A$1004,0)),INDEX('Active Clients'!$B$5:$B$504,MATCH(C507,'Active Clients'!$A$5:$A$504,0)))&amp;"","ID not found"))</f>
        <v/>
      </c>
      <c r="F507" s="51" t="str">
        <f aca="false">IF(C507="","",IFERROR(IF(LEFT(C507,1)="L",INDEX('Leads Pipeline'!$E$5:$E$1004,MATCH(C507,'Leads Pipeline'!$A$5:$A$1004,0)),INDEX('Active Clients'!$C$5:$C$504,MATCH(C507,'Active Clients'!$A$5:$A$504,0)))&amp;"","ID not found"))</f>
        <v/>
      </c>
      <c r="G507" s="16"/>
      <c r="H507" s="16"/>
      <c r="I507" s="16"/>
      <c r="J507" s="16"/>
      <c r="K507" s="16"/>
      <c r="L507" s="18"/>
    </row>
    <row r="508" customFormat="false" ht="15" hidden="false" customHeight="false" outlineLevel="0" collapsed="false">
      <c r="A508" s="18"/>
      <c r="B508" s="16"/>
      <c r="C508" s="16"/>
      <c r="D508" s="51" t="str">
        <f aca="false">IF(C508="","",IFERROR(IF(LEFT(C508,1)="L",INDEX('Leads Pipeline'!$F$5:$F$1004,MATCH(C508,'Leads Pipeline'!$A$5:$A$1004,0)),INDEX('Active Clients'!$D$5:$D$504,MATCH(C508,'Active Clients'!$A$5:$A$504,0)))&amp;"","ID not found"))</f>
        <v/>
      </c>
      <c r="E508" s="51" t="str">
        <f aca="false">IF(C508="","",IFERROR(IF(LEFT(C508,1)="L",INDEX('Leads Pipeline'!$D$5:$D$1004,MATCH(C508,'Leads Pipeline'!$A$5:$A$1004,0)),INDEX('Active Clients'!$B$5:$B$504,MATCH(C508,'Active Clients'!$A$5:$A$504,0)))&amp;"","ID not found"))</f>
        <v/>
      </c>
      <c r="F508" s="51" t="str">
        <f aca="false">IF(C508="","",IFERROR(IF(LEFT(C508,1)="L",INDEX('Leads Pipeline'!$E$5:$E$1004,MATCH(C508,'Leads Pipeline'!$A$5:$A$1004,0)),INDEX('Active Clients'!$C$5:$C$504,MATCH(C508,'Active Clients'!$A$5:$A$504,0)))&amp;"","ID not found"))</f>
        <v/>
      </c>
      <c r="G508" s="16"/>
      <c r="H508" s="16"/>
      <c r="I508" s="16"/>
      <c r="J508" s="16"/>
      <c r="K508" s="16"/>
      <c r="L508" s="18"/>
    </row>
    <row r="509" customFormat="false" ht="15" hidden="false" customHeight="false" outlineLevel="0" collapsed="false">
      <c r="A509" s="18"/>
      <c r="B509" s="16"/>
      <c r="C509" s="16"/>
      <c r="D509" s="51" t="str">
        <f aca="false">IF(C509="","",IFERROR(IF(LEFT(C509,1)="L",INDEX('Leads Pipeline'!$F$5:$F$1004,MATCH(C509,'Leads Pipeline'!$A$5:$A$1004,0)),INDEX('Active Clients'!$D$5:$D$504,MATCH(C509,'Active Clients'!$A$5:$A$504,0)))&amp;"","ID not found"))</f>
        <v/>
      </c>
      <c r="E509" s="51" t="str">
        <f aca="false">IF(C509="","",IFERROR(IF(LEFT(C509,1)="L",INDEX('Leads Pipeline'!$D$5:$D$1004,MATCH(C509,'Leads Pipeline'!$A$5:$A$1004,0)),INDEX('Active Clients'!$B$5:$B$504,MATCH(C509,'Active Clients'!$A$5:$A$504,0)))&amp;"","ID not found"))</f>
        <v/>
      </c>
      <c r="F509" s="51" t="str">
        <f aca="false">IF(C509="","",IFERROR(IF(LEFT(C509,1)="L",INDEX('Leads Pipeline'!$E$5:$E$1004,MATCH(C509,'Leads Pipeline'!$A$5:$A$1004,0)),INDEX('Active Clients'!$C$5:$C$504,MATCH(C509,'Active Clients'!$A$5:$A$504,0)))&amp;"","ID not found"))</f>
        <v/>
      </c>
      <c r="G509" s="16"/>
      <c r="H509" s="16"/>
      <c r="I509" s="16"/>
      <c r="J509" s="16"/>
      <c r="K509" s="16"/>
      <c r="L509" s="18"/>
    </row>
    <row r="510" customFormat="false" ht="15" hidden="false" customHeight="false" outlineLevel="0" collapsed="false">
      <c r="A510" s="18"/>
      <c r="B510" s="16"/>
      <c r="C510" s="16"/>
      <c r="D510" s="51" t="str">
        <f aca="false">IF(C510="","",IFERROR(IF(LEFT(C510,1)="L",INDEX('Leads Pipeline'!$F$5:$F$1004,MATCH(C510,'Leads Pipeline'!$A$5:$A$1004,0)),INDEX('Active Clients'!$D$5:$D$504,MATCH(C510,'Active Clients'!$A$5:$A$504,0)))&amp;"","ID not found"))</f>
        <v/>
      </c>
      <c r="E510" s="51" t="str">
        <f aca="false">IF(C510="","",IFERROR(IF(LEFT(C510,1)="L",INDEX('Leads Pipeline'!$D$5:$D$1004,MATCH(C510,'Leads Pipeline'!$A$5:$A$1004,0)),INDEX('Active Clients'!$B$5:$B$504,MATCH(C510,'Active Clients'!$A$5:$A$504,0)))&amp;"","ID not found"))</f>
        <v/>
      </c>
      <c r="F510" s="51" t="str">
        <f aca="false">IF(C510="","",IFERROR(IF(LEFT(C510,1)="L",INDEX('Leads Pipeline'!$E$5:$E$1004,MATCH(C510,'Leads Pipeline'!$A$5:$A$1004,0)),INDEX('Active Clients'!$C$5:$C$504,MATCH(C510,'Active Clients'!$A$5:$A$504,0)))&amp;"","ID not found"))</f>
        <v/>
      </c>
      <c r="G510" s="16"/>
      <c r="H510" s="16"/>
      <c r="I510" s="16"/>
      <c r="J510" s="16"/>
      <c r="K510" s="16"/>
      <c r="L510" s="18"/>
    </row>
    <row r="511" customFormat="false" ht="15" hidden="false" customHeight="false" outlineLevel="0" collapsed="false">
      <c r="A511" s="18"/>
      <c r="B511" s="16"/>
      <c r="C511" s="16"/>
      <c r="D511" s="51" t="str">
        <f aca="false">IF(C511="","",IFERROR(IF(LEFT(C511,1)="L",INDEX('Leads Pipeline'!$F$5:$F$1004,MATCH(C511,'Leads Pipeline'!$A$5:$A$1004,0)),INDEX('Active Clients'!$D$5:$D$504,MATCH(C511,'Active Clients'!$A$5:$A$504,0)))&amp;"","ID not found"))</f>
        <v/>
      </c>
      <c r="E511" s="51" t="str">
        <f aca="false">IF(C511="","",IFERROR(IF(LEFT(C511,1)="L",INDEX('Leads Pipeline'!$D$5:$D$1004,MATCH(C511,'Leads Pipeline'!$A$5:$A$1004,0)),INDEX('Active Clients'!$B$5:$B$504,MATCH(C511,'Active Clients'!$A$5:$A$504,0)))&amp;"","ID not found"))</f>
        <v/>
      </c>
      <c r="F511" s="51" t="str">
        <f aca="false">IF(C511="","",IFERROR(IF(LEFT(C511,1)="L",INDEX('Leads Pipeline'!$E$5:$E$1004,MATCH(C511,'Leads Pipeline'!$A$5:$A$1004,0)),INDEX('Active Clients'!$C$5:$C$504,MATCH(C511,'Active Clients'!$A$5:$A$504,0)))&amp;"","ID not found"))</f>
        <v/>
      </c>
      <c r="G511" s="16"/>
      <c r="H511" s="16"/>
      <c r="I511" s="16"/>
      <c r="J511" s="16"/>
      <c r="K511" s="16"/>
      <c r="L511" s="18"/>
    </row>
    <row r="512" customFormat="false" ht="15" hidden="false" customHeight="false" outlineLevel="0" collapsed="false">
      <c r="A512" s="18"/>
      <c r="B512" s="16"/>
      <c r="C512" s="16"/>
      <c r="D512" s="51" t="str">
        <f aca="false">IF(C512="","",IFERROR(IF(LEFT(C512,1)="L",INDEX('Leads Pipeline'!$F$5:$F$1004,MATCH(C512,'Leads Pipeline'!$A$5:$A$1004,0)),INDEX('Active Clients'!$D$5:$D$504,MATCH(C512,'Active Clients'!$A$5:$A$504,0)))&amp;"","ID not found"))</f>
        <v/>
      </c>
      <c r="E512" s="51" t="str">
        <f aca="false">IF(C512="","",IFERROR(IF(LEFT(C512,1)="L",INDEX('Leads Pipeline'!$D$5:$D$1004,MATCH(C512,'Leads Pipeline'!$A$5:$A$1004,0)),INDEX('Active Clients'!$B$5:$B$504,MATCH(C512,'Active Clients'!$A$5:$A$504,0)))&amp;"","ID not found"))</f>
        <v/>
      </c>
      <c r="F512" s="51" t="str">
        <f aca="false">IF(C512="","",IFERROR(IF(LEFT(C512,1)="L",INDEX('Leads Pipeline'!$E$5:$E$1004,MATCH(C512,'Leads Pipeline'!$A$5:$A$1004,0)),INDEX('Active Clients'!$C$5:$C$504,MATCH(C512,'Active Clients'!$A$5:$A$504,0)))&amp;"","ID not found"))</f>
        <v/>
      </c>
      <c r="G512" s="16"/>
      <c r="H512" s="16"/>
      <c r="I512" s="16"/>
      <c r="J512" s="16"/>
      <c r="K512" s="16"/>
      <c r="L512" s="18"/>
    </row>
    <row r="513" customFormat="false" ht="15" hidden="false" customHeight="false" outlineLevel="0" collapsed="false">
      <c r="A513" s="18"/>
      <c r="B513" s="16"/>
      <c r="C513" s="16"/>
      <c r="D513" s="51" t="str">
        <f aca="false">IF(C513="","",IFERROR(IF(LEFT(C513,1)="L",INDEX('Leads Pipeline'!$F$5:$F$1004,MATCH(C513,'Leads Pipeline'!$A$5:$A$1004,0)),INDEX('Active Clients'!$D$5:$D$504,MATCH(C513,'Active Clients'!$A$5:$A$504,0)))&amp;"","ID not found"))</f>
        <v/>
      </c>
      <c r="E513" s="51" t="str">
        <f aca="false">IF(C513="","",IFERROR(IF(LEFT(C513,1)="L",INDEX('Leads Pipeline'!$D$5:$D$1004,MATCH(C513,'Leads Pipeline'!$A$5:$A$1004,0)),INDEX('Active Clients'!$B$5:$B$504,MATCH(C513,'Active Clients'!$A$5:$A$504,0)))&amp;"","ID not found"))</f>
        <v/>
      </c>
      <c r="F513" s="51" t="str">
        <f aca="false">IF(C513="","",IFERROR(IF(LEFT(C513,1)="L",INDEX('Leads Pipeline'!$E$5:$E$1004,MATCH(C513,'Leads Pipeline'!$A$5:$A$1004,0)),INDEX('Active Clients'!$C$5:$C$504,MATCH(C513,'Active Clients'!$A$5:$A$504,0)))&amp;"","ID not found"))</f>
        <v/>
      </c>
      <c r="G513" s="16"/>
      <c r="H513" s="16"/>
      <c r="I513" s="16"/>
      <c r="J513" s="16"/>
      <c r="K513" s="16"/>
      <c r="L513" s="18"/>
    </row>
    <row r="514" customFormat="false" ht="15" hidden="false" customHeight="false" outlineLevel="0" collapsed="false">
      <c r="A514" s="18"/>
      <c r="B514" s="16"/>
      <c r="C514" s="16"/>
      <c r="D514" s="51" t="str">
        <f aca="false">IF(C514="","",IFERROR(IF(LEFT(C514,1)="L",INDEX('Leads Pipeline'!$F$5:$F$1004,MATCH(C514,'Leads Pipeline'!$A$5:$A$1004,0)),INDEX('Active Clients'!$D$5:$D$504,MATCH(C514,'Active Clients'!$A$5:$A$504,0)))&amp;"","ID not found"))</f>
        <v/>
      </c>
      <c r="E514" s="51" t="str">
        <f aca="false">IF(C514="","",IFERROR(IF(LEFT(C514,1)="L",INDEX('Leads Pipeline'!$D$5:$D$1004,MATCH(C514,'Leads Pipeline'!$A$5:$A$1004,0)),INDEX('Active Clients'!$B$5:$B$504,MATCH(C514,'Active Clients'!$A$5:$A$504,0)))&amp;"","ID not found"))</f>
        <v/>
      </c>
      <c r="F514" s="51" t="str">
        <f aca="false">IF(C514="","",IFERROR(IF(LEFT(C514,1)="L",INDEX('Leads Pipeline'!$E$5:$E$1004,MATCH(C514,'Leads Pipeline'!$A$5:$A$1004,0)),INDEX('Active Clients'!$C$5:$C$504,MATCH(C514,'Active Clients'!$A$5:$A$504,0)))&amp;"","ID not found"))</f>
        <v/>
      </c>
      <c r="G514" s="16"/>
      <c r="H514" s="16"/>
      <c r="I514" s="16"/>
      <c r="J514" s="16"/>
      <c r="K514" s="16"/>
      <c r="L514" s="18"/>
    </row>
    <row r="515" customFormat="false" ht="15" hidden="false" customHeight="false" outlineLevel="0" collapsed="false">
      <c r="A515" s="18"/>
      <c r="B515" s="16"/>
      <c r="C515" s="16"/>
      <c r="D515" s="51" t="str">
        <f aca="false">IF(C515="","",IFERROR(IF(LEFT(C515,1)="L",INDEX('Leads Pipeline'!$F$5:$F$1004,MATCH(C515,'Leads Pipeline'!$A$5:$A$1004,0)),INDEX('Active Clients'!$D$5:$D$504,MATCH(C515,'Active Clients'!$A$5:$A$504,0)))&amp;"","ID not found"))</f>
        <v/>
      </c>
      <c r="E515" s="51" t="str">
        <f aca="false">IF(C515="","",IFERROR(IF(LEFT(C515,1)="L",INDEX('Leads Pipeline'!$D$5:$D$1004,MATCH(C515,'Leads Pipeline'!$A$5:$A$1004,0)),INDEX('Active Clients'!$B$5:$B$504,MATCH(C515,'Active Clients'!$A$5:$A$504,0)))&amp;"","ID not found"))</f>
        <v/>
      </c>
      <c r="F515" s="51" t="str">
        <f aca="false">IF(C515="","",IFERROR(IF(LEFT(C515,1)="L",INDEX('Leads Pipeline'!$E$5:$E$1004,MATCH(C515,'Leads Pipeline'!$A$5:$A$1004,0)),INDEX('Active Clients'!$C$5:$C$504,MATCH(C515,'Active Clients'!$A$5:$A$504,0)))&amp;"","ID not found"))</f>
        <v/>
      </c>
      <c r="G515" s="16"/>
      <c r="H515" s="16"/>
      <c r="I515" s="16"/>
      <c r="J515" s="16"/>
      <c r="K515" s="16"/>
      <c r="L515" s="18"/>
    </row>
    <row r="516" customFormat="false" ht="15" hidden="false" customHeight="false" outlineLevel="0" collapsed="false">
      <c r="A516" s="18"/>
      <c r="B516" s="16"/>
      <c r="C516" s="16"/>
      <c r="D516" s="51" t="str">
        <f aca="false">IF(C516="","",IFERROR(IF(LEFT(C516,1)="L",INDEX('Leads Pipeline'!$F$5:$F$1004,MATCH(C516,'Leads Pipeline'!$A$5:$A$1004,0)),INDEX('Active Clients'!$D$5:$D$504,MATCH(C516,'Active Clients'!$A$5:$A$504,0)))&amp;"","ID not found"))</f>
        <v/>
      </c>
      <c r="E516" s="51" t="str">
        <f aca="false">IF(C516="","",IFERROR(IF(LEFT(C516,1)="L",INDEX('Leads Pipeline'!$D$5:$D$1004,MATCH(C516,'Leads Pipeline'!$A$5:$A$1004,0)),INDEX('Active Clients'!$B$5:$B$504,MATCH(C516,'Active Clients'!$A$5:$A$504,0)))&amp;"","ID not found"))</f>
        <v/>
      </c>
      <c r="F516" s="51" t="str">
        <f aca="false">IF(C516="","",IFERROR(IF(LEFT(C516,1)="L",INDEX('Leads Pipeline'!$E$5:$E$1004,MATCH(C516,'Leads Pipeline'!$A$5:$A$1004,0)),INDEX('Active Clients'!$C$5:$C$504,MATCH(C516,'Active Clients'!$A$5:$A$504,0)))&amp;"","ID not found"))</f>
        <v/>
      </c>
      <c r="G516" s="16"/>
      <c r="H516" s="16"/>
      <c r="I516" s="16"/>
      <c r="J516" s="16"/>
      <c r="K516" s="16"/>
      <c r="L516" s="18"/>
    </row>
    <row r="517" customFormat="false" ht="15" hidden="false" customHeight="false" outlineLevel="0" collapsed="false">
      <c r="A517" s="18"/>
      <c r="B517" s="16"/>
      <c r="C517" s="16"/>
      <c r="D517" s="51" t="str">
        <f aca="false">IF(C517="","",IFERROR(IF(LEFT(C517,1)="L",INDEX('Leads Pipeline'!$F$5:$F$1004,MATCH(C517,'Leads Pipeline'!$A$5:$A$1004,0)),INDEX('Active Clients'!$D$5:$D$504,MATCH(C517,'Active Clients'!$A$5:$A$504,0)))&amp;"","ID not found"))</f>
        <v/>
      </c>
      <c r="E517" s="51" t="str">
        <f aca="false">IF(C517="","",IFERROR(IF(LEFT(C517,1)="L",INDEX('Leads Pipeline'!$D$5:$D$1004,MATCH(C517,'Leads Pipeline'!$A$5:$A$1004,0)),INDEX('Active Clients'!$B$5:$B$504,MATCH(C517,'Active Clients'!$A$5:$A$504,0)))&amp;"","ID not found"))</f>
        <v/>
      </c>
      <c r="F517" s="51" t="str">
        <f aca="false">IF(C517="","",IFERROR(IF(LEFT(C517,1)="L",INDEX('Leads Pipeline'!$E$5:$E$1004,MATCH(C517,'Leads Pipeline'!$A$5:$A$1004,0)),INDEX('Active Clients'!$C$5:$C$504,MATCH(C517,'Active Clients'!$A$5:$A$504,0)))&amp;"","ID not found"))</f>
        <v/>
      </c>
      <c r="G517" s="16"/>
      <c r="H517" s="16"/>
      <c r="I517" s="16"/>
      <c r="J517" s="16"/>
      <c r="K517" s="16"/>
      <c r="L517" s="18"/>
    </row>
    <row r="518" customFormat="false" ht="15" hidden="false" customHeight="false" outlineLevel="0" collapsed="false">
      <c r="A518" s="18"/>
      <c r="B518" s="16"/>
      <c r="C518" s="16"/>
      <c r="D518" s="51" t="str">
        <f aca="false">IF(C518="","",IFERROR(IF(LEFT(C518,1)="L",INDEX('Leads Pipeline'!$F$5:$F$1004,MATCH(C518,'Leads Pipeline'!$A$5:$A$1004,0)),INDEX('Active Clients'!$D$5:$D$504,MATCH(C518,'Active Clients'!$A$5:$A$504,0)))&amp;"","ID not found"))</f>
        <v/>
      </c>
      <c r="E518" s="51" t="str">
        <f aca="false">IF(C518="","",IFERROR(IF(LEFT(C518,1)="L",INDEX('Leads Pipeline'!$D$5:$D$1004,MATCH(C518,'Leads Pipeline'!$A$5:$A$1004,0)),INDEX('Active Clients'!$B$5:$B$504,MATCH(C518,'Active Clients'!$A$5:$A$504,0)))&amp;"","ID not found"))</f>
        <v/>
      </c>
      <c r="F518" s="51" t="str">
        <f aca="false">IF(C518="","",IFERROR(IF(LEFT(C518,1)="L",INDEX('Leads Pipeline'!$E$5:$E$1004,MATCH(C518,'Leads Pipeline'!$A$5:$A$1004,0)),INDEX('Active Clients'!$C$5:$C$504,MATCH(C518,'Active Clients'!$A$5:$A$504,0)))&amp;"","ID not found"))</f>
        <v/>
      </c>
      <c r="G518" s="16"/>
      <c r="H518" s="16"/>
      <c r="I518" s="16"/>
      <c r="J518" s="16"/>
      <c r="K518" s="16"/>
      <c r="L518" s="18"/>
    </row>
    <row r="519" customFormat="false" ht="15" hidden="false" customHeight="false" outlineLevel="0" collapsed="false">
      <c r="A519" s="18"/>
      <c r="B519" s="16"/>
      <c r="C519" s="16"/>
      <c r="D519" s="51" t="str">
        <f aca="false">IF(C519="","",IFERROR(IF(LEFT(C519,1)="L",INDEX('Leads Pipeline'!$F$5:$F$1004,MATCH(C519,'Leads Pipeline'!$A$5:$A$1004,0)),INDEX('Active Clients'!$D$5:$D$504,MATCH(C519,'Active Clients'!$A$5:$A$504,0)))&amp;"","ID not found"))</f>
        <v/>
      </c>
      <c r="E519" s="51" t="str">
        <f aca="false">IF(C519="","",IFERROR(IF(LEFT(C519,1)="L",INDEX('Leads Pipeline'!$D$5:$D$1004,MATCH(C519,'Leads Pipeline'!$A$5:$A$1004,0)),INDEX('Active Clients'!$B$5:$B$504,MATCH(C519,'Active Clients'!$A$5:$A$504,0)))&amp;"","ID not found"))</f>
        <v/>
      </c>
      <c r="F519" s="51" t="str">
        <f aca="false">IF(C519="","",IFERROR(IF(LEFT(C519,1)="L",INDEX('Leads Pipeline'!$E$5:$E$1004,MATCH(C519,'Leads Pipeline'!$A$5:$A$1004,0)),INDEX('Active Clients'!$C$5:$C$504,MATCH(C519,'Active Clients'!$A$5:$A$504,0)))&amp;"","ID not found"))</f>
        <v/>
      </c>
      <c r="G519" s="16"/>
      <c r="H519" s="16"/>
      <c r="I519" s="16"/>
      <c r="J519" s="16"/>
      <c r="K519" s="16"/>
      <c r="L519" s="18"/>
    </row>
    <row r="520" customFormat="false" ht="15" hidden="false" customHeight="false" outlineLevel="0" collapsed="false">
      <c r="A520" s="18"/>
      <c r="B520" s="16"/>
      <c r="C520" s="16"/>
      <c r="D520" s="51" t="str">
        <f aca="false">IF(C520="","",IFERROR(IF(LEFT(C520,1)="L",INDEX('Leads Pipeline'!$F$5:$F$1004,MATCH(C520,'Leads Pipeline'!$A$5:$A$1004,0)),INDEX('Active Clients'!$D$5:$D$504,MATCH(C520,'Active Clients'!$A$5:$A$504,0)))&amp;"","ID not found"))</f>
        <v/>
      </c>
      <c r="E520" s="51" t="str">
        <f aca="false">IF(C520="","",IFERROR(IF(LEFT(C520,1)="L",INDEX('Leads Pipeline'!$D$5:$D$1004,MATCH(C520,'Leads Pipeline'!$A$5:$A$1004,0)),INDEX('Active Clients'!$B$5:$B$504,MATCH(C520,'Active Clients'!$A$5:$A$504,0)))&amp;"","ID not found"))</f>
        <v/>
      </c>
      <c r="F520" s="51" t="str">
        <f aca="false">IF(C520="","",IFERROR(IF(LEFT(C520,1)="L",INDEX('Leads Pipeline'!$E$5:$E$1004,MATCH(C520,'Leads Pipeline'!$A$5:$A$1004,0)),INDEX('Active Clients'!$C$5:$C$504,MATCH(C520,'Active Clients'!$A$5:$A$504,0)))&amp;"","ID not found"))</f>
        <v/>
      </c>
      <c r="G520" s="16"/>
      <c r="H520" s="16"/>
      <c r="I520" s="16"/>
      <c r="J520" s="16"/>
      <c r="K520" s="16"/>
      <c r="L520" s="18"/>
    </row>
    <row r="521" customFormat="false" ht="15" hidden="false" customHeight="false" outlineLevel="0" collapsed="false">
      <c r="A521" s="18"/>
      <c r="B521" s="16"/>
      <c r="C521" s="16"/>
      <c r="D521" s="51" t="str">
        <f aca="false">IF(C521="","",IFERROR(IF(LEFT(C521,1)="L",INDEX('Leads Pipeline'!$F$5:$F$1004,MATCH(C521,'Leads Pipeline'!$A$5:$A$1004,0)),INDEX('Active Clients'!$D$5:$D$504,MATCH(C521,'Active Clients'!$A$5:$A$504,0)))&amp;"","ID not found"))</f>
        <v/>
      </c>
      <c r="E521" s="51" t="str">
        <f aca="false">IF(C521="","",IFERROR(IF(LEFT(C521,1)="L",INDEX('Leads Pipeline'!$D$5:$D$1004,MATCH(C521,'Leads Pipeline'!$A$5:$A$1004,0)),INDEX('Active Clients'!$B$5:$B$504,MATCH(C521,'Active Clients'!$A$5:$A$504,0)))&amp;"","ID not found"))</f>
        <v/>
      </c>
      <c r="F521" s="51" t="str">
        <f aca="false">IF(C521="","",IFERROR(IF(LEFT(C521,1)="L",INDEX('Leads Pipeline'!$E$5:$E$1004,MATCH(C521,'Leads Pipeline'!$A$5:$A$1004,0)),INDEX('Active Clients'!$C$5:$C$504,MATCH(C521,'Active Clients'!$A$5:$A$504,0)))&amp;"","ID not found"))</f>
        <v/>
      </c>
      <c r="G521" s="16"/>
      <c r="H521" s="16"/>
      <c r="I521" s="16"/>
      <c r="J521" s="16"/>
      <c r="K521" s="16"/>
      <c r="L521" s="18"/>
    </row>
    <row r="522" customFormat="false" ht="15" hidden="false" customHeight="false" outlineLevel="0" collapsed="false">
      <c r="A522" s="18"/>
      <c r="B522" s="16"/>
      <c r="C522" s="16"/>
      <c r="D522" s="51" t="str">
        <f aca="false">IF(C522="","",IFERROR(IF(LEFT(C522,1)="L",INDEX('Leads Pipeline'!$F$5:$F$1004,MATCH(C522,'Leads Pipeline'!$A$5:$A$1004,0)),INDEX('Active Clients'!$D$5:$D$504,MATCH(C522,'Active Clients'!$A$5:$A$504,0)))&amp;"","ID not found"))</f>
        <v/>
      </c>
      <c r="E522" s="51" t="str">
        <f aca="false">IF(C522="","",IFERROR(IF(LEFT(C522,1)="L",INDEX('Leads Pipeline'!$D$5:$D$1004,MATCH(C522,'Leads Pipeline'!$A$5:$A$1004,0)),INDEX('Active Clients'!$B$5:$B$504,MATCH(C522,'Active Clients'!$A$5:$A$504,0)))&amp;"","ID not found"))</f>
        <v/>
      </c>
      <c r="F522" s="51" t="str">
        <f aca="false">IF(C522="","",IFERROR(IF(LEFT(C522,1)="L",INDEX('Leads Pipeline'!$E$5:$E$1004,MATCH(C522,'Leads Pipeline'!$A$5:$A$1004,0)),INDEX('Active Clients'!$C$5:$C$504,MATCH(C522,'Active Clients'!$A$5:$A$504,0)))&amp;"","ID not found"))</f>
        <v/>
      </c>
      <c r="G522" s="16"/>
      <c r="H522" s="16"/>
      <c r="I522" s="16"/>
      <c r="J522" s="16"/>
      <c r="K522" s="16"/>
      <c r="L522" s="18"/>
    </row>
    <row r="523" customFormat="false" ht="15" hidden="false" customHeight="false" outlineLevel="0" collapsed="false">
      <c r="A523" s="18"/>
      <c r="B523" s="16"/>
      <c r="C523" s="16"/>
      <c r="D523" s="51" t="str">
        <f aca="false">IF(C523="","",IFERROR(IF(LEFT(C523,1)="L",INDEX('Leads Pipeline'!$F$5:$F$1004,MATCH(C523,'Leads Pipeline'!$A$5:$A$1004,0)),INDEX('Active Clients'!$D$5:$D$504,MATCH(C523,'Active Clients'!$A$5:$A$504,0)))&amp;"","ID not found"))</f>
        <v/>
      </c>
      <c r="E523" s="51" t="str">
        <f aca="false">IF(C523="","",IFERROR(IF(LEFT(C523,1)="L",INDEX('Leads Pipeline'!$D$5:$D$1004,MATCH(C523,'Leads Pipeline'!$A$5:$A$1004,0)),INDEX('Active Clients'!$B$5:$B$504,MATCH(C523,'Active Clients'!$A$5:$A$504,0)))&amp;"","ID not found"))</f>
        <v/>
      </c>
      <c r="F523" s="51" t="str">
        <f aca="false">IF(C523="","",IFERROR(IF(LEFT(C523,1)="L",INDEX('Leads Pipeline'!$E$5:$E$1004,MATCH(C523,'Leads Pipeline'!$A$5:$A$1004,0)),INDEX('Active Clients'!$C$5:$C$504,MATCH(C523,'Active Clients'!$A$5:$A$504,0)))&amp;"","ID not found"))</f>
        <v/>
      </c>
      <c r="G523" s="16"/>
      <c r="H523" s="16"/>
      <c r="I523" s="16"/>
      <c r="J523" s="16"/>
      <c r="K523" s="16"/>
      <c r="L523" s="18"/>
    </row>
    <row r="524" customFormat="false" ht="15" hidden="false" customHeight="false" outlineLevel="0" collapsed="false">
      <c r="A524" s="18"/>
      <c r="B524" s="16"/>
      <c r="C524" s="16"/>
      <c r="D524" s="51" t="str">
        <f aca="false">IF(C524="","",IFERROR(IF(LEFT(C524,1)="L",INDEX('Leads Pipeline'!$F$5:$F$1004,MATCH(C524,'Leads Pipeline'!$A$5:$A$1004,0)),INDEX('Active Clients'!$D$5:$D$504,MATCH(C524,'Active Clients'!$A$5:$A$504,0)))&amp;"","ID not found"))</f>
        <v/>
      </c>
      <c r="E524" s="51" t="str">
        <f aca="false">IF(C524="","",IFERROR(IF(LEFT(C524,1)="L",INDEX('Leads Pipeline'!$D$5:$D$1004,MATCH(C524,'Leads Pipeline'!$A$5:$A$1004,0)),INDEX('Active Clients'!$B$5:$B$504,MATCH(C524,'Active Clients'!$A$5:$A$504,0)))&amp;"","ID not found"))</f>
        <v/>
      </c>
      <c r="F524" s="51" t="str">
        <f aca="false">IF(C524="","",IFERROR(IF(LEFT(C524,1)="L",INDEX('Leads Pipeline'!$E$5:$E$1004,MATCH(C524,'Leads Pipeline'!$A$5:$A$1004,0)),INDEX('Active Clients'!$C$5:$C$504,MATCH(C524,'Active Clients'!$A$5:$A$504,0)))&amp;"","ID not found"))</f>
        <v/>
      </c>
      <c r="G524" s="16"/>
      <c r="H524" s="16"/>
      <c r="I524" s="16"/>
      <c r="J524" s="16"/>
      <c r="K524" s="16"/>
      <c r="L524" s="18"/>
    </row>
    <row r="525" customFormat="false" ht="15" hidden="false" customHeight="false" outlineLevel="0" collapsed="false">
      <c r="A525" s="18"/>
      <c r="B525" s="16"/>
      <c r="C525" s="16"/>
      <c r="D525" s="51" t="str">
        <f aca="false">IF(C525="","",IFERROR(IF(LEFT(C525,1)="L",INDEX('Leads Pipeline'!$F$5:$F$1004,MATCH(C525,'Leads Pipeline'!$A$5:$A$1004,0)),INDEX('Active Clients'!$D$5:$D$504,MATCH(C525,'Active Clients'!$A$5:$A$504,0)))&amp;"","ID not found"))</f>
        <v/>
      </c>
      <c r="E525" s="51" t="str">
        <f aca="false">IF(C525="","",IFERROR(IF(LEFT(C525,1)="L",INDEX('Leads Pipeline'!$D$5:$D$1004,MATCH(C525,'Leads Pipeline'!$A$5:$A$1004,0)),INDEX('Active Clients'!$B$5:$B$504,MATCH(C525,'Active Clients'!$A$5:$A$504,0)))&amp;"","ID not found"))</f>
        <v/>
      </c>
      <c r="F525" s="51" t="str">
        <f aca="false">IF(C525="","",IFERROR(IF(LEFT(C525,1)="L",INDEX('Leads Pipeline'!$E$5:$E$1004,MATCH(C525,'Leads Pipeline'!$A$5:$A$1004,0)),INDEX('Active Clients'!$C$5:$C$504,MATCH(C525,'Active Clients'!$A$5:$A$504,0)))&amp;"","ID not found"))</f>
        <v/>
      </c>
      <c r="G525" s="16"/>
      <c r="H525" s="16"/>
      <c r="I525" s="16"/>
      <c r="J525" s="16"/>
      <c r="K525" s="16"/>
      <c r="L525" s="18"/>
    </row>
    <row r="526" customFormat="false" ht="15" hidden="false" customHeight="false" outlineLevel="0" collapsed="false">
      <c r="A526" s="18"/>
      <c r="B526" s="16"/>
      <c r="C526" s="16"/>
      <c r="D526" s="51" t="str">
        <f aca="false">IF(C526="","",IFERROR(IF(LEFT(C526,1)="L",INDEX('Leads Pipeline'!$F$5:$F$1004,MATCH(C526,'Leads Pipeline'!$A$5:$A$1004,0)),INDEX('Active Clients'!$D$5:$D$504,MATCH(C526,'Active Clients'!$A$5:$A$504,0)))&amp;"","ID not found"))</f>
        <v/>
      </c>
      <c r="E526" s="51" t="str">
        <f aca="false">IF(C526="","",IFERROR(IF(LEFT(C526,1)="L",INDEX('Leads Pipeline'!$D$5:$D$1004,MATCH(C526,'Leads Pipeline'!$A$5:$A$1004,0)),INDEX('Active Clients'!$B$5:$B$504,MATCH(C526,'Active Clients'!$A$5:$A$504,0)))&amp;"","ID not found"))</f>
        <v/>
      </c>
      <c r="F526" s="51" t="str">
        <f aca="false">IF(C526="","",IFERROR(IF(LEFT(C526,1)="L",INDEX('Leads Pipeline'!$E$5:$E$1004,MATCH(C526,'Leads Pipeline'!$A$5:$A$1004,0)),INDEX('Active Clients'!$C$5:$C$504,MATCH(C526,'Active Clients'!$A$5:$A$504,0)))&amp;"","ID not found"))</f>
        <v/>
      </c>
      <c r="G526" s="16"/>
      <c r="H526" s="16"/>
      <c r="I526" s="16"/>
      <c r="J526" s="16"/>
      <c r="K526" s="16"/>
      <c r="L526" s="18"/>
    </row>
    <row r="527" customFormat="false" ht="15" hidden="false" customHeight="false" outlineLevel="0" collapsed="false">
      <c r="A527" s="18"/>
      <c r="B527" s="16"/>
      <c r="C527" s="16"/>
      <c r="D527" s="51" t="str">
        <f aca="false">IF(C527="","",IFERROR(IF(LEFT(C527,1)="L",INDEX('Leads Pipeline'!$F$5:$F$1004,MATCH(C527,'Leads Pipeline'!$A$5:$A$1004,0)),INDEX('Active Clients'!$D$5:$D$504,MATCH(C527,'Active Clients'!$A$5:$A$504,0)))&amp;"","ID not found"))</f>
        <v/>
      </c>
      <c r="E527" s="51" t="str">
        <f aca="false">IF(C527="","",IFERROR(IF(LEFT(C527,1)="L",INDEX('Leads Pipeline'!$D$5:$D$1004,MATCH(C527,'Leads Pipeline'!$A$5:$A$1004,0)),INDEX('Active Clients'!$B$5:$B$504,MATCH(C527,'Active Clients'!$A$5:$A$504,0)))&amp;"","ID not found"))</f>
        <v/>
      </c>
      <c r="F527" s="51" t="str">
        <f aca="false">IF(C527="","",IFERROR(IF(LEFT(C527,1)="L",INDEX('Leads Pipeline'!$E$5:$E$1004,MATCH(C527,'Leads Pipeline'!$A$5:$A$1004,0)),INDEX('Active Clients'!$C$5:$C$504,MATCH(C527,'Active Clients'!$A$5:$A$504,0)))&amp;"","ID not found"))</f>
        <v/>
      </c>
      <c r="G527" s="16"/>
      <c r="H527" s="16"/>
      <c r="I527" s="16"/>
      <c r="J527" s="16"/>
      <c r="K527" s="16"/>
      <c r="L527" s="18"/>
    </row>
    <row r="528" customFormat="false" ht="15" hidden="false" customHeight="false" outlineLevel="0" collapsed="false">
      <c r="A528" s="18"/>
      <c r="B528" s="16"/>
      <c r="C528" s="16"/>
      <c r="D528" s="51" t="str">
        <f aca="false">IF(C528="","",IFERROR(IF(LEFT(C528,1)="L",INDEX('Leads Pipeline'!$F$5:$F$1004,MATCH(C528,'Leads Pipeline'!$A$5:$A$1004,0)),INDEX('Active Clients'!$D$5:$D$504,MATCH(C528,'Active Clients'!$A$5:$A$504,0)))&amp;"","ID not found"))</f>
        <v/>
      </c>
      <c r="E528" s="51" t="str">
        <f aca="false">IF(C528="","",IFERROR(IF(LEFT(C528,1)="L",INDEX('Leads Pipeline'!$D$5:$D$1004,MATCH(C528,'Leads Pipeline'!$A$5:$A$1004,0)),INDEX('Active Clients'!$B$5:$B$504,MATCH(C528,'Active Clients'!$A$5:$A$504,0)))&amp;"","ID not found"))</f>
        <v/>
      </c>
      <c r="F528" s="51" t="str">
        <f aca="false">IF(C528="","",IFERROR(IF(LEFT(C528,1)="L",INDEX('Leads Pipeline'!$E$5:$E$1004,MATCH(C528,'Leads Pipeline'!$A$5:$A$1004,0)),INDEX('Active Clients'!$C$5:$C$504,MATCH(C528,'Active Clients'!$A$5:$A$504,0)))&amp;"","ID not found"))</f>
        <v/>
      </c>
      <c r="G528" s="16"/>
      <c r="H528" s="16"/>
      <c r="I528" s="16"/>
      <c r="J528" s="16"/>
      <c r="K528" s="16"/>
      <c r="L528" s="18"/>
    </row>
    <row r="529" customFormat="false" ht="15" hidden="false" customHeight="false" outlineLevel="0" collapsed="false">
      <c r="A529" s="18"/>
      <c r="B529" s="16"/>
      <c r="C529" s="16"/>
      <c r="D529" s="51" t="str">
        <f aca="false">IF(C529="","",IFERROR(IF(LEFT(C529,1)="L",INDEX('Leads Pipeline'!$F$5:$F$1004,MATCH(C529,'Leads Pipeline'!$A$5:$A$1004,0)),INDEX('Active Clients'!$D$5:$D$504,MATCH(C529,'Active Clients'!$A$5:$A$504,0)))&amp;"","ID not found"))</f>
        <v/>
      </c>
      <c r="E529" s="51" t="str">
        <f aca="false">IF(C529="","",IFERROR(IF(LEFT(C529,1)="L",INDEX('Leads Pipeline'!$D$5:$D$1004,MATCH(C529,'Leads Pipeline'!$A$5:$A$1004,0)),INDEX('Active Clients'!$B$5:$B$504,MATCH(C529,'Active Clients'!$A$5:$A$504,0)))&amp;"","ID not found"))</f>
        <v/>
      </c>
      <c r="F529" s="51" t="str">
        <f aca="false">IF(C529="","",IFERROR(IF(LEFT(C529,1)="L",INDEX('Leads Pipeline'!$E$5:$E$1004,MATCH(C529,'Leads Pipeline'!$A$5:$A$1004,0)),INDEX('Active Clients'!$C$5:$C$504,MATCH(C529,'Active Clients'!$A$5:$A$504,0)))&amp;"","ID not found"))</f>
        <v/>
      </c>
      <c r="G529" s="16"/>
      <c r="H529" s="16"/>
      <c r="I529" s="16"/>
      <c r="J529" s="16"/>
      <c r="K529" s="16"/>
      <c r="L529" s="18"/>
    </row>
    <row r="530" customFormat="false" ht="15" hidden="false" customHeight="false" outlineLevel="0" collapsed="false">
      <c r="A530" s="18"/>
      <c r="B530" s="16"/>
      <c r="C530" s="16"/>
      <c r="D530" s="51" t="str">
        <f aca="false">IF(C530="","",IFERROR(IF(LEFT(C530,1)="L",INDEX('Leads Pipeline'!$F$5:$F$1004,MATCH(C530,'Leads Pipeline'!$A$5:$A$1004,0)),INDEX('Active Clients'!$D$5:$D$504,MATCH(C530,'Active Clients'!$A$5:$A$504,0)))&amp;"","ID not found"))</f>
        <v/>
      </c>
      <c r="E530" s="51" t="str">
        <f aca="false">IF(C530="","",IFERROR(IF(LEFT(C530,1)="L",INDEX('Leads Pipeline'!$D$5:$D$1004,MATCH(C530,'Leads Pipeline'!$A$5:$A$1004,0)),INDEX('Active Clients'!$B$5:$B$504,MATCH(C530,'Active Clients'!$A$5:$A$504,0)))&amp;"","ID not found"))</f>
        <v/>
      </c>
      <c r="F530" s="51" t="str">
        <f aca="false">IF(C530="","",IFERROR(IF(LEFT(C530,1)="L",INDEX('Leads Pipeline'!$E$5:$E$1004,MATCH(C530,'Leads Pipeline'!$A$5:$A$1004,0)),INDEX('Active Clients'!$C$5:$C$504,MATCH(C530,'Active Clients'!$A$5:$A$504,0)))&amp;"","ID not found"))</f>
        <v/>
      </c>
      <c r="G530" s="16"/>
      <c r="H530" s="16"/>
      <c r="I530" s="16"/>
      <c r="J530" s="16"/>
      <c r="K530" s="16"/>
      <c r="L530" s="18"/>
    </row>
    <row r="531" customFormat="false" ht="15" hidden="false" customHeight="false" outlineLevel="0" collapsed="false">
      <c r="A531" s="18"/>
      <c r="B531" s="16"/>
      <c r="C531" s="16"/>
      <c r="D531" s="51" t="str">
        <f aca="false">IF(C531="","",IFERROR(IF(LEFT(C531,1)="L",INDEX('Leads Pipeline'!$F$5:$F$1004,MATCH(C531,'Leads Pipeline'!$A$5:$A$1004,0)),INDEX('Active Clients'!$D$5:$D$504,MATCH(C531,'Active Clients'!$A$5:$A$504,0)))&amp;"","ID not found"))</f>
        <v/>
      </c>
      <c r="E531" s="51" t="str">
        <f aca="false">IF(C531="","",IFERROR(IF(LEFT(C531,1)="L",INDEX('Leads Pipeline'!$D$5:$D$1004,MATCH(C531,'Leads Pipeline'!$A$5:$A$1004,0)),INDEX('Active Clients'!$B$5:$B$504,MATCH(C531,'Active Clients'!$A$5:$A$504,0)))&amp;"","ID not found"))</f>
        <v/>
      </c>
      <c r="F531" s="51" t="str">
        <f aca="false">IF(C531="","",IFERROR(IF(LEFT(C531,1)="L",INDEX('Leads Pipeline'!$E$5:$E$1004,MATCH(C531,'Leads Pipeline'!$A$5:$A$1004,0)),INDEX('Active Clients'!$C$5:$C$504,MATCH(C531,'Active Clients'!$A$5:$A$504,0)))&amp;"","ID not found"))</f>
        <v/>
      </c>
      <c r="G531" s="16"/>
      <c r="H531" s="16"/>
      <c r="I531" s="16"/>
      <c r="J531" s="16"/>
      <c r="K531" s="16"/>
      <c r="L531" s="18"/>
    </row>
    <row r="532" customFormat="false" ht="15" hidden="false" customHeight="false" outlineLevel="0" collapsed="false">
      <c r="A532" s="18"/>
      <c r="B532" s="16"/>
      <c r="C532" s="16"/>
      <c r="D532" s="51" t="str">
        <f aca="false">IF(C532="","",IFERROR(IF(LEFT(C532,1)="L",INDEX('Leads Pipeline'!$F$5:$F$1004,MATCH(C532,'Leads Pipeline'!$A$5:$A$1004,0)),INDEX('Active Clients'!$D$5:$D$504,MATCH(C532,'Active Clients'!$A$5:$A$504,0)))&amp;"","ID not found"))</f>
        <v/>
      </c>
      <c r="E532" s="51" t="str">
        <f aca="false">IF(C532="","",IFERROR(IF(LEFT(C532,1)="L",INDEX('Leads Pipeline'!$D$5:$D$1004,MATCH(C532,'Leads Pipeline'!$A$5:$A$1004,0)),INDEX('Active Clients'!$B$5:$B$504,MATCH(C532,'Active Clients'!$A$5:$A$504,0)))&amp;"","ID not found"))</f>
        <v/>
      </c>
      <c r="F532" s="51" t="str">
        <f aca="false">IF(C532="","",IFERROR(IF(LEFT(C532,1)="L",INDEX('Leads Pipeline'!$E$5:$E$1004,MATCH(C532,'Leads Pipeline'!$A$5:$A$1004,0)),INDEX('Active Clients'!$C$5:$C$504,MATCH(C532,'Active Clients'!$A$5:$A$504,0)))&amp;"","ID not found"))</f>
        <v/>
      </c>
      <c r="G532" s="16"/>
      <c r="H532" s="16"/>
      <c r="I532" s="16"/>
      <c r="J532" s="16"/>
      <c r="K532" s="16"/>
      <c r="L532" s="18"/>
    </row>
    <row r="533" customFormat="false" ht="15" hidden="false" customHeight="false" outlineLevel="0" collapsed="false">
      <c r="A533" s="18"/>
      <c r="B533" s="16"/>
      <c r="C533" s="16"/>
      <c r="D533" s="51" t="str">
        <f aca="false">IF(C533="","",IFERROR(IF(LEFT(C533,1)="L",INDEX('Leads Pipeline'!$F$5:$F$1004,MATCH(C533,'Leads Pipeline'!$A$5:$A$1004,0)),INDEX('Active Clients'!$D$5:$D$504,MATCH(C533,'Active Clients'!$A$5:$A$504,0)))&amp;"","ID not found"))</f>
        <v/>
      </c>
      <c r="E533" s="51" t="str">
        <f aca="false">IF(C533="","",IFERROR(IF(LEFT(C533,1)="L",INDEX('Leads Pipeline'!$D$5:$D$1004,MATCH(C533,'Leads Pipeline'!$A$5:$A$1004,0)),INDEX('Active Clients'!$B$5:$B$504,MATCH(C533,'Active Clients'!$A$5:$A$504,0)))&amp;"","ID not found"))</f>
        <v/>
      </c>
      <c r="F533" s="51" t="str">
        <f aca="false">IF(C533="","",IFERROR(IF(LEFT(C533,1)="L",INDEX('Leads Pipeline'!$E$5:$E$1004,MATCH(C533,'Leads Pipeline'!$A$5:$A$1004,0)),INDEX('Active Clients'!$C$5:$C$504,MATCH(C533,'Active Clients'!$A$5:$A$504,0)))&amp;"","ID not found"))</f>
        <v/>
      </c>
      <c r="G533" s="16"/>
      <c r="H533" s="16"/>
      <c r="I533" s="16"/>
      <c r="J533" s="16"/>
      <c r="K533" s="16"/>
      <c r="L533" s="18"/>
    </row>
    <row r="534" customFormat="false" ht="15" hidden="false" customHeight="false" outlineLevel="0" collapsed="false">
      <c r="A534" s="18"/>
      <c r="B534" s="16"/>
      <c r="C534" s="16"/>
      <c r="D534" s="51" t="str">
        <f aca="false">IF(C534="","",IFERROR(IF(LEFT(C534,1)="L",INDEX('Leads Pipeline'!$F$5:$F$1004,MATCH(C534,'Leads Pipeline'!$A$5:$A$1004,0)),INDEX('Active Clients'!$D$5:$D$504,MATCH(C534,'Active Clients'!$A$5:$A$504,0)))&amp;"","ID not found"))</f>
        <v/>
      </c>
      <c r="E534" s="51" t="str">
        <f aca="false">IF(C534="","",IFERROR(IF(LEFT(C534,1)="L",INDEX('Leads Pipeline'!$D$5:$D$1004,MATCH(C534,'Leads Pipeline'!$A$5:$A$1004,0)),INDEX('Active Clients'!$B$5:$B$504,MATCH(C534,'Active Clients'!$A$5:$A$504,0)))&amp;"","ID not found"))</f>
        <v/>
      </c>
      <c r="F534" s="51" t="str">
        <f aca="false">IF(C534="","",IFERROR(IF(LEFT(C534,1)="L",INDEX('Leads Pipeline'!$E$5:$E$1004,MATCH(C534,'Leads Pipeline'!$A$5:$A$1004,0)),INDEX('Active Clients'!$C$5:$C$504,MATCH(C534,'Active Clients'!$A$5:$A$504,0)))&amp;"","ID not found"))</f>
        <v/>
      </c>
      <c r="G534" s="16"/>
      <c r="H534" s="16"/>
      <c r="I534" s="16"/>
      <c r="J534" s="16"/>
      <c r="K534" s="16"/>
      <c r="L534" s="18"/>
    </row>
    <row r="535" customFormat="false" ht="15" hidden="false" customHeight="false" outlineLevel="0" collapsed="false">
      <c r="A535" s="18"/>
      <c r="B535" s="16"/>
      <c r="C535" s="16"/>
      <c r="D535" s="51" t="str">
        <f aca="false">IF(C535="","",IFERROR(IF(LEFT(C535,1)="L",INDEX('Leads Pipeline'!$F$5:$F$1004,MATCH(C535,'Leads Pipeline'!$A$5:$A$1004,0)),INDEX('Active Clients'!$D$5:$D$504,MATCH(C535,'Active Clients'!$A$5:$A$504,0)))&amp;"","ID not found"))</f>
        <v/>
      </c>
      <c r="E535" s="51" t="str">
        <f aca="false">IF(C535="","",IFERROR(IF(LEFT(C535,1)="L",INDEX('Leads Pipeline'!$D$5:$D$1004,MATCH(C535,'Leads Pipeline'!$A$5:$A$1004,0)),INDEX('Active Clients'!$B$5:$B$504,MATCH(C535,'Active Clients'!$A$5:$A$504,0)))&amp;"","ID not found"))</f>
        <v/>
      </c>
      <c r="F535" s="51" t="str">
        <f aca="false">IF(C535="","",IFERROR(IF(LEFT(C535,1)="L",INDEX('Leads Pipeline'!$E$5:$E$1004,MATCH(C535,'Leads Pipeline'!$A$5:$A$1004,0)),INDEX('Active Clients'!$C$5:$C$504,MATCH(C535,'Active Clients'!$A$5:$A$504,0)))&amp;"","ID not found"))</f>
        <v/>
      </c>
      <c r="G535" s="16"/>
      <c r="H535" s="16"/>
      <c r="I535" s="16"/>
      <c r="J535" s="16"/>
      <c r="K535" s="16"/>
      <c r="L535" s="18"/>
    </row>
    <row r="536" customFormat="false" ht="15" hidden="false" customHeight="false" outlineLevel="0" collapsed="false">
      <c r="A536" s="18"/>
      <c r="B536" s="16"/>
      <c r="C536" s="16"/>
      <c r="D536" s="51" t="str">
        <f aca="false">IF(C536="","",IFERROR(IF(LEFT(C536,1)="L",INDEX('Leads Pipeline'!$F$5:$F$1004,MATCH(C536,'Leads Pipeline'!$A$5:$A$1004,0)),INDEX('Active Clients'!$D$5:$D$504,MATCH(C536,'Active Clients'!$A$5:$A$504,0)))&amp;"","ID not found"))</f>
        <v/>
      </c>
      <c r="E536" s="51" t="str">
        <f aca="false">IF(C536="","",IFERROR(IF(LEFT(C536,1)="L",INDEX('Leads Pipeline'!$D$5:$D$1004,MATCH(C536,'Leads Pipeline'!$A$5:$A$1004,0)),INDEX('Active Clients'!$B$5:$B$504,MATCH(C536,'Active Clients'!$A$5:$A$504,0)))&amp;"","ID not found"))</f>
        <v/>
      </c>
      <c r="F536" s="51" t="str">
        <f aca="false">IF(C536="","",IFERROR(IF(LEFT(C536,1)="L",INDEX('Leads Pipeline'!$E$5:$E$1004,MATCH(C536,'Leads Pipeline'!$A$5:$A$1004,0)),INDEX('Active Clients'!$C$5:$C$504,MATCH(C536,'Active Clients'!$A$5:$A$504,0)))&amp;"","ID not found"))</f>
        <v/>
      </c>
      <c r="G536" s="16"/>
      <c r="H536" s="16"/>
      <c r="I536" s="16"/>
      <c r="J536" s="16"/>
      <c r="K536" s="16"/>
      <c r="L536" s="18"/>
    </row>
    <row r="537" customFormat="false" ht="15" hidden="false" customHeight="false" outlineLevel="0" collapsed="false">
      <c r="A537" s="18"/>
      <c r="B537" s="16"/>
      <c r="C537" s="16"/>
      <c r="D537" s="51" t="str">
        <f aca="false">IF(C537="","",IFERROR(IF(LEFT(C537,1)="L",INDEX('Leads Pipeline'!$F$5:$F$1004,MATCH(C537,'Leads Pipeline'!$A$5:$A$1004,0)),INDEX('Active Clients'!$D$5:$D$504,MATCH(C537,'Active Clients'!$A$5:$A$504,0)))&amp;"","ID not found"))</f>
        <v/>
      </c>
      <c r="E537" s="51" t="str">
        <f aca="false">IF(C537="","",IFERROR(IF(LEFT(C537,1)="L",INDEX('Leads Pipeline'!$D$5:$D$1004,MATCH(C537,'Leads Pipeline'!$A$5:$A$1004,0)),INDEX('Active Clients'!$B$5:$B$504,MATCH(C537,'Active Clients'!$A$5:$A$504,0)))&amp;"","ID not found"))</f>
        <v/>
      </c>
      <c r="F537" s="51" t="str">
        <f aca="false">IF(C537="","",IFERROR(IF(LEFT(C537,1)="L",INDEX('Leads Pipeline'!$E$5:$E$1004,MATCH(C537,'Leads Pipeline'!$A$5:$A$1004,0)),INDEX('Active Clients'!$C$5:$C$504,MATCH(C537,'Active Clients'!$A$5:$A$504,0)))&amp;"","ID not found"))</f>
        <v/>
      </c>
      <c r="G537" s="16"/>
      <c r="H537" s="16"/>
      <c r="I537" s="16"/>
      <c r="J537" s="16"/>
      <c r="K537" s="16"/>
      <c r="L537" s="18"/>
    </row>
    <row r="538" customFormat="false" ht="15" hidden="false" customHeight="false" outlineLevel="0" collapsed="false">
      <c r="A538" s="18"/>
      <c r="B538" s="16"/>
      <c r="C538" s="16"/>
      <c r="D538" s="51" t="str">
        <f aca="false">IF(C538="","",IFERROR(IF(LEFT(C538,1)="L",INDEX('Leads Pipeline'!$F$5:$F$1004,MATCH(C538,'Leads Pipeline'!$A$5:$A$1004,0)),INDEX('Active Clients'!$D$5:$D$504,MATCH(C538,'Active Clients'!$A$5:$A$504,0)))&amp;"","ID not found"))</f>
        <v/>
      </c>
      <c r="E538" s="51" t="str">
        <f aca="false">IF(C538="","",IFERROR(IF(LEFT(C538,1)="L",INDEX('Leads Pipeline'!$D$5:$D$1004,MATCH(C538,'Leads Pipeline'!$A$5:$A$1004,0)),INDEX('Active Clients'!$B$5:$B$504,MATCH(C538,'Active Clients'!$A$5:$A$504,0)))&amp;"","ID not found"))</f>
        <v/>
      </c>
      <c r="F538" s="51" t="str">
        <f aca="false">IF(C538="","",IFERROR(IF(LEFT(C538,1)="L",INDEX('Leads Pipeline'!$E$5:$E$1004,MATCH(C538,'Leads Pipeline'!$A$5:$A$1004,0)),INDEX('Active Clients'!$C$5:$C$504,MATCH(C538,'Active Clients'!$A$5:$A$504,0)))&amp;"","ID not found"))</f>
        <v/>
      </c>
      <c r="G538" s="16"/>
      <c r="H538" s="16"/>
      <c r="I538" s="16"/>
      <c r="J538" s="16"/>
      <c r="K538" s="16"/>
      <c r="L538" s="18"/>
    </row>
    <row r="539" customFormat="false" ht="15" hidden="false" customHeight="false" outlineLevel="0" collapsed="false">
      <c r="A539" s="18"/>
      <c r="B539" s="16"/>
      <c r="C539" s="16"/>
      <c r="D539" s="51" t="str">
        <f aca="false">IF(C539="","",IFERROR(IF(LEFT(C539,1)="L",INDEX('Leads Pipeline'!$F$5:$F$1004,MATCH(C539,'Leads Pipeline'!$A$5:$A$1004,0)),INDEX('Active Clients'!$D$5:$D$504,MATCH(C539,'Active Clients'!$A$5:$A$504,0)))&amp;"","ID not found"))</f>
        <v/>
      </c>
      <c r="E539" s="51" t="str">
        <f aca="false">IF(C539="","",IFERROR(IF(LEFT(C539,1)="L",INDEX('Leads Pipeline'!$D$5:$D$1004,MATCH(C539,'Leads Pipeline'!$A$5:$A$1004,0)),INDEX('Active Clients'!$B$5:$B$504,MATCH(C539,'Active Clients'!$A$5:$A$504,0)))&amp;"","ID not found"))</f>
        <v/>
      </c>
      <c r="F539" s="51" t="str">
        <f aca="false">IF(C539="","",IFERROR(IF(LEFT(C539,1)="L",INDEX('Leads Pipeline'!$E$5:$E$1004,MATCH(C539,'Leads Pipeline'!$A$5:$A$1004,0)),INDEX('Active Clients'!$C$5:$C$504,MATCH(C539,'Active Clients'!$A$5:$A$504,0)))&amp;"","ID not found"))</f>
        <v/>
      </c>
      <c r="G539" s="16"/>
      <c r="H539" s="16"/>
      <c r="I539" s="16"/>
      <c r="J539" s="16"/>
      <c r="K539" s="16"/>
      <c r="L539" s="18"/>
    </row>
    <row r="540" customFormat="false" ht="15" hidden="false" customHeight="false" outlineLevel="0" collapsed="false">
      <c r="A540" s="18"/>
      <c r="B540" s="16"/>
      <c r="C540" s="16"/>
      <c r="D540" s="51" t="str">
        <f aca="false">IF(C540="","",IFERROR(IF(LEFT(C540,1)="L",INDEX('Leads Pipeline'!$F$5:$F$1004,MATCH(C540,'Leads Pipeline'!$A$5:$A$1004,0)),INDEX('Active Clients'!$D$5:$D$504,MATCH(C540,'Active Clients'!$A$5:$A$504,0)))&amp;"","ID not found"))</f>
        <v/>
      </c>
      <c r="E540" s="51" t="str">
        <f aca="false">IF(C540="","",IFERROR(IF(LEFT(C540,1)="L",INDEX('Leads Pipeline'!$D$5:$D$1004,MATCH(C540,'Leads Pipeline'!$A$5:$A$1004,0)),INDEX('Active Clients'!$B$5:$B$504,MATCH(C540,'Active Clients'!$A$5:$A$504,0)))&amp;"","ID not found"))</f>
        <v/>
      </c>
      <c r="F540" s="51" t="str">
        <f aca="false">IF(C540="","",IFERROR(IF(LEFT(C540,1)="L",INDEX('Leads Pipeline'!$E$5:$E$1004,MATCH(C540,'Leads Pipeline'!$A$5:$A$1004,0)),INDEX('Active Clients'!$C$5:$C$504,MATCH(C540,'Active Clients'!$A$5:$A$504,0)))&amp;"","ID not found"))</f>
        <v/>
      </c>
      <c r="G540" s="16"/>
      <c r="H540" s="16"/>
      <c r="I540" s="16"/>
      <c r="J540" s="16"/>
      <c r="K540" s="16"/>
      <c r="L540" s="18"/>
    </row>
    <row r="541" customFormat="false" ht="15" hidden="false" customHeight="false" outlineLevel="0" collapsed="false">
      <c r="A541" s="18"/>
      <c r="B541" s="16"/>
      <c r="C541" s="16"/>
      <c r="D541" s="51" t="str">
        <f aca="false">IF(C541="","",IFERROR(IF(LEFT(C541,1)="L",INDEX('Leads Pipeline'!$F$5:$F$1004,MATCH(C541,'Leads Pipeline'!$A$5:$A$1004,0)),INDEX('Active Clients'!$D$5:$D$504,MATCH(C541,'Active Clients'!$A$5:$A$504,0)))&amp;"","ID not found"))</f>
        <v/>
      </c>
      <c r="E541" s="51" t="str">
        <f aca="false">IF(C541="","",IFERROR(IF(LEFT(C541,1)="L",INDEX('Leads Pipeline'!$D$5:$D$1004,MATCH(C541,'Leads Pipeline'!$A$5:$A$1004,0)),INDEX('Active Clients'!$B$5:$B$504,MATCH(C541,'Active Clients'!$A$5:$A$504,0)))&amp;"","ID not found"))</f>
        <v/>
      </c>
      <c r="F541" s="51" t="str">
        <f aca="false">IF(C541="","",IFERROR(IF(LEFT(C541,1)="L",INDEX('Leads Pipeline'!$E$5:$E$1004,MATCH(C541,'Leads Pipeline'!$A$5:$A$1004,0)),INDEX('Active Clients'!$C$5:$C$504,MATCH(C541,'Active Clients'!$A$5:$A$504,0)))&amp;"","ID not found"))</f>
        <v/>
      </c>
      <c r="G541" s="16"/>
      <c r="H541" s="16"/>
      <c r="I541" s="16"/>
      <c r="J541" s="16"/>
      <c r="K541" s="16"/>
      <c r="L541" s="18"/>
    </row>
    <row r="542" customFormat="false" ht="15" hidden="false" customHeight="false" outlineLevel="0" collapsed="false">
      <c r="A542" s="18"/>
      <c r="B542" s="16"/>
      <c r="C542" s="16"/>
      <c r="D542" s="51" t="str">
        <f aca="false">IF(C542="","",IFERROR(IF(LEFT(C542,1)="L",INDEX('Leads Pipeline'!$F$5:$F$1004,MATCH(C542,'Leads Pipeline'!$A$5:$A$1004,0)),INDEX('Active Clients'!$D$5:$D$504,MATCH(C542,'Active Clients'!$A$5:$A$504,0)))&amp;"","ID not found"))</f>
        <v/>
      </c>
      <c r="E542" s="51" t="str">
        <f aca="false">IF(C542="","",IFERROR(IF(LEFT(C542,1)="L",INDEX('Leads Pipeline'!$D$5:$D$1004,MATCH(C542,'Leads Pipeline'!$A$5:$A$1004,0)),INDEX('Active Clients'!$B$5:$B$504,MATCH(C542,'Active Clients'!$A$5:$A$504,0)))&amp;"","ID not found"))</f>
        <v/>
      </c>
      <c r="F542" s="51" t="str">
        <f aca="false">IF(C542="","",IFERROR(IF(LEFT(C542,1)="L",INDEX('Leads Pipeline'!$E$5:$E$1004,MATCH(C542,'Leads Pipeline'!$A$5:$A$1004,0)),INDEX('Active Clients'!$C$5:$C$504,MATCH(C542,'Active Clients'!$A$5:$A$504,0)))&amp;"","ID not found"))</f>
        <v/>
      </c>
      <c r="G542" s="16"/>
      <c r="H542" s="16"/>
      <c r="I542" s="16"/>
      <c r="J542" s="16"/>
      <c r="K542" s="16"/>
      <c r="L542" s="18"/>
    </row>
    <row r="543" customFormat="false" ht="15" hidden="false" customHeight="false" outlineLevel="0" collapsed="false">
      <c r="A543" s="18"/>
      <c r="B543" s="16"/>
      <c r="C543" s="16"/>
      <c r="D543" s="51" t="str">
        <f aca="false">IF(C543="","",IFERROR(IF(LEFT(C543,1)="L",INDEX('Leads Pipeline'!$F$5:$F$1004,MATCH(C543,'Leads Pipeline'!$A$5:$A$1004,0)),INDEX('Active Clients'!$D$5:$D$504,MATCH(C543,'Active Clients'!$A$5:$A$504,0)))&amp;"","ID not found"))</f>
        <v/>
      </c>
      <c r="E543" s="51" t="str">
        <f aca="false">IF(C543="","",IFERROR(IF(LEFT(C543,1)="L",INDEX('Leads Pipeline'!$D$5:$D$1004,MATCH(C543,'Leads Pipeline'!$A$5:$A$1004,0)),INDEX('Active Clients'!$B$5:$B$504,MATCH(C543,'Active Clients'!$A$5:$A$504,0)))&amp;"","ID not found"))</f>
        <v/>
      </c>
      <c r="F543" s="51" t="str">
        <f aca="false">IF(C543="","",IFERROR(IF(LEFT(C543,1)="L",INDEX('Leads Pipeline'!$E$5:$E$1004,MATCH(C543,'Leads Pipeline'!$A$5:$A$1004,0)),INDEX('Active Clients'!$C$5:$C$504,MATCH(C543,'Active Clients'!$A$5:$A$504,0)))&amp;"","ID not found"))</f>
        <v/>
      </c>
      <c r="G543" s="16"/>
      <c r="H543" s="16"/>
      <c r="I543" s="16"/>
      <c r="J543" s="16"/>
      <c r="K543" s="16"/>
      <c r="L543" s="18"/>
    </row>
    <row r="544" customFormat="false" ht="15" hidden="false" customHeight="false" outlineLevel="0" collapsed="false">
      <c r="A544" s="18"/>
      <c r="B544" s="16"/>
      <c r="C544" s="16"/>
      <c r="D544" s="51" t="str">
        <f aca="false">IF(C544="","",IFERROR(IF(LEFT(C544,1)="L",INDEX('Leads Pipeline'!$F$5:$F$1004,MATCH(C544,'Leads Pipeline'!$A$5:$A$1004,0)),INDEX('Active Clients'!$D$5:$D$504,MATCH(C544,'Active Clients'!$A$5:$A$504,0)))&amp;"","ID not found"))</f>
        <v/>
      </c>
      <c r="E544" s="51" t="str">
        <f aca="false">IF(C544="","",IFERROR(IF(LEFT(C544,1)="L",INDEX('Leads Pipeline'!$D$5:$D$1004,MATCH(C544,'Leads Pipeline'!$A$5:$A$1004,0)),INDEX('Active Clients'!$B$5:$B$504,MATCH(C544,'Active Clients'!$A$5:$A$504,0)))&amp;"","ID not found"))</f>
        <v/>
      </c>
      <c r="F544" s="51" t="str">
        <f aca="false">IF(C544="","",IFERROR(IF(LEFT(C544,1)="L",INDEX('Leads Pipeline'!$E$5:$E$1004,MATCH(C544,'Leads Pipeline'!$A$5:$A$1004,0)),INDEX('Active Clients'!$C$5:$C$504,MATCH(C544,'Active Clients'!$A$5:$A$504,0)))&amp;"","ID not found"))</f>
        <v/>
      </c>
      <c r="G544" s="16"/>
      <c r="H544" s="16"/>
      <c r="I544" s="16"/>
      <c r="J544" s="16"/>
      <c r="K544" s="16"/>
      <c r="L544" s="18"/>
    </row>
    <row r="545" customFormat="false" ht="15" hidden="false" customHeight="false" outlineLevel="0" collapsed="false">
      <c r="A545" s="18"/>
      <c r="B545" s="16"/>
      <c r="C545" s="16"/>
      <c r="D545" s="51" t="str">
        <f aca="false">IF(C545="","",IFERROR(IF(LEFT(C545,1)="L",INDEX('Leads Pipeline'!$F$5:$F$1004,MATCH(C545,'Leads Pipeline'!$A$5:$A$1004,0)),INDEX('Active Clients'!$D$5:$D$504,MATCH(C545,'Active Clients'!$A$5:$A$504,0)))&amp;"","ID not found"))</f>
        <v/>
      </c>
      <c r="E545" s="51" t="str">
        <f aca="false">IF(C545="","",IFERROR(IF(LEFT(C545,1)="L",INDEX('Leads Pipeline'!$D$5:$D$1004,MATCH(C545,'Leads Pipeline'!$A$5:$A$1004,0)),INDEX('Active Clients'!$B$5:$B$504,MATCH(C545,'Active Clients'!$A$5:$A$504,0)))&amp;"","ID not found"))</f>
        <v/>
      </c>
      <c r="F545" s="51" t="str">
        <f aca="false">IF(C545="","",IFERROR(IF(LEFT(C545,1)="L",INDEX('Leads Pipeline'!$E$5:$E$1004,MATCH(C545,'Leads Pipeline'!$A$5:$A$1004,0)),INDEX('Active Clients'!$C$5:$C$504,MATCH(C545,'Active Clients'!$A$5:$A$504,0)))&amp;"","ID not found"))</f>
        <v/>
      </c>
      <c r="G545" s="16"/>
      <c r="H545" s="16"/>
      <c r="I545" s="16"/>
      <c r="J545" s="16"/>
      <c r="K545" s="16"/>
      <c r="L545" s="18"/>
    </row>
    <row r="546" customFormat="false" ht="15" hidden="false" customHeight="false" outlineLevel="0" collapsed="false">
      <c r="A546" s="18"/>
      <c r="B546" s="16"/>
      <c r="C546" s="16"/>
      <c r="D546" s="51" t="str">
        <f aca="false">IF(C546="","",IFERROR(IF(LEFT(C546,1)="L",INDEX('Leads Pipeline'!$F$5:$F$1004,MATCH(C546,'Leads Pipeline'!$A$5:$A$1004,0)),INDEX('Active Clients'!$D$5:$D$504,MATCH(C546,'Active Clients'!$A$5:$A$504,0)))&amp;"","ID not found"))</f>
        <v/>
      </c>
      <c r="E546" s="51" t="str">
        <f aca="false">IF(C546="","",IFERROR(IF(LEFT(C546,1)="L",INDEX('Leads Pipeline'!$D$5:$D$1004,MATCH(C546,'Leads Pipeline'!$A$5:$A$1004,0)),INDEX('Active Clients'!$B$5:$B$504,MATCH(C546,'Active Clients'!$A$5:$A$504,0)))&amp;"","ID not found"))</f>
        <v/>
      </c>
      <c r="F546" s="51" t="str">
        <f aca="false">IF(C546="","",IFERROR(IF(LEFT(C546,1)="L",INDEX('Leads Pipeline'!$E$5:$E$1004,MATCH(C546,'Leads Pipeline'!$A$5:$A$1004,0)),INDEX('Active Clients'!$C$5:$C$504,MATCH(C546,'Active Clients'!$A$5:$A$504,0)))&amp;"","ID not found"))</f>
        <v/>
      </c>
      <c r="G546" s="16"/>
      <c r="H546" s="16"/>
      <c r="I546" s="16"/>
      <c r="J546" s="16"/>
      <c r="K546" s="16"/>
      <c r="L546" s="18"/>
    </row>
    <row r="547" customFormat="false" ht="15" hidden="false" customHeight="false" outlineLevel="0" collapsed="false">
      <c r="A547" s="18"/>
      <c r="B547" s="16"/>
      <c r="C547" s="16"/>
      <c r="D547" s="51" t="str">
        <f aca="false">IF(C547="","",IFERROR(IF(LEFT(C547,1)="L",INDEX('Leads Pipeline'!$F$5:$F$1004,MATCH(C547,'Leads Pipeline'!$A$5:$A$1004,0)),INDEX('Active Clients'!$D$5:$D$504,MATCH(C547,'Active Clients'!$A$5:$A$504,0)))&amp;"","ID not found"))</f>
        <v/>
      </c>
      <c r="E547" s="51" t="str">
        <f aca="false">IF(C547="","",IFERROR(IF(LEFT(C547,1)="L",INDEX('Leads Pipeline'!$D$5:$D$1004,MATCH(C547,'Leads Pipeline'!$A$5:$A$1004,0)),INDEX('Active Clients'!$B$5:$B$504,MATCH(C547,'Active Clients'!$A$5:$A$504,0)))&amp;"","ID not found"))</f>
        <v/>
      </c>
      <c r="F547" s="51" t="str">
        <f aca="false">IF(C547="","",IFERROR(IF(LEFT(C547,1)="L",INDEX('Leads Pipeline'!$E$5:$E$1004,MATCH(C547,'Leads Pipeline'!$A$5:$A$1004,0)),INDEX('Active Clients'!$C$5:$C$504,MATCH(C547,'Active Clients'!$A$5:$A$504,0)))&amp;"","ID not found"))</f>
        <v/>
      </c>
      <c r="G547" s="16"/>
      <c r="H547" s="16"/>
      <c r="I547" s="16"/>
      <c r="J547" s="16"/>
      <c r="K547" s="16"/>
      <c r="L547" s="18"/>
    </row>
    <row r="548" customFormat="false" ht="15" hidden="false" customHeight="false" outlineLevel="0" collapsed="false">
      <c r="A548" s="18"/>
      <c r="B548" s="16"/>
      <c r="C548" s="16"/>
      <c r="D548" s="51" t="str">
        <f aca="false">IF(C548="","",IFERROR(IF(LEFT(C548,1)="L",INDEX('Leads Pipeline'!$F$5:$F$1004,MATCH(C548,'Leads Pipeline'!$A$5:$A$1004,0)),INDEX('Active Clients'!$D$5:$D$504,MATCH(C548,'Active Clients'!$A$5:$A$504,0)))&amp;"","ID not found"))</f>
        <v/>
      </c>
      <c r="E548" s="51" t="str">
        <f aca="false">IF(C548="","",IFERROR(IF(LEFT(C548,1)="L",INDEX('Leads Pipeline'!$D$5:$D$1004,MATCH(C548,'Leads Pipeline'!$A$5:$A$1004,0)),INDEX('Active Clients'!$B$5:$B$504,MATCH(C548,'Active Clients'!$A$5:$A$504,0)))&amp;"","ID not found"))</f>
        <v/>
      </c>
      <c r="F548" s="51" t="str">
        <f aca="false">IF(C548="","",IFERROR(IF(LEFT(C548,1)="L",INDEX('Leads Pipeline'!$E$5:$E$1004,MATCH(C548,'Leads Pipeline'!$A$5:$A$1004,0)),INDEX('Active Clients'!$C$5:$C$504,MATCH(C548,'Active Clients'!$A$5:$A$504,0)))&amp;"","ID not found"))</f>
        <v/>
      </c>
      <c r="G548" s="16"/>
      <c r="H548" s="16"/>
      <c r="I548" s="16"/>
      <c r="J548" s="16"/>
      <c r="K548" s="16"/>
      <c r="L548" s="18"/>
    </row>
    <row r="549" customFormat="false" ht="15" hidden="false" customHeight="false" outlineLevel="0" collapsed="false">
      <c r="A549" s="18"/>
      <c r="B549" s="16"/>
      <c r="C549" s="16"/>
      <c r="D549" s="51" t="str">
        <f aca="false">IF(C549="","",IFERROR(IF(LEFT(C549,1)="L",INDEX('Leads Pipeline'!$F$5:$F$1004,MATCH(C549,'Leads Pipeline'!$A$5:$A$1004,0)),INDEX('Active Clients'!$D$5:$D$504,MATCH(C549,'Active Clients'!$A$5:$A$504,0)))&amp;"","ID not found"))</f>
        <v/>
      </c>
      <c r="E549" s="51" t="str">
        <f aca="false">IF(C549="","",IFERROR(IF(LEFT(C549,1)="L",INDEX('Leads Pipeline'!$D$5:$D$1004,MATCH(C549,'Leads Pipeline'!$A$5:$A$1004,0)),INDEX('Active Clients'!$B$5:$B$504,MATCH(C549,'Active Clients'!$A$5:$A$504,0)))&amp;"","ID not found"))</f>
        <v/>
      </c>
      <c r="F549" s="51" t="str">
        <f aca="false">IF(C549="","",IFERROR(IF(LEFT(C549,1)="L",INDEX('Leads Pipeline'!$E$5:$E$1004,MATCH(C549,'Leads Pipeline'!$A$5:$A$1004,0)),INDEX('Active Clients'!$C$5:$C$504,MATCH(C549,'Active Clients'!$A$5:$A$504,0)))&amp;"","ID not found"))</f>
        <v/>
      </c>
      <c r="G549" s="16"/>
      <c r="H549" s="16"/>
      <c r="I549" s="16"/>
      <c r="J549" s="16"/>
      <c r="K549" s="16"/>
      <c r="L549" s="18"/>
    </row>
    <row r="550" customFormat="false" ht="15" hidden="false" customHeight="false" outlineLevel="0" collapsed="false">
      <c r="A550" s="18"/>
      <c r="B550" s="16"/>
      <c r="C550" s="16"/>
      <c r="D550" s="51" t="str">
        <f aca="false">IF(C550="","",IFERROR(IF(LEFT(C550,1)="L",INDEX('Leads Pipeline'!$F$5:$F$1004,MATCH(C550,'Leads Pipeline'!$A$5:$A$1004,0)),INDEX('Active Clients'!$D$5:$D$504,MATCH(C550,'Active Clients'!$A$5:$A$504,0)))&amp;"","ID not found"))</f>
        <v/>
      </c>
      <c r="E550" s="51" t="str">
        <f aca="false">IF(C550="","",IFERROR(IF(LEFT(C550,1)="L",INDEX('Leads Pipeline'!$D$5:$D$1004,MATCH(C550,'Leads Pipeline'!$A$5:$A$1004,0)),INDEX('Active Clients'!$B$5:$B$504,MATCH(C550,'Active Clients'!$A$5:$A$504,0)))&amp;"","ID not found"))</f>
        <v/>
      </c>
      <c r="F550" s="51" t="str">
        <f aca="false">IF(C550="","",IFERROR(IF(LEFT(C550,1)="L",INDEX('Leads Pipeline'!$E$5:$E$1004,MATCH(C550,'Leads Pipeline'!$A$5:$A$1004,0)),INDEX('Active Clients'!$C$5:$C$504,MATCH(C550,'Active Clients'!$A$5:$A$504,0)))&amp;"","ID not found"))</f>
        <v/>
      </c>
      <c r="G550" s="16"/>
      <c r="H550" s="16"/>
      <c r="I550" s="16"/>
      <c r="J550" s="16"/>
      <c r="K550" s="16"/>
      <c r="L550" s="18"/>
    </row>
    <row r="551" customFormat="false" ht="15" hidden="false" customHeight="false" outlineLevel="0" collapsed="false">
      <c r="A551" s="18"/>
      <c r="B551" s="16"/>
      <c r="C551" s="16"/>
      <c r="D551" s="51" t="str">
        <f aca="false">IF(C551="","",IFERROR(IF(LEFT(C551,1)="L",INDEX('Leads Pipeline'!$F$5:$F$1004,MATCH(C551,'Leads Pipeline'!$A$5:$A$1004,0)),INDEX('Active Clients'!$D$5:$D$504,MATCH(C551,'Active Clients'!$A$5:$A$504,0)))&amp;"","ID not found"))</f>
        <v/>
      </c>
      <c r="E551" s="51" t="str">
        <f aca="false">IF(C551="","",IFERROR(IF(LEFT(C551,1)="L",INDEX('Leads Pipeline'!$D$5:$D$1004,MATCH(C551,'Leads Pipeline'!$A$5:$A$1004,0)),INDEX('Active Clients'!$B$5:$B$504,MATCH(C551,'Active Clients'!$A$5:$A$504,0)))&amp;"","ID not found"))</f>
        <v/>
      </c>
      <c r="F551" s="51" t="str">
        <f aca="false">IF(C551="","",IFERROR(IF(LEFT(C551,1)="L",INDEX('Leads Pipeline'!$E$5:$E$1004,MATCH(C551,'Leads Pipeline'!$A$5:$A$1004,0)),INDEX('Active Clients'!$C$5:$C$504,MATCH(C551,'Active Clients'!$A$5:$A$504,0)))&amp;"","ID not found"))</f>
        <v/>
      </c>
      <c r="G551" s="16"/>
      <c r="H551" s="16"/>
      <c r="I551" s="16"/>
      <c r="J551" s="16"/>
      <c r="K551" s="16"/>
      <c r="L551" s="18"/>
    </row>
    <row r="552" customFormat="false" ht="15" hidden="false" customHeight="false" outlineLevel="0" collapsed="false">
      <c r="A552" s="18"/>
      <c r="B552" s="16"/>
      <c r="C552" s="16"/>
      <c r="D552" s="51" t="str">
        <f aca="false">IF(C552="","",IFERROR(IF(LEFT(C552,1)="L",INDEX('Leads Pipeline'!$F$5:$F$1004,MATCH(C552,'Leads Pipeline'!$A$5:$A$1004,0)),INDEX('Active Clients'!$D$5:$D$504,MATCH(C552,'Active Clients'!$A$5:$A$504,0)))&amp;"","ID not found"))</f>
        <v/>
      </c>
      <c r="E552" s="51" t="str">
        <f aca="false">IF(C552="","",IFERROR(IF(LEFT(C552,1)="L",INDEX('Leads Pipeline'!$D$5:$D$1004,MATCH(C552,'Leads Pipeline'!$A$5:$A$1004,0)),INDEX('Active Clients'!$B$5:$B$504,MATCH(C552,'Active Clients'!$A$5:$A$504,0)))&amp;"","ID not found"))</f>
        <v/>
      </c>
      <c r="F552" s="51" t="str">
        <f aca="false">IF(C552="","",IFERROR(IF(LEFT(C552,1)="L",INDEX('Leads Pipeline'!$E$5:$E$1004,MATCH(C552,'Leads Pipeline'!$A$5:$A$1004,0)),INDEX('Active Clients'!$C$5:$C$504,MATCH(C552,'Active Clients'!$A$5:$A$504,0)))&amp;"","ID not found"))</f>
        <v/>
      </c>
      <c r="G552" s="16"/>
      <c r="H552" s="16"/>
      <c r="I552" s="16"/>
      <c r="J552" s="16"/>
      <c r="K552" s="16"/>
      <c r="L552" s="18"/>
    </row>
    <row r="553" customFormat="false" ht="15" hidden="false" customHeight="false" outlineLevel="0" collapsed="false">
      <c r="A553" s="18"/>
      <c r="B553" s="16"/>
      <c r="C553" s="16"/>
      <c r="D553" s="51" t="str">
        <f aca="false">IF(C553="","",IFERROR(IF(LEFT(C553,1)="L",INDEX('Leads Pipeline'!$F$5:$F$1004,MATCH(C553,'Leads Pipeline'!$A$5:$A$1004,0)),INDEX('Active Clients'!$D$5:$D$504,MATCH(C553,'Active Clients'!$A$5:$A$504,0)))&amp;"","ID not found"))</f>
        <v/>
      </c>
      <c r="E553" s="51" t="str">
        <f aca="false">IF(C553="","",IFERROR(IF(LEFT(C553,1)="L",INDEX('Leads Pipeline'!$D$5:$D$1004,MATCH(C553,'Leads Pipeline'!$A$5:$A$1004,0)),INDEX('Active Clients'!$B$5:$B$504,MATCH(C553,'Active Clients'!$A$5:$A$504,0)))&amp;"","ID not found"))</f>
        <v/>
      </c>
      <c r="F553" s="51" t="str">
        <f aca="false">IF(C553="","",IFERROR(IF(LEFT(C553,1)="L",INDEX('Leads Pipeline'!$E$5:$E$1004,MATCH(C553,'Leads Pipeline'!$A$5:$A$1004,0)),INDEX('Active Clients'!$C$5:$C$504,MATCH(C553,'Active Clients'!$A$5:$A$504,0)))&amp;"","ID not found"))</f>
        <v/>
      </c>
      <c r="G553" s="16"/>
      <c r="H553" s="16"/>
      <c r="I553" s="16"/>
      <c r="J553" s="16"/>
      <c r="K553" s="16"/>
      <c r="L553" s="18"/>
    </row>
    <row r="554" customFormat="false" ht="15" hidden="false" customHeight="false" outlineLevel="0" collapsed="false">
      <c r="A554" s="18"/>
      <c r="B554" s="16"/>
      <c r="C554" s="16"/>
      <c r="D554" s="51" t="str">
        <f aca="false">IF(C554="","",IFERROR(IF(LEFT(C554,1)="L",INDEX('Leads Pipeline'!$F$5:$F$1004,MATCH(C554,'Leads Pipeline'!$A$5:$A$1004,0)),INDEX('Active Clients'!$D$5:$D$504,MATCH(C554,'Active Clients'!$A$5:$A$504,0)))&amp;"","ID not found"))</f>
        <v/>
      </c>
      <c r="E554" s="51" t="str">
        <f aca="false">IF(C554="","",IFERROR(IF(LEFT(C554,1)="L",INDEX('Leads Pipeline'!$D$5:$D$1004,MATCH(C554,'Leads Pipeline'!$A$5:$A$1004,0)),INDEX('Active Clients'!$B$5:$B$504,MATCH(C554,'Active Clients'!$A$5:$A$504,0)))&amp;"","ID not found"))</f>
        <v/>
      </c>
      <c r="F554" s="51" t="str">
        <f aca="false">IF(C554="","",IFERROR(IF(LEFT(C554,1)="L",INDEX('Leads Pipeline'!$E$5:$E$1004,MATCH(C554,'Leads Pipeline'!$A$5:$A$1004,0)),INDEX('Active Clients'!$C$5:$C$504,MATCH(C554,'Active Clients'!$A$5:$A$504,0)))&amp;"","ID not found"))</f>
        <v/>
      </c>
      <c r="G554" s="16"/>
      <c r="H554" s="16"/>
      <c r="I554" s="16"/>
      <c r="J554" s="16"/>
      <c r="K554" s="16"/>
      <c r="L554" s="18"/>
    </row>
    <row r="555" customFormat="false" ht="15" hidden="false" customHeight="false" outlineLevel="0" collapsed="false">
      <c r="A555" s="18"/>
      <c r="B555" s="16"/>
      <c r="C555" s="16"/>
      <c r="D555" s="51" t="str">
        <f aca="false">IF(C555="","",IFERROR(IF(LEFT(C555,1)="L",INDEX('Leads Pipeline'!$F$5:$F$1004,MATCH(C555,'Leads Pipeline'!$A$5:$A$1004,0)),INDEX('Active Clients'!$D$5:$D$504,MATCH(C555,'Active Clients'!$A$5:$A$504,0)))&amp;"","ID not found"))</f>
        <v/>
      </c>
      <c r="E555" s="51" t="str">
        <f aca="false">IF(C555="","",IFERROR(IF(LEFT(C555,1)="L",INDEX('Leads Pipeline'!$D$5:$D$1004,MATCH(C555,'Leads Pipeline'!$A$5:$A$1004,0)),INDEX('Active Clients'!$B$5:$B$504,MATCH(C555,'Active Clients'!$A$5:$A$504,0)))&amp;"","ID not found"))</f>
        <v/>
      </c>
      <c r="F555" s="51" t="str">
        <f aca="false">IF(C555="","",IFERROR(IF(LEFT(C555,1)="L",INDEX('Leads Pipeline'!$E$5:$E$1004,MATCH(C555,'Leads Pipeline'!$A$5:$A$1004,0)),INDEX('Active Clients'!$C$5:$C$504,MATCH(C555,'Active Clients'!$A$5:$A$504,0)))&amp;"","ID not found"))</f>
        <v/>
      </c>
      <c r="G555" s="16"/>
      <c r="H555" s="16"/>
      <c r="I555" s="16"/>
      <c r="J555" s="16"/>
      <c r="K555" s="16"/>
      <c r="L555" s="18"/>
    </row>
    <row r="556" customFormat="false" ht="15" hidden="false" customHeight="false" outlineLevel="0" collapsed="false">
      <c r="A556" s="18"/>
      <c r="B556" s="16"/>
      <c r="C556" s="16"/>
      <c r="D556" s="51" t="str">
        <f aca="false">IF(C556="","",IFERROR(IF(LEFT(C556,1)="L",INDEX('Leads Pipeline'!$F$5:$F$1004,MATCH(C556,'Leads Pipeline'!$A$5:$A$1004,0)),INDEX('Active Clients'!$D$5:$D$504,MATCH(C556,'Active Clients'!$A$5:$A$504,0)))&amp;"","ID not found"))</f>
        <v/>
      </c>
      <c r="E556" s="51" t="str">
        <f aca="false">IF(C556="","",IFERROR(IF(LEFT(C556,1)="L",INDEX('Leads Pipeline'!$D$5:$D$1004,MATCH(C556,'Leads Pipeline'!$A$5:$A$1004,0)),INDEX('Active Clients'!$B$5:$B$504,MATCH(C556,'Active Clients'!$A$5:$A$504,0)))&amp;"","ID not found"))</f>
        <v/>
      </c>
      <c r="F556" s="51" t="str">
        <f aca="false">IF(C556="","",IFERROR(IF(LEFT(C556,1)="L",INDEX('Leads Pipeline'!$E$5:$E$1004,MATCH(C556,'Leads Pipeline'!$A$5:$A$1004,0)),INDEX('Active Clients'!$C$5:$C$504,MATCH(C556,'Active Clients'!$A$5:$A$504,0)))&amp;"","ID not found"))</f>
        <v/>
      </c>
      <c r="G556" s="16"/>
      <c r="H556" s="16"/>
      <c r="I556" s="16"/>
      <c r="J556" s="16"/>
      <c r="K556" s="16"/>
      <c r="L556" s="18"/>
    </row>
    <row r="557" customFormat="false" ht="15" hidden="false" customHeight="false" outlineLevel="0" collapsed="false">
      <c r="A557" s="18"/>
      <c r="B557" s="16"/>
      <c r="C557" s="16"/>
      <c r="D557" s="51" t="str">
        <f aca="false">IF(C557="","",IFERROR(IF(LEFT(C557,1)="L",INDEX('Leads Pipeline'!$F$5:$F$1004,MATCH(C557,'Leads Pipeline'!$A$5:$A$1004,0)),INDEX('Active Clients'!$D$5:$D$504,MATCH(C557,'Active Clients'!$A$5:$A$504,0)))&amp;"","ID not found"))</f>
        <v/>
      </c>
      <c r="E557" s="51" t="str">
        <f aca="false">IF(C557="","",IFERROR(IF(LEFT(C557,1)="L",INDEX('Leads Pipeline'!$D$5:$D$1004,MATCH(C557,'Leads Pipeline'!$A$5:$A$1004,0)),INDEX('Active Clients'!$B$5:$B$504,MATCH(C557,'Active Clients'!$A$5:$A$504,0)))&amp;"","ID not found"))</f>
        <v/>
      </c>
      <c r="F557" s="51" t="str">
        <f aca="false">IF(C557="","",IFERROR(IF(LEFT(C557,1)="L",INDEX('Leads Pipeline'!$E$5:$E$1004,MATCH(C557,'Leads Pipeline'!$A$5:$A$1004,0)),INDEX('Active Clients'!$C$5:$C$504,MATCH(C557,'Active Clients'!$A$5:$A$504,0)))&amp;"","ID not found"))</f>
        <v/>
      </c>
      <c r="G557" s="16"/>
      <c r="H557" s="16"/>
      <c r="I557" s="16"/>
      <c r="J557" s="16"/>
      <c r="K557" s="16"/>
      <c r="L557" s="18"/>
    </row>
    <row r="558" customFormat="false" ht="15" hidden="false" customHeight="false" outlineLevel="0" collapsed="false">
      <c r="A558" s="18"/>
      <c r="B558" s="16"/>
      <c r="C558" s="16"/>
      <c r="D558" s="51" t="str">
        <f aca="false">IF(C558="","",IFERROR(IF(LEFT(C558,1)="L",INDEX('Leads Pipeline'!$F$5:$F$1004,MATCH(C558,'Leads Pipeline'!$A$5:$A$1004,0)),INDEX('Active Clients'!$D$5:$D$504,MATCH(C558,'Active Clients'!$A$5:$A$504,0)))&amp;"","ID not found"))</f>
        <v/>
      </c>
      <c r="E558" s="51" t="str">
        <f aca="false">IF(C558="","",IFERROR(IF(LEFT(C558,1)="L",INDEX('Leads Pipeline'!$D$5:$D$1004,MATCH(C558,'Leads Pipeline'!$A$5:$A$1004,0)),INDEX('Active Clients'!$B$5:$B$504,MATCH(C558,'Active Clients'!$A$5:$A$504,0)))&amp;"","ID not found"))</f>
        <v/>
      </c>
      <c r="F558" s="51" t="str">
        <f aca="false">IF(C558="","",IFERROR(IF(LEFT(C558,1)="L",INDEX('Leads Pipeline'!$E$5:$E$1004,MATCH(C558,'Leads Pipeline'!$A$5:$A$1004,0)),INDEX('Active Clients'!$C$5:$C$504,MATCH(C558,'Active Clients'!$A$5:$A$504,0)))&amp;"","ID not found"))</f>
        <v/>
      </c>
      <c r="G558" s="16"/>
      <c r="H558" s="16"/>
      <c r="I558" s="16"/>
      <c r="J558" s="16"/>
      <c r="K558" s="16"/>
      <c r="L558" s="18"/>
    </row>
    <row r="559" customFormat="false" ht="15" hidden="false" customHeight="false" outlineLevel="0" collapsed="false">
      <c r="A559" s="18"/>
      <c r="B559" s="16"/>
      <c r="C559" s="16"/>
      <c r="D559" s="51" t="str">
        <f aca="false">IF(C559="","",IFERROR(IF(LEFT(C559,1)="L",INDEX('Leads Pipeline'!$F$5:$F$1004,MATCH(C559,'Leads Pipeline'!$A$5:$A$1004,0)),INDEX('Active Clients'!$D$5:$D$504,MATCH(C559,'Active Clients'!$A$5:$A$504,0)))&amp;"","ID not found"))</f>
        <v/>
      </c>
      <c r="E559" s="51" t="str">
        <f aca="false">IF(C559="","",IFERROR(IF(LEFT(C559,1)="L",INDEX('Leads Pipeline'!$D$5:$D$1004,MATCH(C559,'Leads Pipeline'!$A$5:$A$1004,0)),INDEX('Active Clients'!$B$5:$B$504,MATCH(C559,'Active Clients'!$A$5:$A$504,0)))&amp;"","ID not found"))</f>
        <v/>
      </c>
      <c r="F559" s="51" t="str">
        <f aca="false">IF(C559="","",IFERROR(IF(LEFT(C559,1)="L",INDEX('Leads Pipeline'!$E$5:$E$1004,MATCH(C559,'Leads Pipeline'!$A$5:$A$1004,0)),INDEX('Active Clients'!$C$5:$C$504,MATCH(C559,'Active Clients'!$A$5:$A$504,0)))&amp;"","ID not found"))</f>
        <v/>
      </c>
      <c r="G559" s="16"/>
      <c r="H559" s="16"/>
      <c r="I559" s="16"/>
      <c r="J559" s="16"/>
      <c r="K559" s="16"/>
      <c r="L559" s="18"/>
    </row>
    <row r="560" customFormat="false" ht="15" hidden="false" customHeight="false" outlineLevel="0" collapsed="false">
      <c r="A560" s="18"/>
      <c r="B560" s="16"/>
      <c r="C560" s="16"/>
      <c r="D560" s="51" t="str">
        <f aca="false">IF(C560="","",IFERROR(IF(LEFT(C560,1)="L",INDEX('Leads Pipeline'!$F$5:$F$1004,MATCH(C560,'Leads Pipeline'!$A$5:$A$1004,0)),INDEX('Active Clients'!$D$5:$D$504,MATCH(C560,'Active Clients'!$A$5:$A$504,0)))&amp;"","ID not found"))</f>
        <v/>
      </c>
      <c r="E560" s="51" t="str">
        <f aca="false">IF(C560="","",IFERROR(IF(LEFT(C560,1)="L",INDEX('Leads Pipeline'!$D$5:$D$1004,MATCH(C560,'Leads Pipeline'!$A$5:$A$1004,0)),INDEX('Active Clients'!$B$5:$B$504,MATCH(C560,'Active Clients'!$A$5:$A$504,0)))&amp;"","ID not found"))</f>
        <v/>
      </c>
      <c r="F560" s="51" t="str">
        <f aca="false">IF(C560="","",IFERROR(IF(LEFT(C560,1)="L",INDEX('Leads Pipeline'!$E$5:$E$1004,MATCH(C560,'Leads Pipeline'!$A$5:$A$1004,0)),INDEX('Active Clients'!$C$5:$C$504,MATCH(C560,'Active Clients'!$A$5:$A$504,0)))&amp;"","ID not found"))</f>
        <v/>
      </c>
      <c r="G560" s="16"/>
      <c r="H560" s="16"/>
      <c r="I560" s="16"/>
      <c r="J560" s="16"/>
      <c r="K560" s="16"/>
      <c r="L560" s="18"/>
    </row>
    <row r="561" customFormat="false" ht="15" hidden="false" customHeight="false" outlineLevel="0" collapsed="false">
      <c r="A561" s="18"/>
      <c r="B561" s="16"/>
      <c r="C561" s="16"/>
      <c r="D561" s="51" t="str">
        <f aca="false">IF(C561="","",IFERROR(IF(LEFT(C561,1)="L",INDEX('Leads Pipeline'!$F$5:$F$1004,MATCH(C561,'Leads Pipeline'!$A$5:$A$1004,0)),INDEX('Active Clients'!$D$5:$D$504,MATCH(C561,'Active Clients'!$A$5:$A$504,0)))&amp;"","ID not found"))</f>
        <v/>
      </c>
      <c r="E561" s="51" t="str">
        <f aca="false">IF(C561="","",IFERROR(IF(LEFT(C561,1)="L",INDEX('Leads Pipeline'!$D$5:$D$1004,MATCH(C561,'Leads Pipeline'!$A$5:$A$1004,0)),INDEX('Active Clients'!$B$5:$B$504,MATCH(C561,'Active Clients'!$A$5:$A$504,0)))&amp;"","ID not found"))</f>
        <v/>
      </c>
      <c r="F561" s="51" t="str">
        <f aca="false">IF(C561="","",IFERROR(IF(LEFT(C561,1)="L",INDEX('Leads Pipeline'!$E$5:$E$1004,MATCH(C561,'Leads Pipeline'!$A$5:$A$1004,0)),INDEX('Active Clients'!$C$5:$C$504,MATCH(C561,'Active Clients'!$A$5:$A$504,0)))&amp;"","ID not found"))</f>
        <v/>
      </c>
      <c r="G561" s="16"/>
      <c r="H561" s="16"/>
      <c r="I561" s="16"/>
      <c r="J561" s="16"/>
      <c r="K561" s="16"/>
      <c r="L561" s="18"/>
    </row>
    <row r="562" customFormat="false" ht="15" hidden="false" customHeight="false" outlineLevel="0" collapsed="false">
      <c r="A562" s="18"/>
      <c r="B562" s="16"/>
      <c r="C562" s="16"/>
      <c r="D562" s="51" t="str">
        <f aca="false">IF(C562="","",IFERROR(IF(LEFT(C562,1)="L",INDEX('Leads Pipeline'!$F$5:$F$1004,MATCH(C562,'Leads Pipeline'!$A$5:$A$1004,0)),INDEX('Active Clients'!$D$5:$D$504,MATCH(C562,'Active Clients'!$A$5:$A$504,0)))&amp;"","ID not found"))</f>
        <v/>
      </c>
      <c r="E562" s="51" t="str">
        <f aca="false">IF(C562="","",IFERROR(IF(LEFT(C562,1)="L",INDEX('Leads Pipeline'!$D$5:$D$1004,MATCH(C562,'Leads Pipeline'!$A$5:$A$1004,0)),INDEX('Active Clients'!$B$5:$B$504,MATCH(C562,'Active Clients'!$A$5:$A$504,0)))&amp;"","ID not found"))</f>
        <v/>
      </c>
      <c r="F562" s="51" t="str">
        <f aca="false">IF(C562="","",IFERROR(IF(LEFT(C562,1)="L",INDEX('Leads Pipeline'!$E$5:$E$1004,MATCH(C562,'Leads Pipeline'!$A$5:$A$1004,0)),INDEX('Active Clients'!$C$5:$C$504,MATCH(C562,'Active Clients'!$A$5:$A$504,0)))&amp;"","ID not found"))</f>
        <v/>
      </c>
      <c r="G562" s="16"/>
      <c r="H562" s="16"/>
      <c r="I562" s="16"/>
      <c r="J562" s="16"/>
      <c r="K562" s="16"/>
      <c r="L562" s="18"/>
    </row>
    <row r="563" customFormat="false" ht="15" hidden="false" customHeight="false" outlineLevel="0" collapsed="false">
      <c r="A563" s="18"/>
      <c r="B563" s="16"/>
      <c r="C563" s="16"/>
      <c r="D563" s="51" t="str">
        <f aca="false">IF(C563="","",IFERROR(IF(LEFT(C563,1)="L",INDEX('Leads Pipeline'!$F$5:$F$1004,MATCH(C563,'Leads Pipeline'!$A$5:$A$1004,0)),INDEX('Active Clients'!$D$5:$D$504,MATCH(C563,'Active Clients'!$A$5:$A$504,0)))&amp;"","ID not found"))</f>
        <v/>
      </c>
      <c r="E563" s="51" t="str">
        <f aca="false">IF(C563="","",IFERROR(IF(LEFT(C563,1)="L",INDEX('Leads Pipeline'!$D$5:$D$1004,MATCH(C563,'Leads Pipeline'!$A$5:$A$1004,0)),INDEX('Active Clients'!$B$5:$B$504,MATCH(C563,'Active Clients'!$A$5:$A$504,0)))&amp;"","ID not found"))</f>
        <v/>
      </c>
      <c r="F563" s="51" t="str">
        <f aca="false">IF(C563="","",IFERROR(IF(LEFT(C563,1)="L",INDEX('Leads Pipeline'!$E$5:$E$1004,MATCH(C563,'Leads Pipeline'!$A$5:$A$1004,0)),INDEX('Active Clients'!$C$5:$C$504,MATCH(C563,'Active Clients'!$A$5:$A$504,0)))&amp;"","ID not found"))</f>
        <v/>
      </c>
      <c r="G563" s="16"/>
      <c r="H563" s="16"/>
      <c r="I563" s="16"/>
      <c r="J563" s="16"/>
      <c r="K563" s="16"/>
      <c r="L563" s="18"/>
    </row>
    <row r="564" customFormat="false" ht="15" hidden="false" customHeight="false" outlineLevel="0" collapsed="false">
      <c r="A564" s="18"/>
      <c r="B564" s="16"/>
      <c r="C564" s="16"/>
      <c r="D564" s="51" t="str">
        <f aca="false">IF(C564="","",IFERROR(IF(LEFT(C564,1)="L",INDEX('Leads Pipeline'!$F$5:$F$1004,MATCH(C564,'Leads Pipeline'!$A$5:$A$1004,0)),INDEX('Active Clients'!$D$5:$D$504,MATCH(C564,'Active Clients'!$A$5:$A$504,0)))&amp;"","ID not found"))</f>
        <v/>
      </c>
      <c r="E564" s="51" t="str">
        <f aca="false">IF(C564="","",IFERROR(IF(LEFT(C564,1)="L",INDEX('Leads Pipeline'!$D$5:$D$1004,MATCH(C564,'Leads Pipeline'!$A$5:$A$1004,0)),INDEX('Active Clients'!$B$5:$B$504,MATCH(C564,'Active Clients'!$A$5:$A$504,0)))&amp;"","ID not found"))</f>
        <v/>
      </c>
      <c r="F564" s="51" t="str">
        <f aca="false">IF(C564="","",IFERROR(IF(LEFT(C564,1)="L",INDEX('Leads Pipeline'!$E$5:$E$1004,MATCH(C564,'Leads Pipeline'!$A$5:$A$1004,0)),INDEX('Active Clients'!$C$5:$C$504,MATCH(C564,'Active Clients'!$A$5:$A$504,0)))&amp;"","ID not found"))</f>
        <v/>
      </c>
      <c r="G564" s="16"/>
      <c r="H564" s="16"/>
      <c r="I564" s="16"/>
      <c r="J564" s="16"/>
      <c r="K564" s="16"/>
      <c r="L564" s="18"/>
    </row>
    <row r="565" customFormat="false" ht="15" hidden="false" customHeight="false" outlineLevel="0" collapsed="false">
      <c r="A565" s="18"/>
      <c r="B565" s="16"/>
      <c r="C565" s="16"/>
      <c r="D565" s="51" t="str">
        <f aca="false">IF(C565="","",IFERROR(IF(LEFT(C565,1)="L",INDEX('Leads Pipeline'!$F$5:$F$1004,MATCH(C565,'Leads Pipeline'!$A$5:$A$1004,0)),INDEX('Active Clients'!$D$5:$D$504,MATCH(C565,'Active Clients'!$A$5:$A$504,0)))&amp;"","ID not found"))</f>
        <v/>
      </c>
      <c r="E565" s="51" t="str">
        <f aca="false">IF(C565="","",IFERROR(IF(LEFT(C565,1)="L",INDEX('Leads Pipeline'!$D$5:$D$1004,MATCH(C565,'Leads Pipeline'!$A$5:$A$1004,0)),INDEX('Active Clients'!$B$5:$B$504,MATCH(C565,'Active Clients'!$A$5:$A$504,0)))&amp;"","ID not found"))</f>
        <v/>
      </c>
      <c r="F565" s="51" t="str">
        <f aca="false">IF(C565="","",IFERROR(IF(LEFT(C565,1)="L",INDEX('Leads Pipeline'!$E$5:$E$1004,MATCH(C565,'Leads Pipeline'!$A$5:$A$1004,0)),INDEX('Active Clients'!$C$5:$C$504,MATCH(C565,'Active Clients'!$A$5:$A$504,0)))&amp;"","ID not found"))</f>
        <v/>
      </c>
      <c r="G565" s="16"/>
      <c r="H565" s="16"/>
      <c r="I565" s="16"/>
      <c r="J565" s="16"/>
      <c r="K565" s="16"/>
      <c r="L565" s="18"/>
    </row>
    <row r="566" customFormat="false" ht="15" hidden="false" customHeight="false" outlineLevel="0" collapsed="false">
      <c r="A566" s="18"/>
      <c r="B566" s="16"/>
      <c r="C566" s="16"/>
      <c r="D566" s="51" t="str">
        <f aca="false">IF(C566="","",IFERROR(IF(LEFT(C566,1)="L",INDEX('Leads Pipeline'!$F$5:$F$1004,MATCH(C566,'Leads Pipeline'!$A$5:$A$1004,0)),INDEX('Active Clients'!$D$5:$D$504,MATCH(C566,'Active Clients'!$A$5:$A$504,0)))&amp;"","ID not found"))</f>
        <v/>
      </c>
      <c r="E566" s="51" t="str">
        <f aca="false">IF(C566="","",IFERROR(IF(LEFT(C566,1)="L",INDEX('Leads Pipeline'!$D$5:$D$1004,MATCH(C566,'Leads Pipeline'!$A$5:$A$1004,0)),INDEX('Active Clients'!$B$5:$B$504,MATCH(C566,'Active Clients'!$A$5:$A$504,0)))&amp;"","ID not found"))</f>
        <v/>
      </c>
      <c r="F566" s="51" t="str">
        <f aca="false">IF(C566="","",IFERROR(IF(LEFT(C566,1)="L",INDEX('Leads Pipeline'!$E$5:$E$1004,MATCH(C566,'Leads Pipeline'!$A$5:$A$1004,0)),INDEX('Active Clients'!$C$5:$C$504,MATCH(C566,'Active Clients'!$A$5:$A$504,0)))&amp;"","ID not found"))</f>
        <v/>
      </c>
      <c r="G566" s="16"/>
      <c r="H566" s="16"/>
      <c r="I566" s="16"/>
      <c r="J566" s="16"/>
      <c r="K566" s="16"/>
      <c r="L566" s="18"/>
    </row>
    <row r="567" customFormat="false" ht="15" hidden="false" customHeight="false" outlineLevel="0" collapsed="false">
      <c r="A567" s="18"/>
      <c r="B567" s="16"/>
      <c r="C567" s="16"/>
      <c r="D567" s="51" t="str">
        <f aca="false">IF(C567="","",IFERROR(IF(LEFT(C567,1)="L",INDEX('Leads Pipeline'!$F$5:$F$1004,MATCH(C567,'Leads Pipeline'!$A$5:$A$1004,0)),INDEX('Active Clients'!$D$5:$D$504,MATCH(C567,'Active Clients'!$A$5:$A$504,0)))&amp;"","ID not found"))</f>
        <v/>
      </c>
      <c r="E567" s="51" t="str">
        <f aca="false">IF(C567="","",IFERROR(IF(LEFT(C567,1)="L",INDEX('Leads Pipeline'!$D$5:$D$1004,MATCH(C567,'Leads Pipeline'!$A$5:$A$1004,0)),INDEX('Active Clients'!$B$5:$B$504,MATCH(C567,'Active Clients'!$A$5:$A$504,0)))&amp;"","ID not found"))</f>
        <v/>
      </c>
      <c r="F567" s="51" t="str">
        <f aca="false">IF(C567="","",IFERROR(IF(LEFT(C567,1)="L",INDEX('Leads Pipeline'!$E$5:$E$1004,MATCH(C567,'Leads Pipeline'!$A$5:$A$1004,0)),INDEX('Active Clients'!$C$5:$C$504,MATCH(C567,'Active Clients'!$A$5:$A$504,0)))&amp;"","ID not found"))</f>
        <v/>
      </c>
      <c r="G567" s="16"/>
      <c r="H567" s="16"/>
      <c r="I567" s="16"/>
      <c r="J567" s="16"/>
      <c r="K567" s="16"/>
      <c r="L567" s="18"/>
    </row>
    <row r="568" customFormat="false" ht="15" hidden="false" customHeight="false" outlineLevel="0" collapsed="false">
      <c r="A568" s="18"/>
      <c r="B568" s="16"/>
      <c r="C568" s="16"/>
      <c r="D568" s="51" t="str">
        <f aca="false">IF(C568="","",IFERROR(IF(LEFT(C568,1)="L",INDEX('Leads Pipeline'!$F$5:$F$1004,MATCH(C568,'Leads Pipeline'!$A$5:$A$1004,0)),INDEX('Active Clients'!$D$5:$D$504,MATCH(C568,'Active Clients'!$A$5:$A$504,0)))&amp;"","ID not found"))</f>
        <v/>
      </c>
      <c r="E568" s="51" t="str">
        <f aca="false">IF(C568="","",IFERROR(IF(LEFT(C568,1)="L",INDEX('Leads Pipeline'!$D$5:$D$1004,MATCH(C568,'Leads Pipeline'!$A$5:$A$1004,0)),INDEX('Active Clients'!$B$5:$B$504,MATCH(C568,'Active Clients'!$A$5:$A$504,0)))&amp;"","ID not found"))</f>
        <v/>
      </c>
      <c r="F568" s="51" t="str">
        <f aca="false">IF(C568="","",IFERROR(IF(LEFT(C568,1)="L",INDEX('Leads Pipeline'!$E$5:$E$1004,MATCH(C568,'Leads Pipeline'!$A$5:$A$1004,0)),INDEX('Active Clients'!$C$5:$C$504,MATCH(C568,'Active Clients'!$A$5:$A$504,0)))&amp;"","ID not found"))</f>
        <v/>
      </c>
      <c r="G568" s="16"/>
      <c r="H568" s="16"/>
      <c r="I568" s="16"/>
      <c r="J568" s="16"/>
      <c r="K568" s="16"/>
      <c r="L568" s="18"/>
    </row>
    <row r="569" customFormat="false" ht="15" hidden="false" customHeight="false" outlineLevel="0" collapsed="false">
      <c r="A569" s="18"/>
      <c r="B569" s="16"/>
      <c r="C569" s="16"/>
      <c r="D569" s="51" t="str">
        <f aca="false">IF(C569="","",IFERROR(IF(LEFT(C569,1)="L",INDEX('Leads Pipeline'!$F$5:$F$1004,MATCH(C569,'Leads Pipeline'!$A$5:$A$1004,0)),INDEX('Active Clients'!$D$5:$D$504,MATCH(C569,'Active Clients'!$A$5:$A$504,0)))&amp;"","ID not found"))</f>
        <v/>
      </c>
      <c r="E569" s="51" t="str">
        <f aca="false">IF(C569="","",IFERROR(IF(LEFT(C569,1)="L",INDEX('Leads Pipeline'!$D$5:$D$1004,MATCH(C569,'Leads Pipeline'!$A$5:$A$1004,0)),INDEX('Active Clients'!$B$5:$B$504,MATCH(C569,'Active Clients'!$A$5:$A$504,0)))&amp;"","ID not found"))</f>
        <v/>
      </c>
      <c r="F569" s="51" t="str">
        <f aca="false">IF(C569="","",IFERROR(IF(LEFT(C569,1)="L",INDEX('Leads Pipeline'!$E$5:$E$1004,MATCH(C569,'Leads Pipeline'!$A$5:$A$1004,0)),INDEX('Active Clients'!$C$5:$C$504,MATCH(C569,'Active Clients'!$A$5:$A$504,0)))&amp;"","ID not found"))</f>
        <v/>
      </c>
      <c r="G569" s="16"/>
      <c r="H569" s="16"/>
      <c r="I569" s="16"/>
      <c r="J569" s="16"/>
      <c r="K569" s="16"/>
      <c r="L569" s="18"/>
    </row>
    <row r="570" customFormat="false" ht="15" hidden="false" customHeight="false" outlineLevel="0" collapsed="false">
      <c r="A570" s="18"/>
      <c r="B570" s="16"/>
      <c r="C570" s="16"/>
      <c r="D570" s="51" t="str">
        <f aca="false">IF(C570="","",IFERROR(IF(LEFT(C570,1)="L",INDEX('Leads Pipeline'!$F$5:$F$1004,MATCH(C570,'Leads Pipeline'!$A$5:$A$1004,0)),INDEX('Active Clients'!$D$5:$D$504,MATCH(C570,'Active Clients'!$A$5:$A$504,0)))&amp;"","ID not found"))</f>
        <v/>
      </c>
      <c r="E570" s="51" t="str">
        <f aca="false">IF(C570="","",IFERROR(IF(LEFT(C570,1)="L",INDEX('Leads Pipeline'!$D$5:$D$1004,MATCH(C570,'Leads Pipeline'!$A$5:$A$1004,0)),INDEX('Active Clients'!$B$5:$B$504,MATCH(C570,'Active Clients'!$A$5:$A$504,0)))&amp;"","ID not found"))</f>
        <v/>
      </c>
      <c r="F570" s="51" t="str">
        <f aca="false">IF(C570="","",IFERROR(IF(LEFT(C570,1)="L",INDEX('Leads Pipeline'!$E$5:$E$1004,MATCH(C570,'Leads Pipeline'!$A$5:$A$1004,0)),INDEX('Active Clients'!$C$5:$C$504,MATCH(C570,'Active Clients'!$A$5:$A$504,0)))&amp;"","ID not found"))</f>
        <v/>
      </c>
      <c r="G570" s="16"/>
      <c r="H570" s="16"/>
      <c r="I570" s="16"/>
      <c r="J570" s="16"/>
      <c r="K570" s="16"/>
      <c r="L570" s="18"/>
    </row>
    <row r="571" customFormat="false" ht="15" hidden="false" customHeight="false" outlineLevel="0" collapsed="false">
      <c r="A571" s="18"/>
      <c r="B571" s="16"/>
      <c r="C571" s="16"/>
      <c r="D571" s="51" t="str">
        <f aca="false">IF(C571="","",IFERROR(IF(LEFT(C571,1)="L",INDEX('Leads Pipeline'!$F$5:$F$1004,MATCH(C571,'Leads Pipeline'!$A$5:$A$1004,0)),INDEX('Active Clients'!$D$5:$D$504,MATCH(C571,'Active Clients'!$A$5:$A$504,0)))&amp;"","ID not found"))</f>
        <v/>
      </c>
      <c r="E571" s="51" t="str">
        <f aca="false">IF(C571="","",IFERROR(IF(LEFT(C571,1)="L",INDEX('Leads Pipeline'!$D$5:$D$1004,MATCH(C571,'Leads Pipeline'!$A$5:$A$1004,0)),INDEX('Active Clients'!$B$5:$B$504,MATCH(C571,'Active Clients'!$A$5:$A$504,0)))&amp;"","ID not found"))</f>
        <v/>
      </c>
      <c r="F571" s="51" t="str">
        <f aca="false">IF(C571="","",IFERROR(IF(LEFT(C571,1)="L",INDEX('Leads Pipeline'!$E$5:$E$1004,MATCH(C571,'Leads Pipeline'!$A$5:$A$1004,0)),INDEX('Active Clients'!$C$5:$C$504,MATCH(C571,'Active Clients'!$A$5:$A$504,0)))&amp;"","ID not found"))</f>
        <v/>
      </c>
      <c r="G571" s="16"/>
      <c r="H571" s="16"/>
      <c r="I571" s="16"/>
      <c r="J571" s="16"/>
      <c r="K571" s="16"/>
      <c r="L571" s="18"/>
    </row>
    <row r="572" customFormat="false" ht="15" hidden="false" customHeight="false" outlineLevel="0" collapsed="false">
      <c r="A572" s="18"/>
      <c r="B572" s="16"/>
      <c r="C572" s="16"/>
      <c r="D572" s="51" t="str">
        <f aca="false">IF(C572="","",IFERROR(IF(LEFT(C572,1)="L",INDEX('Leads Pipeline'!$F$5:$F$1004,MATCH(C572,'Leads Pipeline'!$A$5:$A$1004,0)),INDEX('Active Clients'!$D$5:$D$504,MATCH(C572,'Active Clients'!$A$5:$A$504,0)))&amp;"","ID not found"))</f>
        <v/>
      </c>
      <c r="E572" s="51" t="str">
        <f aca="false">IF(C572="","",IFERROR(IF(LEFT(C572,1)="L",INDEX('Leads Pipeline'!$D$5:$D$1004,MATCH(C572,'Leads Pipeline'!$A$5:$A$1004,0)),INDEX('Active Clients'!$B$5:$B$504,MATCH(C572,'Active Clients'!$A$5:$A$504,0)))&amp;"","ID not found"))</f>
        <v/>
      </c>
      <c r="F572" s="51" t="str">
        <f aca="false">IF(C572="","",IFERROR(IF(LEFT(C572,1)="L",INDEX('Leads Pipeline'!$E$5:$E$1004,MATCH(C572,'Leads Pipeline'!$A$5:$A$1004,0)),INDEX('Active Clients'!$C$5:$C$504,MATCH(C572,'Active Clients'!$A$5:$A$504,0)))&amp;"","ID not found"))</f>
        <v/>
      </c>
      <c r="G572" s="16"/>
      <c r="H572" s="16"/>
      <c r="I572" s="16"/>
      <c r="J572" s="16"/>
      <c r="K572" s="16"/>
      <c r="L572" s="18"/>
    </row>
    <row r="573" customFormat="false" ht="15" hidden="false" customHeight="false" outlineLevel="0" collapsed="false">
      <c r="A573" s="18"/>
      <c r="B573" s="16"/>
      <c r="C573" s="16"/>
      <c r="D573" s="51" t="str">
        <f aca="false">IF(C573="","",IFERROR(IF(LEFT(C573,1)="L",INDEX('Leads Pipeline'!$F$5:$F$1004,MATCH(C573,'Leads Pipeline'!$A$5:$A$1004,0)),INDEX('Active Clients'!$D$5:$D$504,MATCH(C573,'Active Clients'!$A$5:$A$504,0)))&amp;"","ID not found"))</f>
        <v/>
      </c>
      <c r="E573" s="51" t="str">
        <f aca="false">IF(C573="","",IFERROR(IF(LEFT(C573,1)="L",INDEX('Leads Pipeline'!$D$5:$D$1004,MATCH(C573,'Leads Pipeline'!$A$5:$A$1004,0)),INDEX('Active Clients'!$B$5:$B$504,MATCH(C573,'Active Clients'!$A$5:$A$504,0)))&amp;"","ID not found"))</f>
        <v/>
      </c>
      <c r="F573" s="51" t="str">
        <f aca="false">IF(C573="","",IFERROR(IF(LEFT(C573,1)="L",INDEX('Leads Pipeline'!$E$5:$E$1004,MATCH(C573,'Leads Pipeline'!$A$5:$A$1004,0)),INDEX('Active Clients'!$C$5:$C$504,MATCH(C573,'Active Clients'!$A$5:$A$504,0)))&amp;"","ID not found"))</f>
        <v/>
      </c>
      <c r="G573" s="16"/>
      <c r="H573" s="16"/>
      <c r="I573" s="16"/>
      <c r="J573" s="16"/>
      <c r="K573" s="16"/>
      <c r="L573" s="18"/>
    </row>
    <row r="574" customFormat="false" ht="15" hidden="false" customHeight="false" outlineLevel="0" collapsed="false">
      <c r="A574" s="18"/>
      <c r="B574" s="16"/>
      <c r="C574" s="16"/>
      <c r="D574" s="51" t="str">
        <f aca="false">IF(C574="","",IFERROR(IF(LEFT(C574,1)="L",INDEX('Leads Pipeline'!$F$5:$F$1004,MATCH(C574,'Leads Pipeline'!$A$5:$A$1004,0)),INDEX('Active Clients'!$D$5:$D$504,MATCH(C574,'Active Clients'!$A$5:$A$504,0)))&amp;"","ID not found"))</f>
        <v/>
      </c>
      <c r="E574" s="51" t="str">
        <f aca="false">IF(C574="","",IFERROR(IF(LEFT(C574,1)="L",INDEX('Leads Pipeline'!$D$5:$D$1004,MATCH(C574,'Leads Pipeline'!$A$5:$A$1004,0)),INDEX('Active Clients'!$B$5:$B$504,MATCH(C574,'Active Clients'!$A$5:$A$504,0)))&amp;"","ID not found"))</f>
        <v/>
      </c>
      <c r="F574" s="51" t="str">
        <f aca="false">IF(C574="","",IFERROR(IF(LEFT(C574,1)="L",INDEX('Leads Pipeline'!$E$5:$E$1004,MATCH(C574,'Leads Pipeline'!$A$5:$A$1004,0)),INDEX('Active Clients'!$C$5:$C$504,MATCH(C574,'Active Clients'!$A$5:$A$504,0)))&amp;"","ID not found"))</f>
        <v/>
      </c>
      <c r="G574" s="16"/>
      <c r="H574" s="16"/>
      <c r="I574" s="16"/>
      <c r="J574" s="16"/>
      <c r="K574" s="16"/>
      <c r="L574" s="18"/>
    </row>
    <row r="575" customFormat="false" ht="15" hidden="false" customHeight="false" outlineLevel="0" collapsed="false">
      <c r="A575" s="18"/>
      <c r="B575" s="16"/>
      <c r="C575" s="16"/>
      <c r="D575" s="51" t="str">
        <f aca="false">IF(C575="","",IFERROR(IF(LEFT(C575,1)="L",INDEX('Leads Pipeline'!$F$5:$F$1004,MATCH(C575,'Leads Pipeline'!$A$5:$A$1004,0)),INDEX('Active Clients'!$D$5:$D$504,MATCH(C575,'Active Clients'!$A$5:$A$504,0)))&amp;"","ID not found"))</f>
        <v/>
      </c>
      <c r="E575" s="51" t="str">
        <f aca="false">IF(C575="","",IFERROR(IF(LEFT(C575,1)="L",INDEX('Leads Pipeline'!$D$5:$D$1004,MATCH(C575,'Leads Pipeline'!$A$5:$A$1004,0)),INDEX('Active Clients'!$B$5:$B$504,MATCH(C575,'Active Clients'!$A$5:$A$504,0)))&amp;"","ID not found"))</f>
        <v/>
      </c>
      <c r="F575" s="51" t="str">
        <f aca="false">IF(C575="","",IFERROR(IF(LEFT(C575,1)="L",INDEX('Leads Pipeline'!$E$5:$E$1004,MATCH(C575,'Leads Pipeline'!$A$5:$A$1004,0)),INDEX('Active Clients'!$C$5:$C$504,MATCH(C575,'Active Clients'!$A$5:$A$504,0)))&amp;"","ID not found"))</f>
        <v/>
      </c>
      <c r="G575" s="16"/>
      <c r="H575" s="16"/>
      <c r="I575" s="16"/>
      <c r="J575" s="16"/>
      <c r="K575" s="16"/>
      <c r="L575" s="18"/>
    </row>
    <row r="576" customFormat="false" ht="15" hidden="false" customHeight="false" outlineLevel="0" collapsed="false">
      <c r="A576" s="18"/>
      <c r="B576" s="16"/>
      <c r="C576" s="16"/>
      <c r="D576" s="51" t="str">
        <f aca="false">IF(C576="","",IFERROR(IF(LEFT(C576,1)="L",INDEX('Leads Pipeline'!$F$5:$F$1004,MATCH(C576,'Leads Pipeline'!$A$5:$A$1004,0)),INDEX('Active Clients'!$D$5:$D$504,MATCH(C576,'Active Clients'!$A$5:$A$504,0)))&amp;"","ID not found"))</f>
        <v/>
      </c>
      <c r="E576" s="51" t="str">
        <f aca="false">IF(C576="","",IFERROR(IF(LEFT(C576,1)="L",INDEX('Leads Pipeline'!$D$5:$D$1004,MATCH(C576,'Leads Pipeline'!$A$5:$A$1004,0)),INDEX('Active Clients'!$B$5:$B$504,MATCH(C576,'Active Clients'!$A$5:$A$504,0)))&amp;"","ID not found"))</f>
        <v/>
      </c>
      <c r="F576" s="51" t="str">
        <f aca="false">IF(C576="","",IFERROR(IF(LEFT(C576,1)="L",INDEX('Leads Pipeline'!$E$5:$E$1004,MATCH(C576,'Leads Pipeline'!$A$5:$A$1004,0)),INDEX('Active Clients'!$C$5:$C$504,MATCH(C576,'Active Clients'!$A$5:$A$504,0)))&amp;"","ID not found"))</f>
        <v/>
      </c>
      <c r="G576" s="16"/>
      <c r="H576" s="16"/>
      <c r="I576" s="16"/>
      <c r="J576" s="16"/>
      <c r="K576" s="16"/>
      <c r="L576" s="18"/>
    </row>
    <row r="577" customFormat="false" ht="15" hidden="false" customHeight="false" outlineLevel="0" collapsed="false">
      <c r="A577" s="18"/>
      <c r="B577" s="16"/>
      <c r="C577" s="16"/>
      <c r="D577" s="51" t="str">
        <f aca="false">IF(C577="","",IFERROR(IF(LEFT(C577,1)="L",INDEX('Leads Pipeline'!$F$5:$F$1004,MATCH(C577,'Leads Pipeline'!$A$5:$A$1004,0)),INDEX('Active Clients'!$D$5:$D$504,MATCH(C577,'Active Clients'!$A$5:$A$504,0)))&amp;"","ID not found"))</f>
        <v/>
      </c>
      <c r="E577" s="51" t="str">
        <f aca="false">IF(C577="","",IFERROR(IF(LEFT(C577,1)="L",INDEX('Leads Pipeline'!$D$5:$D$1004,MATCH(C577,'Leads Pipeline'!$A$5:$A$1004,0)),INDEX('Active Clients'!$B$5:$B$504,MATCH(C577,'Active Clients'!$A$5:$A$504,0)))&amp;"","ID not found"))</f>
        <v/>
      </c>
      <c r="F577" s="51" t="str">
        <f aca="false">IF(C577="","",IFERROR(IF(LEFT(C577,1)="L",INDEX('Leads Pipeline'!$E$5:$E$1004,MATCH(C577,'Leads Pipeline'!$A$5:$A$1004,0)),INDEX('Active Clients'!$C$5:$C$504,MATCH(C577,'Active Clients'!$A$5:$A$504,0)))&amp;"","ID not found"))</f>
        <v/>
      </c>
      <c r="G577" s="16"/>
      <c r="H577" s="16"/>
      <c r="I577" s="16"/>
      <c r="J577" s="16"/>
      <c r="K577" s="16"/>
      <c r="L577" s="18"/>
    </row>
    <row r="578" customFormat="false" ht="15" hidden="false" customHeight="false" outlineLevel="0" collapsed="false">
      <c r="A578" s="18"/>
      <c r="B578" s="16"/>
      <c r="C578" s="16"/>
      <c r="D578" s="51" t="str">
        <f aca="false">IF(C578="","",IFERROR(IF(LEFT(C578,1)="L",INDEX('Leads Pipeline'!$F$5:$F$1004,MATCH(C578,'Leads Pipeline'!$A$5:$A$1004,0)),INDEX('Active Clients'!$D$5:$D$504,MATCH(C578,'Active Clients'!$A$5:$A$504,0)))&amp;"","ID not found"))</f>
        <v/>
      </c>
      <c r="E578" s="51" t="str">
        <f aca="false">IF(C578="","",IFERROR(IF(LEFT(C578,1)="L",INDEX('Leads Pipeline'!$D$5:$D$1004,MATCH(C578,'Leads Pipeline'!$A$5:$A$1004,0)),INDEX('Active Clients'!$B$5:$B$504,MATCH(C578,'Active Clients'!$A$5:$A$504,0)))&amp;"","ID not found"))</f>
        <v/>
      </c>
      <c r="F578" s="51" t="str">
        <f aca="false">IF(C578="","",IFERROR(IF(LEFT(C578,1)="L",INDEX('Leads Pipeline'!$E$5:$E$1004,MATCH(C578,'Leads Pipeline'!$A$5:$A$1004,0)),INDEX('Active Clients'!$C$5:$C$504,MATCH(C578,'Active Clients'!$A$5:$A$504,0)))&amp;"","ID not found"))</f>
        <v/>
      </c>
      <c r="G578" s="16"/>
      <c r="H578" s="16"/>
      <c r="I578" s="16"/>
      <c r="J578" s="16"/>
      <c r="K578" s="16"/>
      <c r="L578" s="18"/>
    </row>
    <row r="579" customFormat="false" ht="15" hidden="false" customHeight="false" outlineLevel="0" collapsed="false">
      <c r="A579" s="18"/>
      <c r="B579" s="16"/>
      <c r="C579" s="16"/>
      <c r="D579" s="51" t="str">
        <f aca="false">IF(C579="","",IFERROR(IF(LEFT(C579,1)="L",INDEX('Leads Pipeline'!$F$5:$F$1004,MATCH(C579,'Leads Pipeline'!$A$5:$A$1004,0)),INDEX('Active Clients'!$D$5:$D$504,MATCH(C579,'Active Clients'!$A$5:$A$504,0)))&amp;"","ID not found"))</f>
        <v/>
      </c>
      <c r="E579" s="51" t="str">
        <f aca="false">IF(C579="","",IFERROR(IF(LEFT(C579,1)="L",INDEX('Leads Pipeline'!$D$5:$D$1004,MATCH(C579,'Leads Pipeline'!$A$5:$A$1004,0)),INDEX('Active Clients'!$B$5:$B$504,MATCH(C579,'Active Clients'!$A$5:$A$504,0)))&amp;"","ID not found"))</f>
        <v/>
      </c>
      <c r="F579" s="51" t="str">
        <f aca="false">IF(C579="","",IFERROR(IF(LEFT(C579,1)="L",INDEX('Leads Pipeline'!$E$5:$E$1004,MATCH(C579,'Leads Pipeline'!$A$5:$A$1004,0)),INDEX('Active Clients'!$C$5:$C$504,MATCH(C579,'Active Clients'!$A$5:$A$504,0)))&amp;"","ID not found"))</f>
        <v/>
      </c>
      <c r="G579" s="16"/>
      <c r="H579" s="16"/>
      <c r="I579" s="16"/>
      <c r="J579" s="16"/>
      <c r="K579" s="16"/>
      <c r="L579" s="18"/>
    </row>
    <row r="580" customFormat="false" ht="15" hidden="false" customHeight="false" outlineLevel="0" collapsed="false">
      <c r="A580" s="18"/>
      <c r="B580" s="16"/>
      <c r="C580" s="16"/>
      <c r="D580" s="51" t="str">
        <f aca="false">IF(C580="","",IFERROR(IF(LEFT(C580,1)="L",INDEX('Leads Pipeline'!$F$5:$F$1004,MATCH(C580,'Leads Pipeline'!$A$5:$A$1004,0)),INDEX('Active Clients'!$D$5:$D$504,MATCH(C580,'Active Clients'!$A$5:$A$504,0)))&amp;"","ID not found"))</f>
        <v/>
      </c>
      <c r="E580" s="51" t="str">
        <f aca="false">IF(C580="","",IFERROR(IF(LEFT(C580,1)="L",INDEX('Leads Pipeline'!$D$5:$D$1004,MATCH(C580,'Leads Pipeline'!$A$5:$A$1004,0)),INDEX('Active Clients'!$B$5:$B$504,MATCH(C580,'Active Clients'!$A$5:$A$504,0)))&amp;"","ID not found"))</f>
        <v/>
      </c>
      <c r="F580" s="51" t="str">
        <f aca="false">IF(C580="","",IFERROR(IF(LEFT(C580,1)="L",INDEX('Leads Pipeline'!$E$5:$E$1004,MATCH(C580,'Leads Pipeline'!$A$5:$A$1004,0)),INDEX('Active Clients'!$C$5:$C$504,MATCH(C580,'Active Clients'!$A$5:$A$504,0)))&amp;"","ID not found"))</f>
        <v/>
      </c>
      <c r="G580" s="16"/>
      <c r="H580" s="16"/>
      <c r="I580" s="16"/>
      <c r="J580" s="16"/>
      <c r="K580" s="16"/>
      <c r="L580" s="18"/>
    </row>
    <row r="581" customFormat="false" ht="15" hidden="false" customHeight="false" outlineLevel="0" collapsed="false">
      <c r="A581" s="18"/>
      <c r="B581" s="16"/>
      <c r="C581" s="16"/>
      <c r="D581" s="51" t="str">
        <f aca="false">IF(C581="","",IFERROR(IF(LEFT(C581,1)="L",INDEX('Leads Pipeline'!$F$5:$F$1004,MATCH(C581,'Leads Pipeline'!$A$5:$A$1004,0)),INDEX('Active Clients'!$D$5:$D$504,MATCH(C581,'Active Clients'!$A$5:$A$504,0)))&amp;"","ID not found"))</f>
        <v/>
      </c>
      <c r="E581" s="51" t="str">
        <f aca="false">IF(C581="","",IFERROR(IF(LEFT(C581,1)="L",INDEX('Leads Pipeline'!$D$5:$D$1004,MATCH(C581,'Leads Pipeline'!$A$5:$A$1004,0)),INDEX('Active Clients'!$B$5:$B$504,MATCH(C581,'Active Clients'!$A$5:$A$504,0)))&amp;"","ID not found"))</f>
        <v/>
      </c>
      <c r="F581" s="51" t="str">
        <f aca="false">IF(C581="","",IFERROR(IF(LEFT(C581,1)="L",INDEX('Leads Pipeline'!$E$5:$E$1004,MATCH(C581,'Leads Pipeline'!$A$5:$A$1004,0)),INDEX('Active Clients'!$C$5:$C$504,MATCH(C581,'Active Clients'!$A$5:$A$504,0)))&amp;"","ID not found"))</f>
        <v/>
      </c>
      <c r="G581" s="16"/>
      <c r="H581" s="16"/>
      <c r="I581" s="16"/>
      <c r="J581" s="16"/>
      <c r="K581" s="16"/>
      <c r="L581" s="18"/>
    </row>
    <row r="582" customFormat="false" ht="15" hidden="false" customHeight="false" outlineLevel="0" collapsed="false">
      <c r="A582" s="18"/>
      <c r="B582" s="16"/>
      <c r="C582" s="16"/>
      <c r="D582" s="51" t="str">
        <f aca="false">IF(C582="","",IFERROR(IF(LEFT(C582,1)="L",INDEX('Leads Pipeline'!$F$5:$F$1004,MATCH(C582,'Leads Pipeline'!$A$5:$A$1004,0)),INDEX('Active Clients'!$D$5:$D$504,MATCH(C582,'Active Clients'!$A$5:$A$504,0)))&amp;"","ID not found"))</f>
        <v/>
      </c>
      <c r="E582" s="51" t="str">
        <f aca="false">IF(C582="","",IFERROR(IF(LEFT(C582,1)="L",INDEX('Leads Pipeline'!$D$5:$D$1004,MATCH(C582,'Leads Pipeline'!$A$5:$A$1004,0)),INDEX('Active Clients'!$B$5:$B$504,MATCH(C582,'Active Clients'!$A$5:$A$504,0)))&amp;"","ID not found"))</f>
        <v/>
      </c>
      <c r="F582" s="51" t="str">
        <f aca="false">IF(C582="","",IFERROR(IF(LEFT(C582,1)="L",INDEX('Leads Pipeline'!$E$5:$E$1004,MATCH(C582,'Leads Pipeline'!$A$5:$A$1004,0)),INDEX('Active Clients'!$C$5:$C$504,MATCH(C582,'Active Clients'!$A$5:$A$504,0)))&amp;"","ID not found"))</f>
        <v/>
      </c>
      <c r="G582" s="16"/>
      <c r="H582" s="16"/>
      <c r="I582" s="16"/>
      <c r="J582" s="16"/>
      <c r="K582" s="16"/>
      <c r="L582" s="18"/>
    </row>
    <row r="583" customFormat="false" ht="15" hidden="false" customHeight="false" outlineLevel="0" collapsed="false">
      <c r="A583" s="18"/>
      <c r="B583" s="16"/>
      <c r="C583" s="16"/>
      <c r="D583" s="51" t="str">
        <f aca="false">IF(C583="","",IFERROR(IF(LEFT(C583,1)="L",INDEX('Leads Pipeline'!$F$5:$F$1004,MATCH(C583,'Leads Pipeline'!$A$5:$A$1004,0)),INDEX('Active Clients'!$D$5:$D$504,MATCH(C583,'Active Clients'!$A$5:$A$504,0)))&amp;"","ID not found"))</f>
        <v/>
      </c>
      <c r="E583" s="51" t="str">
        <f aca="false">IF(C583="","",IFERROR(IF(LEFT(C583,1)="L",INDEX('Leads Pipeline'!$D$5:$D$1004,MATCH(C583,'Leads Pipeline'!$A$5:$A$1004,0)),INDEX('Active Clients'!$B$5:$B$504,MATCH(C583,'Active Clients'!$A$5:$A$504,0)))&amp;"","ID not found"))</f>
        <v/>
      </c>
      <c r="F583" s="51" t="str">
        <f aca="false">IF(C583="","",IFERROR(IF(LEFT(C583,1)="L",INDEX('Leads Pipeline'!$E$5:$E$1004,MATCH(C583,'Leads Pipeline'!$A$5:$A$1004,0)),INDEX('Active Clients'!$C$5:$C$504,MATCH(C583,'Active Clients'!$A$5:$A$504,0)))&amp;"","ID not found"))</f>
        <v/>
      </c>
      <c r="G583" s="16"/>
      <c r="H583" s="16"/>
      <c r="I583" s="16"/>
      <c r="J583" s="16"/>
      <c r="K583" s="16"/>
      <c r="L583" s="18"/>
    </row>
    <row r="584" customFormat="false" ht="15" hidden="false" customHeight="false" outlineLevel="0" collapsed="false">
      <c r="A584" s="18"/>
      <c r="B584" s="16"/>
      <c r="C584" s="16"/>
      <c r="D584" s="51" t="str">
        <f aca="false">IF(C584="","",IFERROR(IF(LEFT(C584,1)="L",INDEX('Leads Pipeline'!$F$5:$F$1004,MATCH(C584,'Leads Pipeline'!$A$5:$A$1004,0)),INDEX('Active Clients'!$D$5:$D$504,MATCH(C584,'Active Clients'!$A$5:$A$504,0)))&amp;"","ID not found"))</f>
        <v/>
      </c>
      <c r="E584" s="51" t="str">
        <f aca="false">IF(C584="","",IFERROR(IF(LEFT(C584,1)="L",INDEX('Leads Pipeline'!$D$5:$D$1004,MATCH(C584,'Leads Pipeline'!$A$5:$A$1004,0)),INDEX('Active Clients'!$B$5:$B$504,MATCH(C584,'Active Clients'!$A$5:$A$504,0)))&amp;"","ID not found"))</f>
        <v/>
      </c>
      <c r="F584" s="51" t="str">
        <f aca="false">IF(C584="","",IFERROR(IF(LEFT(C584,1)="L",INDEX('Leads Pipeline'!$E$5:$E$1004,MATCH(C584,'Leads Pipeline'!$A$5:$A$1004,0)),INDEX('Active Clients'!$C$5:$C$504,MATCH(C584,'Active Clients'!$A$5:$A$504,0)))&amp;"","ID not found"))</f>
        <v/>
      </c>
      <c r="G584" s="16"/>
      <c r="H584" s="16"/>
      <c r="I584" s="16"/>
      <c r="J584" s="16"/>
      <c r="K584" s="16"/>
      <c r="L584" s="18"/>
    </row>
    <row r="585" customFormat="false" ht="15" hidden="false" customHeight="false" outlineLevel="0" collapsed="false">
      <c r="A585" s="18"/>
      <c r="B585" s="16"/>
      <c r="C585" s="16"/>
      <c r="D585" s="51" t="str">
        <f aca="false">IF(C585="","",IFERROR(IF(LEFT(C585,1)="L",INDEX('Leads Pipeline'!$F$5:$F$1004,MATCH(C585,'Leads Pipeline'!$A$5:$A$1004,0)),INDEX('Active Clients'!$D$5:$D$504,MATCH(C585,'Active Clients'!$A$5:$A$504,0)))&amp;"","ID not found"))</f>
        <v/>
      </c>
      <c r="E585" s="51" t="str">
        <f aca="false">IF(C585="","",IFERROR(IF(LEFT(C585,1)="L",INDEX('Leads Pipeline'!$D$5:$D$1004,MATCH(C585,'Leads Pipeline'!$A$5:$A$1004,0)),INDEX('Active Clients'!$B$5:$B$504,MATCH(C585,'Active Clients'!$A$5:$A$504,0)))&amp;"","ID not found"))</f>
        <v/>
      </c>
      <c r="F585" s="51" t="str">
        <f aca="false">IF(C585="","",IFERROR(IF(LEFT(C585,1)="L",INDEX('Leads Pipeline'!$E$5:$E$1004,MATCH(C585,'Leads Pipeline'!$A$5:$A$1004,0)),INDEX('Active Clients'!$C$5:$C$504,MATCH(C585,'Active Clients'!$A$5:$A$504,0)))&amp;"","ID not found"))</f>
        <v/>
      </c>
      <c r="G585" s="16"/>
      <c r="H585" s="16"/>
      <c r="I585" s="16"/>
      <c r="J585" s="16"/>
      <c r="K585" s="16"/>
      <c r="L585" s="18"/>
    </row>
    <row r="586" customFormat="false" ht="15" hidden="false" customHeight="false" outlineLevel="0" collapsed="false">
      <c r="A586" s="18"/>
      <c r="B586" s="16"/>
      <c r="C586" s="16"/>
      <c r="D586" s="51" t="str">
        <f aca="false">IF(C586="","",IFERROR(IF(LEFT(C586,1)="L",INDEX('Leads Pipeline'!$F$5:$F$1004,MATCH(C586,'Leads Pipeline'!$A$5:$A$1004,0)),INDEX('Active Clients'!$D$5:$D$504,MATCH(C586,'Active Clients'!$A$5:$A$504,0)))&amp;"","ID not found"))</f>
        <v/>
      </c>
      <c r="E586" s="51" t="str">
        <f aca="false">IF(C586="","",IFERROR(IF(LEFT(C586,1)="L",INDEX('Leads Pipeline'!$D$5:$D$1004,MATCH(C586,'Leads Pipeline'!$A$5:$A$1004,0)),INDEX('Active Clients'!$B$5:$B$504,MATCH(C586,'Active Clients'!$A$5:$A$504,0)))&amp;"","ID not found"))</f>
        <v/>
      </c>
      <c r="F586" s="51" t="str">
        <f aca="false">IF(C586="","",IFERROR(IF(LEFT(C586,1)="L",INDEX('Leads Pipeline'!$E$5:$E$1004,MATCH(C586,'Leads Pipeline'!$A$5:$A$1004,0)),INDEX('Active Clients'!$C$5:$C$504,MATCH(C586,'Active Clients'!$A$5:$A$504,0)))&amp;"","ID not found"))</f>
        <v/>
      </c>
      <c r="G586" s="16"/>
      <c r="H586" s="16"/>
      <c r="I586" s="16"/>
      <c r="J586" s="16"/>
      <c r="K586" s="16"/>
      <c r="L586" s="18"/>
    </row>
    <row r="587" customFormat="false" ht="15" hidden="false" customHeight="false" outlineLevel="0" collapsed="false">
      <c r="A587" s="18"/>
      <c r="B587" s="16"/>
      <c r="C587" s="16"/>
      <c r="D587" s="51" t="str">
        <f aca="false">IF(C587="","",IFERROR(IF(LEFT(C587,1)="L",INDEX('Leads Pipeline'!$F$5:$F$1004,MATCH(C587,'Leads Pipeline'!$A$5:$A$1004,0)),INDEX('Active Clients'!$D$5:$D$504,MATCH(C587,'Active Clients'!$A$5:$A$504,0)))&amp;"","ID not found"))</f>
        <v/>
      </c>
      <c r="E587" s="51" t="str">
        <f aca="false">IF(C587="","",IFERROR(IF(LEFT(C587,1)="L",INDEX('Leads Pipeline'!$D$5:$D$1004,MATCH(C587,'Leads Pipeline'!$A$5:$A$1004,0)),INDEX('Active Clients'!$B$5:$B$504,MATCH(C587,'Active Clients'!$A$5:$A$504,0)))&amp;"","ID not found"))</f>
        <v/>
      </c>
      <c r="F587" s="51" t="str">
        <f aca="false">IF(C587="","",IFERROR(IF(LEFT(C587,1)="L",INDEX('Leads Pipeline'!$E$5:$E$1004,MATCH(C587,'Leads Pipeline'!$A$5:$A$1004,0)),INDEX('Active Clients'!$C$5:$C$504,MATCH(C587,'Active Clients'!$A$5:$A$504,0)))&amp;"","ID not found"))</f>
        <v/>
      </c>
      <c r="G587" s="16"/>
      <c r="H587" s="16"/>
      <c r="I587" s="16"/>
      <c r="J587" s="16"/>
      <c r="K587" s="16"/>
      <c r="L587" s="18"/>
    </row>
    <row r="588" customFormat="false" ht="15" hidden="false" customHeight="false" outlineLevel="0" collapsed="false">
      <c r="A588" s="18"/>
      <c r="B588" s="16"/>
      <c r="C588" s="16"/>
      <c r="D588" s="51" t="str">
        <f aca="false">IF(C588="","",IFERROR(IF(LEFT(C588,1)="L",INDEX('Leads Pipeline'!$F$5:$F$1004,MATCH(C588,'Leads Pipeline'!$A$5:$A$1004,0)),INDEX('Active Clients'!$D$5:$D$504,MATCH(C588,'Active Clients'!$A$5:$A$504,0)))&amp;"","ID not found"))</f>
        <v/>
      </c>
      <c r="E588" s="51" t="str">
        <f aca="false">IF(C588="","",IFERROR(IF(LEFT(C588,1)="L",INDEX('Leads Pipeline'!$D$5:$D$1004,MATCH(C588,'Leads Pipeline'!$A$5:$A$1004,0)),INDEX('Active Clients'!$B$5:$B$504,MATCH(C588,'Active Clients'!$A$5:$A$504,0)))&amp;"","ID not found"))</f>
        <v/>
      </c>
      <c r="F588" s="51" t="str">
        <f aca="false">IF(C588="","",IFERROR(IF(LEFT(C588,1)="L",INDEX('Leads Pipeline'!$E$5:$E$1004,MATCH(C588,'Leads Pipeline'!$A$5:$A$1004,0)),INDEX('Active Clients'!$C$5:$C$504,MATCH(C588,'Active Clients'!$A$5:$A$504,0)))&amp;"","ID not found"))</f>
        <v/>
      </c>
      <c r="G588" s="16"/>
      <c r="H588" s="16"/>
      <c r="I588" s="16"/>
      <c r="J588" s="16"/>
      <c r="K588" s="16"/>
      <c r="L588" s="18"/>
    </row>
    <row r="589" customFormat="false" ht="15" hidden="false" customHeight="false" outlineLevel="0" collapsed="false">
      <c r="A589" s="18"/>
      <c r="B589" s="16"/>
      <c r="C589" s="16"/>
      <c r="D589" s="51" t="str">
        <f aca="false">IF(C589="","",IFERROR(IF(LEFT(C589,1)="L",INDEX('Leads Pipeline'!$F$5:$F$1004,MATCH(C589,'Leads Pipeline'!$A$5:$A$1004,0)),INDEX('Active Clients'!$D$5:$D$504,MATCH(C589,'Active Clients'!$A$5:$A$504,0)))&amp;"","ID not found"))</f>
        <v/>
      </c>
      <c r="E589" s="51" t="str">
        <f aca="false">IF(C589="","",IFERROR(IF(LEFT(C589,1)="L",INDEX('Leads Pipeline'!$D$5:$D$1004,MATCH(C589,'Leads Pipeline'!$A$5:$A$1004,0)),INDEX('Active Clients'!$B$5:$B$504,MATCH(C589,'Active Clients'!$A$5:$A$504,0)))&amp;"","ID not found"))</f>
        <v/>
      </c>
      <c r="F589" s="51" t="str">
        <f aca="false">IF(C589="","",IFERROR(IF(LEFT(C589,1)="L",INDEX('Leads Pipeline'!$E$5:$E$1004,MATCH(C589,'Leads Pipeline'!$A$5:$A$1004,0)),INDEX('Active Clients'!$C$5:$C$504,MATCH(C589,'Active Clients'!$A$5:$A$504,0)))&amp;"","ID not found"))</f>
        <v/>
      </c>
      <c r="G589" s="16"/>
      <c r="H589" s="16"/>
      <c r="I589" s="16"/>
      <c r="J589" s="16"/>
      <c r="K589" s="16"/>
      <c r="L589" s="18"/>
    </row>
    <row r="590" customFormat="false" ht="15" hidden="false" customHeight="false" outlineLevel="0" collapsed="false">
      <c r="A590" s="18"/>
      <c r="B590" s="16"/>
      <c r="C590" s="16"/>
      <c r="D590" s="51" t="str">
        <f aca="false">IF(C590="","",IFERROR(IF(LEFT(C590,1)="L",INDEX('Leads Pipeline'!$F$5:$F$1004,MATCH(C590,'Leads Pipeline'!$A$5:$A$1004,0)),INDEX('Active Clients'!$D$5:$D$504,MATCH(C590,'Active Clients'!$A$5:$A$504,0)))&amp;"","ID not found"))</f>
        <v/>
      </c>
      <c r="E590" s="51" t="str">
        <f aca="false">IF(C590="","",IFERROR(IF(LEFT(C590,1)="L",INDEX('Leads Pipeline'!$D$5:$D$1004,MATCH(C590,'Leads Pipeline'!$A$5:$A$1004,0)),INDEX('Active Clients'!$B$5:$B$504,MATCH(C590,'Active Clients'!$A$5:$A$504,0)))&amp;"","ID not found"))</f>
        <v/>
      </c>
      <c r="F590" s="51" t="str">
        <f aca="false">IF(C590="","",IFERROR(IF(LEFT(C590,1)="L",INDEX('Leads Pipeline'!$E$5:$E$1004,MATCH(C590,'Leads Pipeline'!$A$5:$A$1004,0)),INDEX('Active Clients'!$C$5:$C$504,MATCH(C590,'Active Clients'!$A$5:$A$504,0)))&amp;"","ID not found"))</f>
        <v/>
      </c>
      <c r="G590" s="16"/>
      <c r="H590" s="16"/>
      <c r="I590" s="16"/>
      <c r="J590" s="16"/>
      <c r="K590" s="16"/>
      <c r="L590" s="18"/>
    </row>
    <row r="591" customFormat="false" ht="15" hidden="false" customHeight="false" outlineLevel="0" collapsed="false">
      <c r="A591" s="18"/>
      <c r="B591" s="16"/>
      <c r="C591" s="16"/>
      <c r="D591" s="51" t="str">
        <f aca="false">IF(C591="","",IFERROR(IF(LEFT(C591,1)="L",INDEX('Leads Pipeline'!$F$5:$F$1004,MATCH(C591,'Leads Pipeline'!$A$5:$A$1004,0)),INDEX('Active Clients'!$D$5:$D$504,MATCH(C591,'Active Clients'!$A$5:$A$504,0)))&amp;"","ID not found"))</f>
        <v/>
      </c>
      <c r="E591" s="51" t="str">
        <f aca="false">IF(C591="","",IFERROR(IF(LEFT(C591,1)="L",INDEX('Leads Pipeline'!$D$5:$D$1004,MATCH(C591,'Leads Pipeline'!$A$5:$A$1004,0)),INDEX('Active Clients'!$B$5:$B$504,MATCH(C591,'Active Clients'!$A$5:$A$504,0)))&amp;"","ID not found"))</f>
        <v/>
      </c>
      <c r="F591" s="51" t="str">
        <f aca="false">IF(C591="","",IFERROR(IF(LEFT(C591,1)="L",INDEX('Leads Pipeline'!$E$5:$E$1004,MATCH(C591,'Leads Pipeline'!$A$5:$A$1004,0)),INDEX('Active Clients'!$C$5:$C$504,MATCH(C591,'Active Clients'!$A$5:$A$504,0)))&amp;"","ID not found"))</f>
        <v/>
      </c>
      <c r="G591" s="16"/>
      <c r="H591" s="16"/>
      <c r="I591" s="16"/>
      <c r="J591" s="16"/>
      <c r="K591" s="16"/>
      <c r="L591" s="18"/>
    </row>
    <row r="592" customFormat="false" ht="15" hidden="false" customHeight="false" outlineLevel="0" collapsed="false">
      <c r="A592" s="18"/>
      <c r="B592" s="16"/>
      <c r="C592" s="16"/>
      <c r="D592" s="51" t="str">
        <f aca="false">IF(C592="","",IFERROR(IF(LEFT(C592,1)="L",INDEX('Leads Pipeline'!$F$5:$F$1004,MATCH(C592,'Leads Pipeline'!$A$5:$A$1004,0)),INDEX('Active Clients'!$D$5:$D$504,MATCH(C592,'Active Clients'!$A$5:$A$504,0)))&amp;"","ID not found"))</f>
        <v/>
      </c>
      <c r="E592" s="51" t="str">
        <f aca="false">IF(C592="","",IFERROR(IF(LEFT(C592,1)="L",INDEX('Leads Pipeline'!$D$5:$D$1004,MATCH(C592,'Leads Pipeline'!$A$5:$A$1004,0)),INDEX('Active Clients'!$B$5:$B$504,MATCH(C592,'Active Clients'!$A$5:$A$504,0)))&amp;"","ID not found"))</f>
        <v/>
      </c>
      <c r="F592" s="51" t="str">
        <f aca="false">IF(C592="","",IFERROR(IF(LEFT(C592,1)="L",INDEX('Leads Pipeline'!$E$5:$E$1004,MATCH(C592,'Leads Pipeline'!$A$5:$A$1004,0)),INDEX('Active Clients'!$C$5:$C$504,MATCH(C592,'Active Clients'!$A$5:$A$504,0)))&amp;"","ID not found"))</f>
        <v/>
      </c>
      <c r="G592" s="16"/>
      <c r="H592" s="16"/>
      <c r="I592" s="16"/>
      <c r="J592" s="16"/>
      <c r="K592" s="16"/>
      <c r="L592" s="18"/>
    </row>
    <row r="593" customFormat="false" ht="15" hidden="false" customHeight="false" outlineLevel="0" collapsed="false">
      <c r="A593" s="18"/>
      <c r="B593" s="16"/>
      <c r="C593" s="16"/>
      <c r="D593" s="51" t="str">
        <f aca="false">IF(C593="","",IFERROR(IF(LEFT(C593,1)="L",INDEX('Leads Pipeline'!$F$5:$F$1004,MATCH(C593,'Leads Pipeline'!$A$5:$A$1004,0)),INDEX('Active Clients'!$D$5:$D$504,MATCH(C593,'Active Clients'!$A$5:$A$504,0)))&amp;"","ID not found"))</f>
        <v/>
      </c>
      <c r="E593" s="51" t="str">
        <f aca="false">IF(C593="","",IFERROR(IF(LEFT(C593,1)="L",INDEX('Leads Pipeline'!$D$5:$D$1004,MATCH(C593,'Leads Pipeline'!$A$5:$A$1004,0)),INDEX('Active Clients'!$B$5:$B$504,MATCH(C593,'Active Clients'!$A$5:$A$504,0)))&amp;"","ID not found"))</f>
        <v/>
      </c>
      <c r="F593" s="51" t="str">
        <f aca="false">IF(C593="","",IFERROR(IF(LEFT(C593,1)="L",INDEX('Leads Pipeline'!$E$5:$E$1004,MATCH(C593,'Leads Pipeline'!$A$5:$A$1004,0)),INDEX('Active Clients'!$C$5:$C$504,MATCH(C593,'Active Clients'!$A$5:$A$504,0)))&amp;"","ID not found"))</f>
        <v/>
      </c>
      <c r="G593" s="16"/>
      <c r="H593" s="16"/>
      <c r="I593" s="16"/>
      <c r="J593" s="16"/>
      <c r="K593" s="16"/>
      <c r="L593" s="18"/>
    </row>
    <row r="594" customFormat="false" ht="15" hidden="false" customHeight="false" outlineLevel="0" collapsed="false">
      <c r="A594" s="18"/>
      <c r="B594" s="16"/>
      <c r="C594" s="16"/>
      <c r="D594" s="51" t="str">
        <f aca="false">IF(C594="","",IFERROR(IF(LEFT(C594,1)="L",INDEX('Leads Pipeline'!$F$5:$F$1004,MATCH(C594,'Leads Pipeline'!$A$5:$A$1004,0)),INDEX('Active Clients'!$D$5:$D$504,MATCH(C594,'Active Clients'!$A$5:$A$504,0)))&amp;"","ID not found"))</f>
        <v/>
      </c>
      <c r="E594" s="51" t="str">
        <f aca="false">IF(C594="","",IFERROR(IF(LEFT(C594,1)="L",INDEX('Leads Pipeline'!$D$5:$D$1004,MATCH(C594,'Leads Pipeline'!$A$5:$A$1004,0)),INDEX('Active Clients'!$B$5:$B$504,MATCH(C594,'Active Clients'!$A$5:$A$504,0)))&amp;"","ID not found"))</f>
        <v/>
      </c>
      <c r="F594" s="51" t="str">
        <f aca="false">IF(C594="","",IFERROR(IF(LEFT(C594,1)="L",INDEX('Leads Pipeline'!$E$5:$E$1004,MATCH(C594,'Leads Pipeline'!$A$5:$A$1004,0)),INDEX('Active Clients'!$C$5:$C$504,MATCH(C594,'Active Clients'!$A$5:$A$504,0)))&amp;"","ID not found"))</f>
        <v/>
      </c>
      <c r="G594" s="16"/>
      <c r="H594" s="16"/>
      <c r="I594" s="16"/>
      <c r="J594" s="16"/>
      <c r="K594" s="16"/>
      <c r="L594" s="18"/>
    </row>
    <row r="595" customFormat="false" ht="15" hidden="false" customHeight="false" outlineLevel="0" collapsed="false">
      <c r="A595" s="18"/>
      <c r="B595" s="16"/>
      <c r="C595" s="16"/>
      <c r="D595" s="51" t="str">
        <f aca="false">IF(C595="","",IFERROR(IF(LEFT(C595,1)="L",INDEX('Leads Pipeline'!$F$5:$F$1004,MATCH(C595,'Leads Pipeline'!$A$5:$A$1004,0)),INDEX('Active Clients'!$D$5:$D$504,MATCH(C595,'Active Clients'!$A$5:$A$504,0)))&amp;"","ID not found"))</f>
        <v/>
      </c>
      <c r="E595" s="51" t="str">
        <f aca="false">IF(C595="","",IFERROR(IF(LEFT(C595,1)="L",INDEX('Leads Pipeline'!$D$5:$D$1004,MATCH(C595,'Leads Pipeline'!$A$5:$A$1004,0)),INDEX('Active Clients'!$B$5:$B$504,MATCH(C595,'Active Clients'!$A$5:$A$504,0)))&amp;"","ID not found"))</f>
        <v/>
      </c>
      <c r="F595" s="51" t="str">
        <f aca="false">IF(C595="","",IFERROR(IF(LEFT(C595,1)="L",INDEX('Leads Pipeline'!$E$5:$E$1004,MATCH(C595,'Leads Pipeline'!$A$5:$A$1004,0)),INDEX('Active Clients'!$C$5:$C$504,MATCH(C595,'Active Clients'!$A$5:$A$504,0)))&amp;"","ID not found"))</f>
        <v/>
      </c>
      <c r="G595" s="16"/>
      <c r="H595" s="16"/>
      <c r="I595" s="16"/>
      <c r="J595" s="16"/>
      <c r="K595" s="16"/>
      <c r="L595" s="18"/>
    </row>
    <row r="596" customFormat="false" ht="15" hidden="false" customHeight="false" outlineLevel="0" collapsed="false">
      <c r="A596" s="18"/>
      <c r="B596" s="16"/>
      <c r="C596" s="16"/>
      <c r="D596" s="51" t="str">
        <f aca="false">IF(C596="","",IFERROR(IF(LEFT(C596,1)="L",INDEX('Leads Pipeline'!$F$5:$F$1004,MATCH(C596,'Leads Pipeline'!$A$5:$A$1004,0)),INDEX('Active Clients'!$D$5:$D$504,MATCH(C596,'Active Clients'!$A$5:$A$504,0)))&amp;"","ID not found"))</f>
        <v/>
      </c>
      <c r="E596" s="51" t="str">
        <f aca="false">IF(C596="","",IFERROR(IF(LEFT(C596,1)="L",INDEX('Leads Pipeline'!$D$5:$D$1004,MATCH(C596,'Leads Pipeline'!$A$5:$A$1004,0)),INDEX('Active Clients'!$B$5:$B$504,MATCH(C596,'Active Clients'!$A$5:$A$504,0)))&amp;"","ID not found"))</f>
        <v/>
      </c>
      <c r="F596" s="51" t="str">
        <f aca="false">IF(C596="","",IFERROR(IF(LEFT(C596,1)="L",INDEX('Leads Pipeline'!$E$5:$E$1004,MATCH(C596,'Leads Pipeline'!$A$5:$A$1004,0)),INDEX('Active Clients'!$C$5:$C$504,MATCH(C596,'Active Clients'!$A$5:$A$504,0)))&amp;"","ID not found"))</f>
        <v/>
      </c>
      <c r="G596" s="16"/>
      <c r="H596" s="16"/>
      <c r="I596" s="16"/>
      <c r="J596" s="16"/>
      <c r="K596" s="16"/>
      <c r="L596" s="18"/>
    </row>
    <row r="597" customFormat="false" ht="15" hidden="false" customHeight="false" outlineLevel="0" collapsed="false">
      <c r="A597" s="18"/>
      <c r="B597" s="16"/>
      <c r="C597" s="16"/>
      <c r="D597" s="51" t="str">
        <f aca="false">IF(C597="","",IFERROR(IF(LEFT(C597,1)="L",INDEX('Leads Pipeline'!$F$5:$F$1004,MATCH(C597,'Leads Pipeline'!$A$5:$A$1004,0)),INDEX('Active Clients'!$D$5:$D$504,MATCH(C597,'Active Clients'!$A$5:$A$504,0)))&amp;"","ID not found"))</f>
        <v/>
      </c>
      <c r="E597" s="51" t="str">
        <f aca="false">IF(C597="","",IFERROR(IF(LEFT(C597,1)="L",INDEX('Leads Pipeline'!$D$5:$D$1004,MATCH(C597,'Leads Pipeline'!$A$5:$A$1004,0)),INDEX('Active Clients'!$B$5:$B$504,MATCH(C597,'Active Clients'!$A$5:$A$504,0)))&amp;"","ID not found"))</f>
        <v/>
      </c>
      <c r="F597" s="51" t="str">
        <f aca="false">IF(C597="","",IFERROR(IF(LEFT(C597,1)="L",INDEX('Leads Pipeline'!$E$5:$E$1004,MATCH(C597,'Leads Pipeline'!$A$5:$A$1004,0)),INDEX('Active Clients'!$C$5:$C$504,MATCH(C597,'Active Clients'!$A$5:$A$504,0)))&amp;"","ID not found"))</f>
        <v/>
      </c>
      <c r="G597" s="16"/>
      <c r="H597" s="16"/>
      <c r="I597" s="16"/>
      <c r="J597" s="16"/>
      <c r="K597" s="16"/>
      <c r="L597" s="18"/>
    </row>
    <row r="598" customFormat="false" ht="15" hidden="false" customHeight="false" outlineLevel="0" collapsed="false">
      <c r="A598" s="18"/>
      <c r="B598" s="16"/>
      <c r="C598" s="16"/>
      <c r="D598" s="51" t="str">
        <f aca="false">IF(C598="","",IFERROR(IF(LEFT(C598,1)="L",INDEX('Leads Pipeline'!$F$5:$F$1004,MATCH(C598,'Leads Pipeline'!$A$5:$A$1004,0)),INDEX('Active Clients'!$D$5:$D$504,MATCH(C598,'Active Clients'!$A$5:$A$504,0)))&amp;"","ID not found"))</f>
        <v/>
      </c>
      <c r="E598" s="51" t="str">
        <f aca="false">IF(C598="","",IFERROR(IF(LEFT(C598,1)="L",INDEX('Leads Pipeline'!$D$5:$D$1004,MATCH(C598,'Leads Pipeline'!$A$5:$A$1004,0)),INDEX('Active Clients'!$B$5:$B$504,MATCH(C598,'Active Clients'!$A$5:$A$504,0)))&amp;"","ID not found"))</f>
        <v/>
      </c>
      <c r="F598" s="51" t="str">
        <f aca="false">IF(C598="","",IFERROR(IF(LEFT(C598,1)="L",INDEX('Leads Pipeline'!$E$5:$E$1004,MATCH(C598,'Leads Pipeline'!$A$5:$A$1004,0)),INDEX('Active Clients'!$C$5:$C$504,MATCH(C598,'Active Clients'!$A$5:$A$504,0)))&amp;"","ID not found"))</f>
        <v/>
      </c>
      <c r="G598" s="16"/>
      <c r="H598" s="16"/>
      <c r="I598" s="16"/>
      <c r="J598" s="16"/>
      <c r="K598" s="16"/>
      <c r="L598" s="18"/>
    </row>
    <row r="599" customFormat="false" ht="15" hidden="false" customHeight="false" outlineLevel="0" collapsed="false">
      <c r="A599" s="18"/>
      <c r="B599" s="16"/>
      <c r="C599" s="16"/>
      <c r="D599" s="51" t="str">
        <f aca="false">IF(C599="","",IFERROR(IF(LEFT(C599,1)="L",INDEX('Leads Pipeline'!$F$5:$F$1004,MATCH(C599,'Leads Pipeline'!$A$5:$A$1004,0)),INDEX('Active Clients'!$D$5:$D$504,MATCH(C599,'Active Clients'!$A$5:$A$504,0)))&amp;"","ID not found"))</f>
        <v/>
      </c>
      <c r="E599" s="51" t="str">
        <f aca="false">IF(C599="","",IFERROR(IF(LEFT(C599,1)="L",INDEX('Leads Pipeline'!$D$5:$D$1004,MATCH(C599,'Leads Pipeline'!$A$5:$A$1004,0)),INDEX('Active Clients'!$B$5:$B$504,MATCH(C599,'Active Clients'!$A$5:$A$504,0)))&amp;"","ID not found"))</f>
        <v/>
      </c>
      <c r="F599" s="51" t="str">
        <f aca="false">IF(C599="","",IFERROR(IF(LEFT(C599,1)="L",INDEX('Leads Pipeline'!$E$5:$E$1004,MATCH(C599,'Leads Pipeline'!$A$5:$A$1004,0)),INDEX('Active Clients'!$C$5:$C$504,MATCH(C599,'Active Clients'!$A$5:$A$504,0)))&amp;"","ID not found"))</f>
        <v/>
      </c>
      <c r="G599" s="16"/>
      <c r="H599" s="16"/>
      <c r="I599" s="16"/>
      <c r="J599" s="16"/>
      <c r="K599" s="16"/>
      <c r="L599" s="18"/>
    </row>
    <row r="600" customFormat="false" ht="15" hidden="false" customHeight="false" outlineLevel="0" collapsed="false">
      <c r="A600" s="18"/>
      <c r="B600" s="16"/>
      <c r="C600" s="16"/>
      <c r="D600" s="51" t="str">
        <f aca="false">IF(C600="","",IFERROR(IF(LEFT(C600,1)="L",INDEX('Leads Pipeline'!$F$5:$F$1004,MATCH(C600,'Leads Pipeline'!$A$5:$A$1004,0)),INDEX('Active Clients'!$D$5:$D$504,MATCH(C600,'Active Clients'!$A$5:$A$504,0)))&amp;"","ID not found"))</f>
        <v/>
      </c>
      <c r="E600" s="51" t="str">
        <f aca="false">IF(C600="","",IFERROR(IF(LEFT(C600,1)="L",INDEX('Leads Pipeline'!$D$5:$D$1004,MATCH(C600,'Leads Pipeline'!$A$5:$A$1004,0)),INDEX('Active Clients'!$B$5:$B$504,MATCH(C600,'Active Clients'!$A$5:$A$504,0)))&amp;"","ID not found"))</f>
        <v/>
      </c>
      <c r="F600" s="51" t="str">
        <f aca="false">IF(C600="","",IFERROR(IF(LEFT(C600,1)="L",INDEX('Leads Pipeline'!$E$5:$E$1004,MATCH(C600,'Leads Pipeline'!$A$5:$A$1004,0)),INDEX('Active Clients'!$C$5:$C$504,MATCH(C600,'Active Clients'!$A$5:$A$504,0)))&amp;"","ID not found"))</f>
        <v/>
      </c>
      <c r="G600" s="16"/>
      <c r="H600" s="16"/>
      <c r="I600" s="16"/>
      <c r="J600" s="16"/>
      <c r="K600" s="16"/>
      <c r="L600" s="18"/>
    </row>
    <row r="601" customFormat="false" ht="15" hidden="false" customHeight="false" outlineLevel="0" collapsed="false">
      <c r="A601" s="18"/>
      <c r="B601" s="16"/>
      <c r="C601" s="16"/>
      <c r="D601" s="51" t="str">
        <f aca="false">IF(C601="","",IFERROR(IF(LEFT(C601,1)="L",INDEX('Leads Pipeline'!$F$5:$F$1004,MATCH(C601,'Leads Pipeline'!$A$5:$A$1004,0)),INDEX('Active Clients'!$D$5:$D$504,MATCH(C601,'Active Clients'!$A$5:$A$504,0)))&amp;"","ID not found"))</f>
        <v/>
      </c>
      <c r="E601" s="51" t="str">
        <f aca="false">IF(C601="","",IFERROR(IF(LEFT(C601,1)="L",INDEX('Leads Pipeline'!$D$5:$D$1004,MATCH(C601,'Leads Pipeline'!$A$5:$A$1004,0)),INDEX('Active Clients'!$B$5:$B$504,MATCH(C601,'Active Clients'!$A$5:$A$504,0)))&amp;"","ID not found"))</f>
        <v/>
      </c>
      <c r="F601" s="51" t="str">
        <f aca="false">IF(C601="","",IFERROR(IF(LEFT(C601,1)="L",INDEX('Leads Pipeline'!$E$5:$E$1004,MATCH(C601,'Leads Pipeline'!$A$5:$A$1004,0)),INDEX('Active Clients'!$C$5:$C$504,MATCH(C601,'Active Clients'!$A$5:$A$504,0)))&amp;"","ID not found"))</f>
        <v/>
      </c>
      <c r="G601" s="16"/>
      <c r="H601" s="16"/>
      <c r="I601" s="16"/>
      <c r="J601" s="16"/>
      <c r="K601" s="16"/>
      <c r="L601" s="18"/>
    </row>
    <row r="602" customFormat="false" ht="15" hidden="false" customHeight="false" outlineLevel="0" collapsed="false">
      <c r="A602" s="18"/>
      <c r="B602" s="16"/>
      <c r="C602" s="16"/>
      <c r="D602" s="51" t="str">
        <f aca="false">IF(C602="","",IFERROR(IF(LEFT(C602,1)="L",INDEX('Leads Pipeline'!$F$5:$F$1004,MATCH(C602,'Leads Pipeline'!$A$5:$A$1004,0)),INDEX('Active Clients'!$D$5:$D$504,MATCH(C602,'Active Clients'!$A$5:$A$504,0)))&amp;"","ID not found"))</f>
        <v/>
      </c>
      <c r="E602" s="51" t="str">
        <f aca="false">IF(C602="","",IFERROR(IF(LEFT(C602,1)="L",INDEX('Leads Pipeline'!$D$5:$D$1004,MATCH(C602,'Leads Pipeline'!$A$5:$A$1004,0)),INDEX('Active Clients'!$B$5:$B$504,MATCH(C602,'Active Clients'!$A$5:$A$504,0)))&amp;"","ID not found"))</f>
        <v/>
      </c>
      <c r="F602" s="51" t="str">
        <f aca="false">IF(C602="","",IFERROR(IF(LEFT(C602,1)="L",INDEX('Leads Pipeline'!$E$5:$E$1004,MATCH(C602,'Leads Pipeline'!$A$5:$A$1004,0)),INDEX('Active Clients'!$C$5:$C$504,MATCH(C602,'Active Clients'!$A$5:$A$504,0)))&amp;"","ID not found"))</f>
        <v/>
      </c>
      <c r="G602" s="16"/>
      <c r="H602" s="16"/>
      <c r="I602" s="16"/>
      <c r="J602" s="16"/>
      <c r="K602" s="16"/>
      <c r="L602" s="18"/>
    </row>
    <row r="603" customFormat="false" ht="15" hidden="false" customHeight="false" outlineLevel="0" collapsed="false">
      <c r="A603" s="18"/>
      <c r="B603" s="16"/>
      <c r="C603" s="16"/>
      <c r="D603" s="51" t="str">
        <f aca="false">IF(C603="","",IFERROR(IF(LEFT(C603,1)="L",INDEX('Leads Pipeline'!$F$5:$F$1004,MATCH(C603,'Leads Pipeline'!$A$5:$A$1004,0)),INDEX('Active Clients'!$D$5:$D$504,MATCH(C603,'Active Clients'!$A$5:$A$504,0)))&amp;"","ID not found"))</f>
        <v/>
      </c>
      <c r="E603" s="51" t="str">
        <f aca="false">IF(C603="","",IFERROR(IF(LEFT(C603,1)="L",INDEX('Leads Pipeline'!$D$5:$D$1004,MATCH(C603,'Leads Pipeline'!$A$5:$A$1004,0)),INDEX('Active Clients'!$B$5:$B$504,MATCH(C603,'Active Clients'!$A$5:$A$504,0)))&amp;"","ID not found"))</f>
        <v/>
      </c>
      <c r="F603" s="51" t="str">
        <f aca="false">IF(C603="","",IFERROR(IF(LEFT(C603,1)="L",INDEX('Leads Pipeline'!$E$5:$E$1004,MATCH(C603,'Leads Pipeline'!$A$5:$A$1004,0)),INDEX('Active Clients'!$C$5:$C$504,MATCH(C603,'Active Clients'!$A$5:$A$504,0)))&amp;"","ID not found"))</f>
        <v/>
      </c>
      <c r="G603" s="16"/>
      <c r="H603" s="16"/>
      <c r="I603" s="16"/>
      <c r="J603" s="16"/>
      <c r="K603" s="16"/>
      <c r="L603" s="18"/>
    </row>
    <row r="604" customFormat="false" ht="15" hidden="false" customHeight="false" outlineLevel="0" collapsed="false">
      <c r="A604" s="18"/>
      <c r="B604" s="16"/>
      <c r="C604" s="16"/>
      <c r="D604" s="51" t="str">
        <f aca="false">IF(C604="","",IFERROR(IF(LEFT(C604,1)="L",INDEX('Leads Pipeline'!$F$5:$F$1004,MATCH(C604,'Leads Pipeline'!$A$5:$A$1004,0)),INDEX('Active Clients'!$D$5:$D$504,MATCH(C604,'Active Clients'!$A$5:$A$504,0)))&amp;"","ID not found"))</f>
        <v/>
      </c>
      <c r="E604" s="51" t="str">
        <f aca="false">IF(C604="","",IFERROR(IF(LEFT(C604,1)="L",INDEX('Leads Pipeline'!$D$5:$D$1004,MATCH(C604,'Leads Pipeline'!$A$5:$A$1004,0)),INDEX('Active Clients'!$B$5:$B$504,MATCH(C604,'Active Clients'!$A$5:$A$504,0)))&amp;"","ID not found"))</f>
        <v/>
      </c>
      <c r="F604" s="51" t="str">
        <f aca="false">IF(C604="","",IFERROR(IF(LEFT(C604,1)="L",INDEX('Leads Pipeline'!$E$5:$E$1004,MATCH(C604,'Leads Pipeline'!$A$5:$A$1004,0)),INDEX('Active Clients'!$C$5:$C$504,MATCH(C604,'Active Clients'!$A$5:$A$504,0)))&amp;"","ID not found"))</f>
        <v/>
      </c>
      <c r="G604" s="16"/>
      <c r="H604" s="16"/>
      <c r="I604" s="16"/>
      <c r="J604" s="16"/>
      <c r="K604" s="16"/>
      <c r="L604" s="18"/>
    </row>
    <row r="605" customFormat="false" ht="15" hidden="false" customHeight="false" outlineLevel="0" collapsed="false">
      <c r="A605" s="18"/>
      <c r="B605" s="16"/>
      <c r="C605" s="16"/>
      <c r="D605" s="51" t="str">
        <f aca="false">IF(C605="","",IFERROR(IF(LEFT(C605,1)="L",INDEX('Leads Pipeline'!$F$5:$F$1004,MATCH(C605,'Leads Pipeline'!$A$5:$A$1004,0)),INDEX('Active Clients'!$D$5:$D$504,MATCH(C605,'Active Clients'!$A$5:$A$504,0)))&amp;"","ID not found"))</f>
        <v/>
      </c>
      <c r="E605" s="51" t="str">
        <f aca="false">IF(C605="","",IFERROR(IF(LEFT(C605,1)="L",INDEX('Leads Pipeline'!$D$5:$D$1004,MATCH(C605,'Leads Pipeline'!$A$5:$A$1004,0)),INDEX('Active Clients'!$B$5:$B$504,MATCH(C605,'Active Clients'!$A$5:$A$504,0)))&amp;"","ID not found"))</f>
        <v/>
      </c>
      <c r="F605" s="51" t="str">
        <f aca="false">IF(C605="","",IFERROR(IF(LEFT(C605,1)="L",INDEX('Leads Pipeline'!$E$5:$E$1004,MATCH(C605,'Leads Pipeline'!$A$5:$A$1004,0)),INDEX('Active Clients'!$C$5:$C$504,MATCH(C605,'Active Clients'!$A$5:$A$504,0)))&amp;"","ID not found"))</f>
        <v/>
      </c>
      <c r="G605" s="16"/>
      <c r="H605" s="16"/>
      <c r="I605" s="16"/>
      <c r="J605" s="16"/>
      <c r="K605" s="16"/>
      <c r="L605" s="18"/>
    </row>
    <row r="606" customFormat="false" ht="15" hidden="false" customHeight="false" outlineLevel="0" collapsed="false">
      <c r="A606" s="18"/>
      <c r="B606" s="16"/>
      <c r="C606" s="16"/>
      <c r="D606" s="51" t="str">
        <f aca="false">IF(C606="","",IFERROR(IF(LEFT(C606,1)="L",INDEX('Leads Pipeline'!$F$5:$F$1004,MATCH(C606,'Leads Pipeline'!$A$5:$A$1004,0)),INDEX('Active Clients'!$D$5:$D$504,MATCH(C606,'Active Clients'!$A$5:$A$504,0)))&amp;"","ID not found"))</f>
        <v/>
      </c>
      <c r="E606" s="51" t="str">
        <f aca="false">IF(C606="","",IFERROR(IF(LEFT(C606,1)="L",INDEX('Leads Pipeline'!$D$5:$D$1004,MATCH(C606,'Leads Pipeline'!$A$5:$A$1004,0)),INDEX('Active Clients'!$B$5:$B$504,MATCH(C606,'Active Clients'!$A$5:$A$504,0)))&amp;"","ID not found"))</f>
        <v/>
      </c>
      <c r="F606" s="51" t="str">
        <f aca="false">IF(C606="","",IFERROR(IF(LEFT(C606,1)="L",INDEX('Leads Pipeline'!$E$5:$E$1004,MATCH(C606,'Leads Pipeline'!$A$5:$A$1004,0)),INDEX('Active Clients'!$C$5:$C$504,MATCH(C606,'Active Clients'!$A$5:$A$504,0)))&amp;"","ID not found"))</f>
        <v/>
      </c>
      <c r="G606" s="16"/>
      <c r="H606" s="16"/>
      <c r="I606" s="16"/>
      <c r="J606" s="16"/>
      <c r="K606" s="16"/>
      <c r="L606" s="18"/>
    </row>
    <row r="607" customFormat="false" ht="15" hidden="false" customHeight="false" outlineLevel="0" collapsed="false">
      <c r="A607" s="18"/>
      <c r="B607" s="16"/>
      <c r="C607" s="16"/>
      <c r="D607" s="51" t="str">
        <f aca="false">IF(C607="","",IFERROR(IF(LEFT(C607,1)="L",INDEX('Leads Pipeline'!$F$5:$F$1004,MATCH(C607,'Leads Pipeline'!$A$5:$A$1004,0)),INDEX('Active Clients'!$D$5:$D$504,MATCH(C607,'Active Clients'!$A$5:$A$504,0)))&amp;"","ID not found"))</f>
        <v/>
      </c>
      <c r="E607" s="51" t="str">
        <f aca="false">IF(C607="","",IFERROR(IF(LEFT(C607,1)="L",INDEX('Leads Pipeline'!$D$5:$D$1004,MATCH(C607,'Leads Pipeline'!$A$5:$A$1004,0)),INDEX('Active Clients'!$B$5:$B$504,MATCH(C607,'Active Clients'!$A$5:$A$504,0)))&amp;"","ID not found"))</f>
        <v/>
      </c>
      <c r="F607" s="51" t="str">
        <f aca="false">IF(C607="","",IFERROR(IF(LEFT(C607,1)="L",INDEX('Leads Pipeline'!$E$5:$E$1004,MATCH(C607,'Leads Pipeline'!$A$5:$A$1004,0)),INDEX('Active Clients'!$C$5:$C$504,MATCH(C607,'Active Clients'!$A$5:$A$504,0)))&amp;"","ID not found"))</f>
        <v/>
      </c>
      <c r="G607" s="16"/>
      <c r="H607" s="16"/>
      <c r="I607" s="16"/>
      <c r="J607" s="16"/>
      <c r="K607" s="16"/>
      <c r="L607" s="18"/>
    </row>
    <row r="608" customFormat="false" ht="15" hidden="false" customHeight="false" outlineLevel="0" collapsed="false">
      <c r="A608" s="18"/>
      <c r="B608" s="16"/>
      <c r="C608" s="16"/>
      <c r="D608" s="51" t="str">
        <f aca="false">IF(C608="","",IFERROR(IF(LEFT(C608,1)="L",INDEX('Leads Pipeline'!$F$5:$F$1004,MATCH(C608,'Leads Pipeline'!$A$5:$A$1004,0)),INDEX('Active Clients'!$D$5:$D$504,MATCH(C608,'Active Clients'!$A$5:$A$504,0)))&amp;"","ID not found"))</f>
        <v/>
      </c>
      <c r="E608" s="51" t="str">
        <f aca="false">IF(C608="","",IFERROR(IF(LEFT(C608,1)="L",INDEX('Leads Pipeline'!$D$5:$D$1004,MATCH(C608,'Leads Pipeline'!$A$5:$A$1004,0)),INDEX('Active Clients'!$B$5:$B$504,MATCH(C608,'Active Clients'!$A$5:$A$504,0)))&amp;"","ID not found"))</f>
        <v/>
      </c>
      <c r="F608" s="51" t="str">
        <f aca="false">IF(C608="","",IFERROR(IF(LEFT(C608,1)="L",INDEX('Leads Pipeline'!$E$5:$E$1004,MATCH(C608,'Leads Pipeline'!$A$5:$A$1004,0)),INDEX('Active Clients'!$C$5:$C$504,MATCH(C608,'Active Clients'!$A$5:$A$504,0)))&amp;"","ID not found"))</f>
        <v/>
      </c>
      <c r="G608" s="16"/>
      <c r="H608" s="16"/>
      <c r="I608" s="16"/>
      <c r="J608" s="16"/>
      <c r="K608" s="16"/>
      <c r="L608" s="18"/>
    </row>
    <row r="609" customFormat="false" ht="15" hidden="false" customHeight="false" outlineLevel="0" collapsed="false">
      <c r="A609" s="18"/>
      <c r="B609" s="16"/>
      <c r="C609" s="16"/>
      <c r="D609" s="51" t="str">
        <f aca="false">IF(C609="","",IFERROR(IF(LEFT(C609,1)="L",INDEX('Leads Pipeline'!$F$5:$F$1004,MATCH(C609,'Leads Pipeline'!$A$5:$A$1004,0)),INDEX('Active Clients'!$D$5:$D$504,MATCH(C609,'Active Clients'!$A$5:$A$504,0)))&amp;"","ID not found"))</f>
        <v/>
      </c>
      <c r="E609" s="51" t="str">
        <f aca="false">IF(C609="","",IFERROR(IF(LEFT(C609,1)="L",INDEX('Leads Pipeline'!$D$5:$D$1004,MATCH(C609,'Leads Pipeline'!$A$5:$A$1004,0)),INDEX('Active Clients'!$B$5:$B$504,MATCH(C609,'Active Clients'!$A$5:$A$504,0)))&amp;"","ID not found"))</f>
        <v/>
      </c>
      <c r="F609" s="51" t="str">
        <f aca="false">IF(C609="","",IFERROR(IF(LEFT(C609,1)="L",INDEX('Leads Pipeline'!$E$5:$E$1004,MATCH(C609,'Leads Pipeline'!$A$5:$A$1004,0)),INDEX('Active Clients'!$C$5:$C$504,MATCH(C609,'Active Clients'!$A$5:$A$504,0)))&amp;"","ID not found"))</f>
        <v/>
      </c>
      <c r="G609" s="16"/>
      <c r="H609" s="16"/>
      <c r="I609" s="16"/>
      <c r="J609" s="16"/>
      <c r="K609" s="16"/>
      <c r="L609" s="18"/>
    </row>
    <row r="610" customFormat="false" ht="15" hidden="false" customHeight="false" outlineLevel="0" collapsed="false">
      <c r="A610" s="18"/>
      <c r="B610" s="16"/>
      <c r="C610" s="16"/>
      <c r="D610" s="51" t="str">
        <f aca="false">IF(C610="","",IFERROR(IF(LEFT(C610,1)="L",INDEX('Leads Pipeline'!$F$5:$F$1004,MATCH(C610,'Leads Pipeline'!$A$5:$A$1004,0)),INDEX('Active Clients'!$D$5:$D$504,MATCH(C610,'Active Clients'!$A$5:$A$504,0)))&amp;"","ID not found"))</f>
        <v/>
      </c>
      <c r="E610" s="51" t="str">
        <f aca="false">IF(C610="","",IFERROR(IF(LEFT(C610,1)="L",INDEX('Leads Pipeline'!$D$5:$D$1004,MATCH(C610,'Leads Pipeline'!$A$5:$A$1004,0)),INDEX('Active Clients'!$B$5:$B$504,MATCH(C610,'Active Clients'!$A$5:$A$504,0)))&amp;"","ID not found"))</f>
        <v/>
      </c>
      <c r="F610" s="51" t="str">
        <f aca="false">IF(C610="","",IFERROR(IF(LEFT(C610,1)="L",INDEX('Leads Pipeline'!$E$5:$E$1004,MATCH(C610,'Leads Pipeline'!$A$5:$A$1004,0)),INDEX('Active Clients'!$C$5:$C$504,MATCH(C610,'Active Clients'!$A$5:$A$504,0)))&amp;"","ID not found"))</f>
        <v/>
      </c>
      <c r="G610" s="16"/>
      <c r="H610" s="16"/>
      <c r="I610" s="16"/>
      <c r="J610" s="16"/>
      <c r="K610" s="16"/>
      <c r="L610" s="18"/>
    </row>
    <row r="611" customFormat="false" ht="15" hidden="false" customHeight="false" outlineLevel="0" collapsed="false">
      <c r="A611" s="18"/>
      <c r="B611" s="16"/>
      <c r="C611" s="16"/>
      <c r="D611" s="51" t="str">
        <f aca="false">IF(C611="","",IFERROR(IF(LEFT(C611,1)="L",INDEX('Leads Pipeline'!$F$5:$F$1004,MATCH(C611,'Leads Pipeline'!$A$5:$A$1004,0)),INDEX('Active Clients'!$D$5:$D$504,MATCH(C611,'Active Clients'!$A$5:$A$504,0)))&amp;"","ID not found"))</f>
        <v/>
      </c>
      <c r="E611" s="51" t="str">
        <f aca="false">IF(C611="","",IFERROR(IF(LEFT(C611,1)="L",INDEX('Leads Pipeline'!$D$5:$D$1004,MATCH(C611,'Leads Pipeline'!$A$5:$A$1004,0)),INDEX('Active Clients'!$B$5:$B$504,MATCH(C611,'Active Clients'!$A$5:$A$504,0)))&amp;"","ID not found"))</f>
        <v/>
      </c>
      <c r="F611" s="51" t="str">
        <f aca="false">IF(C611="","",IFERROR(IF(LEFT(C611,1)="L",INDEX('Leads Pipeline'!$E$5:$E$1004,MATCH(C611,'Leads Pipeline'!$A$5:$A$1004,0)),INDEX('Active Clients'!$C$5:$C$504,MATCH(C611,'Active Clients'!$A$5:$A$504,0)))&amp;"","ID not found"))</f>
        <v/>
      </c>
      <c r="G611" s="16"/>
      <c r="H611" s="16"/>
      <c r="I611" s="16"/>
      <c r="J611" s="16"/>
      <c r="K611" s="16"/>
      <c r="L611" s="18"/>
    </row>
    <row r="612" customFormat="false" ht="15" hidden="false" customHeight="false" outlineLevel="0" collapsed="false">
      <c r="A612" s="18"/>
      <c r="B612" s="16"/>
      <c r="C612" s="16"/>
      <c r="D612" s="51" t="str">
        <f aca="false">IF(C612="","",IFERROR(IF(LEFT(C612,1)="L",INDEX('Leads Pipeline'!$F$5:$F$1004,MATCH(C612,'Leads Pipeline'!$A$5:$A$1004,0)),INDEX('Active Clients'!$D$5:$D$504,MATCH(C612,'Active Clients'!$A$5:$A$504,0)))&amp;"","ID not found"))</f>
        <v/>
      </c>
      <c r="E612" s="51" t="str">
        <f aca="false">IF(C612="","",IFERROR(IF(LEFT(C612,1)="L",INDEX('Leads Pipeline'!$D$5:$D$1004,MATCH(C612,'Leads Pipeline'!$A$5:$A$1004,0)),INDEX('Active Clients'!$B$5:$B$504,MATCH(C612,'Active Clients'!$A$5:$A$504,0)))&amp;"","ID not found"))</f>
        <v/>
      </c>
      <c r="F612" s="51" t="str">
        <f aca="false">IF(C612="","",IFERROR(IF(LEFT(C612,1)="L",INDEX('Leads Pipeline'!$E$5:$E$1004,MATCH(C612,'Leads Pipeline'!$A$5:$A$1004,0)),INDEX('Active Clients'!$C$5:$C$504,MATCH(C612,'Active Clients'!$A$5:$A$504,0)))&amp;"","ID not found"))</f>
        <v/>
      </c>
      <c r="G612" s="16"/>
      <c r="H612" s="16"/>
      <c r="I612" s="16"/>
      <c r="J612" s="16"/>
      <c r="K612" s="16"/>
      <c r="L612" s="18"/>
    </row>
    <row r="613" customFormat="false" ht="15" hidden="false" customHeight="false" outlineLevel="0" collapsed="false">
      <c r="A613" s="18"/>
      <c r="B613" s="16"/>
      <c r="C613" s="16"/>
      <c r="D613" s="51" t="str">
        <f aca="false">IF(C613="","",IFERROR(IF(LEFT(C613,1)="L",INDEX('Leads Pipeline'!$F$5:$F$1004,MATCH(C613,'Leads Pipeline'!$A$5:$A$1004,0)),INDEX('Active Clients'!$D$5:$D$504,MATCH(C613,'Active Clients'!$A$5:$A$504,0)))&amp;"","ID not found"))</f>
        <v/>
      </c>
      <c r="E613" s="51" t="str">
        <f aca="false">IF(C613="","",IFERROR(IF(LEFT(C613,1)="L",INDEX('Leads Pipeline'!$D$5:$D$1004,MATCH(C613,'Leads Pipeline'!$A$5:$A$1004,0)),INDEX('Active Clients'!$B$5:$B$504,MATCH(C613,'Active Clients'!$A$5:$A$504,0)))&amp;"","ID not found"))</f>
        <v/>
      </c>
      <c r="F613" s="51" t="str">
        <f aca="false">IF(C613="","",IFERROR(IF(LEFT(C613,1)="L",INDEX('Leads Pipeline'!$E$5:$E$1004,MATCH(C613,'Leads Pipeline'!$A$5:$A$1004,0)),INDEX('Active Clients'!$C$5:$C$504,MATCH(C613,'Active Clients'!$A$5:$A$504,0)))&amp;"","ID not found"))</f>
        <v/>
      </c>
      <c r="G613" s="16"/>
      <c r="H613" s="16"/>
      <c r="I613" s="16"/>
      <c r="J613" s="16"/>
      <c r="K613" s="16"/>
      <c r="L613" s="18"/>
    </row>
    <row r="614" customFormat="false" ht="15" hidden="false" customHeight="false" outlineLevel="0" collapsed="false">
      <c r="A614" s="18"/>
      <c r="B614" s="16"/>
      <c r="C614" s="16"/>
      <c r="D614" s="51" t="str">
        <f aca="false">IF(C614="","",IFERROR(IF(LEFT(C614,1)="L",INDEX('Leads Pipeline'!$F$5:$F$1004,MATCH(C614,'Leads Pipeline'!$A$5:$A$1004,0)),INDEX('Active Clients'!$D$5:$D$504,MATCH(C614,'Active Clients'!$A$5:$A$504,0)))&amp;"","ID not found"))</f>
        <v/>
      </c>
      <c r="E614" s="51" t="str">
        <f aca="false">IF(C614="","",IFERROR(IF(LEFT(C614,1)="L",INDEX('Leads Pipeline'!$D$5:$D$1004,MATCH(C614,'Leads Pipeline'!$A$5:$A$1004,0)),INDEX('Active Clients'!$B$5:$B$504,MATCH(C614,'Active Clients'!$A$5:$A$504,0)))&amp;"","ID not found"))</f>
        <v/>
      </c>
      <c r="F614" s="51" t="str">
        <f aca="false">IF(C614="","",IFERROR(IF(LEFT(C614,1)="L",INDEX('Leads Pipeline'!$E$5:$E$1004,MATCH(C614,'Leads Pipeline'!$A$5:$A$1004,0)),INDEX('Active Clients'!$C$5:$C$504,MATCH(C614,'Active Clients'!$A$5:$A$504,0)))&amp;"","ID not found"))</f>
        <v/>
      </c>
      <c r="G614" s="16"/>
      <c r="H614" s="16"/>
      <c r="I614" s="16"/>
      <c r="J614" s="16"/>
      <c r="K614" s="16"/>
      <c r="L614" s="18"/>
    </row>
    <row r="615" customFormat="false" ht="15" hidden="false" customHeight="false" outlineLevel="0" collapsed="false">
      <c r="A615" s="18"/>
      <c r="B615" s="16"/>
      <c r="C615" s="16"/>
      <c r="D615" s="51" t="str">
        <f aca="false">IF(C615="","",IFERROR(IF(LEFT(C615,1)="L",INDEX('Leads Pipeline'!$F$5:$F$1004,MATCH(C615,'Leads Pipeline'!$A$5:$A$1004,0)),INDEX('Active Clients'!$D$5:$D$504,MATCH(C615,'Active Clients'!$A$5:$A$504,0)))&amp;"","ID not found"))</f>
        <v/>
      </c>
      <c r="E615" s="51" t="str">
        <f aca="false">IF(C615="","",IFERROR(IF(LEFT(C615,1)="L",INDEX('Leads Pipeline'!$D$5:$D$1004,MATCH(C615,'Leads Pipeline'!$A$5:$A$1004,0)),INDEX('Active Clients'!$B$5:$B$504,MATCH(C615,'Active Clients'!$A$5:$A$504,0)))&amp;"","ID not found"))</f>
        <v/>
      </c>
      <c r="F615" s="51" t="str">
        <f aca="false">IF(C615="","",IFERROR(IF(LEFT(C615,1)="L",INDEX('Leads Pipeline'!$E$5:$E$1004,MATCH(C615,'Leads Pipeline'!$A$5:$A$1004,0)),INDEX('Active Clients'!$C$5:$C$504,MATCH(C615,'Active Clients'!$A$5:$A$504,0)))&amp;"","ID not found"))</f>
        <v/>
      </c>
      <c r="G615" s="16"/>
      <c r="H615" s="16"/>
      <c r="I615" s="16"/>
      <c r="J615" s="16"/>
      <c r="K615" s="16"/>
      <c r="L615" s="18"/>
    </row>
    <row r="616" customFormat="false" ht="15" hidden="false" customHeight="false" outlineLevel="0" collapsed="false">
      <c r="A616" s="18"/>
      <c r="B616" s="16"/>
      <c r="C616" s="16"/>
      <c r="D616" s="51" t="str">
        <f aca="false">IF(C616="","",IFERROR(IF(LEFT(C616,1)="L",INDEX('Leads Pipeline'!$F$5:$F$1004,MATCH(C616,'Leads Pipeline'!$A$5:$A$1004,0)),INDEX('Active Clients'!$D$5:$D$504,MATCH(C616,'Active Clients'!$A$5:$A$504,0)))&amp;"","ID not found"))</f>
        <v/>
      </c>
      <c r="E616" s="51" t="str">
        <f aca="false">IF(C616="","",IFERROR(IF(LEFT(C616,1)="L",INDEX('Leads Pipeline'!$D$5:$D$1004,MATCH(C616,'Leads Pipeline'!$A$5:$A$1004,0)),INDEX('Active Clients'!$B$5:$B$504,MATCH(C616,'Active Clients'!$A$5:$A$504,0)))&amp;"","ID not found"))</f>
        <v/>
      </c>
      <c r="F616" s="51" t="str">
        <f aca="false">IF(C616="","",IFERROR(IF(LEFT(C616,1)="L",INDEX('Leads Pipeline'!$E$5:$E$1004,MATCH(C616,'Leads Pipeline'!$A$5:$A$1004,0)),INDEX('Active Clients'!$C$5:$C$504,MATCH(C616,'Active Clients'!$A$5:$A$504,0)))&amp;"","ID not found"))</f>
        <v/>
      </c>
      <c r="G616" s="16"/>
      <c r="H616" s="16"/>
      <c r="I616" s="16"/>
      <c r="J616" s="16"/>
      <c r="K616" s="16"/>
      <c r="L616" s="18"/>
    </row>
    <row r="617" customFormat="false" ht="15" hidden="false" customHeight="false" outlineLevel="0" collapsed="false">
      <c r="A617" s="18"/>
      <c r="B617" s="16"/>
      <c r="C617" s="16"/>
      <c r="D617" s="51" t="str">
        <f aca="false">IF(C617="","",IFERROR(IF(LEFT(C617,1)="L",INDEX('Leads Pipeline'!$F$5:$F$1004,MATCH(C617,'Leads Pipeline'!$A$5:$A$1004,0)),INDEX('Active Clients'!$D$5:$D$504,MATCH(C617,'Active Clients'!$A$5:$A$504,0)))&amp;"","ID not found"))</f>
        <v/>
      </c>
      <c r="E617" s="51" t="str">
        <f aca="false">IF(C617="","",IFERROR(IF(LEFT(C617,1)="L",INDEX('Leads Pipeline'!$D$5:$D$1004,MATCH(C617,'Leads Pipeline'!$A$5:$A$1004,0)),INDEX('Active Clients'!$B$5:$B$504,MATCH(C617,'Active Clients'!$A$5:$A$504,0)))&amp;"","ID not found"))</f>
        <v/>
      </c>
      <c r="F617" s="51" t="str">
        <f aca="false">IF(C617="","",IFERROR(IF(LEFT(C617,1)="L",INDEX('Leads Pipeline'!$E$5:$E$1004,MATCH(C617,'Leads Pipeline'!$A$5:$A$1004,0)),INDEX('Active Clients'!$C$5:$C$504,MATCH(C617,'Active Clients'!$A$5:$A$504,0)))&amp;"","ID not found"))</f>
        <v/>
      </c>
      <c r="G617" s="16"/>
      <c r="H617" s="16"/>
      <c r="I617" s="16"/>
      <c r="J617" s="16"/>
      <c r="K617" s="16"/>
      <c r="L617" s="18"/>
    </row>
    <row r="618" customFormat="false" ht="15" hidden="false" customHeight="false" outlineLevel="0" collapsed="false">
      <c r="A618" s="18"/>
      <c r="B618" s="16"/>
      <c r="C618" s="16"/>
      <c r="D618" s="51" t="str">
        <f aca="false">IF(C618="","",IFERROR(IF(LEFT(C618,1)="L",INDEX('Leads Pipeline'!$F$5:$F$1004,MATCH(C618,'Leads Pipeline'!$A$5:$A$1004,0)),INDEX('Active Clients'!$D$5:$D$504,MATCH(C618,'Active Clients'!$A$5:$A$504,0)))&amp;"","ID not found"))</f>
        <v/>
      </c>
      <c r="E618" s="51" t="str">
        <f aca="false">IF(C618="","",IFERROR(IF(LEFT(C618,1)="L",INDEX('Leads Pipeline'!$D$5:$D$1004,MATCH(C618,'Leads Pipeline'!$A$5:$A$1004,0)),INDEX('Active Clients'!$B$5:$B$504,MATCH(C618,'Active Clients'!$A$5:$A$504,0)))&amp;"","ID not found"))</f>
        <v/>
      </c>
      <c r="F618" s="51" t="str">
        <f aca="false">IF(C618="","",IFERROR(IF(LEFT(C618,1)="L",INDEX('Leads Pipeline'!$E$5:$E$1004,MATCH(C618,'Leads Pipeline'!$A$5:$A$1004,0)),INDEX('Active Clients'!$C$5:$C$504,MATCH(C618,'Active Clients'!$A$5:$A$504,0)))&amp;"","ID not found"))</f>
        <v/>
      </c>
      <c r="G618" s="16"/>
      <c r="H618" s="16"/>
      <c r="I618" s="16"/>
      <c r="J618" s="16"/>
      <c r="K618" s="16"/>
      <c r="L618" s="18"/>
    </row>
    <row r="619" customFormat="false" ht="15" hidden="false" customHeight="false" outlineLevel="0" collapsed="false">
      <c r="A619" s="18"/>
      <c r="B619" s="16"/>
      <c r="C619" s="16"/>
      <c r="D619" s="51" t="str">
        <f aca="false">IF(C619="","",IFERROR(IF(LEFT(C619,1)="L",INDEX('Leads Pipeline'!$F$5:$F$1004,MATCH(C619,'Leads Pipeline'!$A$5:$A$1004,0)),INDEX('Active Clients'!$D$5:$D$504,MATCH(C619,'Active Clients'!$A$5:$A$504,0)))&amp;"","ID not found"))</f>
        <v/>
      </c>
      <c r="E619" s="51" t="str">
        <f aca="false">IF(C619="","",IFERROR(IF(LEFT(C619,1)="L",INDEX('Leads Pipeline'!$D$5:$D$1004,MATCH(C619,'Leads Pipeline'!$A$5:$A$1004,0)),INDEX('Active Clients'!$B$5:$B$504,MATCH(C619,'Active Clients'!$A$5:$A$504,0)))&amp;"","ID not found"))</f>
        <v/>
      </c>
      <c r="F619" s="51" t="str">
        <f aca="false">IF(C619="","",IFERROR(IF(LEFT(C619,1)="L",INDEX('Leads Pipeline'!$E$5:$E$1004,MATCH(C619,'Leads Pipeline'!$A$5:$A$1004,0)),INDEX('Active Clients'!$C$5:$C$504,MATCH(C619,'Active Clients'!$A$5:$A$504,0)))&amp;"","ID not found"))</f>
        <v/>
      </c>
      <c r="G619" s="16"/>
      <c r="H619" s="16"/>
      <c r="I619" s="16"/>
      <c r="J619" s="16"/>
      <c r="K619" s="16"/>
      <c r="L619" s="18"/>
    </row>
    <row r="620" customFormat="false" ht="15" hidden="false" customHeight="false" outlineLevel="0" collapsed="false">
      <c r="A620" s="18"/>
      <c r="B620" s="16"/>
      <c r="C620" s="16"/>
      <c r="D620" s="51" t="str">
        <f aca="false">IF(C620="","",IFERROR(IF(LEFT(C620,1)="L",INDEX('Leads Pipeline'!$F$5:$F$1004,MATCH(C620,'Leads Pipeline'!$A$5:$A$1004,0)),INDEX('Active Clients'!$D$5:$D$504,MATCH(C620,'Active Clients'!$A$5:$A$504,0)))&amp;"","ID not found"))</f>
        <v/>
      </c>
      <c r="E620" s="51" t="str">
        <f aca="false">IF(C620="","",IFERROR(IF(LEFT(C620,1)="L",INDEX('Leads Pipeline'!$D$5:$D$1004,MATCH(C620,'Leads Pipeline'!$A$5:$A$1004,0)),INDEX('Active Clients'!$B$5:$B$504,MATCH(C620,'Active Clients'!$A$5:$A$504,0)))&amp;"","ID not found"))</f>
        <v/>
      </c>
      <c r="F620" s="51" t="str">
        <f aca="false">IF(C620="","",IFERROR(IF(LEFT(C620,1)="L",INDEX('Leads Pipeline'!$E$5:$E$1004,MATCH(C620,'Leads Pipeline'!$A$5:$A$1004,0)),INDEX('Active Clients'!$C$5:$C$504,MATCH(C620,'Active Clients'!$A$5:$A$504,0)))&amp;"","ID not found"))</f>
        <v/>
      </c>
      <c r="G620" s="16"/>
      <c r="H620" s="16"/>
      <c r="I620" s="16"/>
      <c r="J620" s="16"/>
      <c r="K620" s="16"/>
      <c r="L620" s="18"/>
    </row>
    <row r="621" customFormat="false" ht="15" hidden="false" customHeight="false" outlineLevel="0" collapsed="false">
      <c r="A621" s="18"/>
      <c r="B621" s="16"/>
      <c r="C621" s="16"/>
      <c r="D621" s="51" t="str">
        <f aca="false">IF(C621="","",IFERROR(IF(LEFT(C621,1)="L",INDEX('Leads Pipeline'!$F$5:$F$1004,MATCH(C621,'Leads Pipeline'!$A$5:$A$1004,0)),INDEX('Active Clients'!$D$5:$D$504,MATCH(C621,'Active Clients'!$A$5:$A$504,0)))&amp;"","ID not found"))</f>
        <v/>
      </c>
      <c r="E621" s="51" t="str">
        <f aca="false">IF(C621="","",IFERROR(IF(LEFT(C621,1)="L",INDEX('Leads Pipeline'!$D$5:$D$1004,MATCH(C621,'Leads Pipeline'!$A$5:$A$1004,0)),INDEX('Active Clients'!$B$5:$B$504,MATCH(C621,'Active Clients'!$A$5:$A$504,0)))&amp;"","ID not found"))</f>
        <v/>
      </c>
      <c r="F621" s="51" t="str">
        <f aca="false">IF(C621="","",IFERROR(IF(LEFT(C621,1)="L",INDEX('Leads Pipeline'!$E$5:$E$1004,MATCH(C621,'Leads Pipeline'!$A$5:$A$1004,0)),INDEX('Active Clients'!$C$5:$C$504,MATCH(C621,'Active Clients'!$A$5:$A$504,0)))&amp;"","ID not found"))</f>
        <v/>
      </c>
      <c r="G621" s="16"/>
      <c r="H621" s="16"/>
      <c r="I621" s="16"/>
      <c r="J621" s="16"/>
      <c r="K621" s="16"/>
      <c r="L621" s="18"/>
    </row>
    <row r="622" customFormat="false" ht="15" hidden="false" customHeight="false" outlineLevel="0" collapsed="false">
      <c r="A622" s="18"/>
      <c r="B622" s="16"/>
      <c r="C622" s="16"/>
      <c r="D622" s="51" t="str">
        <f aca="false">IF(C622="","",IFERROR(IF(LEFT(C622,1)="L",INDEX('Leads Pipeline'!$F$5:$F$1004,MATCH(C622,'Leads Pipeline'!$A$5:$A$1004,0)),INDEX('Active Clients'!$D$5:$D$504,MATCH(C622,'Active Clients'!$A$5:$A$504,0)))&amp;"","ID not found"))</f>
        <v/>
      </c>
      <c r="E622" s="51" t="str">
        <f aca="false">IF(C622="","",IFERROR(IF(LEFT(C622,1)="L",INDEX('Leads Pipeline'!$D$5:$D$1004,MATCH(C622,'Leads Pipeline'!$A$5:$A$1004,0)),INDEX('Active Clients'!$B$5:$B$504,MATCH(C622,'Active Clients'!$A$5:$A$504,0)))&amp;"","ID not found"))</f>
        <v/>
      </c>
      <c r="F622" s="51" t="str">
        <f aca="false">IF(C622="","",IFERROR(IF(LEFT(C622,1)="L",INDEX('Leads Pipeline'!$E$5:$E$1004,MATCH(C622,'Leads Pipeline'!$A$5:$A$1004,0)),INDEX('Active Clients'!$C$5:$C$504,MATCH(C622,'Active Clients'!$A$5:$A$504,0)))&amp;"","ID not found"))</f>
        <v/>
      </c>
      <c r="G622" s="16"/>
      <c r="H622" s="16"/>
      <c r="I622" s="16"/>
      <c r="J622" s="16"/>
      <c r="K622" s="16"/>
      <c r="L622" s="18"/>
    </row>
    <row r="623" customFormat="false" ht="15" hidden="false" customHeight="false" outlineLevel="0" collapsed="false">
      <c r="A623" s="18"/>
      <c r="B623" s="16"/>
      <c r="C623" s="16"/>
      <c r="D623" s="51" t="str">
        <f aca="false">IF(C623="","",IFERROR(IF(LEFT(C623,1)="L",INDEX('Leads Pipeline'!$F$5:$F$1004,MATCH(C623,'Leads Pipeline'!$A$5:$A$1004,0)),INDEX('Active Clients'!$D$5:$D$504,MATCH(C623,'Active Clients'!$A$5:$A$504,0)))&amp;"","ID not found"))</f>
        <v/>
      </c>
      <c r="E623" s="51" t="str">
        <f aca="false">IF(C623="","",IFERROR(IF(LEFT(C623,1)="L",INDEX('Leads Pipeline'!$D$5:$D$1004,MATCH(C623,'Leads Pipeline'!$A$5:$A$1004,0)),INDEX('Active Clients'!$B$5:$B$504,MATCH(C623,'Active Clients'!$A$5:$A$504,0)))&amp;"","ID not found"))</f>
        <v/>
      </c>
      <c r="F623" s="51" t="str">
        <f aca="false">IF(C623="","",IFERROR(IF(LEFT(C623,1)="L",INDEX('Leads Pipeline'!$E$5:$E$1004,MATCH(C623,'Leads Pipeline'!$A$5:$A$1004,0)),INDEX('Active Clients'!$C$5:$C$504,MATCH(C623,'Active Clients'!$A$5:$A$504,0)))&amp;"","ID not found"))</f>
        <v/>
      </c>
      <c r="G623" s="16"/>
      <c r="H623" s="16"/>
      <c r="I623" s="16"/>
      <c r="J623" s="16"/>
      <c r="K623" s="16"/>
      <c r="L623" s="18"/>
    </row>
    <row r="624" customFormat="false" ht="15" hidden="false" customHeight="false" outlineLevel="0" collapsed="false">
      <c r="A624" s="18"/>
      <c r="B624" s="16"/>
      <c r="C624" s="16"/>
      <c r="D624" s="51" t="str">
        <f aca="false">IF(C624="","",IFERROR(IF(LEFT(C624,1)="L",INDEX('Leads Pipeline'!$F$5:$F$1004,MATCH(C624,'Leads Pipeline'!$A$5:$A$1004,0)),INDEX('Active Clients'!$D$5:$D$504,MATCH(C624,'Active Clients'!$A$5:$A$504,0)))&amp;"","ID not found"))</f>
        <v/>
      </c>
      <c r="E624" s="51" t="str">
        <f aca="false">IF(C624="","",IFERROR(IF(LEFT(C624,1)="L",INDEX('Leads Pipeline'!$D$5:$D$1004,MATCH(C624,'Leads Pipeline'!$A$5:$A$1004,0)),INDEX('Active Clients'!$B$5:$B$504,MATCH(C624,'Active Clients'!$A$5:$A$504,0)))&amp;"","ID not found"))</f>
        <v/>
      </c>
      <c r="F624" s="51" t="str">
        <f aca="false">IF(C624="","",IFERROR(IF(LEFT(C624,1)="L",INDEX('Leads Pipeline'!$E$5:$E$1004,MATCH(C624,'Leads Pipeline'!$A$5:$A$1004,0)),INDEX('Active Clients'!$C$5:$C$504,MATCH(C624,'Active Clients'!$A$5:$A$504,0)))&amp;"","ID not found"))</f>
        <v/>
      </c>
      <c r="G624" s="16"/>
      <c r="H624" s="16"/>
      <c r="I624" s="16"/>
      <c r="J624" s="16"/>
      <c r="K624" s="16"/>
      <c r="L624" s="18"/>
    </row>
    <row r="625" customFormat="false" ht="15" hidden="false" customHeight="false" outlineLevel="0" collapsed="false">
      <c r="A625" s="18"/>
      <c r="B625" s="16"/>
      <c r="C625" s="16"/>
      <c r="D625" s="51" t="str">
        <f aca="false">IF(C625="","",IFERROR(IF(LEFT(C625,1)="L",INDEX('Leads Pipeline'!$F$5:$F$1004,MATCH(C625,'Leads Pipeline'!$A$5:$A$1004,0)),INDEX('Active Clients'!$D$5:$D$504,MATCH(C625,'Active Clients'!$A$5:$A$504,0)))&amp;"","ID not found"))</f>
        <v/>
      </c>
      <c r="E625" s="51" t="str">
        <f aca="false">IF(C625="","",IFERROR(IF(LEFT(C625,1)="L",INDEX('Leads Pipeline'!$D$5:$D$1004,MATCH(C625,'Leads Pipeline'!$A$5:$A$1004,0)),INDEX('Active Clients'!$B$5:$B$504,MATCH(C625,'Active Clients'!$A$5:$A$504,0)))&amp;"","ID not found"))</f>
        <v/>
      </c>
      <c r="F625" s="51" t="str">
        <f aca="false">IF(C625="","",IFERROR(IF(LEFT(C625,1)="L",INDEX('Leads Pipeline'!$E$5:$E$1004,MATCH(C625,'Leads Pipeline'!$A$5:$A$1004,0)),INDEX('Active Clients'!$C$5:$C$504,MATCH(C625,'Active Clients'!$A$5:$A$504,0)))&amp;"","ID not found"))</f>
        <v/>
      </c>
      <c r="G625" s="16"/>
      <c r="H625" s="16"/>
      <c r="I625" s="16"/>
      <c r="J625" s="16"/>
      <c r="K625" s="16"/>
      <c r="L625" s="18"/>
    </row>
    <row r="626" customFormat="false" ht="15" hidden="false" customHeight="false" outlineLevel="0" collapsed="false">
      <c r="A626" s="18"/>
      <c r="B626" s="16"/>
      <c r="C626" s="16"/>
      <c r="D626" s="51" t="str">
        <f aca="false">IF(C626="","",IFERROR(IF(LEFT(C626,1)="L",INDEX('Leads Pipeline'!$F$5:$F$1004,MATCH(C626,'Leads Pipeline'!$A$5:$A$1004,0)),INDEX('Active Clients'!$D$5:$D$504,MATCH(C626,'Active Clients'!$A$5:$A$504,0)))&amp;"","ID not found"))</f>
        <v/>
      </c>
      <c r="E626" s="51" t="str">
        <f aca="false">IF(C626="","",IFERROR(IF(LEFT(C626,1)="L",INDEX('Leads Pipeline'!$D$5:$D$1004,MATCH(C626,'Leads Pipeline'!$A$5:$A$1004,0)),INDEX('Active Clients'!$B$5:$B$504,MATCH(C626,'Active Clients'!$A$5:$A$504,0)))&amp;"","ID not found"))</f>
        <v/>
      </c>
      <c r="F626" s="51" t="str">
        <f aca="false">IF(C626="","",IFERROR(IF(LEFT(C626,1)="L",INDEX('Leads Pipeline'!$E$5:$E$1004,MATCH(C626,'Leads Pipeline'!$A$5:$A$1004,0)),INDEX('Active Clients'!$C$5:$C$504,MATCH(C626,'Active Clients'!$A$5:$A$504,0)))&amp;"","ID not found"))</f>
        <v/>
      </c>
      <c r="G626" s="16"/>
      <c r="H626" s="16"/>
      <c r="I626" s="16"/>
      <c r="J626" s="16"/>
      <c r="K626" s="16"/>
      <c r="L626" s="18"/>
    </row>
    <row r="627" customFormat="false" ht="15" hidden="false" customHeight="false" outlineLevel="0" collapsed="false">
      <c r="A627" s="18"/>
      <c r="B627" s="16"/>
      <c r="C627" s="16"/>
      <c r="D627" s="51" t="str">
        <f aca="false">IF(C627="","",IFERROR(IF(LEFT(C627,1)="L",INDEX('Leads Pipeline'!$F$5:$F$1004,MATCH(C627,'Leads Pipeline'!$A$5:$A$1004,0)),INDEX('Active Clients'!$D$5:$D$504,MATCH(C627,'Active Clients'!$A$5:$A$504,0)))&amp;"","ID not found"))</f>
        <v/>
      </c>
      <c r="E627" s="51" t="str">
        <f aca="false">IF(C627="","",IFERROR(IF(LEFT(C627,1)="L",INDEX('Leads Pipeline'!$D$5:$D$1004,MATCH(C627,'Leads Pipeline'!$A$5:$A$1004,0)),INDEX('Active Clients'!$B$5:$B$504,MATCH(C627,'Active Clients'!$A$5:$A$504,0)))&amp;"","ID not found"))</f>
        <v/>
      </c>
      <c r="F627" s="51" t="str">
        <f aca="false">IF(C627="","",IFERROR(IF(LEFT(C627,1)="L",INDEX('Leads Pipeline'!$E$5:$E$1004,MATCH(C627,'Leads Pipeline'!$A$5:$A$1004,0)),INDEX('Active Clients'!$C$5:$C$504,MATCH(C627,'Active Clients'!$A$5:$A$504,0)))&amp;"","ID not found"))</f>
        <v/>
      </c>
      <c r="G627" s="16"/>
      <c r="H627" s="16"/>
      <c r="I627" s="16"/>
      <c r="J627" s="16"/>
      <c r="K627" s="16"/>
      <c r="L627" s="18"/>
    </row>
    <row r="628" customFormat="false" ht="15" hidden="false" customHeight="false" outlineLevel="0" collapsed="false">
      <c r="A628" s="18"/>
      <c r="B628" s="16"/>
      <c r="C628" s="16"/>
      <c r="D628" s="51" t="str">
        <f aca="false">IF(C628="","",IFERROR(IF(LEFT(C628,1)="L",INDEX('Leads Pipeline'!$F$5:$F$1004,MATCH(C628,'Leads Pipeline'!$A$5:$A$1004,0)),INDEX('Active Clients'!$D$5:$D$504,MATCH(C628,'Active Clients'!$A$5:$A$504,0)))&amp;"","ID not found"))</f>
        <v/>
      </c>
      <c r="E628" s="51" t="str">
        <f aca="false">IF(C628="","",IFERROR(IF(LEFT(C628,1)="L",INDEX('Leads Pipeline'!$D$5:$D$1004,MATCH(C628,'Leads Pipeline'!$A$5:$A$1004,0)),INDEX('Active Clients'!$B$5:$B$504,MATCH(C628,'Active Clients'!$A$5:$A$504,0)))&amp;"","ID not found"))</f>
        <v/>
      </c>
      <c r="F628" s="51" t="str">
        <f aca="false">IF(C628="","",IFERROR(IF(LEFT(C628,1)="L",INDEX('Leads Pipeline'!$E$5:$E$1004,MATCH(C628,'Leads Pipeline'!$A$5:$A$1004,0)),INDEX('Active Clients'!$C$5:$C$504,MATCH(C628,'Active Clients'!$A$5:$A$504,0)))&amp;"","ID not found"))</f>
        <v/>
      </c>
      <c r="G628" s="16"/>
      <c r="H628" s="16"/>
      <c r="I628" s="16"/>
      <c r="J628" s="16"/>
      <c r="K628" s="16"/>
      <c r="L628" s="18"/>
    </row>
    <row r="629" customFormat="false" ht="15" hidden="false" customHeight="false" outlineLevel="0" collapsed="false">
      <c r="A629" s="18"/>
      <c r="B629" s="16"/>
      <c r="C629" s="16"/>
      <c r="D629" s="51" t="str">
        <f aca="false">IF(C629="","",IFERROR(IF(LEFT(C629,1)="L",INDEX('Leads Pipeline'!$F$5:$F$1004,MATCH(C629,'Leads Pipeline'!$A$5:$A$1004,0)),INDEX('Active Clients'!$D$5:$D$504,MATCH(C629,'Active Clients'!$A$5:$A$504,0)))&amp;"","ID not found"))</f>
        <v/>
      </c>
      <c r="E629" s="51" t="str">
        <f aca="false">IF(C629="","",IFERROR(IF(LEFT(C629,1)="L",INDEX('Leads Pipeline'!$D$5:$D$1004,MATCH(C629,'Leads Pipeline'!$A$5:$A$1004,0)),INDEX('Active Clients'!$B$5:$B$504,MATCH(C629,'Active Clients'!$A$5:$A$504,0)))&amp;"","ID not found"))</f>
        <v/>
      </c>
      <c r="F629" s="51" t="str">
        <f aca="false">IF(C629="","",IFERROR(IF(LEFT(C629,1)="L",INDEX('Leads Pipeline'!$E$5:$E$1004,MATCH(C629,'Leads Pipeline'!$A$5:$A$1004,0)),INDEX('Active Clients'!$C$5:$C$504,MATCH(C629,'Active Clients'!$A$5:$A$504,0)))&amp;"","ID not found"))</f>
        <v/>
      </c>
      <c r="G629" s="16"/>
      <c r="H629" s="16"/>
      <c r="I629" s="16"/>
      <c r="J629" s="16"/>
      <c r="K629" s="16"/>
      <c r="L629" s="18"/>
    </row>
    <row r="630" customFormat="false" ht="15" hidden="false" customHeight="false" outlineLevel="0" collapsed="false">
      <c r="A630" s="18"/>
      <c r="B630" s="16"/>
      <c r="C630" s="16"/>
      <c r="D630" s="51" t="str">
        <f aca="false">IF(C630="","",IFERROR(IF(LEFT(C630,1)="L",INDEX('Leads Pipeline'!$F$5:$F$1004,MATCH(C630,'Leads Pipeline'!$A$5:$A$1004,0)),INDEX('Active Clients'!$D$5:$D$504,MATCH(C630,'Active Clients'!$A$5:$A$504,0)))&amp;"","ID not found"))</f>
        <v/>
      </c>
      <c r="E630" s="51" t="str">
        <f aca="false">IF(C630="","",IFERROR(IF(LEFT(C630,1)="L",INDEX('Leads Pipeline'!$D$5:$D$1004,MATCH(C630,'Leads Pipeline'!$A$5:$A$1004,0)),INDEX('Active Clients'!$B$5:$B$504,MATCH(C630,'Active Clients'!$A$5:$A$504,0)))&amp;"","ID not found"))</f>
        <v/>
      </c>
      <c r="F630" s="51" t="str">
        <f aca="false">IF(C630="","",IFERROR(IF(LEFT(C630,1)="L",INDEX('Leads Pipeline'!$E$5:$E$1004,MATCH(C630,'Leads Pipeline'!$A$5:$A$1004,0)),INDEX('Active Clients'!$C$5:$C$504,MATCH(C630,'Active Clients'!$A$5:$A$504,0)))&amp;"","ID not found"))</f>
        <v/>
      </c>
      <c r="G630" s="16"/>
      <c r="H630" s="16"/>
      <c r="I630" s="16"/>
      <c r="J630" s="16"/>
      <c r="K630" s="16"/>
      <c r="L630" s="18"/>
    </row>
    <row r="631" customFormat="false" ht="15" hidden="false" customHeight="false" outlineLevel="0" collapsed="false">
      <c r="A631" s="18"/>
      <c r="B631" s="16"/>
      <c r="C631" s="16"/>
      <c r="D631" s="51" t="str">
        <f aca="false">IF(C631="","",IFERROR(IF(LEFT(C631,1)="L",INDEX('Leads Pipeline'!$F$5:$F$1004,MATCH(C631,'Leads Pipeline'!$A$5:$A$1004,0)),INDEX('Active Clients'!$D$5:$D$504,MATCH(C631,'Active Clients'!$A$5:$A$504,0)))&amp;"","ID not found"))</f>
        <v/>
      </c>
      <c r="E631" s="51" t="str">
        <f aca="false">IF(C631="","",IFERROR(IF(LEFT(C631,1)="L",INDEX('Leads Pipeline'!$D$5:$D$1004,MATCH(C631,'Leads Pipeline'!$A$5:$A$1004,0)),INDEX('Active Clients'!$B$5:$B$504,MATCH(C631,'Active Clients'!$A$5:$A$504,0)))&amp;"","ID not found"))</f>
        <v/>
      </c>
      <c r="F631" s="51" t="str">
        <f aca="false">IF(C631="","",IFERROR(IF(LEFT(C631,1)="L",INDEX('Leads Pipeline'!$E$5:$E$1004,MATCH(C631,'Leads Pipeline'!$A$5:$A$1004,0)),INDEX('Active Clients'!$C$5:$C$504,MATCH(C631,'Active Clients'!$A$5:$A$504,0)))&amp;"","ID not found"))</f>
        <v/>
      </c>
      <c r="G631" s="16"/>
      <c r="H631" s="16"/>
      <c r="I631" s="16"/>
      <c r="J631" s="16"/>
      <c r="K631" s="16"/>
      <c r="L631" s="18"/>
    </row>
    <row r="632" customFormat="false" ht="15" hidden="false" customHeight="false" outlineLevel="0" collapsed="false">
      <c r="A632" s="18"/>
      <c r="B632" s="16"/>
      <c r="C632" s="16"/>
      <c r="D632" s="51" t="str">
        <f aca="false">IF(C632="","",IFERROR(IF(LEFT(C632,1)="L",INDEX('Leads Pipeline'!$F$5:$F$1004,MATCH(C632,'Leads Pipeline'!$A$5:$A$1004,0)),INDEX('Active Clients'!$D$5:$D$504,MATCH(C632,'Active Clients'!$A$5:$A$504,0)))&amp;"","ID not found"))</f>
        <v/>
      </c>
      <c r="E632" s="51" t="str">
        <f aca="false">IF(C632="","",IFERROR(IF(LEFT(C632,1)="L",INDEX('Leads Pipeline'!$D$5:$D$1004,MATCH(C632,'Leads Pipeline'!$A$5:$A$1004,0)),INDEX('Active Clients'!$B$5:$B$504,MATCH(C632,'Active Clients'!$A$5:$A$504,0)))&amp;"","ID not found"))</f>
        <v/>
      </c>
      <c r="F632" s="51" t="str">
        <f aca="false">IF(C632="","",IFERROR(IF(LEFT(C632,1)="L",INDEX('Leads Pipeline'!$E$5:$E$1004,MATCH(C632,'Leads Pipeline'!$A$5:$A$1004,0)),INDEX('Active Clients'!$C$5:$C$504,MATCH(C632,'Active Clients'!$A$5:$A$504,0)))&amp;"","ID not found"))</f>
        <v/>
      </c>
      <c r="G632" s="16"/>
      <c r="H632" s="16"/>
      <c r="I632" s="16"/>
      <c r="J632" s="16"/>
      <c r="K632" s="16"/>
      <c r="L632" s="18"/>
    </row>
    <row r="633" customFormat="false" ht="15" hidden="false" customHeight="false" outlineLevel="0" collapsed="false">
      <c r="A633" s="18"/>
      <c r="B633" s="16"/>
      <c r="C633" s="16"/>
      <c r="D633" s="51" t="str">
        <f aca="false">IF(C633="","",IFERROR(IF(LEFT(C633,1)="L",INDEX('Leads Pipeline'!$F$5:$F$1004,MATCH(C633,'Leads Pipeline'!$A$5:$A$1004,0)),INDEX('Active Clients'!$D$5:$D$504,MATCH(C633,'Active Clients'!$A$5:$A$504,0)))&amp;"","ID not found"))</f>
        <v/>
      </c>
      <c r="E633" s="51" t="str">
        <f aca="false">IF(C633="","",IFERROR(IF(LEFT(C633,1)="L",INDEX('Leads Pipeline'!$D$5:$D$1004,MATCH(C633,'Leads Pipeline'!$A$5:$A$1004,0)),INDEX('Active Clients'!$B$5:$B$504,MATCH(C633,'Active Clients'!$A$5:$A$504,0)))&amp;"","ID not found"))</f>
        <v/>
      </c>
      <c r="F633" s="51" t="str">
        <f aca="false">IF(C633="","",IFERROR(IF(LEFT(C633,1)="L",INDEX('Leads Pipeline'!$E$5:$E$1004,MATCH(C633,'Leads Pipeline'!$A$5:$A$1004,0)),INDEX('Active Clients'!$C$5:$C$504,MATCH(C633,'Active Clients'!$A$5:$A$504,0)))&amp;"","ID not found"))</f>
        <v/>
      </c>
      <c r="G633" s="16"/>
      <c r="H633" s="16"/>
      <c r="I633" s="16"/>
      <c r="J633" s="16"/>
      <c r="K633" s="16"/>
      <c r="L633" s="18"/>
    </row>
    <row r="634" customFormat="false" ht="15" hidden="false" customHeight="false" outlineLevel="0" collapsed="false">
      <c r="A634" s="18"/>
      <c r="B634" s="16"/>
      <c r="C634" s="16"/>
      <c r="D634" s="51" t="str">
        <f aca="false">IF(C634="","",IFERROR(IF(LEFT(C634,1)="L",INDEX('Leads Pipeline'!$F$5:$F$1004,MATCH(C634,'Leads Pipeline'!$A$5:$A$1004,0)),INDEX('Active Clients'!$D$5:$D$504,MATCH(C634,'Active Clients'!$A$5:$A$504,0)))&amp;"","ID not found"))</f>
        <v/>
      </c>
      <c r="E634" s="51" t="str">
        <f aca="false">IF(C634="","",IFERROR(IF(LEFT(C634,1)="L",INDEX('Leads Pipeline'!$D$5:$D$1004,MATCH(C634,'Leads Pipeline'!$A$5:$A$1004,0)),INDEX('Active Clients'!$B$5:$B$504,MATCH(C634,'Active Clients'!$A$5:$A$504,0)))&amp;"","ID not found"))</f>
        <v/>
      </c>
      <c r="F634" s="51" t="str">
        <f aca="false">IF(C634="","",IFERROR(IF(LEFT(C634,1)="L",INDEX('Leads Pipeline'!$E$5:$E$1004,MATCH(C634,'Leads Pipeline'!$A$5:$A$1004,0)),INDEX('Active Clients'!$C$5:$C$504,MATCH(C634,'Active Clients'!$A$5:$A$504,0)))&amp;"","ID not found"))</f>
        <v/>
      </c>
      <c r="G634" s="16"/>
      <c r="H634" s="16"/>
      <c r="I634" s="16"/>
      <c r="J634" s="16"/>
      <c r="K634" s="16"/>
      <c r="L634" s="18"/>
    </row>
    <row r="635" customFormat="false" ht="15" hidden="false" customHeight="false" outlineLevel="0" collapsed="false">
      <c r="A635" s="18"/>
      <c r="B635" s="16"/>
      <c r="C635" s="16"/>
      <c r="D635" s="51" t="str">
        <f aca="false">IF(C635="","",IFERROR(IF(LEFT(C635,1)="L",INDEX('Leads Pipeline'!$F$5:$F$1004,MATCH(C635,'Leads Pipeline'!$A$5:$A$1004,0)),INDEX('Active Clients'!$D$5:$D$504,MATCH(C635,'Active Clients'!$A$5:$A$504,0)))&amp;"","ID not found"))</f>
        <v/>
      </c>
      <c r="E635" s="51" t="str">
        <f aca="false">IF(C635="","",IFERROR(IF(LEFT(C635,1)="L",INDEX('Leads Pipeline'!$D$5:$D$1004,MATCH(C635,'Leads Pipeline'!$A$5:$A$1004,0)),INDEX('Active Clients'!$B$5:$B$504,MATCH(C635,'Active Clients'!$A$5:$A$504,0)))&amp;"","ID not found"))</f>
        <v/>
      </c>
      <c r="F635" s="51" t="str">
        <f aca="false">IF(C635="","",IFERROR(IF(LEFT(C635,1)="L",INDEX('Leads Pipeline'!$E$5:$E$1004,MATCH(C635,'Leads Pipeline'!$A$5:$A$1004,0)),INDEX('Active Clients'!$C$5:$C$504,MATCH(C635,'Active Clients'!$A$5:$A$504,0)))&amp;"","ID not found"))</f>
        <v/>
      </c>
      <c r="G635" s="16"/>
      <c r="H635" s="16"/>
      <c r="I635" s="16"/>
      <c r="J635" s="16"/>
      <c r="K635" s="16"/>
      <c r="L635" s="18"/>
    </row>
    <row r="636" customFormat="false" ht="15" hidden="false" customHeight="false" outlineLevel="0" collapsed="false">
      <c r="A636" s="18"/>
      <c r="B636" s="16"/>
      <c r="C636" s="16"/>
      <c r="D636" s="51" t="str">
        <f aca="false">IF(C636="","",IFERROR(IF(LEFT(C636,1)="L",INDEX('Leads Pipeline'!$F$5:$F$1004,MATCH(C636,'Leads Pipeline'!$A$5:$A$1004,0)),INDEX('Active Clients'!$D$5:$D$504,MATCH(C636,'Active Clients'!$A$5:$A$504,0)))&amp;"","ID not found"))</f>
        <v/>
      </c>
      <c r="E636" s="51" t="str">
        <f aca="false">IF(C636="","",IFERROR(IF(LEFT(C636,1)="L",INDEX('Leads Pipeline'!$D$5:$D$1004,MATCH(C636,'Leads Pipeline'!$A$5:$A$1004,0)),INDEX('Active Clients'!$B$5:$B$504,MATCH(C636,'Active Clients'!$A$5:$A$504,0)))&amp;"","ID not found"))</f>
        <v/>
      </c>
      <c r="F636" s="51" t="str">
        <f aca="false">IF(C636="","",IFERROR(IF(LEFT(C636,1)="L",INDEX('Leads Pipeline'!$E$5:$E$1004,MATCH(C636,'Leads Pipeline'!$A$5:$A$1004,0)),INDEX('Active Clients'!$C$5:$C$504,MATCH(C636,'Active Clients'!$A$5:$A$504,0)))&amp;"","ID not found"))</f>
        <v/>
      </c>
      <c r="G636" s="16"/>
      <c r="H636" s="16"/>
      <c r="I636" s="16"/>
      <c r="J636" s="16"/>
      <c r="K636" s="16"/>
      <c r="L636" s="18"/>
    </row>
    <row r="637" customFormat="false" ht="15" hidden="false" customHeight="false" outlineLevel="0" collapsed="false">
      <c r="A637" s="18"/>
      <c r="B637" s="16"/>
      <c r="C637" s="16"/>
      <c r="D637" s="51" t="str">
        <f aca="false">IF(C637="","",IFERROR(IF(LEFT(C637,1)="L",INDEX('Leads Pipeline'!$F$5:$F$1004,MATCH(C637,'Leads Pipeline'!$A$5:$A$1004,0)),INDEX('Active Clients'!$D$5:$D$504,MATCH(C637,'Active Clients'!$A$5:$A$504,0)))&amp;"","ID not found"))</f>
        <v/>
      </c>
      <c r="E637" s="51" t="str">
        <f aca="false">IF(C637="","",IFERROR(IF(LEFT(C637,1)="L",INDEX('Leads Pipeline'!$D$5:$D$1004,MATCH(C637,'Leads Pipeline'!$A$5:$A$1004,0)),INDEX('Active Clients'!$B$5:$B$504,MATCH(C637,'Active Clients'!$A$5:$A$504,0)))&amp;"","ID not found"))</f>
        <v/>
      </c>
      <c r="F637" s="51" t="str">
        <f aca="false">IF(C637="","",IFERROR(IF(LEFT(C637,1)="L",INDEX('Leads Pipeline'!$E$5:$E$1004,MATCH(C637,'Leads Pipeline'!$A$5:$A$1004,0)),INDEX('Active Clients'!$C$5:$C$504,MATCH(C637,'Active Clients'!$A$5:$A$504,0)))&amp;"","ID not found"))</f>
        <v/>
      </c>
      <c r="G637" s="16"/>
      <c r="H637" s="16"/>
      <c r="I637" s="16"/>
      <c r="J637" s="16"/>
      <c r="K637" s="16"/>
      <c r="L637" s="18"/>
    </row>
    <row r="638" customFormat="false" ht="15" hidden="false" customHeight="false" outlineLevel="0" collapsed="false">
      <c r="A638" s="18"/>
      <c r="B638" s="16"/>
      <c r="C638" s="16"/>
      <c r="D638" s="51" t="str">
        <f aca="false">IF(C638="","",IFERROR(IF(LEFT(C638,1)="L",INDEX('Leads Pipeline'!$F$5:$F$1004,MATCH(C638,'Leads Pipeline'!$A$5:$A$1004,0)),INDEX('Active Clients'!$D$5:$D$504,MATCH(C638,'Active Clients'!$A$5:$A$504,0)))&amp;"","ID not found"))</f>
        <v/>
      </c>
      <c r="E638" s="51" t="str">
        <f aca="false">IF(C638="","",IFERROR(IF(LEFT(C638,1)="L",INDEX('Leads Pipeline'!$D$5:$D$1004,MATCH(C638,'Leads Pipeline'!$A$5:$A$1004,0)),INDEX('Active Clients'!$B$5:$B$504,MATCH(C638,'Active Clients'!$A$5:$A$504,0)))&amp;"","ID not found"))</f>
        <v/>
      </c>
      <c r="F638" s="51" t="str">
        <f aca="false">IF(C638="","",IFERROR(IF(LEFT(C638,1)="L",INDEX('Leads Pipeline'!$E$5:$E$1004,MATCH(C638,'Leads Pipeline'!$A$5:$A$1004,0)),INDEX('Active Clients'!$C$5:$C$504,MATCH(C638,'Active Clients'!$A$5:$A$504,0)))&amp;"","ID not found"))</f>
        <v/>
      </c>
      <c r="G638" s="16"/>
      <c r="H638" s="16"/>
      <c r="I638" s="16"/>
      <c r="J638" s="16"/>
      <c r="K638" s="16"/>
      <c r="L638" s="18"/>
    </row>
    <row r="639" customFormat="false" ht="15" hidden="false" customHeight="false" outlineLevel="0" collapsed="false">
      <c r="A639" s="18"/>
      <c r="B639" s="16"/>
      <c r="C639" s="16"/>
      <c r="D639" s="51" t="str">
        <f aca="false">IF(C639="","",IFERROR(IF(LEFT(C639,1)="L",INDEX('Leads Pipeline'!$F$5:$F$1004,MATCH(C639,'Leads Pipeline'!$A$5:$A$1004,0)),INDEX('Active Clients'!$D$5:$D$504,MATCH(C639,'Active Clients'!$A$5:$A$504,0)))&amp;"","ID not found"))</f>
        <v/>
      </c>
      <c r="E639" s="51" t="str">
        <f aca="false">IF(C639="","",IFERROR(IF(LEFT(C639,1)="L",INDEX('Leads Pipeline'!$D$5:$D$1004,MATCH(C639,'Leads Pipeline'!$A$5:$A$1004,0)),INDEX('Active Clients'!$B$5:$B$504,MATCH(C639,'Active Clients'!$A$5:$A$504,0)))&amp;"","ID not found"))</f>
        <v/>
      </c>
      <c r="F639" s="51" t="str">
        <f aca="false">IF(C639="","",IFERROR(IF(LEFT(C639,1)="L",INDEX('Leads Pipeline'!$E$5:$E$1004,MATCH(C639,'Leads Pipeline'!$A$5:$A$1004,0)),INDEX('Active Clients'!$C$5:$C$504,MATCH(C639,'Active Clients'!$A$5:$A$504,0)))&amp;"","ID not found"))</f>
        <v/>
      </c>
      <c r="G639" s="16"/>
      <c r="H639" s="16"/>
      <c r="I639" s="16"/>
      <c r="J639" s="16"/>
      <c r="K639" s="16"/>
      <c r="L639" s="18"/>
    </row>
    <row r="640" customFormat="false" ht="15" hidden="false" customHeight="false" outlineLevel="0" collapsed="false">
      <c r="A640" s="18"/>
      <c r="B640" s="16"/>
      <c r="C640" s="16"/>
      <c r="D640" s="51" t="str">
        <f aca="false">IF(C640="","",IFERROR(IF(LEFT(C640,1)="L",INDEX('Leads Pipeline'!$F$5:$F$1004,MATCH(C640,'Leads Pipeline'!$A$5:$A$1004,0)),INDEX('Active Clients'!$D$5:$D$504,MATCH(C640,'Active Clients'!$A$5:$A$504,0)))&amp;"","ID not found"))</f>
        <v/>
      </c>
      <c r="E640" s="51" t="str">
        <f aca="false">IF(C640="","",IFERROR(IF(LEFT(C640,1)="L",INDEX('Leads Pipeline'!$D$5:$D$1004,MATCH(C640,'Leads Pipeline'!$A$5:$A$1004,0)),INDEX('Active Clients'!$B$5:$B$504,MATCH(C640,'Active Clients'!$A$5:$A$504,0)))&amp;"","ID not found"))</f>
        <v/>
      </c>
      <c r="F640" s="51" t="str">
        <f aca="false">IF(C640="","",IFERROR(IF(LEFT(C640,1)="L",INDEX('Leads Pipeline'!$E$5:$E$1004,MATCH(C640,'Leads Pipeline'!$A$5:$A$1004,0)),INDEX('Active Clients'!$C$5:$C$504,MATCH(C640,'Active Clients'!$A$5:$A$504,0)))&amp;"","ID not found"))</f>
        <v/>
      </c>
      <c r="G640" s="16"/>
      <c r="H640" s="16"/>
      <c r="I640" s="16"/>
      <c r="J640" s="16"/>
      <c r="K640" s="16"/>
      <c r="L640" s="18"/>
    </row>
    <row r="641" customFormat="false" ht="15" hidden="false" customHeight="false" outlineLevel="0" collapsed="false">
      <c r="A641" s="18"/>
      <c r="B641" s="16"/>
      <c r="C641" s="16"/>
      <c r="D641" s="51" t="str">
        <f aca="false">IF(C641="","",IFERROR(IF(LEFT(C641,1)="L",INDEX('Leads Pipeline'!$F$5:$F$1004,MATCH(C641,'Leads Pipeline'!$A$5:$A$1004,0)),INDEX('Active Clients'!$D$5:$D$504,MATCH(C641,'Active Clients'!$A$5:$A$504,0)))&amp;"","ID not found"))</f>
        <v/>
      </c>
      <c r="E641" s="51" t="str">
        <f aca="false">IF(C641="","",IFERROR(IF(LEFT(C641,1)="L",INDEX('Leads Pipeline'!$D$5:$D$1004,MATCH(C641,'Leads Pipeline'!$A$5:$A$1004,0)),INDEX('Active Clients'!$B$5:$B$504,MATCH(C641,'Active Clients'!$A$5:$A$504,0)))&amp;"","ID not found"))</f>
        <v/>
      </c>
      <c r="F641" s="51" t="str">
        <f aca="false">IF(C641="","",IFERROR(IF(LEFT(C641,1)="L",INDEX('Leads Pipeline'!$E$5:$E$1004,MATCH(C641,'Leads Pipeline'!$A$5:$A$1004,0)),INDEX('Active Clients'!$C$5:$C$504,MATCH(C641,'Active Clients'!$A$5:$A$504,0)))&amp;"","ID not found"))</f>
        <v/>
      </c>
      <c r="G641" s="16"/>
      <c r="H641" s="16"/>
      <c r="I641" s="16"/>
      <c r="J641" s="16"/>
      <c r="K641" s="16"/>
      <c r="L641" s="18"/>
    </row>
    <row r="642" customFormat="false" ht="15" hidden="false" customHeight="false" outlineLevel="0" collapsed="false">
      <c r="A642" s="18"/>
      <c r="B642" s="16"/>
      <c r="C642" s="16"/>
      <c r="D642" s="51" t="str">
        <f aca="false">IF(C642="","",IFERROR(IF(LEFT(C642,1)="L",INDEX('Leads Pipeline'!$F$5:$F$1004,MATCH(C642,'Leads Pipeline'!$A$5:$A$1004,0)),INDEX('Active Clients'!$D$5:$D$504,MATCH(C642,'Active Clients'!$A$5:$A$504,0)))&amp;"","ID not found"))</f>
        <v/>
      </c>
      <c r="E642" s="51" t="str">
        <f aca="false">IF(C642="","",IFERROR(IF(LEFT(C642,1)="L",INDEX('Leads Pipeline'!$D$5:$D$1004,MATCH(C642,'Leads Pipeline'!$A$5:$A$1004,0)),INDEX('Active Clients'!$B$5:$B$504,MATCH(C642,'Active Clients'!$A$5:$A$504,0)))&amp;"","ID not found"))</f>
        <v/>
      </c>
      <c r="F642" s="51" t="str">
        <f aca="false">IF(C642="","",IFERROR(IF(LEFT(C642,1)="L",INDEX('Leads Pipeline'!$E$5:$E$1004,MATCH(C642,'Leads Pipeline'!$A$5:$A$1004,0)),INDEX('Active Clients'!$C$5:$C$504,MATCH(C642,'Active Clients'!$A$5:$A$504,0)))&amp;"","ID not found"))</f>
        <v/>
      </c>
      <c r="G642" s="16"/>
      <c r="H642" s="16"/>
      <c r="I642" s="16"/>
      <c r="J642" s="16"/>
      <c r="K642" s="16"/>
      <c r="L642" s="18"/>
    </row>
    <row r="643" customFormat="false" ht="15" hidden="false" customHeight="false" outlineLevel="0" collapsed="false">
      <c r="A643" s="18"/>
      <c r="B643" s="16"/>
      <c r="C643" s="16"/>
      <c r="D643" s="51" t="str">
        <f aca="false">IF(C643="","",IFERROR(IF(LEFT(C643,1)="L",INDEX('Leads Pipeline'!$F$5:$F$1004,MATCH(C643,'Leads Pipeline'!$A$5:$A$1004,0)),INDEX('Active Clients'!$D$5:$D$504,MATCH(C643,'Active Clients'!$A$5:$A$504,0)))&amp;"","ID not found"))</f>
        <v/>
      </c>
      <c r="E643" s="51" t="str">
        <f aca="false">IF(C643="","",IFERROR(IF(LEFT(C643,1)="L",INDEX('Leads Pipeline'!$D$5:$D$1004,MATCH(C643,'Leads Pipeline'!$A$5:$A$1004,0)),INDEX('Active Clients'!$B$5:$B$504,MATCH(C643,'Active Clients'!$A$5:$A$504,0)))&amp;"","ID not found"))</f>
        <v/>
      </c>
      <c r="F643" s="51" t="str">
        <f aca="false">IF(C643="","",IFERROR(IF(LEFT(C643,1)="L",INDEX('Leads Pipeline'!$E$5:$E$1004,MATCH(C643,'Leads Pipeline'!$A$5:$A$1004,0)),INDEX('Active Clients'!$C$5:$C$504,MATCH(C643,'Active Clients'!$A$5:$A$504,0)))&amp;"","ID not found"))</f>
        <v/>
      </c>
      <c r="G643" s="16"/>
      <c r="H643" s="16"/>
      <c r="I643" s="16"/>
      <c r="J643" s="16"/>
      <c r="K643" s="16"/>
      <c r="L643" s="18"/>
    </row>
    <row r="644" customFormat="false" ht="15" hidden="false" customHeight="false" outlineLevel="0" collapsed="false">
      <c r="A644" s="18"/>
      <c r="B644" s="16"/>
      <c r="C644" s="16"/>
      <c r="D644" s="51" t="str">
        <f aca="false">IF(C644="","",IFERROR(IF(LEFT(C644,1)="L",INDEX('Leads Pipeline'!$F$5:$F$1004,MATCH(C644,'Leads Pipeline'!$A$5:$A$1004,0)),INDEX('Active Clients'!$D$5:$D$504,MATCH(C644,'Active Clients'!$A$5:$A$504,0)))&amp;"","ID not found"))</f>
        <v/>
      </c>
      <c r="E644" s="51" t="str">
        <f aca="false">IF(C644="","",IFERROR(IF(LEFT(C644,1)="L",INDEX('Leads Pipeline'!$D$5:$D$1004,MATCH(C644,'Leads Pipeline'!$A$5:$A$1004,0)),INDEX('Active Clients'!$B$5:$B$504,MATCH(C644,'Active Clients'!$A$5:$A$504,0)))&amp;"","ID not found"))</f>
        <v/>
      </c>
      <c r="F644" s="51" t="str">
        <f aca="false">IF(C644="","",IFERROR(IF(LEFT(C644,1)="L",INDEX('Leads Pipeline'!$E$5:$E$1004,MATCH(C644,'Leads Pipeline'!$A$5:$A$1004,0)),INDEX('Active Clients'!$C$5:$C$504,MATCH(C644,'Active Clients'!$A$5:$A$504,0)))&amp;"","ID not found"))</f>
        <v/>
      </c>
      <c r="G644" s="16"/>
      <c r="H644" s="16"/>
      <c r="I644" s="16"/>
      <c r="J644" s="16"/>
      <c r="K644" s="16"/>
      <c r="L644" s="18"/>
    </row>
    <row r="645" customFormat="false" ht="15" hidden="false" customHeight="false" outlineLevel="0" collapsed="false">
      <c r="A645" s="18"/>
      <c r="B645" s="16"/>
      <c r="C645" s="16"/>
      <c r="D645" s="51" t="str">
        <f aca="false">IF(C645="","",IFERROR(IF(LEFT(C645,1)="L",INDEX('Leads Pipeline'!$F$5:$F$1004,MATCH(C645,'Leads Pipeline'!$A$5:$A$1004,0)),INDEX('Active Clients'!$D$5:$D$504,MATCH(C645,'Active Clients'!$A$5:$A$504,0)))&amp;"","ID not found"))</f>
        <v/>
      </c>
      <c r="E645" s="51" t="str">
        <f aca="false">IF(C645="","",IFERROR(IF(LEFT(C645,1)="L",INDEX('Leads Pipeline'!$D$5:$D$1004,MATCH(C645,'Leads Pipeline'!$A$5:$A$1004,0)),INDEX('Active Clients'!$B$5:$B$504,MATCH(C645,'Active Clients'!$A$5:$A$504,0)))&amp;"","ID not found"))</f>
        <v/>
      </c>
      <c r="F645" s="51" t="str">
        <f aca="false">IF(C645="","",IFERROR(IF(LEFT(C645,1)="L",INDEX('Leads Pipeline'!$E$5:$E$1004,MATCH(C645,'Leads Pipeline'!$A$5:$A$1004,0)),INDEX('Active Clients'!$C$5:$C$504,MATCH(C645,'Active Clients'!$A$5:$A$504,0)))&amp;"","ID not found"))</f>
        <v/>
      </c>
      <c r="G645" s="16"/>
      <c r="H645" s="16"/>
      <c r="I645" s="16"/>
      <c r="J645" s="16"/>
      <c r="K645" s="16"/>
      <c r="L645" s="18"/>
    </row>
    <row r="646" customFormat="false" ht="15" hidden="false" customHeight="false" outlineLevel="0" collapsed="false">
      <c r="A646" s="18"/>
      <c r="B646" s="16"/>
      <c r="C646" s="16"/>
      <c r="D646" s="51" t="str">
        <f aca="false">IF(C646="","",IFERROR(IF(LEFT(C646,1)="L",INDEX('Leads Pipeline'!$F$5:$F$1004,MATCH(C646,'Leads Pipeline'!$A$5:$A$1004,0)),INDEX('Active Clients'!$D$5:$D$504,MATCH(C646,'Active Clients'!$A$5:$A$504,0)))&amp;"","ID not found"))</f>
        <v/>
      </c>
      <c r="E646" s="51" t="str">
        <f aca="false">IF(C646="","",IFERROR(IF(LEFT(C646,1)="L",INDEX('Leads Pipeline'!$D$5:$D$1004,MATCH(C646,'Leads Pipeline'!$A$5:$A$1004,0)),INDEX('Active Clients'!$B$5:$B$504,MATCH(C646,'Active Clients'!$A$5:$A$504,0)))&amp;"","ID not found"))</f>
        <v/>
      </c>
      <c r="F646" s="51" t="str">
        <f aca="false">IF(C646="","",IFERROR(IF(LEFT(C646,1)="L",INDEX('Leads Pipeline'!$E$5:$E$1004,MATCH(C646,'Leads Pipeline'!$A$5:$A$1004,0)),INDEX('Active Clients'!$C$5:$C$504,MATCH(C646,'Active Clients'!$A$5:$A$504,0)))&amp;"","ID not found"))</f>
        <v/>
      </c>
      <c r="G646" s="16"/>
      <c r="H646" s="16"/>
      <c r="I646" s="16"/>
      <c r="J646" s="16"/>
      <c r="K646" s="16"/>
      <c r="L646" s="18"/>
    </row>
    <row r="647" customFormat="false" ht="15" hidden="false" customHeight="false" outlineLevel="0" collapsed="false">
      <c r="A647" s="18"/>
      <c r="B647" s="16"/>
      <c r="C647" s="16"/>
      <c r="D647" s="51" t="str">
        <f aca="false">IF(C647="","",IFERROR(IF(LEFT(C647,1)="L",INDEX('Leads Pipeline'!$F$5:$F$1004,MATCH(C647,'Leads Pipeline'!$A$5:$A$1004,0)),INDEX('Active Clients'!$D$5:$D$504,MATCH(C647,'Active Clients'!$A$5:$A$504,0)))&amp;"","ID not found"))</f>
        <v/>
      </c>
      <c r="E647" s="51" t="str">
        <f aca="false">IF(C647="","",IFERROR(IF(LEFT(C647,1)="L",INDEX('Leads Pipeline'!$D$5:$D$1004,MATCH(C647,'Leads Pipeline'!$A$5:$A$1004,0)),INDEX('Active Clients'!$B$5:$B$504,MATCH(C647,'Active Clients'!$A$5:$A$504,0)))&amp;"","ID not found"))</f>
        <v/>
      </c>
      <c r="F647" s="51" t="str">
        <f aca="false">IF(C647="","",IFERROR(IF(LEFT(C647,1)="L",INDEX('Leads Pipeline'!$E$5:$E$1004,MATCH(C647,'Leads Pipeline'!$A$5:$A$1004,0)),INDEX('Active Clients'!$C$5:$C$504,MATCH(C647,'Active Clients'!$A$5:$A$504,0)))&amp;"","ID not found"))</f>
        <v/>
      </c>
      <c r="G647" s="16"/>
      <c r="H647" s="16"/>
      <c r="I647" s="16"/>
      <c r="J647" s="16"/>
      <c r="K647" s="16"/>
      <c r="L647" s="18"/>
    </row>
    <row r="648" customFormat="false" ht="15" hidden="false" customHeight="false" outlineLevel="0" collapsed="false">
      <c r="A648" s="18"/>
      <c r="B648" s="16"/>
      <c r="C648" s="16"/>
      <c r="D648" s="51" t="str">
        <f aca="false">IF(C648="","",IFERROR(IF(LEFT(C648,1)="L",INDEX('Leads Pipeline'!$F$5:$F$1004,MATCH(C648,'Leads Pipeline'!$A$5:$A$1004,0)),INDEX('Active Clients'!$D$5:$D$504,MATCH(C648,'Active Clients'!$A$5:$A$504,0)))&amp;"","ID not found"))</f>
        <v/>
      </c>
      <c r="E648" s="51" t="str">
        <f aca="false">IF(C648="","",IFERROR(IF(LEFT(C648,1)="L",INDEX('Leads Pipeline'!$D$5:$D$1004,MATCH(C648,'Leads Pipeline'!$A$5:$A$1004,0)),INDEX('Active Clients'!$B$5:$B$504,MATCH(C648,'Active Clients'!$A$5:$A$504,0)))&amp;"","ID not found"))</f>
        <v/>
      </c>
      <c r="F648" s="51" t="str">
        <f aca="false">IF(C648="","",IFERROR(IF(LEFT(C648,1)="L",INDEX('Leads Pipeline'!$E$5:$E$1004,MATCH(C648,'Leads Pipeline'!$A$5:$A$1004,0)),INDEX('Active Clients'!$C$5:$C$504,MATCH(C648,'Active Clients'!$A$5:$A$504,0)))&amp;"","ID not found"))</f>
        <v/>
      </c>
      <c r="G648" s="16"/>
      <c r="H648" s="16"/>
      <c r="I648" s="16"/>
      <c r="J648" s="16"/>
      <c r="K648" s="16"/>
      <c r="L648" s="18"/>
    </row>
    <row r="649" customFormat="false" ht="15" hidden="false" customHeight="false" outlineLevel="0" collapsed="false">
      <c r="A649" s="18"/>
      <c r="B649" s="16"/>
      <c r="C649" s="16"/>
      <c r="D649" s="51" t="str">
        <f aca="false">IF(C649="","",IFERROR(IF(LEFT(C649,1)="L",INDEX('Leads Pipeline'!$F$5:$F$1004,MATCH(C649,'Leads Pipeline'!$A$5:$A$1004,0)),INDEX('Active Clients'!$D$5:$D$504,MATCH(C649,'Active Clients'!$A$5:$A$504,0)))&amp;"","ID not found"))</f>
        <v/>
      </c>
      <c r="E649" s="51" t="str">
        <f aca="false">IF(C649="","",IFERROR(IF(LEFT(C649,1)="L",INDEX('Leads Pipeline'!$D$5:$D$1004,MATCH(C649,'Leads Pipeline'!$A$5:$A$1004,0)),INDEX('Active Clients'!$B$5:$B$504,MATCH(C649,'Active Clients'!$A$5:$A$504,0)))&amp;"","ID not found"))</f>
        <v/>
      </c>
      <c r="F649" s="51" t="str">
        <f aca="false">IF(C649="","",IFERROR(IF(LEFT(C649,1)="L",INDEX('Leads Pipeline'!$E$5:$E$1004,MATCH(C649,'Leads Pipeline'!$A$5:$A$1004,0)),INDEX('Active Clients'!$C$5:$C$504,MATCH(C649,'Active Clients'!$A$5:$A$504,0)))&amp;"","ID not found"))</f>
        <v/>
      </c>
      <c r="G649" s="16"/>
      <c r="H649" s="16"/>
      <c r="I649" s="16"/>
      <c r="J649" s="16"/>
      <c r="K649" s="16"/>
      <c r="L649" s="18"/>
    </row>
    <row r="650" customFormat="false" ht="15" hidden="false" customHeight="false" outlineLevel="0" collapsed="false">
      <c r="A650" s="18"/>
      <c r="B650" s="16"/>
      <c r="C650" s="16"/>
      <c r="D650" s="51" t="str">
        <f aca="false">IF(C650="","",IFERROR(IF(LEFT(C650,1)="L",INDEX('Leads Pipeline'!$F$5:$F$1004,MATCH(C650,'Leads Pipeline'!$A$5:$A$1004,0)),INDEX('Active Clients'!$D$5:$D$504,MATCH(C650,'Active Clients'!$A$5:$A$504,0)))&amp;"","ID not found"))</f>
        <v/>
      </c>
      <c r="E650" s="51" t="str">
        <f aca="false">IF(C650="","",IFERROR(IF(LEFT(C650,1)="L",INDEX('Leads Pipeline'!$D$5:$D$1004,MATCH(C650,'Leads Pipeline'!$A$5:$A$1004,0)),INDEX('Active Clients'!$B$5:$B$504,MATCH(C650,'Active Clients'!$A$5:$A$504,0)))&amp;"","ID not found"))</f>
        <v/>
      </c>
      <c r="F650" s="51" t="str">
        <f aca="false">IF(C650="","",IFERROR(IF(LEFT(C650,1)="L",INDEX('Leads Pipeline'!$E$5:$E$1004,MATCH(C650,'Leads Pipeline'!$A$5:$A$1004,0)),INDEX('Active Clients'!$C$5:$C$504,MATCH(C650,'Active Clients'!$A$5:$A$504,0)))&amp;"","ID not found"))</f>
        <v/>
      </c>
      <c r="G650" s="16"/>
      <c r="H650" s="16"/>
      <c r="I650" s="16"/>
      <c r="J650" s="16"/>
      <c r="K650" s="16"/>
      <c r="L650" s="18"/>
    </row>
    <row r="651" customFormat="false" ht="15" hidden="false" customHeight="false" outlineLevel="0" collapsed="false">
      <c r="A651" s="18"/>
      <c r="B651" s="16"/>
      <c r="C651" s="16"/>
      <c r="D651" s="51" t="str">
        <f aca="false">IF(C651="","",IFERROR(IF(LEFT(C651,1)="L",INDEX('Leads Pipeline'!$F$5:$F$1004,MATCH(C651,'Leads Pipeline'!$A$5:$A$1004,0)),INDEX('Active Clients'!$D$5:$D$504,MATCH(C651,'Active Clients'!$A$5:$A$504,0)))&amp;"","ID not found"))</f>
        <v/>
      </c>
      <c r="E651" s="51" t="str">
        <f aca="false">IF(C651="","",IFERROR(IF(LEFT(C651,1)="L",INDEX('Leads Pipeline'!$D$5:$D$1004,MATCH(C651,'Leads Pipeline'!$A$5:$A$1004,0)),INDEX('Active Clients'!$B$5:$B$504,MATCH(C651,'Active Clients'!$A$5:$A$504,0)))&amp;"","ID not found"))</f>
        <v/>
      </c>
      <c r="F651" s="51" t="str">
        <f aca="false">IF(C651="","",IFERROR(IF(LEFT(C651,1)="L",INDEX('Leads Pipeline'!$E$5:$E$1004,MATCH(C651,'Leads Pipeline'!$A$5:$A$1004,0)),INDEX('Active Clients'!$C$5:$C$504,MATCH(C651,'Active Clients'!$A$5:$A$504,0)))&amp;"","ID not found"))</f>
        <v/>
      </c>
      <c r="G651" s="16"/>
      <c r="H651" s="16"/>
      <c r="I651" s="16"/>
      <c r="J651" s="16"/>
      <c r="K651" s="16"/>
      <c r="L651" s="18"/>
    </row>
    <row r="652" customFormat="false" ht="15" hidden="false" customHeight="false" outlineLevel="0" collapsed="false">
      <c r="A652" s="18"/>
      <c r="B652" s="16"/>
      <c r="C652" s="16"/>
      <c r="D652" s="51" t="str">
        <f aca="false">IF(C652="","",IFERROR(IF(LEFT(C652,1)="L",INDEX('Leads Pipeline'!$F$5:$F$1004,MATCH(C652,'Leads Pipeline'!$A$5:$A$1004,0)),INDEX('Active Clients'!$D$5:$D$504,MATCH(C652,'Active Clients'!$A$5:$A$504,0)))&amp;"","ID not found"))</f>
        <v/>
      </c>
      <c r="E652" s="51" t="str">
        <f aca="false">IF(C652="","",IFERROR(IF(LEFT(C652,1)="L",INDEX('Leads Pipeline'!$D$5:$D$1004,MATCH(C652,'Leads Pipeline'!$A$5:$A$1004,0)),INDEX('Active Clients'!$B$5:$B$504,MATCH(C652,'Active Clients'!$A$5:$A$504,0)))&amp;"","ID not found"))</f>
        <v/>
      </c>
      <c r="F652" s="51" t="str">
        <f aca="false">IF(C652="","",IFERROR(IF(LEFT(C652,1)="L",INDEX('Leads Pipeline'!$E$5:$E$1004,MATCH(C652,'Leads Pipeline'!$A$5:$A$1004,0)),INDEX('Active Clients'!$C$5:$C$504,MATCH(C652,'Active Clients'!$A$5:$A$504,0)))&amp;"","ID not found"))</f>
        <v/>
      </c>
      <c r="G652" s="16"/>
      <c r="H652" s="16"/>
      <c r="I652" s="16"/>
      <c r="J652" s="16"/>
      <c r="K652" s="16"/>
      <c r="L652" s="18"/>
    </row>
    <row r="653" customFormat="false" ht="15" hidden="false" customHeight="false" outlineLevel="0" collapsed="false">
      <c r="A653" s="18"/>
      <c r="B653" s="16"/>
      <c r="C653" s="16"/>
      <c r="D653" s="51" t="str">
        <f aca="false">IF(C653="","",IFERROR(IF(LEFT(C653,1)="L",INDEX('Leads Pipeline'!$F$5:$F$1004,MATCH(C653,'Leads Pipeline'!$A$5:$A$1004,0)),INDEX('Active Clients'!$D$5:$D$504,MATCH(C653,'Active Clients'!$A$5:$A$504,0)))&amp;"","ID not found"))</f>
        <v/>
      </c>
      <c r="E653" s="51" t="str">
        <f aca="false">IF(C653="","",IFERROR(IF(LEFT(C653,1)="L",INDEX('Leads Pipeline'!$D$5:$D$1004,MATCH(C653,'Leads Pipeline'!$A$5:$A$1004,0)),INDEX('Active Clients'!$B$5:$B$504,MATCH(C653,'Active Clients'!$A$5:$A$504,0)))&amp;"","ID not found"))</f>
        <v/>
      </c>
      <c r="F653" s="51" t="str">
        <f aca="false">IF(C653="","",IFERROR(IF(LEFT(C653,1)="L",INDEX('Leads Pipeline'!$E$5:$E$1004,MATCH(C653,'Leads Pipeline'!$A$5:$A$1004,0)),INDEX('Active Clients'!$C$5:$C$504,MATCH(C653,'Active Clients'!$A$5:$A$504,0)))&amp;"","ID not found"))</f>
        <v/>
      </c>
      <c r="G653" s="16"/>
      <c r="H653" s="16"/>
      <c r="I653" s="16"/>
      <c r="J653" s="16"/>
      <c r="K653" s="16"/>
      <c r="L653" s="18"/>
    </row>
    <row r="654" customFormat="false" ht="15" hidden="false" customHeight="false" outlineLevel="0" collapsed="false">
      <c r="A654" s="18"/>
      <c r="B654" s="16"/>
      <c r="C654" s="16"/>
      <c r="D654" s="51" t="str">
        <f aca="false">IF(C654="","",IFERROR(IF(LEFT(C654,1)="L",INDEX('Leads Pipeline'!$F$5:$F$1004,MATCH(C654,'Leads Pipeline'!$A$5:$A$1004,0)),INDEX('Active Clients'!$D$5:$D$504,MATCH(C654,'Active Clients'!$A$5:$A$504,0)))&amp;"","ID not found"))</f>
        <v/>
      </c>
      <c r="E654" s="51" t="str">
        <f aca="false">IF(C654="","",IFERROR(IF(LEFT(C654,1)="L",INDEX('Leads Pipeline'!$D$5:$D$1004,MATCH(C654,'Leads Pipeline'!$A$5:$A$1004,0)),INDEX('Active Clients'!$B$5:$B$504,MATCH(C654,'Active Clients'!$A$5:$A$504,0)))&amp;"","ID not found"))</f>
        <v/>
      </c>
      <c r="F654" s="51" t="str">
        <f aca="false">IF(C654="","",IFERROR(IF(LEFT(C654,1)="L",INDEX('Leads Pipeline'!$E$5:$E$1004,MATCH(C654,'Leads Pipeline'!$A$5:$A$1004,0)),INDEX('Active Clients'!$C$5:$C$504,MATCH(C654,'Active Clients'!$A$5:$A$504,0)))&amp;"","ID not found"))</f>
        <v/>
      </c>
      <c r="G654" s="16"/>
      <c r="H654" s="16"/>
      <c r="I654" s="16"/>
      <c r="J654" s="16"/>
      <c r="K654" s="16"/>
      <c r="L654" s="18"/>
    </row>
    <row r="655" customFormat="false" ht="15" hidden="false" customHeight="false" outlineLevel="0" collapsed="false">
      <c r="A655" s="18"/>
      <c r="B655" s="16"/>
      <c r="C655" s="16"/>
      <c r="D655" s="51" t="str">
        <f aca="false">IF(C655="","",IFERROR(IF(LEFT(C655,1)="L",INDEX('Leads Pipeline'!$F$5:$F$1004,MATCH(C655,'Leads Pipeline'!$A$5:$A$1004,0)),INDEX('Active Clients'!$D$5:$D$504,MATCH(C655,'Active Clients'!$A$5:$A$504,0)))&amp;"","ID not found"))</f>
        <v/>
      </c>
      <c r="E655" s="51" t="str">
        <f aca="false">IF(C655="","",IFERROR(IF(LEFT(C655,1)="L",INDEX('Leads Pipeline'!$D$5:$D$1004,MATCH(C655,'Leads Pipeline'!$A$5:$A$1004,0)),INDEX('Active Clients'!$B$5:$B$504,MATCH(C655,'Active Clients'!$A$5:$A$504,0)))&amp;"","ID not found"))</f>
        <v/>
      </c>
      <c r="F655" s="51" t="str">
        <f aca="false">IF(C655="","",IFERROR(IF(LEFT(C655,1)="L",INDEX('Leads Pipeline'!$E$5:$E$1004,MATCH(C655,'Leads Pipeline'!$A$5:$A$1004,0)),INDEX('Active Clients'!$C$5:$C$504,MATCH(C655,'Active Clients'!$A$5:$A$504,0)))&amp;"","ID not found"))</f>
        <v/>
      </c>
      <c r="G655" s="16"/>
      <c r="H655" s="16"/>
      <c r="I655" s="16"/>
      <c r="J655" s="16"/>
      <c r="K655" s="16"/>
      <c r="L655" s="18"/>
    </row>
    <row r="656" customFormat="false" ht="15" hidden="false" customHeight="false" outlineLevel="0" collapsed="false">
      <c r="A656" s="18"/>
      <c r="B656" s="16"/>
      <c r="C656" s="16"/>
      <c r="D656" s="51" t="str">
        <f aca="false">IF(C656="","",IFERROR(IF(LEFT(C656,1)="L",INDEX('Leads Pipeline'!$F$5:$F$1004,MATCH(C656,'Leads Pipeline'!$A$5:$A$1004,0)),INDEX('Active Clients'!$D$5:$D$504,MATCH(C656,'Active Clients'!$A$5:$A$504,0)))&amp;"","ID not found"))</f>
        <v/>
      </c>
      <c r="E656" s="51" t="str">
        <f aca="false">IF(C656="","",IFERROR(IF(LEFT(C656,1)="L",INDEX('Leads Pipeline'!$D$5:$D$1004,MATCH(C656,'Leads Pipeline'!$A$5:$A$1004,0)),INDEX('Active Clients'!$B$5:$B$504,MATCH(C656,'Active Clients'!$A$5:$A$504,0)))&amp;"","ID not found"))</f>
        <v/>
      </c>
      <c r="F656" s="51" t="str">
        <f aca="false">IF(C656="","",IFERROR(IF(LEFT(C656,1)="L",INDEX('Leads Pipeline'!$E$5:$E$1004,MATCH(C656,'Leads Pipeline'!$A$5:$A$1004,0)),INDEX('Active Clients'!$C$5:$C$504,MATCH(C656,'Active Clients'!$A$5:$A$504,0)))&amp;"","ID not found"))</f>
        <v/>
      </c>
      <c r="G656" s="16"/>
      <c r="H656" s="16"/>
      <c r="I656" s="16"/>
      <c r="J656" s="16"/>
      <c r="K656" s="16"/>
      <c r="L656" s="18"/>
    </row>
    <row r="657" customFormat="false" ht="15" hidden="false" customHeight="false" outlineLevel="0" collapsed="false">
      <c r="A657" s="18"/>
      <c r="B657" s="16"/>
      <c r="C657" s="16"/>
      <c r="D657" s="51" t="str">
        <f aca="false">IF(C657="","",IFERROR(IF(LEFT(C657,1)="L",INDEX('Leads Pipeline'!$F$5:$F$1004,MATCH(C657,'Leads Pipeline'!$A$5:$A$1004,0)),INDEX('Active Clients'!$D$5:$D$504,MATCH(C657,'Active Clients'!$A$5:$A$504,0)))&amp;"","ID not found"))</f>
        <v/>
      </c>
      <c r="E657" s="51" t="str">
        <f aca="false">IF(C657="","",IFERROR(IF(LEFT(C657,1)="L",INDEX('Leads Pipeline'!$D$5:$D$1004,MATCH(C657,'Leads Pipeline'!$A$5:$A$1004,0)),INDEX('Active Clients'!$B$5:$B$504,MATCH(C657,'Active Clients'!$A$5:$A$504,0)))&amp;"","ID not found"))</f>
        <v/>
      </c>
      <c r="F657" s="51" t="str">
        <f aca="false">IF(C657="","",IFERROR(IF(LEFT(C657,1)="L",INDEX('Leads Pipeline'!$E$5:$E$1004,MATCH(C657,'Leads Pipeline'!$A$5:$A$1004,0)),INDEX('Active Clients'!$C$5:$C$504,MATCH(C657,'Active Clients'!$A$5:$A$504,0)))&amp;"","ID not found"))</f>
        <v/>
      </c>
      <c r="G657" s="16"/>
      <c r="H657" s="16"/>
      <c r="I657" s="16"/>
      <c r="J657" s="16"/>
      <c r="K657" s="16"/>
      <c r="L657" s="18"/>
    </row>
    <row r="658" customFormat="false" ht="15" hidden="false" customHeight="false" outlineLevel="0" collapsed="false">
      <c r="A658" s="18"/>
      <c r="B658" s="16"/>
      <c r="C658" s="16"/>
      <c r="D658" s="51" t="str">
        <f aca="false">IF(C658="","",IFERROR(IF(LEFT(C658,1)="L",INDEX('Leads Pipeline'!$F$5:$F$1004,MATCH(C658,'Leads Pipeline'!$A$5:$A$1004,0)),INDEX('Active Clients'!$D$5:$D$504,MATCH(C658,'Active Clients'!$A$5:$A$504,0)))&amp;"","ID not found"))</f>
        <v/>
      </c>
      <c r="E658" s="51" t="str">
        <f aca="false">IF(C658="","",IFERROR(IF(LEFT(C658,1)="L",INDEX('Leads Pipeline'!$D$5:$D$1004,MATCH(C658,'Leads Pipeline'!$A$5:$A$1004,0)),INDEX('Active Clients'!$B$5:$B$504,MATCH(C658,'Active Clients'!$A$5:$A$504,0)))&amp;"","ID not found"))</f>
        <v/>
      </c>
      <c r="F658" s="51" t="str">
        <f aca="false">IF(C658="","",IFERROR(IF(LEFT(C658,1)="L",INDEX('Leads Pipeline'!$E$5:$E$1004,MATCH(C658,'Leads Pipeline'!$A$5:$A$1004,0)),INDEX('Active Clients'!$C$5:$C$504,MATCH(C658,'Active Clients'!$A$5:$A$504,0)))&amp;"","ID not found"))</f>
        <v/>
      </c>
      <c r="G658" s="16"/>
      <c r="H658" s="16"/>
      <c r="I658" s="16"/>
      <c r="J658" s="16"/>
      <c r="K658" s="16"/>
      <c r="L658" s="18"/>
    </row>
    <row r="659" customFormat="false" ht="15" hidden="false" customHeight="false" outlineLevel="0" collapsed="false">
      <c r="A659" s="18"/>
      <c r="B659" s="16"/>
      <c r="C659" s="16"/>
      <c r="D659" s="51" t="str">
        <f aca="false">IF(C659="","",IFERROR(IF(LEFT(C659,1)="L",INDEX('Leads Pipeline'!$F$5:$F$1004,MATCH(C659,'Leads Pipeline'!$A$5:$A$1004,0)),INDEX('Active Clients'!$D$5:$D$504,MATCH(C659,'Active Clients'!$A$5:$A$504,0)))&amp;"","ID not found"))</f>
        <v/>
      </c>
      <c r="E659" s="51" t="str">
        <f aca="false">IF(C659="","",IFERROR(IF(LEFT(C659,1)="L",INDEX('Leads Pipeline'!$D$5:$D$1004,MATCH(C659,'Leads Pipeline'!$A$5:$A$1004,0)),INDEX('Active Clients'!$B$5:$B$504,MATCH(C659,'Active Clients'!$A$5:$A$504,0)))&amp;"","ID not found"))</f>
        <v/>
      </c>
      <c r="F659" s="51" t="str">
        <f aca="false">IF(C659="","",IFERROR(IF(LEFT(C659,1)="L",INDEX('Leads Pipeline'!$E$5:$E$1004,MATCH(C659,'Leads Pipeline'!$A$5:$A$1004,0)),INDEX('Active Clients'!$C$5:$C$504,MATCH(C659,'Active Clients'!$A$5:$A$504,0)))&amp;"","ID not found"))</f>
        <v/>
      </c>
      <c r="G659" s="16"/>
      <c r="H659" s="16"/>
      <c r="I659" s="16"/>
      <c r="J659" s="16"/>
      <c r="K659" s="16"/>
      <c r="L659" s="18"/>
    </row>
    <row r="660" customFormat="false" ht="15" hidden="false" customHeight="false" outlineLevel="0" collapsed="false">
      <c r="A660" s="18"/>
      <c r="B660" s="16"/>
      <c r="C660" s="16"/>
      <c r="D660" s="51" t="str">
        <f aca="false">IF(C660="","",IFERROR(IF(LEFT(C660,1)="L",INDEX('Leads Pipeline'!$F$5:$F$1004,MATCH(C660,'Leads Pipeline'!$A$5:$A$1004,0)),INDEX('Active Clients'!$D$5:$D$504,MATCH(C660,'Active Clients'!$A$5:$A$504,0)))&amp;"","ID not found"))</f>
        <v/>
      </c>
      <c r="E660" s="51" t="str">
        <f aca="false">IF(C660="","",IFERROR(IF(LEFT(C660,1)="L",INDEX('Leads Pipeline'!$D$5:$D$1004,MATCH(C660,'Leads Pipeline'!$A$5:$A$1004,0)),INDEX('Active Clients'!$B$5:$B$504,MATCH(C660,'Active Clients'!$A$5:$A$504,0)))&amp;"","ID not found"))</f>
        <v/>
      </c>
      <c r="F660" s="51" t="str">
        <f aca="false">IF(C660="","",IFERROR(IF(LEFT(C660,1)="L",INDEX('Leads Pipeline'!$E$5:$E$1004,MATCH(C660,'Leads Pipeline'!$A$5:$A$1004,0)),INDEX('Active Clients'!$C$5:$C$504,MATCH(C660,'Active Clients'!$A$5:$A$504,0)))&amp;"","ID not found"))</f>
        <v/>
      </c>
      <c r="G660" s="16"/>
      <c r="H660" s="16"/>
      <c r="I660" s="16"/>
      <c r="J660" s="16"/>
      <c r="K660" s="16"/>
      <c r="L660" s="18"/>
    </row>
    <row r="661" customFormat="false" ht="15" hidden="false" customHeight="false" outlineLevel="0" collapsed="false">
      <c r="A661" s="18"/>
      <c r="B661" s="16"/>
      <c r="C661" s="16"/>
      <c r="D661" s="51" t="str">
        <f aca="false">IF(C661="","",IFERROR(IF(LEFT(C661,1)="L",INDEX('Leads Pipeline'!$F$5:$F$1004,MATCH(C661,'Leads Pipeline'!$A$5:$A$1004,0)),INDEX('Active Clients'!$D$5:$D$504,MATCH(C661,'Active Clients'!$A$5:$A$504,0)))&amp;"","ID not found"))</f>
        <v/>
      </c>
      <c r="E661" s="51" t="str">
        <f aca="false">IF(C661="","",IFERROR(IF(LEFT(C661,1)="L",INDEX('Leads Pipeline'!$D$5:$D$1004,MATCH(C661,'Leads Pipeline'!$A$5:$A$1004,0)),INDEX('Active Clients'!$B$5:$B$504,MATCH(C661,'Active Clients'!$A$5:$A$504,0)))&amp;"","ID not found"))</f>
        <v/>
      </c>
      <c r="F661" s="51" t="str">
        <f aca="false">IF(C661="","",IFERROR(IF(LEFT(C661,1)="L",INDEX('Leads Pipeline'!$E$5:$E$1004,MATCH(C661,'Leads Pipeline'!$A$5:$A$1004,0)),INDEX('Active Clients'!$C$5:$C$504,MATCH(C661,'Active Clients'!$A$5:$A$504,0)))&amp;"","ID not found"))</f>
        <v/>
      </c>
      <c r="G661" s="16"/>
      <c r="H661" s="16"/>
      <c r="I661" s="16"/>
      <c r="J661" s="16"/>
      <c r="K661" s="16"/>
      <c r="L661" s="18"/>
    </row>
    <row r="662" customFormat="false" ht="15" hidden="false" customHeight="false" outlineLevel="0" collapsed="false">
      <c r="A662" s="18"/>
      <c r="B662" s="16"/>
      <c r="C662" s="16"/>
      <c r="D662" s="51" t="str">
        <f aca="false">IF(C662="","",IFERROR(IF(LEFT(C662,1)="L",INDEX('Leads Pipeline'!$F$5:$F$1004,MATCH(C662,'Leads Pipeline'!$A$5:$A$1004,0)),INDEX('Active Clients'!$D$5:$D$504,MATCH(C662,'Active Clients'!$A$5:$A$504,0)))&amp;"","ID not found"))</f>
        <v/>
      </c>
      <c r="E662" s="51" t="str">
        <f aca="false">IF(C662="","",IFERROR(IF(LEFT(C662,1)="L",INDEX('Leads Pipeline'!$D$5:$D$1004,MATCH(C662,'Leads Pipeline'!$A$5:$A$1004,0)),INDEX('Active Clients'!$B$5:$B$504,MATCH(C662,'Active Clients'!$A$5:$A$504,0)))&amp;"","ID not found"))</f>
        <v/>
      </c>
      <c r="F662" s="51" t="str">
        <f aca="false">IF(C662="","",IFERROR(IF(LEFT(C662,1)="L",INDEX('Leads Pipeline'!$E$5:$E$1004,MATCH(C662,'Leads Pipeline'!$A$5:$A$1004,0)),INDEX('Active Clients'!$C$5:$C$504,MATCH(C662,'Active Clients'!$A$5:$A$504,0)))&amp;"","ID not found"))</f>
        <v/>
      </c>
      <c r="G662" s="16"/>
      <c r="H662" s="16"/>
      <c r="I662" s="16"/>
      <c r="J662" s="16"/>
      <c r="K662" s="16"/>
      <c r="L662" s="18"/>
    </row>
    <row r="663" customFormat="false" ht="15" hidden="false" customHeight="false" outlineLevel="0" collapsed="false">
      <c r="A663" s="18"/>
      <c r="B663" s="16"/>
      <c r="C663" s="16"/>
      <c r="D663" s="51" t="str">
        <f aca="false">IF(C663="","",IFERROR(IF(LEFT(C663,1)="L",INDEX('Leads Pipeline'!$F$5:$F$1004,MATCH(C663,'Leads Pipeline'!$A$5:$A$1004,0)),INDEX('Active Clients'!$D$5:$D$504,MATCH(C663,'Active Clients'!$A$5:$A$504,0)))&amp;"","ID not found"))</f>
        <v/>
      </c>
      <c r="E663" s="51" t="str">
        <f aca="false">IF(C663="","",IFERROR(IF(LEFT(C663,1)="L",INDEX('Leads Pipeline'!$D$5:$D$1004,MATCH(C663,'Leads Pipeline'!$A$5:$A$1004,0)),INDEX('Active Clients'!$B$5:$B$504,MATCH(C663,'Active Clients'!$A$5:$A$504,0)))&amp;"","ID not found"))</f>
        <v/>
      </c>
      <c r="F663" s="51" t="str">
        <f aca="false">IF(C663="","",IFERROR(IF(LEFT(C663,1)="L",INDEX('Leads Pipeline'!$E$5:$E$1004,MATCH(C663,'Leads Pipeline'!$A$5:$A$1004,0)),INDEX('Active Clients'!$C$5:$C$504,MATCH(C663,'Active Clients'!$A$5:$A$504,0)))&amp;"","ID not found"))</f>
        <v/>
      </c>
      <c r="G663" s="16"/>
      <c r="H663" s="16"/>
      <c r="I663" s="16"/>
      <c r="J663" s="16"/>
      <c r="K663" s="16"/>
      <c r="L663" s="18"/>
    </row>
    <row r="664" customFormat="false" ht="15" hidden="false" customHeight="false" outlineLevel="0" collapsed="false">
      <c r="A664" s="18"/>
      <c r="B664" s="16"/>
      <c r="C664" s="16"/>
      <c r="D664" s="51" t="str">
        <f aca="false">IF(C664="","",IFERROR(IF(LEFT(C664,1)="L",INDEX('Leads Pipeline'!$F$5:$F$1004,MATCH(C664,'Leads Pipeline'!$A$5:$A$1004,0)),INDEX('Active Clients'!$D$5:$D$504,MATCH(C664,'Active Clients'!$A$5:$A$504,0)))&amp;"","ID not found"))</f>
        <v/>
      </c>
      <c r="E664" s="51" t="str">
        <f aca="false">IF(C664="","",IFERROR(IF(LEFT(C664,1)="L",INDEX('Leads Pipeline'!$D$5:$D$1004,MATCH(C664,'Leads Pipeline'!$A$5:$A$1004,0)),INDEX('Active Clients'!$B$5:$B$504,MATCH(C664,'Active Clients'!$A$5:$A$504,0)))&amp;"","ID not found"))</f>
        <v/>
      </c>
      <c r="F664" s="51" t="str">
        <f aca="false">IF(C664="","",IFERROR(IF(LEFT(C664,1)="L",INDEX('Leads Pipeline'!$E$5:$E$1004,MATCH(C664,'Leads Pipeline'!$A$5:$A$1004,0)),INDEX('Active Clients'!$C$5:$C$504,MATCH(C664,'Active Clients'!$A$5:$A$504,0)))&amp;"","ID not found"))</f>
        <v/>
      </c>
      <c r="G664" s="16"/>
      <c r="H664" s="16"/>
      <c r="I664" s="16"/>
      <c r="J664" s="16"/>
      <c r="K664" s="16"/>
      <c r="L664" s="18"/>
    </row>
    <row r="665" customFormat="false" ht="15" hidden="false" customHeight="false" outlineLevel="0" collapsed="false">
      <c r="A665" s="18"/>
      <c r="B665" s="16"/>
      <c r="C665" s="16"/>
      <c r="D665" s="51" t="str">
        <f aca="false">IF(C665="","",IFERROR(IF(LEFT(C665,1)="L",INDEX('Leads Pipeline'!$F$5:$F$1004,MATCH(C665,'Leads Pipeline'!$A$5:$A$1004,0)),INDEX('Active Clients'!$D$5:$D$504,MATCH(C665,'Active Clients'!$A$5:$A$504,0)))&amp;"","ID not found"))</f>
        <v/>
      </c>
      <c r="E665" s="51" t="str">
        <f aca="false">IF(C665="","",IFERROR(IF(LEFT(C665,1)="L",INDEX('Leads Pipeline'!$D$5:$D$1004,MATCH(C665,'Leads Pipeline'!$A$5:$A$1004,0)),INDEX('Active Clients'!$B$5:$B$504,MATCH(C665,'Active Clients'!$A$5:$A$504,0)))&amp;"","ID not found"))</f>
        <v/>
      </c>
      <c r="F665" s="51" t="str">
        <f aca="false">IF(C665="","",IFERROR(IF(LEFT(C665,1)="L",INDEX('Leads Pipeline'!$E$5:$E$1004,MATCH(C665,'Leads Pipeline'!$A$5:$A$1004,0)),INDEX('Active Clients'!$C$5:$C$504,MATCH(C665,'Active Clients'!$A$5:$A$504,0)))&amp;"","ID not found"))</f>
        <v/>
      </c>
      <c r="G665" s="16"/>
      <c r="H665" s="16"/>
      <c r="I665" s="16"/>
      <c r="J665" s="16"/>
      <c r="K665" s="16"/>
      <c r="L665" s="18"/>
    </row>
    <row r="666" customFormat="false" ht="15" hidden="false" customHeight="false" outlineLevel="0" collapsed="false">
      <c r="A666" s="18"/>
      <c r="B666" s="16"/>
      <c r="C666" s="16"/>
      <c r="D666" s="51" t="str">
        <f aca="false">IF(C666="","",IFERROR(IF(LEFT(C666,1)="L",INDEX('Leads Pipeline'!$F$5:$F$1004,MATCH(C666,'Leads Pipeline'!$A$5:$A$1004,0)),INDEX('Active Clients'!$D$5:$D$504,MATCH(C666,'Active Clients'!$A$5:$A$504,0)))&amp;"","ID not found"))</f>
        <v/>
      </c>
      <c r="E666" s="51" t="str">
        <f aca="false">IF(C666="","",IFERROR(IF(LEFT(C666,1)="L",INDEX('Leads Pipeline'!$D$5:$D$1004,MATCH(C666,'Leads Pipeline'!$A$5:$A$1004,0)),INDEX('Active Clients'!$B$5:$B$504,MATCH(C666,'Active Clients'!$A$5:$A$504,0)))&amp;"","ID not found"))</f>
        <v/>
      </c>
      <c r="F666" s="51" t="str">
        <f aca="false">IF(C666="","",IFERROR(IF(LEFT(C666,1)="L",INDEX('Leads Pipeline'!$E$5:$E$1004,MATCH(C666,'Leads Pipeline'!$A$5:$A$1004,0)),INDEX('Active Clients'!$C$5:$C$504,MATCH(C666,'Active Clients'!$A$5:$A$504,0)))&amp;"","ID not found"))</f>
        <v/>
      </c>
      <c r="G666" s="16"/>
      <c r="H666" s="16"/>
      <c r="I666" s="16"/>
      <c r="J666" s="16"/>
      <c r="K666" s="16"/>
      <c r="L666" s="18"/>
    </row>
    <row r="667" customFormat="false" ht="15" hidden="false" customHeight="false" outlineLevel="0" collapsed="false">
      <c r="A667" s="18"/>
      <c r="B667" s="16"/>
      <c r="C667" s="16"/>
      <c r="D667" s="51" t="str">
        <f aca="false">IF(C667="","",IFERROR(IF(LEFT(C667,1)="L",INDEX('Leads Pipeline'!$F$5:$F$1004,MATCH(C667,'Leads Pipeline'!$A$5:$A$1004,0)),INDEX('Active Clients'!$D$5:$D$504,MATCH(C667,'Active Clients'!$A$5:$A$504,0)))&amp;"","ID not found"))</f>
        <v/>
      </c>
      <c r="E667" s="51" t="str">
        <f aca="false">IF(C667="","",IFERROR(IF(LEFT(C667,1)="L",INDEX('Leads Pipeline'!$D$5:$D$1004,MATCH(C667,'Leads Pipeline'!$A$5:$A$1004,0)),INDEX('Active Clients'!$B$5:$B$504,MATCH(C667,'Active Clients'!$A$5:$A$504,0)))&amp;"","ID not found"))</f>
        <v/>
      </c>
      <c r="F667" s="51" t="str">
        <f aca="false">IF(C667="","",IFERROR(IF(LEFT(C667,1)="L",INDEX('Leads Pipeline'!$E$5:$E$1004,MATCH(C667,'Leads Pipeline'!$A$5:$A$1004,0)),INDEX('Active Clients'!$C$5:$C$504,MATCH(C667,'Active Clients'!$A$5:$A$504,0)))&amp;"","ID not found"))</f>
        <v/>
      </c>
      <c r="G667" s="16"/>
      <c r="H667" s="16"/>
      <c r="I667" s="16"/>
      <c r="J667" s="16"/>
      <c r="K667" s="16"/>
      <c r="L667" s="18"/>
    </row>
    <row r="668" customFormat="false" ht="15" hidden="false" customHeight="false" outlineLevel="0" collapsed="false">
      <c r="A668" s="18"/>
      <c r="B668" s="16"/>
      <c r="C668" s="16"/>
      <c r="D668" s="51" t="str">
        <f aca="false">IF(C668="","",IFERROR(IF(LEFT(C668,1)="L",INDEX('Leads Pipeline'!$F$5:$F$1004,MATCH(C668,'Leads Pipeline'!$A$5:$A$1004,0)),INDEX('Active Clients'!$D$5:$D$504,MATCH(C668,'Active Clients'!$A$5:$A$504,0)))&amp;"","ID not found"))</f>
        <v/>
      </c>
      <c r="E668" s="51" t="str">
        <f aca="false">IF(C668="","",IFERROR(IF(LEFT(C668,1)="L",INDEX('Leads Pipeline'!$D$5:$D$1004,MATCH(C668,'Leads Pipeline'!$A$5:$A$1004,0)),INDEX('Active Clients'!$B$5:$B$504,MATCH(C668,'Active Clients'!$A$5:$A$504,0)))&amp;"","ID not found"))</f>
        <v/>
      </c>
      <c r="F668" s="51" t="str">
        <f aca="false">IF(C668="","",IFERROR(IF(LEFT(C668,1)="L",INDEX('Leads Pipeline'!$E$5:$E$1004,MATCH(C668,'Leads Pipeline'!$A$5:$A$1004,0)),INDEX('Active Clients'!$C$5:$C$504,MATCH(C668,'Active Clients'!$A$5:$A$504,0)))&amp;"","ID not found"))</f>
        <v/>
      </c>
      <c r="G668" s="16"/>
      <c r="H668" s="16"/>
      <c r="I668" s="16"/>
      <c r="J668" s="16"/>
      <c r="K668" s="16"/>
      <c r="L668" s="18"/>
    </row>
    <row r="669" customFormat="false" ht="15" hidden="false" customHeight="false" outlineLevel="0" collapsed="false">
      <c r="A669" s="18"/>
      <c r="B669" s="16"/>
      <c r="C669" s="16"/>
      <c r="D669" s="51" t="str">
        <f aca="false">IF(C669="","",IFERROR(IF(LEFT(C669,1)="L",INDEX('Leads Pipeline'!$F$5:$F$1004,MATCH(C669,'Leads Pipeline'!$A$5:$A$1004,0)),INDEX('Active Clients'!$D$5:$D$504,MATCH(C669,'Active Clients'!$A$5:$A$504,0)))&amp;"","ID not found"))</f>
        <v/>
      </c>
      <c r="E669" s="51" t="str">
        <f aca="false">IF(C669="","",IFERROR(IF(LEFT(C669,1)="L",INDEX('Leads Pipeline'!$D$5:$D$1004,MATCH(C669,'Leads Pipeline'!$A$5:$A$1004,0)),INDEX('Active Clients'!$B$5:$B$504,MATCH(C669,'Active Clients'!$A$5:$A$504,0)))&amp;"","ID not found"))</f>
        <v/>
      </c>
      <c r="F669" s="51" t="str">
        <f aca="false">IF(C669="","",IFERROR(IF(LEFT(C669,1)="L",INDEX('Leads Pipeline'!$E$5:$E$1004,MATCH(C669,'Leads Pipeline'!$A$5:$A$1004,0)),INDEX('Active Clients'!$C$5:$C$504,MATCH(C669,'Active Clients'!$A$5:$A$504,0)))&amp;"","ID not found"))</f>
        <v/>
      </c>
      <c r="G669" s="16"/>
      <c r="H669" s="16"/>
      <c r="I669" s="16"/>
      <c r="J669" s="16"/>
      <c r="K669" s="16"/>
      <c r="L669" s="18"/>
    </row>
    <row r="670" customFormat="false" ht="15" hidden="false" customHeight="false" outlineLevel="0" collapsed="false">
      <c r="A670" s="18"/>
      <c r="B670" s="16"/>
      <c r="C670" s="16"/>
      <c r="D670" s="51" t="str">
        <f aca="false">IF(C670="","",IFERROR(IF(LEFT(C670,1)="L",INDEX('Leads Pipeline'!$F$5:$F$1004,MATCH(C670,'Leads Pipeline'!$A$5:$A$1004,0)),INDEX('Active Clients'!$D$5:$D$504,MATCH(C670,'Active Clients'!$A$5:$A$504,0)))&amp;"","ID not found"))</f>
        <v/>
      </c>
      <c r="E670" s="51" t="str">
        <f aca="false">IF(C670="","",IFERROR(IF(LEFT(C670,1)="L",INDEX('Leads Pipeline'!$D$5:$D$1004,MATCH(C670,'Leads Pipeline'!$A$5:$A$1004,0)),INDEX('Active Clients'!$B$5:$B$504,MATCH(C670,'Active Clients'!$A$5:$A$504,0)))&amp;"","ID not found"))</f>
        <v/>
      </c>
      <c r="F670" s="51" t="str">
        <f aca="false">IF(C670="","",IFERROR(IF(LEFT(C670,1)="L",INDEX('Leads Pipeline'!$E$5:$E$1004,MATCH(C670,'Leads Pipeline'!$A$5:$A$1004,0)),INDEX('Active Clients'!$C$5:$C$504,MATCH(C670,'Active Clients'!$A$5:$A$504,0)))&amp;"","ID not found"))</f>
        <v/>
      </c>
      <c r="G670" s="16"/>
      <c r="H670" s="16"/>
      <c r="I670" s="16"/>
      <c r="J670" s="16"/>
      <c r="K670" s="16"/>
      <c r="L670" s="18"/>
    </row>
    <row r="671" customFormat="false" ht="15" hidden="false" customHeight="false" outlineLevel="0" collapsed="false">
      <c r="A671" s="18"/>
      <c r="B671" s="16"/>
      <c r="C671" s="16"/>
      <c r="D671" s="51" t="str">
        <f aca="false">IF(C671="","",IFERROR(IF(LEFT(C671,1)="L",INDEX('Leads Pipeline'!$F$5:$F$1004,MATCH(C671,'Leads Pipeline'!$A$5:$A$1004,0)),INDEX('Active Clients'!$D$5:$D$504,MATCH(C671,'Active Clients'!$A$5:$A$504,0)))&amp;"","ID not found"))</f>
        <v/>
      </c>
      <c r="E671" s="51" t="str">
        <f aca="false">IF(C671="","",IFERROR(IF(LEFT(C671,1)="L",INDEX('Leads Pipeline'!$D$5:$D$1004,MATCH(C671,'Leads Pipeline'!$A$5:$A$1004,0)),INDEX('Active Clients'!$B$5:$B$504,MATCH(C671,'Active Clients'!$A$5:$A$504,0)))&amp;"","ID not found"))</f>
        <v/>
      </c>
      <c r="F671" s="51" t="str">
        <f aca="false">IF(C671="","",IFERROR(IF(LEFT(C671,1)="L",INDEX('Leads Pipeline'!$E$5:$E$1004,MATCH(C671,'Leads Pipeline'!$A$5:$A$1004,0)),INDEX('Active Clients'!$C$5:$C$504,MATCH(C671,'Active Clients'!$A$5:$A$504,0)))&amp;"","ID not found"))</f>
        <v/>
      </c>
      <c r="G671" s="16"/>
      <c r="H671" s="16"/>
      <c r="I671" s="16"/>
      <c r="J671" s="16"/>
      <c r="K671" s="16"/>
      <c r="L671" s="18"/>
    </row>
    <row r="672" customFormat="false" ht="15" hidden="false" customHeight="false" outlineLevel="0" collapsed="false">
      <c r="A672" s="18"/>
      <c r="B672" s="16"/>
      <c r="C672" s="16"/>
      <c r="D672" s="51" t="str">
        <f aca="false">IF(C672="","",IFERROR(IF(LEFT(C672,1)="L",INDEX('Leads Pipeline'!$F$5:$F$1004,MATCH(C672,'Leads Pipeline'!$A$5:$A$1004,0)),INDEX('Active Clients'!$D$5:$D$504,MATCH(C672,'Active Clients'!$A$5:$A$504,0)))&amp;"","ID not found"))</f>
        <v/>
      </c>
      <c r="E672" s="51" t="str">
        <f aca="false">IF(C672="","",IFERROR(IF(LEFT(C672,1)="L",INDEX('Leads Pipeline'!$D$5:$D$1004,MATCH(C672,'Leads Pipeline'!$A$5:$A$1004,0)),INDEX('Active Clients'!$B$5:$B$504,MATCH(C672,'Active Clients'!$A$5:$A$504,0)))&amp;"","ID not found"))</f>
        <v/>
      </c>
      <c r="F672" s="51" t="str">
        <f aca="false">IF(C672="","",IFERROR(IF(LEFT(C672,1)="L",INDEX('Leads Pipeline'!$E$5:$E$1004,MATCH(C672,'Leads Pipeline'!$A$5:$A$1004,0)),INDEX('Active Clients'!$C$5:$C$504,MATCH(C672,'Active Clients'!$A$5:$A$504,0)))&amp;"","ID not found"))</f>
        <v/>
      </c>
      <c r="G672" s="16"/>
      <c r="H672" s="16"/>
      <c r="I672" s="16"/>
      <c r="J672" s="16"/>
      <c r="K672" s="16"/>
      <c r="L672" s="18"/>
    </row>
    <row r="673" customFormat="false" ht="15" hidden="false" customHeight="false" outlineLevel="0" collapsed="false">
      <c r="A673" s="18"/>
      <c r="B673" s="16"/>
      <c r="C673" s="16"/>
      <c r="D673" s="51" t="str">
        <f aca="false">IF(C673="","",IFERROR(IF(LEFT(C673,1)="L",INDEX('Leads Pipeline'!$F$5:$F$1004,MATCH(C673,'Leads Pipeline'!$A$5:$A$1004,0)),INDEX('Active Clients'!$D$5:$D$504,MATCH(C673,'Active Clients'!$A$5:$A$504,0)))&amp;"","ID not found"))</f>
        <v/>
      </c>
      <c r="E673" s="51" t="str">
        <f aca="false">IF(C673="","",IFERROR(IF(LEFT(C673,1)="L",INDEX('Leads Pipeline'!$D$5:$D$1004,MATCH(C673,'Leads Pipeline'!$A$5:$A$1004,0)),INDEX('Active Clients'!$B$5:$B$504,MATCH(C673,'Active Clients'!$A$5:$A$504,0)))&amp;"","ID not found"))</f>
        <v/>
      </c>
      <c r="F673" s="51" t="str">
        <f aca="false">IF(C673="","",IFERROR(IF(LEFT(C673,1)="L",INDEX('Leads Pipeline'!$E$5:$E$1004,MATCH(C673,'Leads Pipeline'!$A$5:$A$1004,0)),INDEX('Active Clients'!$C$5:$C$504,MATCH(C673,'Active Clients'!$A$5:$A$504,0)))&amp;"","ID not found"))</f>
        <v/>
      </c>
      <c r="G673" s="16"/>
      <c r="H673" s="16"/>
      <c r="I673" s="16"/>
      <c r="J673" s="16"/>
      <c r="K673" s="16"/>
      <c r="L673" s="18"/>
    </row>
    <row r="674" customFormat="false" ht="15" hidden="false" customHeight="false" outlineLevel="0" collapsed="false">
      <c r="A674" s="18"/>
      <c r="B674" s="16"/>
      <c r="C674" s="16"/>
      <c r="D674" s="51" t="str">
        <f aca="false">IF(C674="","",IFERROR(IF(LEFT(C674,1)="L",INDEX('Leads Pipeline'!$F$5:$F$1004,MATCH(C674,'Leads Pipeline'!$A$5:$A$1004,0)),INDEX('Active Clients'!$D$5:$D$504,MATCH(C674,'Active Clients'!$A$5:$A$504,0)))&amp;"","ID not found"))</f>
        <v/>
      </c>
      <c r="E674" s="51" t="str">
        <f aca="false">IF(C674="","",IFERROR(IF(LEFT(C674,1)="L",INDEX('Leads Pipeline'!$D$5:$D$1004,MATCH(C674,'Leads Pipeline'!$A$5:$A$1004,0)),INDEX('Active Clients'!$B$5:$B$504,MATCH(C674,'Active Clients'!$A$5:$A$504,0)))&amp;"","ID not found"))</f>
        <v/>
      </c>
      <c r="F674" s="51" t="str">
        <f aca="false">IF(C674="","",IFERROR(IF(LEFT(C674,1)="L",INDEX('Leads Pipeline'!$E$5:$E$1004,MATCH(C674,'Leads Pipeline'!$A$5:$A$1004,0)),INDEX('Active Clients'!$C$5:$C$504,MATCH(C674,'Active Clients'!$A$5:$A$504,0)))&amp;"","ID not found"))</f>
        <v/>
      </c>
      <c r="G674" s="16"/>
      <c r="H674" s="16"/>
      <c r="I674" s="16"/>
      <c r="J674" s="16"/>
      <c r="K674" s="16"/>
      <c r="L674" s="18"/>
    </row>
    <row r="675" customFormat="false" ht="15" hidden="false" customHeight="false" outlineLevel="0" collapsed="false">
      <c r="A675" s="18"/>
      <c r="B675" s="16"/>
      <c r="C675" s="16"/>
      <c r="D675" s="51" t="str">
        <f aca="false">IF(C675="","",IFERROR(IF(LEFT(C675,1)="L",INDEX('Leads Pipeline'!$F$5:$F$1004,MATCH(C675,'Leads Pipeline'!$A$5:$A$1004,0)),INDEX('Active Clients'!$D$5:$D$504,MATCH(C675,'Active Clients'!$A$5:$A$504,0)))&amp;"","ID not found"))</f>
        <v/>
      </c>
      <c r="E675" s="51" t="str">
        <f aca="false">IF(C675="","",IFERROR(IF(LEFT(C675,1)="L",INDEX('Leads Pipeline'!$D$5:$D$1004,MATCH(C675,'Leads Pipeline'!$A$5:$A$1004,0)),INDEX('Active Clients'!$B$5:$B$504,MATCH(C675,'Active Clients'!$A$5:$A$504,0)))&amp;"","ID not found"))</f>
        <v/>
      </c>
      <c r="F675" s="51" t="str">
        <f aca="false">IF(C675="","",IFERROR(IF(LEFT(C675,1)="L",INDEX('Leads Pipeline'!$E$5:$E$1004,MATCH(C675,'Leads Pipeline'!$A$5:$A$1004,0)),INDEX('Active Clients'!$C$5:$C$504,MATCH(C675,'Active Clients'!$A$5:$A$504,0)))&amp;"","ID not found"))</f>
        <v/>
      </c>
      <c r="G675" s="16"/>
      <c r="H675" s="16"/>
      <c r="I675" s="16"/>
      <c r="J675" s="16"/>
      <c r="K675" s="16"/>
      <c r="L675" s="18"/>
    </row>
    <row r="676" customFormat="false" ht="15" hidden="false" customHeight="false" outlineLevel="0" collapsed="false">
      <c r="A676" s="18"/>
      <c r="B676" s="16"/>
      <c r="C676" s="16"/>
      <c r="D676" s="51" t="str">
        <f aca="false">IF(C676="","",IFERROR(IF(LEFT(C676,1)="L",INDEX('Leads Pipeline'!$F$5:$F$1004,MATCH(C676,'Leads Pipeline'!$A$5:$A$1004,0)),INDEX('Active Clients'!$D$5:$D$504,MATCH(C676,'Active Clients'!$A$5:$A$504,0)))&amp;"","ID not found"))</f>
        <v/>
      </c>
      <c r="E676" s="51" t="str">
        <f aca="false">IF(C676="","",IFERROR(IF(LEFT(C676,1)="L",INDEX('Leads Pipeline'!$D$5:$D$1004,MATCH(C676,'Leads Pipeline'!$A$5:$A$1004,0)),INDEX('Active Clients'!$B$5:$B$504,MATCH(C676,'Active Clients'!$A$5:$A$504,0)))&amp;"","ID not found"))</f>
        <v/>
      </c>
      <c r="F676" s="51" t="str">
        <f aca="false">IF(C676="","",IFERROR(IF(LEFT(C676,1)="L",INDEX('Leads Pipeline'!$E$5:$E$1004,MATCH(C676,'Leads Pipeline'!$A$5:$A$1004,0)),INDEX('Active Clients'!$C$5:$C$504,MATCH(C676,'Active Clients'!$A$5:$A$504,0)))&amp;"","ID not found"))</f>
        <v/>
      </c>
      <c r="G676" s="16"/>
      <c r="H676" s="16"/>
      <c r="I676" s="16"/>
      <c r="J676" s="16"/>
      <c r="K676" s="16"/>
      <c r="L676" s="18"/>
    </row>
    <row r="677" customFormat="false" ht="15" hidden="false" customHeight="false" outlineLevel="0" collapsed="false">
      <c r="A677" s="18"/>
      <c r="B677" s="16"/>
      <c r="C677" s="16"/>
      <c r="D677" s="51" t="str">
        <f aca="false">IF(C677="","",IFERROR(IF(LEFT(C677,1)="L",INDEX('Leads Pipeline'!$F$5:$F$1004,MATCH(C677,'Leads Pipeline'!$A$5:$A$1004,0)),INDEX('Active Clients'!$D$5:$D$504,MATCH(C677,'Active Clients'!$A$5:$A$504,0)))&amp;"","ID not found"))</f>
        <v/>
      </c>
      <c r="E677" s="51" t="str">
        <f aca="false">IF(C677="","",IFERROR(IF(LEFT(C677,1)="L",INDEX('Leads Pipeline'!$D$5:$D$1004,MATCH(C677,'Leads Pipeline'!$A$5:$A$1004,0)),INDEX('Active Clients'!$B$5:$B$504,MATCH(C677,'Active Clients'!$A$5:$A$504,0)))&amp;"","ID not found"))</f>
        <v/>
      </c>
      <c r="F677" s="51" t="str">
        <f aca="false">IF(C677="","",IFERROR(IF(LEFT(C677,1)="L",INDEX('Leads Pipeline'!$E$5:$E$1004,MATCH(C677,'Leads Pipeline'!$A$5:$A$1004,0)),INDEX('Active Clients'!$C$5:$C$504,MATCH(C677,'Active Clients'!$A$5:$A$504,0)))&amp;"","ID not found"))</f>
        <v/>
      </c>
      <c r="G677" s="16"/>
      <c r="H677" s="16"/>
      <c r="I677" s="16"/>
      <c r="J677" s="16"/>
      <c r="K677" s="16"/>
      <c r="L677" s="18"/>
    </row>
    <row r="678" customFormat="false" ht="15" hidden="false" customHeight="false" outlineLevel="0" collapsed="false">
      <c r="A678" s="18"/>
      <c r="B678" s="16"/>
      <c r="C678" s="16"/>
      <c r="D678" s="51" t="str">
        <f aca="false">IF(C678="","",IFERROR(IF(LEFT(C678,1)="L",INDEX('Leads Pipeline'!$F$5:$F$1004,MATCH(C678,'Leads Pipeline'!$A$5:$A$1004,0)),INDEX('Active Clients'!$D$5:$D$504,MATCH(C678,'Active Clients'!$A$5:$A$504,0)))&amp;"","ID not found"))</f>
        <v/>
      </c>
      <c r="E678" s="51" t="str">
        <f aca="false">IF(C678="","",IFERROR(IF(LEFT(C678,1)="L",INDEX('Leads Pipeline'!$D$5:$D$1004,MATCH(C678,'Leads Pipeline'!$A$5:$A$1004,0)),INDEX('Active Clients'!$B$5:$B$504,MATCH(C678,'Active Clients'!$A$5:$A$504,0)))&amp;"","ID not found"))</f>
        <v/>
      </c>
      <c r="F678" s="51" t="str">
        <f aca="false">IF(C678="","",IFERROR(IF(LEFT(C678,1)="L",INDEX('Leads Pipeline'!$E$5:$E$1004,MATCH(C678,'Leads Pipeline'!$A$5:$A$1004,0)),INDEX('Active Clients'!$C$5:$C$504,MATCH(C678,'Active Clients'!$A$5:$A$504,0)))&amp;"","ID not found"))</f>
        <v/>
      </c>
      <c r="G678" s="16"/>
      <c r="H678" s="16"/>
      <c r="I678" s="16"/>
      <c r="J678" s="16"/>
      <c r="K678" s="16"/>
      <c r="L678" s="18"/>
    </row>
    <row r="679" customFormat="false" ht="15" hidden="false" customHeight="false" outlineLevel="0" collapsed="false">
      <c r="A679" s="18"/>
      <c r="B679" s="16"/>
      <c r="C679" s="16"/>
      <c r="D679" s="51" t="str">
        <f aca="false">IF(C679="","",IFERROR(IF(LEFT(C679,1)="L",INDEX('Leads Pipeline'!$F$5:$F$1004,MATCH(C679,'Leads Pipeline'!$A$5:$A$1004,0)),INDEX('Active Clients'!$D$5:$D$504,MATCH(C679,'Active Clients'!$A$5:$A$504,0)))&amp;"","ID not found"))</f>
        <v/>
      </c>
      <c r="E679" s="51" t="str">
        <f aca="false">IF(C679="","",IFERROR(IF(LEFT(C679,1)="L",INDEX('Leads Pipeline'!$D$5:$D$1004,MATCH(C679,'Leads Pipeline'!$A$5:$A$1004,0)),INDEX('Active Clients'!$B$5:$B$504,MATCH(C679,'Active Clients'!$A$5:$A$504,0)))&amp;"","ID not found"))</f>
        <v/>
      </c>
      <c r="F679" s="51" t="str">
        <f aca="false">IF(C679="","",IFERROR(IF(LEFT(C679,1)="L",INDEX('Leads Pipeline'!$E$5:$E$1004,MATCH(C679,'Leads Pipeline'!$A$5:$A$1004,0)),INDEX('Active Clients'!$C$5:$C$504,MATCH(C679,'Active Clients'!$A$5:$A$504,0)))&amp;"","ID not found"))</f>
        <v/>
      </c>
      <c r="G679" s="16"/>
      <c r="H679" s="16"/>
      <c r="I679" s="16"/>
      <c r="J679" s="16"/>
      <c r="K679" s="16"/>
      <c r="L679" s="18"/>
    </row>
    <row r="680" customFormat="false" ht="15" hidden="false" customHeight="false" outlineLevel="0" collapsed="false">
      <c r="A680" s="18"/>
      <c r="B680" s="16"/>
      <c r="C680" s="16"/>
      <c r="D680" s="51" t="str">
        <f aca="false">IF(C680="","",IFERROR(IF(LEFT(C680,1)="L",INDEX('Leads Pipeline'!$F$5:$F$1004,MATCH(C680,'Leads Pipeline'!$A$5:$A$1004,0)),INDEX('Active Clients'!$D$5:$D$504,MATCH(C680,'Active Clients'!$A$5:$A$504,0)))&amp;"","ID not found"))</f>
        <v/>
      </c>
      <c r="E680" s="51" t="str">
        <f aca="false">IF(C680="","",IFERROR(IF(LEFT(C680,1)="L",INDEX('Leads Pipeline'!$D$5:$D$1004,MATCH(C680,'Leads Pipeline'!$A$5:$A$1004,0)),INDEX('Active Clients'!$B$5:$B$504,MATCH(C680,'Active Clients'!$A$5:$A$504,0)))&amp;"","ID not found"))</f>
        <v/>
      </c>
      <c r="F680" s="51" t="str">
        <f aca="false">IF(C680="","",IFERROR(IF(LEFT(C680,1)="L",INDEX('Leads Pipeline'!$E$5:$E$1004,MATCH(C680,'Leads Pipeline'!$A$5:$A$1004,0)),INDEX('Active Clients'!$C$5:$C$504,MATCH(C680,'Active Clients'!$A$5:$A$504,0)))&amp;"","ID not found"))</f>
        <v/>
      </c>
      <c r="G680" s="16"/>
      <c r="H680" s="16"/>
      <c r="I680" s="16"/>
      <c r="J680" s="16"/>
      <c r="K680" s="16"/>
      <c r="L680" s="18"/>
    </row>
    <row r="681" customFormat="false" ht="15" hidden="false" customHeight="false" outlineLevel="0" collapsed="false">
      <c r="A681" s="18"/>
      <c r="B681" s="16"/>
      <c r="C681" s="16"/>
      <c r="D681" s="51" t="str">
        <f aca="false">IF(C681="","",IFERROR(IF(LEFT(C681,1)="L",INDEX('Leads Pipeline'!$F$5:$F$1004,MATCH(C681,'Leads Pipeline'!$A$5:$A$1004,0)),INDEX('Active Clients'!$D$5:$D$504,MATCH(C681,'Active Clients'!$A$5:$A$504,0)))&amp;"","ID not found"))</f>
        <v/>
      </c>
      <c r="E681" s="51" t="str">
        <f aca="false">IF(C681="","",IFERROR(IF(LEFT(C681,1)="L",INDEX('Leads Pipeline'!$D$5:$D$1004,MATCH(C681,'Leads Pipeline'!$A$5:$A$1004,0)),INDEX('Active Clients'!$B$5:$B$504,MATCH(C681,'Active Clients'!$A$5:$A$504,0)))&amp;"","ID not found"))</f>
        <v/>
      </c>
      <c r="F681" s="51" t="str">
        <f aca="false">IF(C681="","",IFERROR(IF(LEFT(C681,1)="L",INDEX('Leads Pipeline'!$E$5:$E$1004,MATCH(C681,'Leads Pipeline'!$A$5:$A$1004,0)),INDEX('Active Clients'!$C$5:$C$504,MATCH(C681,'Active Clients'!$A$5:$A$504,0)))&amp;"","ID not found"))</f>
        <v/>
      </c>
      <c r="G681" s="16"/>
      <c r="H681" s="16"/>
      <c r="I681" s="16"/>
      <c r="J681" s="16"/>
      <c r="K681" s="16"/>
      <c r="L681" s="18"/>
    </row>
    <row r="682" customFormat="false" ht="15" hidden="false" customHeight="false" outlineLevel="0" collapsed="false">
      <c r="A682" s="18"/>
      <c r="B682" s="16"/>
      <c r="C682" s="16"/>
      <c r="D682" s="51" t="str">
        <f aca="false">IF(C682="","",IFERROR(IF(LEFT(C682,1)="L",INDEX('Leads Pipeline'!$F$5:$F$1004,MATCH(C682,'Leads Pipeline'!$A$5:$A$1004,0)),INDEX('Active Clients'!$D$5:$D$504,MATCH(C682,'Active Clients'!$A$5:$A$504,0)))&amp;"","ID not found"))</f>
        <v/>
      </c>
      <c r="E682" s="51" t="str">
        <f aca="false">IF(C682="","",IFERROR(IF(LEFT(C682,1)="L",INDEX('Leads Pipeline'!$D$5:$D$1004,MATCH(C682,'Leads Pipeline'!$A$5:$A$1004,0)),INDEX('Active Clients'!$B$5:$B$504,MATCH(C682,'Active Clients'!$A$5:$A$504,0)))&amp;"","ID not found"))</f>
        <v/>
      </c>
      <c r="F682" s="51" t="str">
        <f aca="false">IF(C682="","",IFERROR(IF(LEFT(C682,1)="L",INDEX('Leads Pipeline'!$E$5:$E$1004,MATCH(C682,'Leads Pipeline'!$A$5:$A$1004,0)),INDEX('Active Clients'!$C$5:$C$504,MATCH(C682,'Active Clients'!$A$5:$A$504,0)))&amp;"","ID not found"))</f>
        <v/>
      </c>
      <c r="G682" s="16"/>
      <c r="H682" s="16"/>
      <c r="I682" s="16"/>
      <c r="J682" s="16"/>
      <c r="K682" s="16"/>
      <c r="L682" s="18"/>
    </row>
    <row r="683" customFormat="false" ht="15" hidden="false" customHeight="false" outlineLevel="0" collapsed="false">
      <c r="A683" s="18"/>
      <c r="B683" s="16"/>
      <c r="C683" s="16"/>
      <c r="D683" s="51" t="str">
        <f aca="false">IF(C683="","",IFERROR(IF(LEFT(C683,1)="L",INDEX('Leads Pipeline'!$F$5:$F$1004,MATCH(C683,'Leads Pipeline'!$A$5:$A$1004,0)),INDEX('Active Clients'!$D$5:$D$504,MATCH(C683,'Active Clients'!$A$5:$A$504,0)))&amp;"","ID not found"))</f>
        <v/>
      </c>
      <c r="E683" s="51" t="str">
        <f aca="false">IF(C683="","",IFERROR(IF(LEFT(C683,1)="L",INDEX('Leads Pipeline'!$D$5:$D$1004,MATCH(C683,'Leads Pipeline'!$A$5:$A$1004,0)),INDEX('Active Clients'!$B$5:$B$504,MATCH(C683,'Active Clients'!$A$5:$A$504,0)))&amp;"","ID not found"))</f>
        <v/>
      </c>
      <c r="F683" s="51" t="str">
        <f aca="false">IF(C683="","",IFERROR(IF(LEFT(C683,1)="L",INDEX('Leads Pipeline'!$E$5:$E$1004,MATCH(C683,'Leads Pipeline'!$A$5:$A$1004,0)),INDEX('Active Clients'!$C$5:$C$504,MATCH(C683,'Active Clients'!$A$5:$A$504,0)))&amp;"","ID not found"))</f>
        <v/>
      </c>
      <c r="G683" s="16"/>
      <c r="H683" s="16"/>
      <c r="I683" s="16"/>
      <c r="J683" s="16"/>
      <c r="K683" s="16"/>
      <c r="L683" s="18"/>
    </row>
    <row r="684" customFormat="false" ht="15" hidden="false" customHeight="false" outlineLevel="0" collapsed="false">
      <c r="A684" s="18"/>
      <c r="B684" s="16"/>
      <c r="C684" s="16"/>
      <c r="D684" s="51" t="str">
        <f aca="false">IF(C684="","",IFERROR(IF(LEFT(C684,1)="L",INDEX('Leads Pipeline'!$F$5:$F$1004,MATCH(C684,'Leads Pipeline'!$A$5:$A$1004,0)),INDEX('Active Clients'!$D$5:$D$504,MATCH(C684,'Active Clients'!$A$5:$A$504,0)))&amp;"","ID not found"))</f>
        <v/>
      </c>
      <c r="E684" s="51" t="str">
        <f aca="false">IF(C684="","",IFERROR(IF(LEFT(C684,1)="L",INDEX('Leads Pipeline'!$D$5:$D$1004,MATCH(C684,'Leads Pipeline'!$A$5:$A$1004,0)),INDEX('Active Clients'!$B$5:$B$504,MATCH(C684,'Active Clients'!$A$5:$A$504,0)))&amp;"","ID not found"))</f>
        <v/>
      </c>
      <c r="F684" s="51" t="str">
        <f aca="false">IF(C684="","",IFERROR(IF(LEFT(C684,1)="L",INDEX('Leads Pipeline'!$E$5:$E$1004,MATCH(C684,'Leads Pipeline'!$A$5:$A$1004,0)),INDEX('Active Clients'!$C$5:$C$504,MATCH(C684,'Active Clients'!$A$5:$A$504,0)))&amp;"","ID not found"))</f>
        <v/>
      </c>
      <c r="G684" s="16"/>
      <c r="H684" s="16"/>
      <c r="I684" s="16"/>
      <c r="J684" s="16"/>
      <c r="K684" s="16"/>
      <c r="L684" s="18"/>
    </row>
    <row r="685" customFormat="false" ht="15" hidden="false" customHeight="false" outlineLevel="0" collapsed="false">
      <c r="A685" s="18"/>
      <c r="B685" s="16"/>
      <c r="C685" s="16"/>
      <c r="D685" s="51" t="str">
        <f aca="false">IF(C685="","",IFERROR(IF(LEFT(C685,1)="L",INDEX('Leads Pipeline'!$F$5:$F$1004,MATCH(C685,'Leads Pipeline'!$A$5:$A$1004,0)),INDEX('Active Clients'!$D$5:$D$504,MATCH(C685,'Active Clients'!$A$5:$A$504,0)))&amp;"","ID not found"))</f>
        <v/>
      </c>
      <c r="E685" s="51" t="str">
        <f aca="false">IF(C685="","",IFERROR(IF(LEFT(C685,1)="L",INDEX('Leads Pipeline'!$D$5:$D$1004,MATCH(C685,'Leads Pipeline'!$A$5:$A$1004,0)),INDEX('Active Clients'!$B$5:$B$504,MATCH(C685,'Active Clients'!$A$5:$A$504,0)))&amp;"","ID not found"))</f>
        <v/>
      </c>
      <c r="F685" s="51" t="str">
        <f aca="false">IF(C685="","",IFERROR(IF(LEFT(C685,1)="L",INDEX('Leads Pipeline'!$E$5:$E$1004,MATCH(C685,'Leads Pipeline'!$A$5:$A$1004,0)),INDEX('Active Clients'!$C$5:$C$504,MATCH(C685,'Active Clients'!$A$5:$A$504,0)))&amp;"","ID not found"))</f>
        <v/>
      </c>
      <c r="G685" s="16"/>
      <c r="H685" s="16"/>
      <c r="I685" s="16"/>
      <c r="J685" s="16"/>
      <c r="K685" s="16"/>
      <c r="L685" s="18"/>
    </row>
    <row r="686" customFormat="false" ht="15" hidden="false" customHeight="false" outlineLevel="0" collapsed="false">
      <c r="A686" s="18"/>
      <c r="B686" s="16"/>
      <c r="C686" s="16"/>
      <c r="D686" s="51" t="str">
        <f aca="false">IF(C686="","",IFERROR(IF(LEFT(C686,1)="L",INDEX('Leads Pipeline'!$F$5:$F$1004,MATCH(C686,'Leads Pipeline'!$A$5:$A$1004,0)),INDEX('Active Clients'!$D$5:$D$504,MATCH(C686,'Active Clients'!$A$5:$A$504,0)))&amp;"","ID not found"))</f>
        <v/>
      </c>
      <c r="E686" s="51" t="str">
        <f aca="false">IF(C686="","",IFERROR(IF(LEFT(C686,1)="L",INDEX('Leads Pipeline'!$D$5:$D$1004,MATCH(C686,'Leads Pipeline'!$A$5:$A$1004,0)),INDEX('Active Clients'!$B$5:$B$504,MATCH(C686,'Active Clients'!$A$5:$A$504,0)))&amp;"","ID not found"))</f>
        <v/>
      </c>
      <c r="F686" s="51" t="str">
        <f aca="false">IF(C686="","",IFERROR(IF(LEFT(C686,1)="L",INDEX('Leads Pipeline'!$E$5:$E$1004,MATCH(C686,'Leads Pipeline'!$A$5:$A$1004,0)),INDEX('Active Clients'!$C$5:$C$504,MATCH(C686,'Active Clients'!$A$5:$A$504,0)))&amp;"","ID not found"))</f>
        <v/>
      </c>
      <c r="G686" s="16"/>
      <c r="H686" s="16"/>
      <c r="I686" s="16"/>
      <c r="J686" s="16"/>
      <c r="K686" s="16"/>
      <c r="L686" s="18"/>
    </row>
    <row r="687" customFormat="false" ht="15" hidden="false" customHeight="false" outlineLevel="0" collapsed="false">
      <c r="A687" s="18"/>
      <c r="B687" s="16"/>
      <c r="C687" s="16"/>
      <c r="D687" s="51" t="str">
        <f aca="false">IF(C687="","",IFERROR(IF(LEFT(C687,1)="L",INDEX('Leads Pipeline'!$F$5:$F$1004,MATCH(C687,'Leads Pipeline'!$A$5:$A$1004,0)),INDEX('Active Clients'!$D$5:$D$504,MATCH(C687,'Active Clients'!$A$5:$A$504,0)))&amp;"","ID not found"))</f>
        <v/>
      </c>
      <c r="E687" s="51" t="str">
        <f aca="false">IF(C687="","",IFERROR(IF(LEFT(C687,1)="L",INDEX('Leads Pipeline'!$D$5:$D$1004,MATCH(C687,'Leads Pipeline'!$A$5:$A$1004,0)),INDEX('Active Clients'!$B$5:$B$504,MATCH(C687,'Active Clients'!$A$5:$A$504,0)))&amp;"","ID not found"))</f>
        <v/>
      </c>
      <c r="F687" s="51" t="str">
        <f aca="false">IF(C687="","",IFERROR(IF(LEFT(C687,1)="L",INDEX('Leads Pipeline'!$E$5:$E$1004,MATCH(C687,'Leads Pipeline'!$A$5:$A$1004,0)),INDEX('Active Clients'!$C$5:$C$504,MATCH(C687,'Active Clients'!$A$5:$A$504,0)))&amp;"","ID not found"))</f>
        <v/>
      </c>
      <c r="G687" s="16"/>
      <c r="H687" s="16"/>
      <c r="I687" s="16"/>
      <c r="J687" s="16"/>
      <c r="K687" s="16"/>
      <c r="L687" s="18"/>
    </row>
    <row r="688" customFormat="false" ht="15" hidden="false" customHeight="false" outlineLevel="0" collapsed="false">
      <c r="A688" s="18"/>
      <c r="B688" s="16"/>
      <c r="C688" s="16"/>
      <c r="D688" s="51" t="str">
        <f aca="false">IF(C688="","",IFERROR(IF(LEFT(C688,1)="L",INDEX('Leads Pipeline'!$F$5:$F$1004,MATCH(C688,'Leads Pipeline'!$A$5:$A$1004,0)),INDEX('Active Clients'!$D$5:$D$504,MATCH(C688,'Active Clients'!$A$5:$A$504,0)))&amp;"","ID not found"))</f>
        <v/>
      </c>
      <c r="E688" s="51" t="str">
        <f aca="false">IF(C688="","",IFERROR(IF(LEFT(C688,1)="L",INDEX('Leads Pipeline'!$D$5:$D$1004,MATCH(C688,'Leads Pipeline'!$A$5:$A$1004,0)),INDEX('Active Clients'!$B$5:$B$504,MATCH(C688,'Active Clients'!$A$5:$A$504,0)))&amp;"","ID not found"))</f>
        <v/>
      </c>
      <c r="F688" s="51" t="str">
        <f aca="false">IF(C688="","",IFERROR(IF(LEFT(C688,1)="L",INDEX('Leads Pipeline'!$E$5:$E$1004,MATCH(C688,'Leads Pipeline'!$A$5:$A$1004,0)),INDEX('Active Clients'!$C$5:$C$504,MATCH(C688,'Active Clients'!$A$5:$A$504,0)))&amp;"","ID not found"))</f>
        <v/>
      </c>
      <c r="G688" s="16"/>
      <c r="H688" s="16"/>
      <c r="I688" s="16"/>
      <c r="J688" s="16"/>
      <c r="K688" s="16"/>
      <c r="L688" s="18"/>
    </row>
    <row r="689" customFormat="false" ht="15" hidden="false" customHeight="false" outlineLevel="0" collapsed="false">
      <c r="A689" s="18"/>
      <c r="B689" s="16"/>
      <c r="C689" s="16"/>
      <c r="D689" s="51" t="str">
        <f aca="false">IF(C689="","",IFERROR(IF(LEFT(C689,1)="L",INDEX('Leads Pipeline'!$F$5:$F$1004,MATCH(C689,'Leads Pipeline'!$A$5:$A$1004,0)),INDEX('Active Clients'!$D$5:$D$504,MATCH(C689,'Active Clients'!$A$5:$A$504,0)))&amp;"","ID not found"))</f>
        <v/>
      </c>
      <c r="E689" s="51" t="str">
        <f aca="false">IF(C689="","",IFERROR(IF(LEFT(C689,1)="L",INDEX('Leads Pipeline'!$D$5:$D$1004,MATCH(C689,'Leads Pipeline'!$A$5:$A$1004,0)),INDEX('Active Clients'!$B$5:$B$504,MATCH(C689,'Active Clients'!$A$5:$A$504,0)))&amp;"","ID not found"))</f>
        <v/>
      </c>
      <c r="F689" s="51" t="str">
        <f aca="false">IF(C689="","",IFERROR(IF(LEFT(C689,1)="L",INDEX('Leads Pipeline'!$E$5:$E$1004,MATCH(C689,'Leads Pipeline'!$A$5:$A$1004,0)),INDEX('Active Clients'!$C$5:$C$504,MATCH(C689,'Active Clients'!$A$5:$A$504,0)))&amp;"","ID not found"))</f>
        <v/>
      </c>
      <c r="G689" s="16"/>
      <c r="H689" s="16"/>
      <c r="I689" s="16"/>
      <c r="J689" s="16"/>
      <c r="K689" s="16"/>
      <c r="L689" s="18"/>
    </row>
    <row r="690" customFormat="false" ht="15" hidden="false" customHeight="false" outlineLevel="0" collapsed="false">
      <c r="A690" s="18"/>
      <c r="B690" s="16"/>
      <c r="C690" s="16"/>
      <c r="D690" s="51" t="str">
        <f aca="false">IF(C690="","",IFERROR(IF(LEFT(C690,1)="L",INDEX('Leads Pipeline'!$F$5:$F$1004,MATCH(C690,'Leads Pipeline'!$A$5:$A$1004,0)),INDEX('Active Clients'!$D$5:$D$504,MATCH(C690,'Active Clients'!$A$5:$A$504,0)))&amp;"","ID not found"))</f>
        <v/>
      </c>
      <c r="E690" s="51" t="str">
        <f aca="false">IF(C690="","",IFERROR(IF(LEFT(C690,1)="L",INDEX('Leads Pipeline'!$D$5:$D$1004,MATCH(C690,'Leads Pipeline'!$A$5:$A$1004,0)),INDEX('Active Clients'!$B$5:$B$504,MATCH(C690,'Active Clients'!$A$5:$A$504,0)))&amp;"","ID not found"))</f>
        <v/>
      </c>
      <c r="F690" s="51" t="str">
        <f aca="false">IF(C690="","",IFERROR(IF(LEFT(C690,1)="L",INDEX('Leads Pipeline'!$E$5:$E$1004,MATCH(C690,'Leads Pipeline'!$A$5:$A$1004,0)),INDEX('Active Clients'!$C$5:$C$504,MATCH(C690,'Active Clients'!$A$5:$A$504,0)))&amp;"","ID not found"))</f>
        <v/>
      </c>
      <c r="G690" s="16"/>
      <c r="H690" s="16"/>
      <c r="I690" s="16"/>
      <c r="J690" s="16"/>
      <c r="K690" s="16"/>
      <c r="L690" s="18"/>
    </row>
    <row r="691" customFormat="false" ht="15" hidden="false" customHeight="false" outlineLevel="0" collapsed="false">
      <c r="A691" s="18"/>
      <c r="B691" s="16"/>
      <c r="C691" s="16"/>
      <c r="D691" s="51" t="str">
        <f aca="false">IF(C691="","",IFERROR(IF(LEFT(C691,1)="L",INDEX('Leads Pipeline'!$F$5:$F$1004,MATCH(C691,'Leads Pipeline'!$A$5:$A$1004,0)),INDEX('Active Clients'!$D$5:$D$504,MATCH(C691,'Active Clients'!$A$5:$A$504,0)))&amp;"","ID not found"))</f>
        <v/>
      </c>
      <c r="E691" s="51" t="str">
        <f aca="false">IF(C691="","",IFERROR(IF(LEFT(C691,1)="L",INDEX('Leads Pipeline'!$D$5:$D$1004,MATCH(C691,'Leads Pipeline'!$A$5:$A$1004,0)),INDEX('Active Clients'!$B$5:$B$504,MATCH(C691,'Active Clients'!$A$5:$A$504,0)))&amp;"","ID not found"))</f>
        <v/>
      </c>
      <c r="F691" s="51" t="str">
        <f aca="false">IF(C691="","",IFERROR(IF(LEFT(C691,1)="L",INDEX('Leads Pipeline'!$E$5:$E$1004,MATCH(C691,'Leads Pipeline'!$A$5:$A$1004,0)),INDEX('Active Clients'!$C$5:$C$504,MATCH(C691,'Active Clients'!$A$5:$A$504,0)))&amp;"","ID not found"))</f>
        <v/>
      </c>
      <c r="G691" s="16"/>
      <c r="H691" s="16"/>
      <c r="I691" s="16"/>
      <c r="J691" s="16"/>
      <c r="K691" s="16"/>
      <c r="L691" s="18"/>
    </row>
    <row r="692" customFormat="false" ht="15" hidden="false" customHeight="false" outlineLevel="0" collapsed="false">
      <c r="A692" s="18"/>
      <c r="B692" s="16"/>
      <c r="C692" s="16"/>
      <c r="D692" s="51" t="str">
        <f aca="false">IF(C692="","",IFERROR(IF(LEFT(C692,1)="L",INDEX('Leads Pipeline'!$F$5:$F$1004,MATCH(C692,'Leads Pipeline'!$A$5:$A$1004,0)),INDEX('Active Clients'!$D$5:$D$504,MATCH(C692,'Active Clients'!$A$5:$A$504,0)))&amp;"","ID not found"))</f>
        <v/>
      </c>
      <c r="E692" s="51" t="str">
        <f aca="false">IF(C692="","",IFERROR(IF(LEFT(C692,1)="L",INDEX('Leads Pipeline'!$D$5:$D$1004,MATCH(C692,'Leads Pipeline'!$A$5:$A$1004,0)),INDEX('Active Clients'!$B$5:$B$504,MATCH(C692,'Active Clients'!$A$5:$A$504,0)))&amp;"","ID not found"))</f>
        <v/>
      </c>
      <c r="F692" s="51" t="str">
        <f aca="false">IF(C692="","",IFERROR(IF(LEFT(C692,1)="L",INDEX('Leads Pipeline'!$E$5:$E$1004,MATCH(C692,'Leads Pipeline'!$A$5:$A$1004,0)),INDEX('Active Clients'!$C$5:$C$504,MATCH(C692,'Active Clients'!$A$5:$A$504,0)))&amp;"","ID not found"))</f>
        <v/>
      </c>
      <c r="G692" s="16"/>
      <c r="H692" s="16"/>
      <c r="I692" s="16"/>
      <c r="J692" s="16"/>
      <c r="K692" s="16"/>
      <c r="L692" s="18"/>
    </row>
    <row r="693" customFormat="false" ht="15" hidden="false" customHeight="false" outlineLevel="0" collapsed="false">
      <c r="A693" s="18"/>
      <c r="B693" s="16"/>
      <c r="C693" s="16"/>
      <c r="D693" s="51" t="str">
        <f aca="false">IF(C693="","",IFERROR(IF(LEFT(C693,1)="L",INDEX('Leads Pipeline'!$F$5:$F$1004,MATCH(C693,'Leads Pipeline'!$A$5:$A$1004,0)),INDEX('Active Clients'!$D$5:$D$504,MATCH(C693,'Active Clients'!$A$5:$A$504,0)))&amp;"","ID not found"))</f>
        <v/>
      </c>
      <c r="E693" s="51" t="str">
        <f aca="false">IF(C693="","",IFERROR(IF(LEFT(C693,1)="L",INDEX('Leads Pipeline'!$D$5:$D$1004,MATCH(C693,'Leads Pipeline'!$A$5:$A$1004,0)),INDEX('Active Clients'!$B$5:$B$504,MATCH(C693,'Active Clients'!$A$5:$A$504,0)))&amp;"","ID not found"))</f>
        <v/>
      </c>
      <c r="F693" s="51" t="str">
        <f aca="false">IF(C693="","",IFERROR(IF(LEFT(C693,1)="L",INDEX('Leads Pipeline'!$E$5:$E$1004,MATCH(C693,'Leads Pipeline'!$A$5:$A$1004,0)),INDEX('Active Clients'!$C$5:$C$504,MATCH(C693,'Active Clients'!$A$5:$A$504,0)))&amp;"","ID not found"))</f>
        <v/>
      </c>
      <c r="G693" s="16"/>
      <c r="H693" s="16"/>
      <c r="I693" s="16"/>
      <c r="J693" s="16"/>
      <c r="K693" s="16"/>
      <c r="L693" s="18"/>
    </row>
    <row r="694" customFormat="false" ht="15" hidden="false" customHeight="false" outlineLevel="0" collapsed="false">
      <c r="A694" s="18"/>
      <c r="B694" s="16"/>
      <c r="C694" s="16"/>
      <c r="D694" s="51" t="str">
        <f aca="false">IF(C694="","",IFERROR(IF(LEFT(C694,1)="L",INDEX('Leads Pipeline'!$F$5:$F$1004,MATCH(C694,'Leads Pipeline'!$A$5:$A$1004,0)),INDEX('Active Clients'!$D$5:$D$504,MATCH(C694,'Active Clients'!$A$5:$A$504,0)))&amp;"","ID not found"))</f>
        <v/>
      </c>
      <c r="E694" s="51" t="str">
        <f aca="false">IF(C694="","",IFERROR(IF(LEFT(C694,1)="L",INDEX('Leads Pipeline'!$D$5:$D$1004,MATCH(C694,'Leads Pipeline'!$A$5:$A$1004,0)),INDEX('Active Clients'!$B$5:$B$504,MATCH(C694,'Active Clients'!$A$5:$A$504,0)))&amp;"","ID not found"))</f>
        <v/>
      </c>
      <c r="F694" s="51" t="str">
        <f aca="false">IF(C694="","",IFERROR(IF(LEFT(C694,1)="L",INDEX('Leads Pipeline'!$E$5:$E$1004,MATCH(C694,'Leads Pipeline'!$A$5:$A$1004,0)),INDEX('Active Clients'!$C$5:$C$504,MATCH(C694,'Active Clients'!$A$5:$A$504,0)))&amp;"","ID not found"))</f>
        <v/>
      </c>
      <c r="G694" s="16"/>
      <c r="H694" s="16"/>
      <c r="I694" s="16"/>
      <c r="J694" s="16"/>
      <c r="K694" s="16"/>
      <c r="L694" s="18"/>
    </row>
    <row r="695" customFormat="false" ht="15" hidden="false" customHeight="false" outlineLevel="0" collapsed="false">
      <c r="A695" s="18"/>
      <c r="B695" s="16"/>
      <c r="C695" s="16"/>
      <c r="D695" s="51" t="str">
        <f aca="false">IF(C695="","",IFERROR(IF(LEFT(C695,1)="L",INDEX('Leads Pipeline'!$F$5:$F$1004,MATCH(C695,'Leads Pipeline'!$A$5:$A$1004,0)),INDEX('Active Clients'!$D$5:$D$504,MATCH(C695,'Active Clients'!$A$5:$A$504,0)))&amp;"","ID not found"))</f>
        <v/>
      </c>
      <c r="E695" s="51" t="str">
        <f aca="false">IF(C695="","",IFERROR(IF(LEFT(C695,1)="L",INDEX('Leads Pipeline'!$D$5:$D$1004,MATCH(C695,'Leads Pipeline'!$A$5:$A$1004,0)),INDEX('Active Clients'!$B$5:$B$504,MATCH(C695,'Active Clients'!$A$5:$A$504,0)))&amp;"","ID not found"))</f>
        <v/>
      </c>
      <c r="F695" s="51" t="str">
        <f aca="false">IF(C695="","",IFERROR(IF(LEFT(C695,1)="L",INDEX('Leads Pipeline'!$E$5:$E$1004,MATCH(C695,'Leads Pipeline'!$A$5:$A$1004,0)),INDEX('Active Clients'!$C$5:$C$504,MATCH(C695,'Active Clients'!$A$5:$A$504,0)))&amp;"","ID not found"))</f>
        <v/>
      </c>
      <c r="G695" s="16"/>
      <c r="H695" s="16"/>
      <c r="I695" s="16"/>
      <c r="J695" s="16"/>
      <c r="K695" s="16"/>
      <c r="L695" s="18"/>
    </row>
    <row r="696" customFormat="false" ht="15" hidden="false" customHeight="false" outlineLevel="0" collapsed="false">
      <c r="A696" s="18"/>
      <c r="B696" s="16"/>
      <c r="C696" s="16"/>
      <c r="D696" s="51" t="str">
        <f aca="false">IF(C696="","",IFERROR(IF(LEFT(C696,1)="L",INDEX('Leads Pipeline'!$F$5:$F$1004,MATCH(C696,'Leads Pipeline'!$A$5:$A$1004,0)),INDEX('Active Clients'!$D$5:$D$504,MATCH(C696,'Active Clients'!$A$5:$A$504,0)))&amp;"","ID not found"))</f>
        <v/>
      </c>
      <c r="E696" s="51" t="str">
        <f aca="false">IF(C696="","",IFERROR(IF(LEFT(C696,1)="L",INDEX('Leads Pipeline'!$D$5:$D$1004,MATCH(C696,'Leads Pipeline'!$A$5:$A$1004,0)),INDEX('Active Clients'!$B$5:$B$504,MATCH(C696,'Active Clients'!$A$5:$A$504,0)))&amp;"","ID not found"))</f>
        <v/>
      </c>
      <c r="F696" s="51" t="str">
        <f aca="false">IF(C696="","",IFERROR(IF(LEFT(C696,1)="L",INDEX('Leads Pipeline'!$E$5:$E$1004,MATCH(C696,'Leads Pipeline'!$A$5:$A$1004,0)),INDEX('Active Clients'!$C$5:$C$504,MATCH(C696,'Active Clients'!$A$5:$A$504,0)))&amp;"","ID not found"))</f>
        <v/>
      </c>
      <c r="G696" s="16"/>
      <c r="H696" s="16"/>
      <c r="I696" s="16"/>
      <c r="J696" s="16"/>
      <c r="K696" s="16"/>
      <c r="L696" s="18"/>
    </row>
    <row r="697" customFormat="false" ht="15" hidden="false" customHeight="false" outlineLevel="0" collapsed="false">
      <c r="A697" s="18"/>
      <c r="B697" s="16"/>
      <c r="C697" s="16"/>
      <c r="D697" s="51" t="str">
        <f aca="false">IF(C697="","",IFERROR(IF(LEFT(C697,1)="L",INDEX('Leads Pipeline'!$F$5:$F$1004,MATCH(C697,'Leads Pipeline'!$A$5:$A$1004,0)),INDEX('Active Clients'!$D$5:$D$504,MATCH(C697,'Active Clients'!$A$5:$A$504,0)))&amp;"","ID not found"))</f>
        <v/>
      </c>
      <c r="E697" s="51" t="str">
        <f aca="false">IF(C697="","",IFERROR(IF(LEFT(C697,1)="L",INDEX('Leads Pipeline'!$D$5:$D$1004,MATCH(C697,'Leads Pipeline'!$A$5:$A$1004,0)),INDEX('Active Clients'!$B$5:$B$504,MATCH(C697,'Active Clients'!$A$5:$A$504,0)))&amp;"","ID not found"))</f>
        <v/>
      </c>
      <c r="F697" s="51" t="str">
        <f aca="false">IF(C697="","",IFERROR(IF(LEFT(C697,1)="L",INDEX('Leads Pipeline'!$E$5:$E$1004,MATCH(C697,'Leads Pipeline'!$A$5:$A$1004,0)),INDEX('Active Clients'!$C$5:$C$504,MATCH(C697,'Active Clients'!$A$5:$A$504,0)))&amp;"","ID not found"))</f>
        <v/>
      </c>
      <c r="G697" s="16"/>
      <c r="H697" s="16"/>
      <c r="I697" s="16"/>
      <c r="J697" s="16"/>
      <c r="K697" s="16"/>
      <c r="L697" s="18"/>
    </row>
    <row r="698" customFormat="false" ht="15" hidden="false" customHeight="false" outlineLevel="0" collapsed="false">
      <c r="A698" s="18"/>
      <c r="B698" s="16"/>
      <c r="C698" s="16"/>
      <c r="D698" s="51" t="str">
        <f aca="false">IF(C698="","",IFERROR(IF(LEFT(C698,1)="L",INDEX('Leads Pipeline'!$F$5:$F$1004,MATCH(C698,'Leads Pipeline'!$A$5:$A$1004,0)),INDEX('Active Clients'!$D$5:$D$504,MATCH(C698,'Active Clients'!$A$5:$A$504,0)))&amp;"","ID not found"))</f>
        <v/>
      </c>
      <c r="E698" s="51" t="str">
        <f aca="false">IF(C698="","",IFERROR(IF(LEFT(C698,1)="L",INDEX('Leads Pipeline'!$D$5:$D$1004,MATCH(C698,'Leads Pipeline'!$A$5:$A$1004,0)),INDEX('Active Clients'!$B$5:$B$504,MATCH(C698,'Active Clients'!$A$5:$A$504,0)))&amp;"","ID not found"))</f>
        <v/>
      </c>
      <c r="F698" s="51" t="str">
        <f aca="false">IF(C698="","",IFERROR(IF(LEFT(C698,1)="L",INDEX('Leads Pipeline'!$E$5:$E$1004,MATCH(C698,'Leads Pipeline'!$A$5:$A$1004,0)),INDEX('Active Clients'!$C$5:$C$504,MATCH(C698,'Active Clients'!$A$5:$A$504,0)))&amp;"","ID not found"))</f>
        <v/>
      </c>
      <c r="G698" s="16"/>
      <c r="H698" s="16"/>
      <c r="I698" s="16"/>
      <c r="J698" s="16"/>
      <c r="K698" s="16"/>
      <c r="L698" s="18"/>
    </row>
    <row r="699" customFormat="false" ht="15" hidden="false" customHeight="false" outlineLevel="0" collapsed="false">
      <c r="A699" s="18"/>
      <c r="B699" s="16"/>
      <c r="C699" s="16"/>
      <c r="D699" s="51" t="str">
        <f aca="false">IF(C699="","",IFERROR(IF(LEFT(C699,1)="L",INDEX('Leads Pipeline'!$F$5:$F$1004,MATCH(C699,'Leads Pipeline'!$A$5:$A$1004,0)),INDEX('Active Clients'!$D$5:$D$504,MATCH(C699,'Active Clients'!$A$5:$A$504,0)))&amp;"","ID not found"))</f>
        <v/>
      </c>
      <c r="E699" s="51" t="str">
        <f aca="false">IF(C699="","",IFERROR(IF(LEFT(C699,1)="L",INDEX('Leads Pipeline'!$D$5:$D$1004,MATCH(C699,'Leads Pipeline'!$A$5:$A$1004,0)),INDEX('Active Clients'!$B$5:$B$504,MATCH(C699,'Active Clients'!$A$5:$A$504,0)))&amp;"","ID not found"))</f>
        <v/>
      </c>
      <c r="F699" s="51" t="str">
        <f aca="false">IF(C699="","",IFERROR(IF(LEFT(C699,1)="L",INDEX('Leads Pipeline'!$E$5:$E$1004,MATCH(C699,'Leads Pipeline'!$A$5:$A$1004,0)),INDEX('Active Clients'!$C$5:$C$504,MATCH(C699,'Active Clients'!$A$5:$A$504,0)))&amp;"","ID not found"))</f>
        <v/>
      </c>
      <c r="G699" s="16"/>
      <c r="H699" s="16"/>
      <c r="I699" s="16"/>
      <c r="J699" s="16"/>
      <c r="K699" s="16"/>
      <c r="L699" s="18"/>
    </row>
    <row r="700" customFormat="false" ht="15" hidden="false" customHeight="false" outlineLevel="0" collapsed="false">
      <c r="A700" s="18"/>
      <c r="B700" s="16"/>
      <c r="C700" s="16"/>
      <c r="D700" s="51" t="str">
        <f aca="false">IF(C700="","",IFERROR(IF(LEFT(C700,1)="L",INDEX('Leads Pipeline'!$F$5:$F$1004,MATCH(C700,'Leads Pipeline'!$A$5:$A$1004,0)),INDEX('Active Clients'!$D$5:$D$504,MATCH(C700,'Active Clients'!$A$5:$A$504,0)))&amp;"","ID not found"))</f>
        <v/>
      </c>
      <c r="E700" s="51" t="str">
        <f aca="false">IF(C700="","",IFERROR(IF(LEFT(C700,1)="L",INDEX('Leads Pipeline'!$D$5:$D$1004,MATCH(C700,'Leads Pipeline'!$A$5:$A$1004,0)),INDEX('Active Clients'!$B$5:$B$504,MATCH(C700,'Active Clients'!$A$5:$A$504,0)))&amp;"","ID not found"))</f>
        <v/>
      </c>
      <c r="F700" s="51" t="str">
        <f aca="false">IF(C700="","",IFERROR(IF(LEFT(C700,1)="L",INDEX('Leads Pipeline'!$E$5:$E$1004,MATCH(C700,'Leads Pipeline'!$A$5:$A$1004,0)),INDEX('Active Clients'!$C$5:$C$504,MATCH(C700,'Active Clients'!$A$5:$A$504,0)))&amp;"","ID not found"))</f>
        <v/>
      </c>
      <c r="G700" s="16"/>
      <c r="H700" s="16"/>
      <c r="I700" s="16"/>
      <c r="J700" s="16"/>
      <c r="K700" s="16"/>
      <c r="L700" s="18"/>
    </row>
    <row r="701" customFormat="false" ht="15" hidden="false" customHeight="false" outlineLevel="0" collapsed="false">
      <c r="A701" s="18"/>
      <c r="B701" s="16"/>
      <c r="C701" s="16"/>
      <c r="D701" s="51" t="str">
        <f aca="false">IF(C701="","",IFERROR(IF(LEFT(C701,1)="L",INDEX('Leads Pipeline'!$F$5:$F$1004,MATCH(C701,'Leads Pipeline'!$A$5:$A$1004,0)),INDEX('Active Clients'!$D$5:$D$504,MATCH(C701,'Active Clients'!$A$5:$A$504,0)))&amp;"","ID not found"))</f>
        <v/>
      </c>
      <c r="E701" s="51" t="str">
        <f aca="false">IF(C701="","",IFERROR(IF(LEFT(C701,1)="L",INDEX('Leads Pipeline'!$D$5:$D$1004,MATCH(C701,'Leads Pipeline'!$A$5:$A$1004,0)),INDEX('Active Clients'!$B$5:$B$504,MATCH(C701,'Active Clients'!$A$5:$A$504,0)))&amp;"","ID not found"))</f>
        <v/>
      </c>
      <c r="F701" s="51" t="str">
        <f aca="false">IF(C701="","",IFERROR(IF(LEFT(C701,1)="L",INDEX('Leads Pipeline'!$E$5:$E$1004,MATCH(C701,'Leads Pipeline'!$A$5:$A$1004,0)),INDEX('Active Clients'!$C$5:$C$504,MATCH(C701,'Active Clients'!$A$5:$A$504,0)))&amp;"","ID not found"))</f>
        <v/>
      </c>
      <c r="G701" s="16"/>
      <c r="H701" s="16"/>
      <c r="I701" s="16"/>
      <c r="J701" s="16"/>
      <c r="K701" s="16"/>
      <c r="L701" s="18"/>
    </row>
    <row r="702" customFormat="false" ht="15" hidden="false" customHeight="false" outlineLevel="0" collapsed="false">
      <c r="A702" s="18"/>
      <c r="B702" s="16"/>
      <c r="C702" s="16"/>
      <c r="D702" s="51" t="str">
        <f aca="false">IF(C702="","",IFERROR(IF(LEFT(C702,1)="L",INDEX('Leads Pipeline'!$F$5:$F$1004,MATCH(C702,'Leads Pipeline'!$A$5:$A$1004,0)),INDEX('Active Clients'!$D$5:$D$504,MATCH(C702,'Active Clients'!$A$5:$A$504,0)))&amp;"","ID not found"))</f>
        <v/>
      </c>
      <c r="E702" s="51" t="str">
        <f aca="false">IF(C702="","",IFERROR(IF(LEFT(C702,1)="L",INDEX('Leads Pipeline'!$D$5:$D$1004,MATCH(C702,'Leads Pipeline'!$A$5:$A$1004,0)),INDEX('Active Clients'!$B$5:$B$504,MATCH(C702,'Active Clients'!$A$5:$A$504,0)))&amp;"","ID not found"))</f>
        <v/>
      </c>
      <c r="F702" s="51" t="str">
        <f aca="false">IF(C702="","",IFERROR(IF(LEFT(C702,1)="L",INDEX('Leads Pipeline'!$E$5:$E$1004,MATCH(C702,'Leads Pipeline'!$A$5:$A$1004,0)),INDEX('Active Clients'!$C$5:$C$504,MATCH(C702,'Active Clients'!$A$5:$A$504,0)))&amp;"","ID not found"))</f>
        <v/>
      </c>
      <c r="G702" s="16"/>
      <c r="H702" s="16"/>
      <c r="I702" s="16"/>
      <c r="J702" s="16"/>
      <c r="K702" s="16"/>
      <c r="L702" s="18"/>
    </row>
    <row r="703" customFormat="false" ht="15" hidden="false" customHeight="false" outlineLevel="0" collapsed="false">
      <c r="A703" s="18"/>
      <c r="B703" s="16"/>
      <c r="C703" s="16"/>
      <c r="D703" s="51" t="str">
        <f aca="false">IF(C703="","",IFERROR(IF(LEFT(C703,1)="L",INDEX('Leads Pipeline'!$F$5:$F$1004,MATCH(C703,'Leads Pipeline'!$A$5:$A$1004,0)),INDEX('Active Clients'!$D$5:$D$504,MATCH(C703,'Active Clients'!$A$5:$A$504,0)))&amp;"","ID not found"))</f>
        <v/>
      </c>
      <c r="E703" s="51" t="str">
        <f aca="false">IF(C703="","",IFERROR(IF(LEFT(C703,1)="L",INDEX('Leads Pipeline'!$D$5:$D$1004,MATCH(C703,'Leads Pipeline'!$A$5:$A$1004,0)),INDEX('Active Clients'!$B$5:$B$504,MATCH(C703,'Active Clients'!$A$5:$A$504,0)))&amp;"","ID not found"))</f>
        <v/>
      </c>
      <c r="F703" s="51" t="str">
        <f aca="false">IF(C703="","",IFERROR(IF(LEFT(C703,1)="L",INDEX('Leads Pipeline'!$E$5:$E$1004,MATCH(C703,'Leads Pipeline'!$A$5:$A$1004,0)),INDEX('Active Clients'!$C$5:$C$504,MATCH(C703,'Active Clients'!$A$5:$A$504,0)))&amp;"","ID not found"))</f>
        <v/>
      </c>
      <c r="G703" s="16"/>
      <c r="H703" s="16"/>
      <c r="I703" s="16"/>
      <c r="J703" s="16"/>
      <c r="K703" s="16"/>
      <c r="L703" s="18"/>
    </row>
    <row r="704" customFormat="false" ht="15" hidden="false" customHeight="false" outlineLevel="0" collapsed="false">
      <c r="A704" s="18"/>
      <c r="B704" s="16"/>
      <c r="C704" s="16"/>
      <c r="D704" s="51" t="str">
        <f aca="false">IF(C704="","",IFERROR(IF(LEFT(C704,1)="L",INDEX('Leads Pipeline'!$F$5:$F$1004,MATCH(C704,'Leads Pipeline'!$A$5:$A$1004,0)),INDEX('Active Clients'!$D$5:$D$504,MATCH(C704,'Active Clients'!$A$5:$A$504,0)))&amp;"","ID not found"))</f>
        <v/>
      </c>
      <c r="E704" s="51" t="str">
        <f aca="false">IF(C704="","",IFERROR(IF(LEFT(C704,1)="L",INDEX('Leads Pipeline'!$D$5:$D$1004,MATCH(C704,'Leads Pipeline'!$A$5:$A$1004,0)),INDEX('Active Clients'!$B$5:$B$504,MATCH(C704,'Active Clients'!$A$5:$A$504,0)))&amp;"","ID not found"))</f>
        <v/>
      </c>
      <c r="F704" s="51" t="str">
        <f aca="false">IF(C704="","",IFERROR(IF(LEFT(C704,1)="L",INDEX('Leads Pipeline'!$E$5:$E$1004,MATCH(C704,'Leads Pipeline'!$A$5:$A$1004,0)),INDEX('Active Clients'!$C$5:$C$504,MATCH(C704,'Active Clients'!$A$5:$A$504,0)))&amp;"","ID not found"))</f>
        <v/>
      </c>
      <c r="G704" s="16"/>
      <c r="H704" s="16"/>
      <c r="I704" s="16"/>
      <c r="J704" s="16"/>
      <c r="K704" s="16"/>
      <c r="L704" s="18"/>
    </row>
    <row r="705" customFormat="false" ht="15" hidden="false" customHeight="false" outlineLevel="0" collapsed="false">
      <c r="A705" s="18"/>
      <c r="B705" s="16"/>
      <c r="C705" s="16"/>
      <c r="D705" s="51" t="str">
        <f aca="false">IF(C705="","",IFERROR(IF(LEFT(C705,1)="L",INDEX('Leads Pipeline'!$F$5:$F$1004,MATCH(C705,'Leads Pipeline'!$A$5:$A$1004,0)),INDEX('Active Clients'!$D$5:$D$504,MATCH(C705,'Active Clients'!$A$5:$A$504,0)))&amp;"","ID not found"))</f>
        <v/>
      </c>
      <c r="E705" s="51" t="str">
        <f aca="false">IF(C705="","",IFERROR(IF(LEFT(C705,1)="L",INDEX('Leads Pipeline'!$D$5:$D$1004,MATCH(C705,'Leads Pipeline'!$A$5:$A$1004,0)),INDEX('Active Clients'!$B$5:$B$504,MATCH(C705,'Active Clients'!$A$5:$A$504,0)))&amp;"","ID not found"))</f>
        <v/>
      </c>
      <c r="F705" s="51" t="str">
        <f aca="false">IF(C705="","",IFERROR(IF(LEFT(C705,1)="L",INDEX('Leads Pipeline'!$E$5:$E$1004,MATCH(C705,'Leads Pipeline'!$A$5:$A$1004,0)),INDEX('Active Clients'!$C$5:$C$504,MATCH(C705,'Active Clients'!$A$5:$A$504,0)))&amp;"","ID not found"))</f>
        <v/>
      </c>
      <c r="G705" s="16"/>
      <c r="H705" s="16"/>
      <c r="I705" s="16"/>
      <c r="J705" s="16"/>
      <c r="K705" s="16"/>
      <c r="L705" s="18"/>
    </row>
    <row r="706" customFormat="false" ht="15" hidden="false" customHeight="false" outlineLevel="0" collapsed="false">
      <c r="A706" s="18"/>
      <c r="B706" s="16"/>
      <c r="C706" s="16"/>
      <c r="D706" s="51" t="str">
        <f aca="false">IF(C706="","",IFERROR(IF(LEFT(C706,1)="L",INDEX('Leads Pipeline'!$F$5:$F$1004,MATCH(C706,'Leads Pipeline'!$A$5:$A$1004,0)),INDEX('Active Clients'!$D$5:$D$504,MATCH(C706,'Active Clients'!$A$5:$A$504,0)))&amp;"","ID not found"))</f>
        <v/>
      </c>
      <c r="E706" s="51" t="str">
        <f aca="false">IF(C706="","",IFERROR(IF(LEFT(C706,1)="L",INDEX('Leads Pipeline'!$D$5:$D$1004,MATCH(C706,'Leads Pipeline'!$A$5:$A$1004,0)),INDEX('Active Clients'!$B$5:$B$504,MATCH(C706,'Active Clients'!$A$5:$A$504,0)))&amp;"","ID not found"))</f>
        <v/>
      </c>
      <c r="F706" s="51" t="str">
        <f aca="false">IF(C706="","",IFERROR(IF(LEFT(C706,1)="L",INDEX('Leads Pipeline'!$E$5:$E$1004,MATCH(C706,'Leads Pipeline'!$A$5:$A$1004,0)),INDEX('Active Clients'!$C$5:$C$504,MATCH(C706,'Active Clients'!$A$5:$A$504,0)))&amp;"","ID not found"))</f>
        <v/>
      </c>
      <c r="G706" s="16"/>
      <c r="H706" s="16"/>
      <c r="I706" s="16"/>
      <c r="J706" s="16"/>
      <c r="K706" s="16"/>
      <c r="L706" s="18"/>
    </row>
    <row r="707" customFormat="false" ht="15" hidden="false" customHeight="false" outlineLevel="0" collapsed="false">
      <c r="A707" s="18"/>
      <c r="B707" s="16"/>
      <c r="C707" s="16"/>
      <c r="D707" s="51" t="str">
        <f aca="false">IF(C707="","",IFERROR(IF(LEFT(C707,1)="L",INDEX('Leads Pipeline'!$F$5:$F$1004,MATCH(C707,'Leads Pipeline'!$A$5:$A$1004,0)),INDEX('Active Clients'!$D$5:$D$504,MATCH(C707,'Active Clients'!$A$5:$A$504,0)))&amp;"","ID not found"))</f>
        <v/>
      </c>
      <c r="E707" s="51" t="str">
        <f aca="false">IF(C707="","",IFERROR(IF(LEFT(C707,1)="L",INDEX('Leads Pipeline'!$D$5:$D$1004,MATCH(C707,'Leads Pipeline'!$A$5:$A$1004,0)),INDEX('Active Clients'!$B$5:$B$504,MATCH(C707,'Active Clients'!$A$5:$A$504,0)))&amp;"","ID not found"))</f>
        <v/>
      </c>
      <c r="F707" s="51" t="str">
        <f aca="false">IF(C707="","",IFERROR(IF(LEFT(C707,1)="L",INDEX('Leads Pipeline'!$E$5:$E$1004,MATCH(C707,'Leads Pipeline'!$A$5:$A$1004,0)),INDEX('Active Clients'!$C$5:$C$504,MATCH(C707,'Active Clients'!$A$5:$A$504,0)))&amp;"","ID not found"))</f>
        <v/>
      </c>
      <c r="G707" s="16"/>
      <c r="H707" s="16"/>
      <c r="I707" s="16"/>
      <c r="J707" s="16"/>
      <c r="K707" s="16"/>
      <c r="L707" s="18"/>
    </row>
    <row r="708" customFormat="false" ht="15" hidden="false" customHeight="false" outlineLevel="0" collapsed="false">
      <c r="A708" s="18"/>
      <c r="B708" s="16"/>
      <c r="C708" s="16"/>
      <c r="D708" s="51" t="str">
        <f aca="false">IF(C708="","",IFERROR(IF(LEFT(C708,1)="L",INDEX('Leads Pipeline'!$F$5:$F$1004,MATCH(C708,'Leads Pipeline'!$A$5:$A$1004,0)),INDEX('Active Clients'!$D$5:$D$504,MATCH(C708,'Active Clients'!$A$5:$A$504,0)))&amp;"","ID not found"))</f>
        <v/>
      </c>
      <c r="E708" s="51" t="str">
        <f aca="false">IF(C708="","",IFERROR(IF(LEFT(C708,1)="L",INDEX('Leads Pipeline'!$D$5:$D$1004,MATCH(C708,'Leads Pipeline'!$A$5:$A$1004,0)),INDEX('Active Clients'!$B$5:$B$504,MATCH(C708,'Active Clients'!$A$5:$A$504,0)))&amp;"","ID not found"))</f>
        <v/>
      </c>
      <c r="F708" s="51" t="str">
        <f aca="false">IF(C708="","",IFERROR(IF(LEFT(C708,1)="L",INDEX('Leads Pipeline'!$E$5:$E$1004,MATCH(C708,'Leads Pipeline'!$A$5:$A$1004,0)),INDEX('Active Clients'!$C$5:$C$504,MATCH(C708,'Active Clients'!$A$5:$A$504,0)))&amp;"","ID not found"))</f>
        <v/>
      </c>
      <c r="G708" s="16"/>
      <c r="H708" s="16"/>
      <c r="I708" s="16"/>
      <c r="J708" s="16"/>
      <c r="K708" s="16"/>
      <c r="L708" s="18"/>
    </row>
    <row r="709" customFormat="false" ht="15" hidden="false" customHeight="false" outlineLevel="0" collapsed="false">
      <c r="A709" s="18"/>
      <c r="B709" s="16"/>
      <c r="C709" s="16"/>
      <c r="D709" s="51" t="str">
        <f aca="false">IF(C709="","",IFERROR(IF(LEFT(C709,1)="L",INDEX('Leads Pipeline'!$F$5:$F$1004,MATCH(C709,'Leads Pipeline'!$A$5:$A$1004,0)),INDEX('Active Clients'!$D$5:$D$504,MATCH(C709,'Active Clients'!$A$5:$A$504,0)))&amp;"","ID not found"))</f>
        <v/>
      </c>
      <c r="E709" s="51" t="str">
        <f aca="false">IF(C709="","",IFERROR(IF(LEFT(C709,1)="L",INDEX('Leads Pipeline'!$D$5:$D$1004,MATCH(C709,'Leads Pipeline'!$A$5:$A$1004,0)),INDEX('Active Clients'!$B$5:$B$504,MATCH(C709,'Active Clients'!$A$5:$A$504,0)))&amp;"","ID not found"))</f>
        <v/>
      </c>
      <c r="F709" s="51" t="str">
        <f aca="false">IF(C709="","",IFERROR(IF(LEFT(C709,1)="L",INDEX('Leads Pipeline'!$E$5:$E$1004,MATCH(C709,'Leads Pipeline'!$A$5:$A$1004,0)),INDEX('Active Clients'!$C$5:$C$504,MATCH(C709,'Active Clients'!$A$5:$A$504,0)))&amp;"","ID not found"))</f>
        <v/>
      </c>
      <c r="G709" s="16"/>
      <c r="H709" s="16"/>
      <c r="I709" s="16"/>
      <c r="J709" s="16"/>
      <c r="K709" s="16"/>
      <c r="L709" s="18"/>
    </row>
    <row r="710" customFormat="false" ht="15" hidden="false" customHeight="false" outlineLevel="0" collapsed="false">
      <c r="A710" s="18"/>
      <c r="B710" s="16"/>
      <c r="C710" s="16"/>
      <c r="D710" s="51" t="str">
        <f aca="false">IF(C710="","",IFERROR(IF(LEFT(C710,1)="L",INDEX('Leads Pipeline'!$F$5:$F$1004,MATCH(C710,'Leads Pipeline'!$A$5:$A$1004,0)),INDEX('Active Clients'!$D$5:$D$504,MATCH(C710,'Active Clients'!$A$5:$A$504,0)))&amp;"","ID not found"))</f>
        <v/>
      </c>
      <c r="E710" s="51" t="str">
        <f aca="false">IF(C710="","",IFERROR(IF(LEFT(C710,1)="L",INDEX('Leads Pipeline'!$D$5:$D$1004,MATCH(C710,'Leads Pipeline'!$A$5:$A$1004,0)),INDEX('Active Clients'!$B$5:$B$504,MATCH(C710,'Active Clients'!$A$5:$A$504,0)))&amp;"","ID not found"))</f>
        <v/>
      </c>
      <c r="F710" s="51" t="str">
        <f aca="false">IF(C710="","",IFERROR(IF(LEFT(C710,1)="L",INDEX('Leads Pipeline'!$E$5:$E$1004,MATCH(C710,'Leads Pipeline'!$A$5:$A$1004,0)),INDEX('Active Clients'!$C$5:$C$504,MATCH(C710,'Active Clients'!$A$5:$A$504,0)))&amp;"","ID not found"))</f>
        <v/>
      </c>
      <c r="G710" s="16"/>
      <c r="H710" s="16"/>
      <c r="I710" s="16"/>
      <c r="J710" s="16"/>
      <c r="K710" s="16"/>
      <c r="L710" s="18"/>
    </row>
    <row r="711" customFormat="false" ht="15" hidden="false" customHeight="false" outlineLevel="0" collapsed="false">
      <c r="A711" s="18"/>
      <c r="B711" s="16"/>
      <c r="C711" s="16"/>
      <c r="D711" s="51" t="str">
        <f aca="false">IF(C711="","",IFERROR(IF(LEFT(C711,1)="L",INDEX('Leads Pipeline'!$F$5:$F$1004,MATCH(C711,'Leads Pipeline'!$A$5:$A$1004,0)),INDEX('Active Clients'!$D$5:$D$504,MATCH(C711,'Active Clients'!$A$5:$A$504,0)))&amp;"","ID not found"))</f>
        <v/>
      </c>
      <c r="E711" s="51" t="str">
        <f aca="false">IF(C711="","",IFERROR(IF(LEFT(C711,1)="L",INDEX('Leads Pipeline'!$D$5:$D$1004,MATCH(C711,'Leads Pipeline'!$A$5:$A$1004,0)),INDEX('Active Clients'!$B$5:$B$504,MATCH(C711,'Active Clients'!$A$5:$A$504,0)))&amp;"","ID not found"))</f>
        <v/>
      </c>
      <c r="F711" s="51" t="str">
        <f aca="false">IF(C711="","",IFERROR(IF(LEFT(C711,1)="L",INDEX('Leads Pipeline'!$E$5:$E$1004,MATCH(C711,'Leads Pipeline'!$A$5:$A$1004,0)),INDEX('Active Clients'!$C$5:$C$504,MATCH(C711,'Active Clients'!$A$5:$A$504,0)))&amp;"","ID not found"))</f>
        <v/>
      </c>
      <c r="G711" s="16"/>
      <c r="H711" s="16"/>
      <c r="I711" s="16"/>
      <c r="J711" s="16"/>
      <c r="K711" s="16"/>
      <c r="L711" s="18"/>
    </row>
    <row r="712" customFormat="false" ht="15" hidden="false" customHeight="false" outlineLevel="0" collapsed="false">
      <c r="A712" s="18"/>
      <c r="B712" s="16"/>
      <c r="C712" s="16"/>
      <c r="D712" s="51" t="str">
        <f aca="false">IF(C712="","",IFERROR(IF(LEFT(C712,1)="L",INDEX('Leads Pipeline'!$F$5:$F$1004,MATCH(C712,'Leads Pipeline'!$A$5:$A$1004,0)),INDEX('Active Clients'!$D$5:$D$504,MATCH(C712,'Active Clients'!$A$5:$A$504,0)))&amp;"","ID not found"))</f>
        <v/>
      </c>
      <c r="E712" s="51" t="str">
        <f aca="false">IF(C712="","",IFERROR(IF(LEFT(C712,1)="L",INDEX('Leads Pipeline'!$D$5:$D$1004,MATCH(C712,'Leads Pipeline'!$A$5:$A$1004,0)),INDEX('Active Clients'!$B$5:$B$504,MATCH(C712,'Active Clients'!$A$5:$A$504,0)))&amp;"","ID not found"))</f>
        <v/>
      </c>
      <c r="F712" s="51" t="str">
        <f aca="false">IF(C712="","",IFERROR(IF(LEFT(C712,1)="L",INDEX('Leads Pipeline'!$E$5:$E$1004,MATCH(C712,'Leads Pipeline'!$A$5:$A$1004,0)),INDEX('Active Clients'!$C$5:$C$504,MATCH(C712,'Active Clients'!$A$5:$A$504,0)))&amp;"","ID not found"))</f>
        <v/>
      </c>
      <c r="G712" s="16"/>
      <c r="H712" s="16"/>
      <c r="I712" s="16"/>
      <c r="J712" s="16"/>
      <c r="K712" s="16"/>
      <c r="L712" s="18"/>
    </row>
    <row r="713" customFormat="false" ht="15" hidden="false" customHeight="false" outlineLevel="0" collapsed="false">
      <c r="A713" s="18"/>
      <c r="B713" s="16"/>
      <c r="C713" s="16"/>
      <c r="D713" s="51" t="str">
        <f aca="false">IF(C713="","",IFERROR(IF(LEFT(C713,1)="L",INDEX('Leads Pipeline'!$F$5:$F$1004,MATCH(C713,'Leads Pipeline'!$A$5:$A$1004,0)),INDEX('Active Clients'!$D$5:$D$504,MATCH(C713,'Active Clients'!$A$5:$A$504,0)))&amp;"","ID not found"))</f>
        <v/>
      </c>
      <c r="E713" s="51" t="str">
        <f aca="false">IF(C713="","",IFERROR(IF(LEFT(C713,1)="L",INDEX('Leads Pipeline'!$D$5:$D$1004,MATCH(C713,'Leads Pipeline'!$A$5:$A$1004,0)),INDEX('Active Clients'!$B$5:$B$504,MATCH(C713,'Active Clients'!$A$5:$A$504,0)))&amp;"","ID not found"))</f>
        <v/>
      </c>
      <c r="F713" s="51" t="str">
        <f aca="false">IF(C713="","",IFERROR(IF(LEFT(C713,1)="L",INDEX('Leads Pipeline'!$E$5:$E$1004,MATCH(C713,'Leads Pipeline'!$A$5:$A$1004,0)),INDEX('Active Clients'!$C$5:$C$504,MATCH(C713,'Active Clients'!$A$5:$A$504,0)))&amp;"","ID not found"))</f>
        <v/>
      </c>
      <c r="G713" s="16"/>
      <c r="H713" s="16"/>
      <c r="I713" s="16"/>
      <c r="J713" s="16"/>
      <c r="K713" s="16"/>
      <c r="L713" s="18"/>
    </row>
    <row r="714" customFormat="false" ht="15" hidden="false" customHeight="false" outlineLevel="0" collapsed="false">
      <c r="A714" s="18"/>
      <c r="B714" s="16"/>
      <c r="C714" s="16"/>
      <c r="D714" s="51" t="str">
        <f aca="false">IF(C714="","",IFERROR(IF(LEFT(C714,1)="L",INDEX('Leads Pipeline'!$F$5:$F$1004,MATCH(C714,'Leads Pipeline'!$A$5:$A$1004,0)),INDEX('Active Clients'!$D$5:$D$504,MATCH(C714,'Active Clients'!$A$5:$A$504,0)))&amp;"","ID not found"))</f>
        <v/>
      </c>
      <c r="E714" s="51" t="str">
        <f aca="false">IF(C714="","",IFERROR(IF(LEFT(C714,1)="L",INDEX('Leads Pipeline'!$D$5:$D$1004,MATCH(C714,'Leads Pipeline'!$A$5:$A$1004,0)),INDEX('Active Clients'!$B$5:$B$504,MATCH(C714,'Active Clients'!$A$5:$A$504,0)))&amp;"","ID not found"))</f>
        <v/>
      </c>
      <c r="F714" s="51" t="str">
        <f aca="false">IF(C714="","",IFERROR(IF(LEFT(C714,1)="L",INDEX('Leads Pipeline'!$E$5:$E$1004,MATCH(C714,'Leads Pipeline'!$A$5:$A$1004,0)),INDEX('Active Clients'!$C$5:$C$504,MATCH(C714,'Active Clients'!$A$5:$A$504,0)))&amp;"","ID not found"))</f>
        <v/>
      </c>
      <c r="G714" s="16"/>
      <c r="H714" s="16"/>
      <c r="I714" s="16"/>
      <c r="J714" s="16"/>
      <c r="K714" s="16"/>
      <c r="L714" s="18"/>
    </row>
    <row r="715" customFormat="false" ht="15" hidden="false" customHeight="false" outlineLevel="0" collapsed="false">
      <c r="A715" s="18"/>
      <c r="B715" s="16"/>
      <c r="C715" s="16"/>
      <c r="D715" s="51" t="str">
        <f aca="false">IF(C715="","",IFERROR(IF(LEFT(C715,1)="L",INDEX('Leads Pipeline'!$F$5:$F$1004,MATCH(C715,'Leads Pipeline'!$A$5:$A$1004,0)),INDEX('Active Clients'!$D$5:$D$504,MATCH(C715,'Active Clients'!$A$5:$A$504,0)))&amp;"","ID not found"))</f>
        <v/>
      </c>
      <c r="E715" s="51" t="str">
        <f aca="false">IF(C715="","",IFERROR(IF(LEFT(C715,1)="L",INDEX('Leads Pipeline'!$D$5:$D$1004,MATCH(C715,'Leads Pipeline'!$A$5:$A$1004,0)),INDEX('Active Clients'!$B$5:$B$504,MATCH(C715,'Active Clients'!$A$5:$A$504,0)))&amp;"","ID not found"))</f>
        <v/>
      </c>
      <c r="F715" s="51" t="str">
        <f aca="false">IF(C715="","",IFERROR(IF(LEFT(C715,1)="L",INDEX('Leads Pipeline'!$E$5:$E$1004,MATCH(C715,'Leads Pipeline'!$A$5:$A$1004,0)),INDEX('Active Clients'!$C$5:$C$504,MATCH(C715,'Active Clients'!$A$5:$A$504,0)))&amp;"","ID not found"))</f>
        <v/>
      </c>
      <c r="G715" s="16"/>
      <c r="H715" s="16"/>
      <c r="I715" s="16"/>
      <c r="J715" s="16"/>
      <c r="K715" s="16"/>
      <c r="L715" s="18"/>
    </row>
    <row r="716" customFormat="false" ht="15" hidden="false" customHeight="false" outlineLevel="0" collapsed="false">
      <c r="A716" s="18"/>
      <c r="B716" s="16"/>
      <c r="C716" s="16"/>
      <c r="D716" s="51" t="str">
        <f aca="false">IF(C716="","",IFERROR(IF(LEFT(C716,1)="L",INDEX('Leads Pipeline'!$F$5:$F$1004,MATCH(C716,'Leads Pipeline'!$A$5:$A$1004,0)),INDEX('Active Clients'!$D$5:$D$504,MATCH(C716,'Active Clients'!$A$5:$A$504,0)))&amp;"","ID not found"))</f>
        <v/>
      </c>
      <c r="E716" s="51" t="str">
        <f aca="false">IF(C716="","",IFERROR(IF(LEFT(C716,1)="L",INDEX('Leads Pipeline'!$D$5:$D$1004,MATCH(C716,'Leads Pipeline'!$A$5:$A$1004,0)),INDEX('Active Clients'!$B$5:$B$504,MATCH(C716,'Active Clients'!$A$5:$A$504,0)))&amp;"","ID not found"))</f>
        <v/>
      </c>
      <c r="F716" s="51" t="str">
        <f aca="false">IF(C716="","",IFERROR(IF(LEFT(C716,1)="L",INDEX('Leads Pipeline'!$E$5:$E$1004,MATCH(C716,'Leads Pipeline'!$A$5:$A$1004,0)),INDEX('Active Clients'!$C$5:$C$504,MATCH(C716,'Active Clients'!$A$5:$A$504,0)))&amp;"","ID not found"))</f>
        <v/>
      </c>
      <c r="G716" s="16"/>
      <c r="H716" s="16"/>
      <c r="I716" s="16"/>
      <c r="J716" s="16"/>
      <c r="K716" s="16"/>
      <c r="L716" s="18"/>
    </row>
    <row r="717" customFormat="false" ht="15" hidden="false" customHeight="false" outlineLevel="0" collapsed="false">
      <c r="A717" s="18"/>
      <c r="B717" s="16"/>
      <c r="C717" s="16"/>
      <c r="D717" s="51" t="str">
        <f aca="false">IF(C717="","",IFERROR(IF(LEFT(C717,1)="L",INDEX('Leads Pipeline'!$F$5:$F$1004,MATCH(C717,'Leads Pipeline'!$A$5:$A$1004,0)),INDEX('Active Clients'!$D$5:$D$504,MATCH(C717,'Active Clients'!$A$5:$A$504,0)))&amp;"","ID not found"))</f>
        <v/>
      </c>
      <c r="E717" s="51" t="str">
        <f aca="false">IF(C717="","",IFERROR(IF(LEFT(C717,1)="L",INDEX('Leads Pipeline'!$D$5:$D$1004,MATCH(C717,'Leads Pipeline'!$A$5:$A$1004,0)),INDEX('Active Clients'!$B$5:$B$504,MATCH(C717,'Active Clients'!$A$5:$A$504,0)))&amp;"","ID not found"))</f>
        <v/>
      </c>
      <c r="F717" s="51" t="str">
        <f aca="false">IF(C717="","",IFERROR(IF(LEFT(C717,1)="L",INDEX('Leads Pipeline'!$E$5:$E$1004,MATCH(C717,'Leads Pipeline'!$A$5:$A$1004,0)),INDEX('Active Clients'!$C$5:$C$504,MATCH(C717,'Active Clients'!$A$5:$A$504,0)))&amp;"","ID not found"))</f>
        <v/>
      </c>
      <c r="G717" s="16"/>
      <c r="H717" s="16"/>
      <c r="I717" s="16"/>
      <c r="J717" s="16"/>
      <c r="K717" s="16"/>
      <c r="L717" s="18"/>
    </row>
    <row r="718" customFormat="false" ht="15" hidden="false" customHeight="false" outlineLevel="0" collapsed="false">
      <c r="A718" s="18"/>
      <c r="B718" s="16"/>
      <c r="C718" s="16"/>
      <c r="D718" s="51" t="str">
        <f aca="false">IF(C718="","",IFERROR(IF(LEFT(C718,1)="L",INDEX('Leads Pipeline'!$F$5:$F$1004,MATCH(C718,'Leads Pipeline'!$A$5:$A$1004,0)),INDEX('Active Clients'!$D$5:$D$504,MATCH(C718,'Active Clients'!$A$5:$A$504,0)))&amp;"","ID not found"))</f>
        <v/>
      </c>
      <c r="E718" s="51" t="str">
        <f aca="false">IF(C718="","",IFERROR(IF(LEFT(C718,1)="L",INDEX('Leads Pipeline'!$D$5:$D$1004,MATCH(C718,'Leads Pipeline'!$A$5:$A$1004,0)),INDEX('Active Clients'!$B$5:$B$504,MATCH(C718,'Active Clients'!$A$5:$A$504,0)))&amp;"","ID not found"))</f>
        <v/>
      </c>
      <c r="F718" s="51" t="str">
        <f aca="false">IF(C718="","",IFERROR(IF(LEFT(C718,1)="L",INDEX('Leads Pipeline'!$E$5:$E$1004,MATCH(C718,'Leads Pipeline'!$A$5:$A$1004,0)),INDEX('Active Clients'!$C$5:$C$504,MATCH(C718,'Active Clients'!$A$5:$A$504,0)))&amp;"","ID not found"))</f>
        <v/>
      </c>
      <c r="G718" s="16"/>
      <c r="H718" s="16"/>
      <c r="I718" s="16"/>
      <c r="J718" s="16"/>
      <c r="K718" s="16"/>
      <c r="L718" s="18"/>
    </row>
    <row r="719" customFormat="false" ht="15" hidden="false" customHeight="false" outlineLevel="0" collapsed="false">
      <c r="A719" s="18"/>
      <c r="B719" s="16"/>
      <c r="C719" s="16"/>
      <c r="D719" s="51" t="str">
        <f aca="false">IF(C719="","",IFERROR(IF(LEFT(C719,1)="L",INDEX('Leads Pipeline'!$F$5:$F$1004,MATCH(C719,'Leads Pipeline'!$A$5:$A$1004,0)),INDEX('Active Clients'!$D$5:$D$504,MATCH(C719,'Active Clients'!$A$5:$A$504,0)))&amp;"","ID not found"))</f>
        <v/>
      </c>
      <c r="E719" s="51" t="str">
        <f aca="false">IF(C719="","",IFERROR(IF(LEFT(C719,1)="L",INDEX('Leads Pipeline'!$D$5:$D$1004,MATCH(C719,'Leads Pipeline'!$A$5:$A$1004,0)),INDEX('Active Clients'!$B$5:$B$504,MATCH(C719,'Active Clients'!$A$5:$A$504,0)))&amp;"","ID not found"))</f>
        <v/>
      </c>
      <c r="F719" s="51" t="str">
        <f aca="false">IF(C719="","",IFERROR(IF(LEFT(C719,1)="L",INDEX('Leads Pipeline'!$E$5:$E$1004,MATCH(C719,'Leads Pipeline'!$A$5:$A$1004,0)),INDEX('Active Clients'!$C$5:$C$504,MATCH(C719,'Active Clients'!$A$5:$A$504,0)))&amp;"","ID not found"))</f>
        <v/>
      </c>
      <c r="G719" s="16"/>
      <c r="H719" s="16"/>
      <c r="I719" s="16"/>
      <c r="J719" s="16"/>
      <c r="K719" s="16"/>
      <c r="L719" s="18"/>
    </row>
    <row r="720" customFormat="false" ht="15" hidden="false" customHeight="false" outlineLevel="0" collapsed="false">
      <c r="A720" s="18"/>
      <c r="B720" s="16"/>
      <c r="C720" s="16"/>
      <c r="D720" s="51" t="str">
        <f aca="false">IF(C720="","",IFERROR(IF(LEFT(C720,1)="L",INDEX('Leads Pipeline'!$F$5:$F$1004,MATCH(C720,'Leads Pipeline'!$A$5:$A$1004,0)),INDEX('Active Clients'!$D$5:$D$504,MATCH(C720,'Active Clients'!$A$5:$A$504,0)))&amp;"","ID not found"))</f>
        <v/>
      </c>
      <c r="E720" s="51" t="str">
        <f aca="false">IF(C720="","",IFERROR(IF(LEFT(C720,1)="L",INDEX('Leads Pipeline'!$D$5:$D$1004,MATCH(C720,'Leads Pipeline'!$A$5:$A$1004,0)),INDEX('Active Clients'!$B$5:$B$504,MATCH(C720,'Active Clients'!$A$5:$A$504,0)))&amp;"","ID not found"))</f>
        <v/>
      </c>
      <c r="F720" s="51" t="str">
        <f aca="false">IF(C720="","",IFERROR(IF(LEFT(C720,1)="L",INDEX('Leads Pipeline'!$E$5:$E$1004,MATCH(C720,'Leads Pipeline'!$A$5:$A$1004,0)),INDEX('Active Clients'!$C$5:$C$504,MATCH(C720,'Active Clients'!$A$5:$A$504,0)))&amp;"","ID not found"))</f>
        <v/>
      </c>
      <c r="G720" s="16"/>
      <c r="H720" s="16"/>
      <c r="I720" s="16"/>
      <c r="J720" s="16"/>
      <c r="K720" s="16"/>
      <c r="L720" s="18"/>
    </row>
    <row r="721" customFormat="false" ht="15" hidden="false" customHeight="false" outlineLevel="0" collapsed="false">
      <c r="A721" s="18"/>
      <c r="B721" s="16"/>
      <c r="C721" s="16"/>
      <c r="D721" s="51" t="str">
        <f aca="false">IF(C721="","",IFERROR(IF(LEFT(C721,1)="L",INDEX('Leads Pipeline'!$F$5:$F$1004,MATCH(C721,'Leads Pipeline'!$A$5:$A$1004,0)),INDEX('Active Clients'!$D$5:$D$504,MATCH(C721,'Active Clients'!$A$5:$A$504,0)))&amp;"","ID not found"))</f>
        <v/>
      </c>
      <c r="E721" s="51" t="str">
        <f aca="false">IF(C721="","",IFERROR(IF(LEFT(C721,1)="L",INDEX('Leads Pipeline'!$D$5:$D$1004,MATCH(C721,'Leads Pipeline'!$A$5:$A$1004,0)),INDEX('Active Clients'!$B$5:$B$504,MATCH(C721,'Active Clients'!$A$5:$A$504,0)))&amp;"","ID not found"))</f>
        <v/>
      </c>
      <c r="F721" s="51" t="str">
        <f aca="false">IF(C721="","",IFERROR(IF(LEFT(C721,1)="L",INDEX('Leads Pipeline'!$E$5:$E$1004,MATCH(C721,'Leads Pipeline'!$A$5:$A$1004,0)),INDEX('Active Clients'!$C$5:$C$504,MATCH(C721,'Active Clients'!$A$5:$A$504,0)))&amp;"","ID not found"))</f>
        <v/>
      </c>
      <c r="G721" s="16"/>
      <c r="H721" s="16"/>
      <c r="I721" s="16"/>
      <c r="J721" s="16"/>
      <c r="K721" s="16"/>
      <c r="L721" s="18"/>
    </row>
    <row r="722" customFormat="false" ht="15" hidden="false" customHeight="false" outlineLevel="0" collapsed="false">
      <c r="A722" s="18"/>
      <c r="B722" s="16"/>
      <c r="C722" s="16"/>
      <c r="D722" s="51" t="str">
        <f aca="false">IF(C722="","",IFERROR(IF(LEFT(C722,1)="L",INDEX('Leads Pipeline'!$F$5:$F$1004,MATCH(C722,'Leads Pipeline'!$A$5:$A$1004,0)),INDEX('Active Clients'!$D$5:$D$504,MATCH(C722,'Active Clients'!$A$5:$A$504,0)))&amp;"","ID not found"))</f>
        <v/>
      </c>
      <c r="E722" s="51" t="str">
        <f aca="false">IF(C722="","",IFERROR(IF(LEFT(C722,1)="L",INDEX('Leads Pipeline'!$D$5:$D$1004,MATCH(C722,'Leads Pipeline'!$A$5:$A$1004,0)),INDEX('Active Clients'!$B$5:$B$504,MATCH(C722,'Active Clients'!$A$5:$A$504,0)))&amp;"","ID not found"))</f>
        <v/>
      </c>
      <c r="F722" s="51" t="str">
        <f aca="false">IF(C722="","",IFERROR(IF(LEFT(C722,1)="L",INDEX('Leads Pipeline'!$E$5:$E$1004,MATCH(C722,'Leads Pipeline'!$A$5:$A$1004,0)),INDEX('Active Clients'!$C$5:$C$504,MATCH(C722,'Active Clients'!$A$5:$A$504,0)))&amp;"","ID not found"))</f>
        <v/>
      </c>
      <c r="G722" s="16"/>
      <c r="H722" s="16"/>
      <c r="I722" s="16"/>
      <c r="J722" s="16"/>
      <c r="K722" s="16"/>
      <c r="L722" s="18"/>
    </row>
    <row r="723" customFormat="false" ht="15" hidden="false" customHeight="false" outlineLevel="0" collapsed="false">
      <c r="A723" s="18"/>
      <c r="B723" s="16"/>
      <c r="C723" s="16"/>
      <c r="D723" s="51" t="str">
        <f aca="false">IF(C723="","",IFERROR(IF(LEFT(C723,1)="L",INDEX('Leads Pipeline'!$F$5:$F$1004,MATCH(C723,'Leads Pipeline'!$A$5:$A$1004,0)),INDEX('Active Clients'!$D$5:$D$504,MATCH(C723,'Active Clients'!$A$5:$A$504,0)))&amp;"","ID not found"))</f>
        <v/>
      </c>
      <c r="E723" s="51" t="str">
        <f aca="false">IF(C723="","",IFERROR(IF(LEFT(C723,1)="L",INDEX('Leads Pipeline'!$D$5:$D$1004,MATCH(C723,'Leads Pipeline'!$A$5:$A$1004,0)),INDEX('Active Clients'!$B$5:$B$504,MATCH(C723,'Active Clients'!$A$5:$A$504,0)))&amp;"","ID not found"))</f>
        <v/>
      </c>
      <c r="F723" s="51" t="str">
        <f aca="false">IF(C723="","",IFERROR(IF(LEFT(C723,1)="L",INDEX('Leads Pipeline'!$E$5:$E$1004,MATCH(C723,'Leads Pipeline'!$A$5:$A$1004,0)),INDEX('Active Clients'!$C$5:$C$504,MATCH(C723,'Active Clients'!$A$5:$A$504,0)))&amp;"","ID not found"))</f>
        <v/>
      </c>
      <c r="G723" s="16"/>
      <c r="H723" s="16"/>
      <c r="I723" s="16"/>
      <c r="J723" s="16"/>
      <c r="K723" s="16"/>
      <c r="L723" s="18"/>
    </row>
    <row r="724" customFormat="false" ht="15" hidden="false" customHeight="false" outlineLevel="0" collapsed="false">
      <c r="A724" s="18"/>
      <c r="B724" s="16"/>
      <c r="C724" s="16"/>
      <c r="D724" s="51" t="str">
        <f aca="false">IF(C724="","",IFERROR(IF(LEFT(C724,1)="L",INDEX('Leads Pipeline'!$F$5:$F$1004,MATCH(C724,'Leads Pipeline'!$A$5:$A$1004,0)),INDEX('Active Clients'!$D$5:$D$504,MATCH(C724,'Active Clients'!$A$5:$A$504,0)))&amp;"","ID not found"))</f>
        <v/>
      </c>
      <c r="E724" s="51" t="str">
        <f aca="false">IF(C724="","",IFERROR(IF(LEFT(C724,1)="L",INDEX('Leads Pipeline'!$D$5:$D$1004,MATCH(C724,'Leads Pipeline'!$A$5:$A$1004,0)),INDEX('Active Clients'!$B$5:$B$504,MATCH(C724,'Active Clients'!$A$5:$A$504,0)))&amp;"","ID not found"))</f>
        <v/>
      </c>
      <c r="F724" s="51" t="str">
        <f aca="false">IF(C724="","",IFERROR(IF(LEFT(C724,1)="L",INDEX('Leads Pipeline'!$E$5:$E$1004,MATCH(C724,'Leads Pipeline'!$A$5:$A$1004,0)),INDEX('Active Clients'!$C$5:$C$504,MATCH(C724,'Active Clients'!$A$5:$A$504,0)))&amp;"","ID not found"))</f>
        <v/>
      </c>
      <c r="G724" s="16"/>
      <c r="H724" s="16"/>
      <c r="I724" s="16"/>
      <c r="J724" s="16"/>
      <c r="K724" s="16"/>
      <c r="L724" s="18"/>
    </row>
    <row r="725" customFormat="false" ht="15" hidden="false" customHeight="false" outlineLevel="0" collapsed="false">
      <c r="A725" s="18"/>
      <c r="B725" s="16"/>
      <c r="C725" s="16"/>
      <c r="D725" s="51" t="str">
        <f aca="false">IF(C725="","",IFERROR(IF(LEFT(C725,1)="L",INDEX('Leads Pipeline'!$F$5:$F$1004,MATCH(C725,'Leads Pipeline'!$A$5:$A$1004,0)),INDEX('Active Clients'!$D$5:$D$504,MATCH(C725,'Active Clients'!$A$5:$A$504,0)))&amp;"","ID not found"))</f>
        <v/>
      </c>
      <c r="E725" s="51" t="str">
        <f aca="false">IF(C725="","",IFERROR(IF(LEFT(C725,1)="L",INDEX('Leads Pipeline'!$D$5:$D$1004,MATCH(C725,'Leads Pipeline'!$A$5:$A$1004,0)),INDEX('Active Clients'!$B$5:$B$504,MATCH(C725,'Active Clients'!$A$5:$A$504,0)))&amp;"","ID not found"))</f>
        <v/>
      </c>
      <c r="F725" s="51" t="str">
        <f aca="false">IF(C725="","",IFERROR(IF(LEFT(C725,1)="L",INDEX('Leads Pipeline'!$E$5:$E$1004,MATCH(C725,'Leads Pipeline'!$A$5:$A$1004,0)),INDEX('Active Clients'!$C$5:$C$504,MATCH(C725,'Active Clients'!$A$5:$A$504,0)))&amp;"","ID not found"))</f>
        <v/>
      </c>
      <c r="G725" s="16"/>
      <c r="H725" s="16"/>
      <c r="I725" s="16"/>
      <c r="J725" s="16"/>
      <c r="K725" s="16"/>
      <c r="L725" s="18"/>
    </row>
    <row r="726" customFormat="false" ht="15" hidden="false" customHeight="false" outlineLevel="0" collapsed="false">
      <c r="A726" s="18"/>
      <c r="B726" s="16"/>
      <c r="C726" s="16"/>
      <c r="D726" s="51" t="str">
        <f aca="false">IF(C726="","",IFERROR(IF(LEFT(C726,1)="L",INDEX('Leads Pipeline'!$F$5:$F$1004,MATCH(C726,'Leads Pipeline'!$A$5:$A$1004,0)),INDEX('Active Clients'!$D$5:$D$504,MATCH(C726,'Active Clients'!$A$5:$A$504,0)))&amp;"","ID not found"))</f>
        <v/>
      </c>
      <c r="E726" s="51" t="str">
        <f aca="false">IF(C726="","",IFERROR(IF(LEFT(C726,1)="L",INDEX('Leads Pipeline'!$D$5:$D$1004,MATCH(C726,'Leads Pipeline'!$A$5:$A$1004,0)),INDEX('Active Clients'!$B$5:$B$504,MATCH(C726,'Active Clients'!$A$5:$A$504,0)))&amp;"","ID not found"))</f>
        <v/>
      </c>
      <c r="F726" s="51" t="str">
        <f aca="false">IF(C726="","",IFERROR(IF(LEFT(C726,1)="L",INDEX('Leads Pipeline'!$E$5:$E$1004,MATCH(C726,'Leads Pipeline'!$A$5:$A$1004,0)),INDEX('Active Clients'!$C$5:$C$504,MATCH(C726,'Active Clients'!$A$5:$A$504,0)))&amp;"","ID not found"))</f>
        <v/>
      </c>
      <c r="G726" s="16"/>
      <c r="H726" s="16"/>
      <c r="I726" s="16"/>
      <c r="J726" s="16"/>
      <c r="K726" s="16"/>
      <c r="L726" s="18"/>
    </row>
    <row r="727" customFormat="false" ht="15" hidden="false" customHeight="false" outlineLevel="0" collapsed="false">
      <c r="A727" s="18"/>
      <c r="B727" s="16"/>
      <c r="C727" s="16"/>
      <c r="D727" s="51" t="str">
        <f aca="false">IF(C727="","",IFERROR(IF(LEFT(C727,1)="L",INDEX('Leads Pipeline'!$F$5:$F$1004,MATCH(C727,'Leads Pipeline'!$A$5:$A$1004,0)),INDEX('Active Clients'!$D$5:$D$504,MATCH(C727,'Active Clients'!$A$5:$A$504,0)))&amp;"","ID not found"))</f>
        <v/>
      </c>
      <c r="E727" s="51" t="str">
        <f aca="false">IF(C727="","",IFERROR(IF(LEFT(C727,1)="L",INDEX('Leads Pipeline'!$D$5:$D$1004,MATCH(C727,'Leads Pipeline'!$A$5:$A$1004,0)),INDEX('Active Clients'!$B$5:$B$504,MATCH(C727,'Active Clients'!$A$5:$A$504,0)))&amp;"","ID not found"))</f>
        <v/>
      </c>
      <c r="F727" s="51" t="str">
        <f aca="false">IF(C727="","",IFERROR(IF(LEFT(C727,1)="L",INDEX('Leads Pipeline'!$E$5:$E$1004,MATCH(C727,'Leads Pipeline'!$A$5:$A$1004,0)),INDEX('Active Clients'!$C$5:$C$504,MATCH(C727,'Active Clients'!$A$5:$A$504,0)))&amp;"","ID not found"))</f>
        <v/>
      </c>
      <c r="G727" s="16"/>
      <c r="H727" s="16"/>
      <c r="I727" s="16"/>
      <c r="J727" s="16"/>
      <c r="K727" s="16"/>
      <c r="L727" s="18"/>
    </row>
    <row r="728" customFormat="false" ht="15" hidden="false" customHeight="false" outlineLevel="0" collapsed="false">
      <c r="A728" s="18"/>
      <c r="B728" s="16"/>
      <c r="C728" s="16"/>
      <c r="D728" s="51" t="str">
        <f aca="false">IF(C728="","",IFERROR(IF(LEFT(C728,1)="L",INDEX('Leads Pipeline'!$F$5:$F$1004,MATCH(C728,'Leads Pipeline'!$A$5:$A$1004,0)),INDEX('Active Clients'!$D$5:$D$504,MATCH(C728,'Active Clients'!$A$5:$A$504,0)))&amp;"","ID not found"))</f>
        <v/>
      </c>
      <c r="E728" s="51" t="str">
        <f aca="false">IF(C728="","",IFERROR(IF(LEFT(C728,1)="L",INDEX('Leads Pipeline'!$D$5:$D$1004,MATCH(C728,'Leads Pipeline'!$A$5:$A$1004,0)),INDEX('Active Clients'!$B$5:$B$504,MATCH(C728,'Active Clients'!$A$5:$A$504,0)))&amp;"","ID not found"))</f>
        <v/>
      </c>
      <c r="F728" s="51" t="str">
        <f aca="false">IF(C728="","",IFERROR(IF(LEFT(C728,1)="L",INDEX('Leads Pipeline'!$E$5:$E$1004,MATCH(C728,'Leads Pipeline'!$A$5:$A$1004,0)),INDEX('Active Clients'!$C$5:$C$504,MATCH(C728,'Active Clients'!$A$5:$A$504,0)))&amp;"","ID not found"))</f>
        <v/>
      </c>
      <c r="G728" s="16"/>
      <c r="H728" s="16"/>
      <c r="I728" s="16"/>
      <c r="J728" s="16"/>
      <c r="K728" s="16"/>
      <c r="L728" s="18"/>
    </row>
    <row r="729" customFormat="false" ht="15" hidden="false" customHeight="false" outlineLevel="0" collapsed="false">
      <c r="A729" s="18"/>
      <c r="B729" s="16"/>
      <c r="C729" s="16"/>
      <c r="D729" s="51" t="str">
        <f aca="false">IF(C729="","",IFERROR(IF(LEFT(C729,1)="L",INDEX('Leads Pipeline'!$F$5:$F$1004,MATCH(C729,'Leads Pipeline'!$A$5:$A$1004,0)),INDEX('Active Clients'!$D$5:$D$504,MATCH(C729,'Active Clients'!$A$5:$A$504,0)))&amp;"","ID not found"))</f>
        <v/>
      </c>
      <c r="E729" s="51" t="str">
        <f aca="false">IF(C729="","",IFERROR(IF(LEFT(C729,1)="L",INDEX('Leads Pipeline'!$D$5:$D$1004,MATCH(C729,'Leads Pipeline'!$A$5:$A$1004,0)),INDEX('Active Clients'!$B$5:$B$504,MATCH(C729,'Active Clients'!$A$5:$A$504,0)))&amp;"","ID not found"))</f>
        <v/>
      </c>
      <c r="F729" s="51" t="str">
        <f aca="false">IF(C729="","",IFERROR(IF(LEFT(C729,1)="L",INDEX('Leads Pipeline'!$E$5:$E$1004,MATCH(C729,'Leads Pipeline'!$A$5:$A$1004,0)),INDEX('Active Clients'!$C$5:$C$504,MATCH(C729,'Active Clients'!$A$5:$A$504,0)))&amp;"","ID not found"))</f>
        <v/>
      </c>
      <c r="G729" s="16"/>
      <c r="H729" s="16"/>
      <c r="I729" s="16"/>
      <c r="J729" s="16"/>
      <c r="K729" s="16"/>
      <c r="L729" s="18"/>
    </row>
    <row r="730" customFormat="false" ht="15" hidden="false" customHeight="false" outlineLevel="0" collapsed="false">
      <c r="A730" s="18"/>
      <c r="B730" s="16"/>
      <c r="C730" s="16"/>
      <c r="D730" s="51" t="str">
        <f aca="false">IF(C730="","",IFERROR(IF(LEFT(C730,1)="L",INDEX('Leads Pipeline'!$F$5:$F$1004,MATCH(C730,'Leads Pipeline'!$A$5:$A$1004,0)),INDEX('Active Clients'!$D$5:$D$504,MATCH(C730,'Active Clients'!$A$5:$A$504,0)))&amp;"","ID not found"))</f>
        <v/>
      </c>
      <c r="E730" s="51" t="str">
        <f aca="false">IF(C730="","",IFERROR(IF(LEFT(C730,1)="L",INDEX('Leads Pipeline'!$D$5:$D$1004,MATCH(C730,'Leads Pipeline'!$A$5:$A$1004,0)),INDEX('Active Clients'!$B$5:$B$504,MATCH(C730,'Active Clients'!$A$5:$A$504,0)))&amp;"","ID not found"))</f>
        <v/>
      </c>
      <c r="F730" s="51" t="str">
        <f aca="false">IF(C730="","",IFERROR(IF(LEFT(C730,1)="L",INDEX('Leads Pipeline'!$E$5:$E$1004,MATCH(C730,'Leads Pipeline'!$A$5:$A$1004,0)),INDEX('Active Clients'!$C$5:$C$504,MATCH(C730,'Active Clients'!$A$5:$A$504,0)))&amp;"","ID not found"))</f>
        <v/>
      </c>
      <c r="G730" s="16"/>
      <c r="H730" s="16"/>
      <c r="I730" s="16"/>
      <c r="J730" s="16"/>
      <c r="K730" s="16"/>
      <c r="L730" s="18"/>
    </row>
    <row r="731" customFormat="false" ht="15" hidden="false" customHeight="false" outlineLevel="0" collapsed="false">
      <c r="A731" s="18"/>
      <c r="B731" s="16"/>
      <c r="C731" s="16"/>
      <c r="D731" s="51" t="str">
        <f aca="false">IF(C731="","",IFERROR(IF(LEFT(C731,1)="L",INDEX('Leads Pipeline'!$F$5:$F$1004,MATCH(C731,'Leads Pipeline'!$A$5:$A$1004,0)),INDEX('Active Clients'!$D$5:$D$504,MATCH(C731,'Active Clients'!$A$5:$A$504,0)))&amp;"","ID not found"))</f>
        <v/>
      </c>
      <c r="E731" s="51" t="str">
        <f aca="false">IF(C731="","",IFERROR(IF(LEFT(C731,1)="L",INDEX('Leads Pipeline'!$D$5:$D$1004,MATCH(C731,'Leads Pipeline'!$A$5:$A$1004,0)),INDEX('Active Clients'!$B$5:$B$504,MATCH(C731,'Active Clients'!$A$5:$A$504,0)))&amp;"","ID not found"))</f>
        <v/>
      </c>
      <c r="F731" s="51" t="str">
        <f aca="false">IF(C731="","",IFERROR(IF(LEFT(C731,1)="L",INDEX('Leads Pipeline'!$E$5:$E$1004,MATCH(C731,'Leads Pipeline'!$A$5:$A$1004,0)),INDEX('Active Clients'!$C$5:$C$504,MATCH(C731,'Active Clients'!$A$5:$A$504,0)))&amp;"","ID not found"))</f>
        <v/>
      </c>
      <c r="G731" s="16"/>
      <c r="H731" s="16"/>
      <c r="I731" s="16"/>
      <c r="J731" s="16"/>
      <c r="K731" s="16"/>
      <c r="L731" s="18"/>
    </row>
    <row r="732" customFormat="false" ht="15" hidden="false" customHeight="false" outlineLevel="0" collapsed="false">
      <c r="A732" s="18"/>
      <c r="B732" s="16"/>
      <c r="C732" s="16"/>
      <c r="D732" s="51" t="str">
        <f aca="false">IF(C732="","",IFERROR(IF(LEFT(C732,1)="L",INDEX('Leads Pipeline'!$F$5:$F$1004,MATCH(C732,'Leads Pipeline'!$A$5:$A$1004,0)),INDEX('Active Clients'!$D$5:$D$504,MATCH(C732,'Active Clients'!$A$5:$A$504,0)))&amp;"","ID not found"))</f>
        <v/>
      </c>
      <c r="E732" s="51" t="str">
        <f aca="false">IF(C732="","",IFERROR(IF(LEFT(C732,1)="L",INDEX('Leads Pipeline'!$D$5:$D$1004,MATCH(C732,'Leads Pipeline'!$A$5:$A$1004,0)),INDEX('Active Clients'!$B$5:$B$504,MATCH(C732,'Active Clients'!$A$5:$A$504,0)))&amp;"","ID not found"))</f>
        <v/>
      </c>
      <c r="F732" s="51" t="str">
        <f aca="false">IF(C732="","",IFERROR(IF(LEFT(C732,1)="L",INDEX('Leads Pipeline'!$E$5:$E$1004,MATCH(C732,'Leads Pipeline'!$A$5:$A$1004,0)),INDEX('Active Clients'!$C$5:$C$504,MATCH(C732,'Active Clients'!$A$5:$A$504,0)))&amp;"","ID not found"))</f>
        <v/>
      </c>
      <c r="G732" s="16"/>
      <c r="H732" s="16"/>
      <c r="I732" s="16"/>
      <c r="J732" s="16"/>
      <c r="K732" s="16"/>
      <c r="L732" s="18"/>
    </row>
    <row r="733" customFormat="false" ht="15" hidden="false" customHeight="false" outlineLevel="0" collapsed="false">
      <c r="A733" s="18"/>
      <c r="B733" s="16"/>
      <c r="C733" s="16"/>
      <c r="D733" s="51" t="str">
        <f aca="false">IF(C733="","",IFERROR(IF(LEFT(C733,1)="L",INDEX('Leads Pipeline'!$F$5:$F$1004,MATCH(C733,'Leads Pipeline'!$A$5:$A$1004,0)),INDEX('Active Clients'!$D$5:$D$504,MATCH(C733,'Active Clients'!$A$5:$A$504,0)))&amp;"","ID not found"))</f>
        <v/>
      </c>
      <c r="E733" s="51" t="str">
        <f aca="false">IF(C733="","",IFERROR(IF(LEFT(C733,1)="L",INDEX('Leads Pipeline'!$D$5:$D$1004,MATCH(C733,'Leads Pipeline'!$A$5:$A$1004,0)),INDEX('Active Clients'!$B$5:$B$504,MATCH(C733,'Active Clients'!$A$5:$A$504,0)))&amp;"","ID not found"))</f>
        <v/>
      </c>
      <c r="F733" s="51" t="str">
        <f aca="false">IF(C733="","",IFERROR(IF(LEFT(C733,1)="L",INDEX('Leads Pipeline'!$E$5:$E$1004,MATCH(C733,'Leads Pipeline'!$A$5:$A$1004,0)),INDEX('Active Clients'!$C$5:$C$504,MATCH(C733,'Active Clients'!$A$5:$A$504,0)))&amp;"","ID not found"))</f>
        <v/>
      </c>
      <c r="G733" s="16"/>
      <c r="H733" s="16"/>
      <c r="I733" s="16"/>
      <c r="J733" s="16"/>
      <c r="K733" s="16"/>
      <c r="L733" s="18"/>
    </row>
    <row r="734" customFormat="false" ht="15" hidden="false" customHeight="false" outlineLevel="0" collapsed="false">
      <c r="A734" s="18"/>
      <c r="B734" s="16"/>
      <c r="C734" s="16"/>
      <c r="D734" s="51" t="str">
        <f aca="false">IF(C734="","",IFERROR(IF(LEFT(C734,1)="L",INDEX('Leads Pipeline'!$F$5:$F$1004,MATCH(C734,'Leads Pipeline'!$A$5:$A$1004,0)),INDEX('Active Clients'!$D$5:$D$504,MATCH(C734,'Active Clients'!$A$5:$A$504,0)))&amp;"","ID not found"))</f>
        <v/>
      </c>
      <c r="E734" s="51" t="str">
        <f aca="false">IF(C734="","",IFERROR(IF(LEFT(C734,1)="L",INDEX('Leads Pipeline'!$D$5:$D$1004,MATCH(C734,'Leads Pipeline'!$A$5:$A$1004,0)),INDEX('Active Clients'!$B$5:$B$504,MATCH(C734,'Active Clients'!$A$5:$A$504,0)))&amp;"","ID not found"))</f>
        <v/>
      </c>
      <c r="F734" s="51" t="str">
        <f aca="false">IF(C734="","",IFERROR(IF(LEFT(C734,1)="L",INDEX('Leads Pipeline'!$E$5:$E$1004,MATCH(C734,'Leads Pipeline'!$A$5:$A$1004,0)),INDEX('Active Clients'!$C$5:$C$504,MATCH(C734,'Active Clients'!$A$5:$A$504,0)))&amp;"","ID not found"))</f>
        <v/>
      </c>
      <c r="G734" s="16"/>
      <c r="H734" s="16"/>
      <c r="I734" s="16"/>
      <c r="J734" s="16"/>
      <c r="K734" s="16"/>
      <c r="L734" s="18"/>
    </row>
    <row r="735" customFormat="false" ht="15" hidden="false" customHeight="false" outlineLevel="0" collapsed="false">
      <c r="A735" s="18"/>
      <c r="B735" s="16"/>
      <c r="C735" s="16"/>
      <c r="D735" s="51" t="str">
        <f aca="false">IF(C735="","",IFERROR(IF(LEFT(C735,1)="L",INDEX('Leads Pipeline'!$F$5:$F$1004,MATCH(C735,'Leads Pipeline'!$A$5:$A$1004,0)),INDEX('Active Clients'!$D$5:$D$504,MATCH(C735,'Active Clients'!$A$5:$A$504,0)))&amp;"","ID not found"))</f>
        <v/>
      </c>
      <c r="E735" s="51" t="str">
        <f aca="false">IF(C735="","",IFERROR(IF(LEFT(C735,1)="L",INDEX('Leads Pipeline'!$D$5:$D$1004,MATCH(C735,'Leads Pipeline'!$A$5:$A$1004,0)),INDEX('Active Clients'!$B$5:$B$504,MATCH(C735,'Active Clients'!$A$5:$A$504,0)))&amp;"","ID not found"))</f>
        <v/>
      </c>
      <c r="F735" s="51" t="str">
        <f aca="false">IF(C735="","",IFERROR(IF(LEFT(C735,1)="L",INDEX('Leads Pipeline'!$E$5:$E$1004,MATCH(C735,'Leads Pipeline'!$A$5:$A$1004,0)),INDEX('Active Clients'!$C$5:$C$504,MATCH(C735,'Active Clients'!$A$5:$A$504,0)))&amp;"","ID not found"))</f>
        <v/>
      </c>
      <c r="G735" s="16"/>
      <c r="H735" s="16"/>
      <c r="I735" s="16"/>
      <c r="J735" s="16"/>
      <c r="K735" s="16"/>
      <c r="L735" s="18"/>
    </row>
    <row r="736" customFormat="false" ht="15" hidden="false" customHeight="false" outlineLevel="0" collapsed="false">
      <c r="A736" s="18"/>
      <c r="B736" s="16"/>
      <c r="C736" s="16"/>
      <c r="D736" s="51" t="str">
        <f aca="false">IF(C736="","",IFERROR(IF(LEFT(C736,1)="L",INDEX('Leads Pipeline'!$F$5:$F$1004,MATCH(C736,'Leads Pipeline'!$A$5:$A$1004,0)),INDEX('Active Clients'!$D$5:$D$504,MATCH(C736,'Active Clients'!$A$5:$A$504,0)))&amp;"","ID not found"))</f>
        <v/>
      </c>
      <c r="E736" s="51" t="str">
        <f aca="false">IF(C736="","",IFERROR(IF(LEFT(C736,1)="L",INDEX('Leads Pipeline'!$D$5:$D$1004,MATCH(C736,'Leads Pipeline'!$A$5:$A$1004,0)),INDEX('Active Clients'!$B$5:$B$504,MATCH(C736,'Active Clients'!$A$5:$A$504,0)))&amp;"","ID not found"))</f>
        <v/>
      </c>
      <c r="F736" s="51" t="str">
        <f aca="false">IF(C736="","",IFERROR(IF(LEFT(C736,1)="L",INDEX('Leads Pipeline'!$E$5:$E$1004,MATCH(C736,'Leads Pipeline'!$A$5:$A$1004,0)),INDEX('Active Clients'!$C$5:$C$504,MATCH(C736,'Active Clients'!$A$5:$A$504,0)))&amp;"","ID not found"))</f>
        <v/>
      </c>
      <c r="G736" s="16"/>
      <c r="H736" s="16"/>
      <c r="I736" s="16"/>
      <c r="J736" s="16"/>
      <c r="K736" s="16"/>
      <c r="L736" s="18"/>
    </row>
    <row r="737" customFormat="false" ht="15" hidden="false" customHeight="false" outlineLevel="0" collapsed="false">
      <c r="A737" s="18"/>
      <c r="B737" s="16"/>
      <c r="C737" s="16"/>
      <c r="D737" s="51" t="str">
        <f aca="false">IF(C737="","",IFERROR(IF(LEFT(C737,1)="L",INDEX('Leads Pipeline'!$F$5:$F$1004,MATCH(C737,'Leads Pipeline'!$A$5:$A$1004,0)),INDEX('Active Clients'!$D$5:$D$504,MATCH(C737,'Active Clients'!$A$5:$A$504,0)))&amp;"","ID not found"))</f>
        <v/>
      </c>
      <c r="E737" s="51" t="str">
        <f aca="false">IF(C737="","",IFERROR(IF(LEFT(C737,1)="L",INDEX('Leads Pipeline'!$D$5:$D$1004,MATCH(C737,'Leads Pipeline'!$A$5:$A$1004,0)),INDEX('Active Clients'!$B$5:$B$504,MATCH(C737,'Active Clients'!$A$5:$A$504,0)))&amp;"","ID not found"))</f>
        <v/>
      </c>
      <c r="F737" s="51" t="str">
        <f aca="false">IF(C737="","",IFERROR(IF(LEFT(C737,1)="L",INDEX('Leads Pipeline'!$E$5:$E$1004,MATCH(C737,'Leads Pipeline'!$A$5:$A$1004,0)),INDEX('Active Clients'!$C$5:$C$504,MATCH(C737,'Active Clients'!$A$5:$A$504,0)))&amp;"","ID not found"))</f>
        <v/>
      </c>
      <c r="G737" s="16"/>
      <c r="H737" s="16"/>
      <c r="I737" s="16"/>
      <c r="J737" s="16"/>
      <c r="K737" s="16"/>
      <c r="L737" s="18"/>
    </row>
    <row r="738" customFormat="false" ht="15" hidden="false" customHeight="false" outlineLevel="0" collapsed="false">
      <c r="A738" s="18"/>
      <c r="B738" s="16"/>
      <c r="C738" s="16"/>
      <c r="D738" s="51" t="str">
        <f aca="false">IF(C738="","",IFERROR(IF(LEFT(C738,1)="L",INDEX('Leads Pipeline'!$F$5:$F$1004,MATCH(C738,'Leads Pipeline'!$A$5:$A$1004,0)),INDEX('Active Clients'!$D$5:$D$504,MATCH(C738,'Active Clients'!$A$5:$A$504,0)))&amp;"","ID not found"))</f>
        <v/>
      </c>
      <c r="E738" s="51" t="str">
        <f aca="false">IF(C738="","",IFERROR(IF(LEFT(C738,1)="L",INDEX('Leads Pipeline'!$D$5:$D$1004,MATCH(C738,'Leads Pipeline'!$A$5:$A$1004,0)),INDEX('Active Clients'!$B$5:$B$504,MATCH(C738,'Active Clients'!$A$5:$A$504,0)))&amp;"","ID not found"))</f>
        <v/>
      </c>
      <c r="F738" s="51" t="str">
        <f aca="false">IF(C738="","",IFERROR(IF(LEFT(C738,1)="L",INDEX('Leads Pipeline'!$E$5:$E$1004,MATCH(C738,'Leads Pipeline'!$A$5:$A$1004,0)),INDEX('Active Clients'!$C$5:$C$504,MATCH(C738,'Active Clients'!$A$5:$A$504,0)))&amp;"","ID not found"))</f>
        <v/>
      </c>
      <c r="G738" s="16"/>
      <c r="H738" s="16"/>
      <c r="I738" s="16"/>
      <c r="J738" s="16"/>
      <c r="K738" s="16"/>
      <c r="L738" s="18"/>
    </row>
    <row r="739" customFormat="false" ht="15" hidden="false" customHeight="false" outlineLevel="0" collapsed="false">
      <c r="A739" s="18"/>
      <c r="B739" s="16"/>
      <c r="C739" s="16"/>
      <c r="D739" s="51" t="str">
        <f aca="false">IF(C739="","",IFERROR(IF(LEFT(C739,1)="L",INDEX('Leads Pipeline'!$F$5:$F$1004,MATCH(C739,'Leads Pipeline'!$A$5:$A$1004,0)),INDEX('Active Clients'!$D$5:$D$504,MATCH(C739,'Active Clients'!$A$5:$A$504,0)))&amp;"","ID not found"))</f>
        <v/>
      </c>
      <c r="E739" s="51" t="str">
        <f aca="false">IF(C739="","",IFERROR(IF(LEFT(C739,1)="L",INDEX('Leads Pipeline'!$D$5:$D$1004,MATCH(C739,'Leads Pipeline'!$A$5:$A$1004,0)),INDEX('Active Clients'!$B$5:$B$504,MATCH(C739,'Active Clients'!$A$5:$A$504,0)))&amp;"","ID not found"))</f>
        <v/>
      </c>
      <c r="F739" s="51" t="str">
        <f aca="false">IF(C739="","",IFERROR(IF(LEFT(C739,1)="L",INDEX('Leads Pipeline'!$E$5:$E$1004,MATCH(C739,'Leads Pipeline'!$A$5:$A$1004,0)),INDEX('Active Clients'!$C$5:$C$504,MATCH(C739,'Active Clients'!$A$5:$A$504,0)))&amp;"","ID not found"))</f>
        <v/>
      </c>
      <c r="G739" s="16"/>
      <c r="H739" s="16"/>
      <c r="I739" s="16"/>
      <c r="J739" s="16"/>
      <c r="K739" s="16"/>
      <c r="L739" s="18"/>
    </row>
    <row r="740" customFormat="false" ht="15" hidden="false" customHeight="false" outlineLevel="0" collapsed="false">
      <c r="A740" s="18"/>
      <c r="B740" s="16"/>
      <c r="C740" s="16"/>
      <c r="D740" s="51" t="str">
        <f aca="false">IF(C740="","",IFERROR(IF(LEFT(C740,1)="L",INDEX('Leads Pipeline'!$F$5:$F$1004,MATCH(C740,'Leads Pipeline'!$A$5:$A$1004,0)),INDEX('Active Clients'!$D$5:$D$504,MATCH(C740,'Active Clients'!$A$5:$A$504,0)))&amp;"","ID not found"))</f>
        <v/>
      </c>
      <c r="E740" s="51" t="str">
        <f aca="false">IF(C740="","",IFERROR(IF(LEFT(C740,1)="L",INDEX('Leads Pipeline'!$D$5:$D$1004,MATCH(C740,'Leads Pipeline'!$A$5:$A$1004,0)),INDEX('Active Clients'!$B$5:$B$504,MATCH(C740,'Active Clients'!$A$5:$A$504,0)))&amp;"","ID not found"))</f>
        <v/>
      </c>
      <c r="F740" s="51" t="str">
        <f aca="false">IF(C740="","",IFERROR(IF(LEFT(C740,1)="L",INDEX('Leads Pipeline'!$E$5:$E$1004,MATCH(C740,'Leads Pipeline'!$A$5:$A$1004,0)),INDEX('Active Clients'!$C$5:$C$504,MATCH(C740,'Active Clients'!$A$5:$A$504,0)))&amp;"","ID not found"))</f>
        <v/>
      </c>
      <c r="G740" s="16"/>
      <c r="H740" s="16"/>
      <c r="I740" s="16"/>
      <c r="J740" s="16"/>
      <c r="K740" s="16"/>
      <c r="L740" s="18"/>
    </row>
    <row r="741" customFormat="false" ht="15" hidden="false" customHeight="false" outlineLevel="0" collapsed="false">
      <c r="A741" s="18"/>
      <c r="B741" s="16"/>
      <c r="C741" s="16"/>
      <c r="D741" s="51" t="str">
        <f aca="false">IF(C741="","",IFERROR(IF(LEFT(C741,1)="L",INDEX('Leads Pipeline'!$F$5:$F$1004,MATCH(C741,'Leads Pipeline'!$A$5:$A$1004,0)),INDEX('Active Clients'!$D$5:$D$504,MATCH(C741,'Active Clients'!$A$5:$A$504,0)))&amp;"","ID not found"))</f>
        <v/>
      </c>
      <c r="E741" s="51" t="str">
        <f aca="false">IF(C741="","",IFERROR(IF(LEFT(C741,1)="L",INDEX('Leads Pipeline'!$D$5:$D$1004,MATCH(C741,'Leads Pipeline'!$A$5:$A$1004,0)),INDEX('Active Clients'!$B$5:$B$504,MATCH(C741,'Active Clients'!$A$5:$A$504,0)))&amp;"","ID not found"))</f>
        <v/>
      </c>
      <c r="F741" s="51" t="str">
        <f aca="false">IF(C741="","",IFERROR(IF(LEFT(C741,1)="L",INDEX('Leads Pipeline'!$E$5:$E$1004,MATCH(C741,'Leads Pipeline'!$A$5:$A$1004,0)),INDEX('Active Clients'!$C$5:$C$504,MATCH(C741,'Active Clients'!$A$5:$A$504,0)))&amp;"","ID not found"))</f>
        <v/>
      </c>
      <c r="G741" s="16"/>
      <c r="H741" s="16"/>
      <c r="I741" s="16"/>
      <c r="J741" s="16"/>
      <c r="K741" s="16"/>
      <c r="L741" s="18"/>
    </row>
    <row r="742" customFormat="false" ht="15" hidden="false" customHeight="false" outlineLevel="0" collapsed="false">
      <c r="A742" s="18"/>
      <c r="B742" s="16"/>
      <c r="C742" s="16"/>
      <c r="D742" s="51" t="str">
        <f aca="false">IF(C742="","",IFERROR(IF(LEFT(C742,1)="L",INDEX('Leads Pipeline'!$F$5:$F$1004,MATCH(C742,'Leads Pipeline'!$A$5:$A$1004,0)),INDEX('Active Clients'!$D$5:$D$504,MATCH(C742,'Active Clients'!$A$5:$A$504,0)))&amp;"","ID not found"))</f>
        <v/>
      </c>
      <c r="E742" s="51" t="str">
        <f aca="false">IF(C742="","",IFERROR(IF(LEFT(C742,1)="L",INDEX('Leads Pipeline'!$D$5:$D$1004,MATCH(C742,'Leads Pipeline'!$A$5:$A$1004,0)),INDEX('Active Clients'!$B$5:$B$504,MATCH(C742,'Active Clients'!$A$5:$A$504,0)))&amp;"","ID not found"))</f>
        <v/>
      </c>
      <c r="F742" s="51" t="str">
        <f aca="false">IF(C742="","",IFERROR(IF(LEFT(C742,1)="L",INDEX('Leads Pipeline'!$E$5:$E$1004,MATCH(C742,'Leads Pipeline'!$A$5:$A$1004,0)),INDEX('Active Clients'!$C$5:$C$504,MATCH(C742,'Active Clients'!$A$5:$A$504,0)))&amp;"","ID not found"))</f>
        <v/>
      </c>
      <c r="G742" s="16"/>
      <c r="H742" s="16"/>
      <c r="I742" s="16"/>
      <c r="J742" s="16"/>
      <c r="K742" s="16"/>
      <c r="L742" s="18"/>
    </row>
    <row r="743" customFormat="false" ht="15" hidden="false" customHeight="false" outlineLevel="0" collapsed="false">
      <c r="A743" s="18"/>
      <c r="B743" s="16"/>
      <c r="C743" s="16"/>
      <c r="D743" s="51" t="str">
        <f aca="false">IF(C743="","",IFERROR(IF(LEFT(C743,1)="L",INDEX('Leads Pipeline'!$F$5:$F$1004,MATCH(C743,'Leads Pipeline'!$A$5:$A$1004,0)),INDEX('Active Clients'!$D$5:$D$504,MATCH(C743,'Active Clients'!$A$5:$A$504,0)))&amp;"","ID not found"))</f>
        <v/>
      </c>
      <c r="E743" s="51" t="str">
        <f aca="false">IF(C743="","",IFERROR(IF(LEFT(C743,1)="L",INDEX('Leads Pipeline'!$D$5:$D$1004,MATCH(C743,'Leads Pipeline'!$A$5:$A$1004,0)),INDEX('Active Clients'!$B$5:$B$504,MATCH(C743,'Active Clients'!$A$5:$A$504,0)))&amp;"","ID not found"))</f>
        <v/>
      </c>
      <c r="F743" s="51" t="str">
        <f aca="false">IF(C743="","",IFERROR(IF(LEFT(C743,1)="L",INDEX('Leads Pipeline'!$E$5:$E$1004,MATCH(C743,'Leads Pipeline'!$A$5:$A$1004,0)),INDEX('Active Clients'!$C$5:$C$504,MATCH(C743,'Active Clients'!$A$5:$A$504,0)))&amp;"","ID not found"))</f>
        <v/>
      </c>
      <c r="G743" s="16"/>
      <c r="H743" s="16"/>
      <c r="I743" s="16"/>
      <c r="J743" s="16"/>
      <c r="K743" s="16"/>
      <c r="L743" s="18"/>
    </row>
    <row r="744" customFormat="false" ht="15" hidden="false" customHeight="false" outlineLevel="0" collapsed="false">
      <c r="A744" s="18"/>
      <c r="B744" s="16"/>
      <c r="C744" s="16"/>
      <c r="D744" s="51" t="str">
        <f aca="false">IF(C744="","",IFERROR(IF(LEFT(C744,1)="L",INDEX('Leads Pipeline'!$F$5:$F$1004,MATCH(C744,'Leads Pipeline'!$A$5:$A$1004,0)),INDEX('Active Clients'!$D$5:$D$504,MATCH(C744,'Active Clients'!$A$5:$A$504,0)))&amp;"","ID not found"))</f>
        <v/>
      </c>
      <c r="E744" s="51" t="str">
        <f aca="false">IF(C744="","",IFERROR(IF(LEFT(C744,1)="L",INDEX('Leads Pipeline'!$D$5:$D$1004,MATCH(C744,'Leads Pipeline'!$A$5:$A$1004,0)),INDEX('Active Clients'!$B$5:$B$504,MATCH(C744,'Active Clients'!$A$5:$A$504,0)))&amp;"","ID not found"))</f>
        <v/>
      </c>
      <c r="F744" s="51" t="str">
        <f aca="false">IF(C744="","",IFERROR(IF(LEFT(C744,1)="L",INDEX('Leads Pipeline'!$E$5:$E$1004,MATCH(C744,'Leads Pipeline'!$A$5:$A$1004,0)),INDEX('Active Clients'!$C$5:$C$504,MATCH(C744,'Active Clients'!$A$5:$A$504,0)))&amp;"","ID not found"))</f>
        <v/>
      </c>
      <c r="G744" s="16"/>
      <c r="H744" s="16"/>
      <c r="I744" s="16"/>
      <c r="J744" s="16"/>
      <c r="K744" s="16"/>
      <c r="L744" s="18"/>
    </row>
    <row r="745" customFormat="false" ht="15" hidden="false" customHeight="false" outlineLevel="0" collapsed="false">
      <c r="A745" s="18"/>
      <c r="B745" s="16"/>
      <c r="C745" s="16"/>
      <c r="D745" s="51" t="str">
        <f aca="false">IF(C745="","",IFERROR(IF(LEFT(C745,1)="L",INDEX('Leads Pipeline'!$F$5:$F$1004,MATCH(C745,'Leads Pipeline'!$A$5:$A$1004,0)),INDEX('Active Clients'!$D$5:$D$504,MATCH(C745,'Active Clients'!$A$5:$A$504,0)))&amp;"","ID not found"))</f>
        <v/>
      </c>
      <c r="E745" s="51" t="str">
        <f aca="false">IF(C745="","",IFERROR(IF(LEFT(C745,1)="L",INDEX('Leads Pipeline'!$D$5:$D$1004,MATCH(C745,'Leads Pipeline'!$A$5:$A$1004,0)),INDEX('Active Clients'!$B$5:$B$504,MATCH(C745,'Active Clients'!$A$5:$A$504,0)))&amp;"","ID not found"))</f>
        <v/>
      </c>
      <c r="F745" s="51" t="str">
        <f aca="false">IF(C745="","",IFERROR(IF(LEFT(C745,1)="L",INDEX('Leads Pipeline'!$E$5:$E$1004,MATCH(C745,'Leads Pipeline'!$A$5:$A$1004,0)),INDEX('Active Clients'!$C$5:$C$504,MATCH(C745,'Active Clients'!$A$5:$A$504,0)))&amp;"","ID not found"))</f>
        <v/>
      </c>
      <c r="G745" s="16"/>
      <c r="H745" s="16"/>
      <c r="I745" s="16"/>
      <c r="J745" s="16"/>
      <c r="K745" s="16"/>
      <c r="L745" s="18"/>
    </row>
    <row r="746" customFormat="false" ht="15" hidden="false" customHeight="false" outlineLevel="0" collapsed="false">
      <c r="A746" s="18"/>
      <c r="B746" s="16"/>
      <c r="C746" s="16"/>
      <c r="D746" s="51" t="str">
        <f aca="false">IF(C746="","",IFERROR(IF(LEFT(C746,1)="L",INDEX('Leads Pipeline'!$F$5:$F$1004,MATCH(C746,'Leads Pipeline'!$A$5:$A$1004,0)),INDEX('Active Clients'!$D$5:$D$504,MATCH(C746,'Active Clients'!$A$5:$A$504,0)))&amp;"","ID not found"))</f>
        <v/>
      </c>
      <c r="E746" s="51" t="str">
        <f aca="false">IF(C746="","",IFERROR(IF(LEFT(C746,1)="L",INDEX('Leads Pipeline'!$D$5:$D$1004,MATCH(C746,'Leads Pipeline'!$A$5:$A$1004,0)),INDEX('Active Clients'!$B$5:$B$504,MATCH(C746,'Active Clients'!$A$5:$A$504,0)))&amp;"","ID not found"))</f>
        <v/>
      </c>
      <c r="F746" s="51" t="str">
        <f aca="false">IF(C746="","",IFERROR(IF(LEFT(C746,1)="L",INDEX('Leads Pipeline'!$E$5:$E$1004,MATCH(C746,'Leads Pipeline'!$A$5:$A$1004,0)),INDEX('Active Clients'!$C$5:$C$504,MATCH(C746,'Active Clients'!$A$5:$A$504,0)))&amp;"","ID not found"))</f>
        <v/>
      </c>
      <c r="G746" s="16"/>
      <c r="H746" s="16"/>
      <c r="I746" s="16"/>
      <c r="J746" s="16"/>
      <c r="K746" s="16"/>
      <c r="L746" s="18"/>
    </row>
    <row r="747" customFormat="false" ht="15" hidden="false" customHeight="false" outlineLevel="0" collapsed="false">
      <c r="A747" s="18"/>
      <c r="B747" s="16"/>
      <c r="C747" s="16"/>
      <c r="D747" s="51" t="str">
        <f aca="false">IF(C747="","",IFERROR(IF(LEFT(C747,1)="L",INDEX('Leads Pipeline'!$F$5:$F$1004,MATCH(C747,'Leads Pipeline'!$A$5:$A$1004,0)),INDEX('Active Clients'!$D$5:$D$504,MATCH(C747,'Active Clients'!$A$5:$A$504,0)))&amp;"","ID not found"))</f>
        <v/>
      </c>
      <c r="E747" s="51" t="str">
        <f aca="false">IF(C747="","",IFERROR(IF(LEFT(C747,1)="L",INDEX('Leads Pipeline'!$D$5:$D$1004,MATCH(C747,'Leads Pipeline'!$A$5:$A$1004,0)),INDEX('Active Clients'!$B$5:$B$504,MATCH(C747,'Active Clients'!$A$5:$A$504,0)))&amp;"","ID not found"))</f>
        <v/>
      </c>
      <c r="F747" s="51" t="str">
        <f aca="false">IF(C747="","",IFERROR(IF(LEFT(C747,1)="L",INDEX('Leads Pipeline'!$E$5:$E$1004,MATCH(C747,'Leads Pipeline'!$A$5:$A$1004,0)),INDEX('Active Clients'!$C$5:$C$504,MATCH(C747,'Active Clients'!$A$5:$A$504,0)))&amp;"","ID not found"))</f>
        <v/>
      </c>
      <c r="G747" s="16"/>
      <c r="H747" s="16"/>
      <c r="I747" s="16"/>
      <c r="J747" s="16"/>
      <c r="K747" s="16"/>
      <c r="L747" s="18"/>
    </row>
    <row r="748" customFormat="false" ht="15" hidden="false" customHeight="false" outlineLevel="0" collapsed="false">
      <c r="A748" s="18"/>
      <c r="B748" s="16"/>
      <c r="C748" s="16"/>
      <c r="D748" s="51" t="str">
        <f aca="false">IF(C748="","",IFERROR(IF(LEFT(C748,1)="L",INDEX('Leads Pipeline'!$F$5:$F$1004,MATCH(C748,'Leads Pipeline'!$A$5:$A$1004,0)),INDEX('Active Clients'!$D$5:$D$504,MATCH(C748,'Active Clients'!$A$5:$A$504,0)))&amp;"","ID not found"))</f>
        <v/>
      </c>
      <c r="E748" s="51" t="str">
        <f aca="false">IF(C748="","",IFERROR(IF(LEFT(C748,1)="L",INDEX('Leads Pipeline'!$D$5:$D$1004,MATCH(C748,'Leads Pipeline'!$A$5:$A$1004,0)),INDEX('Active Clients'!$B$5:$B$504,MATCH(C748,'Active Clients'!$A$5:$A$504,0)))&amp;"","ID not found"))</f>
        <v/>
      </c>
      <c r="F748" s="51" t="str">
        <f aca="false">IF(C748="","",IFERROR(IF(LEFT(C748,1)="L",INDEX('Leads Pipeline'!$E$5:$E$1004,MATCH(C748,'Leads Pipeline'!$A$5:$A$1004,0)),INDEX('Active Clients'!$C$5:$C$504,MATCH(C748,'Active Clients'!$A$5:$A$504,0)))&amp;"","ID not found"))</f>
        <v/>
      </c>
      <c r="G748" s="16"/>
      <c r="H748" s="16"/>
      <c r="I748" s="16"/>
      <c r="J748" s="16"/>
      <c r="K748" s="16"/>
      <c r="L748" s="18"/>
    </row>
    <row r="749" customFormat="false" ht="15" hidden="false" customHeight="false" outlineLevel="0" collapsed="false">
      <c r="A749" s="18"/>
      <c r="B749" s="16"/>
      <c r="C749" s="16"/>
      <c r="D749" s="51" t="str">
        <f aca="false">IF(C749="","",IFERROR(IF(LEFT(C749,1)="L",INDEX('Leads Pipeline'!$F$5:$F$1004,MATCH(C749,'Leads Pipeline'!$A$5:$A$1004,0)),INDEX('Active Clients'!$D$5:$D$504,MATCH(C749,'Active Clients'!$A$5:$A$504,0)))&amp;"","ID not found"))</f>
        <v/>
      </c>
      <c r="E749" s="51" t="str">
        <f aca="false">IF(C749="","",IFERROR(IF(LEFT(C749,1)="L",INDEX('Leads Pipeline'!$D$5:$D$1004,MATCH(C749,'Leads Pipeline'!$A$5:$A$1004,0)),INDEX('Active Clients'!$B$5:$B$504,MATCH(C749,'Active Clients'!$A$5:$A$504,0)))&amp;"","ID not found"))</f>
        <v/>
      </c>
      <c r="F749" s="51" t="str">
        <f aca="false">IF(C749="","",IFERROR(IF(LEFT(C749,1)="L",INDEX('Leads Pipeline'!$E$5:$E$1004,MATCH(C749,'Leads Pipeline'!$A$5:$A$1004,0)),INDEX('Active Clients'!$C$5:$C$504,MATCH(C749,'Active Clients'!$A$5:$A$504,0)))&amp;"","ID not found"))</f>
        <v/>
      </c>
      <c r="G749" s="16"/>
      <c r="H749" s="16"/>
      <c r="I749" s="16"/>
      <c r="J749" s="16"/>
      <c r="K749" s="16"/>
      <c r="L749" s="18"/>
    </row>
    <row r="750" customFormat="false" ht="15" hidden="false" customHeight="false" outlineLevel="0" collapsed="false">
      <c r="A750" s="18"/>
      <c r="B750" s="16"/>
      <c r="C750" s="16"/>
      <c r="D750" s="51" t="str">
        <f aca="false">IF(C750="","",IFERROR(IF(LEFT(C750,1)="L",INDEX('Leads Pipeline'!$F$5:$F$1004,MATCH(C750,'Leads Pipeline'!$A$5:$A$1004,0)),INDEX('Active Clients'!$D$5:$D$504,MATCH(C750,'Active Clients'!$A$5:$A$504,0)))&amp;"","ID not found"))</f>
        <v/>
      </c>
      <c r="E750" s="51" t="str">
        <f aca="false">IF(C750="","",IFERROR(IF(LEFT(C750,1)="L",INDEX('Leads Pipeline'!$D$5:$D$1004,MATCH(C750,'Leads Pipeline'!$A$5:$A$1004,0)),INDEX('Active Clients'!$B$5:$B$504,MATCH(C750,'Active Clients'!$A$5:$A$504,0)))&amp;"","ID not found"))</f>
        <v/>
      </c>
      <c r="F750" s="51" t="str">
        <f aca="false">IF(C750="","",IFERROR(IF(LEFT(C750,1)="L",INDEX('Leads Pipeline'!$E$5:$E$1004,MATCH(C750,'Leads Pipeline'!$A$5:$A$1004,0)),INDEX('Active Clients'!$C$5:$C$504,MATCH(C750,'Active Clients'!$A$5:$A$504,0)))&amp;"","ID not found"))</f>
        <v/>
      </c>
      <c r="G750" s="16"/>
      <c r="H750" s="16"/>
      <c r="I750" s="16"/>
      <c r="J750" s="16"/>
      <c r="K750" s="16"/>
      <c r="L750" s="18"/>
    </row>
    <row r="751" customFormat="false" ht="15" hidden="false" customHeight="false" outlineLevel="0" collapsed="false">
      <c r="A751" s="18"/>
      <c r="B751" s="16"/>
      <c r="C751" s="16"/>
      <c r="D751" s="51" t="str">
        <f aca="false">IF(C751="","",IFERROR(IF(LEFT(C751,1)="L",INDEX('Leads Pipeline'!$F$5:$F$1004,MATCH(C751,'Leads Pipeline'!$A$5:$A$1004,0)),INDEX('Active Clients'!$D$5:$D$504,MATCH(C751,'Active Clients'!$A$5:$A$504,0)))&amp;"","ID not found"))</f>
        <v/>
      </c>
      <c r="E751" s="51" t="str">
        <f aca="false">IF(C751="","",IFERROR(IF(LEFT(C751,1)="L",INDEX('Leads Pipeline'!$D$5:$D$1004,MATCH(C751,'Leads Pipeline'!$A$5:$A$1004,0)),INDEX('Active Clients'!$B$5:$B$504,MATCH(C751,'Active Clients'!$A$5:$A$504,0)))&amp;"","ID not found"))</f>
        <v/>
      </c>
      <c r="F751" s="51" t="str">
        <f aca="false">IF(C751="","",IFERROR(IF(LEFT(C751,1)="L",INDEX('Leads Pipeline'!$E$5:$E$1004,MATCH(C751,'Leads Pipeline'!$A$5:$A$1004,0)),INDEX('Active Clients'!$C$5:$C$504,MATCH(C751,'Active Clients'!$A$5:$A$504,0)))&amp;"","ID not found"))</f>
        <v/>
      </c>
      <c r="G751" s="16"/>
      <c r="H751" s="16"/>
      <c r="I751" s="16"/>
      <c r="J751" s="16"/>
      <c r="K751" s="16"/>
      <c r="L751" s="18"/>
    </row>
    <row r="752" customFormat="false" ht="15" hidden="false" customHeight="false" outlineLevel="0" collapsed="false">
      <c r="A752" s="18"/>
      <c r="B752" s="16"/>
      <c r="C752" s="16"/>
      <c r="D752" s="51" t="str">
        <f aca="false">IF(C752="","",IFERROR(IF(LEFT(C752,1)="L",INDEX('Leads Pipeline'!$F$5:$F$1004,MATCH(C752,'Leads Pipeline'!$A$5:$A$1004,0)),INDEX('Active Clients'!$D$5:$D$504,MATCH(C752,'Active Clients'!$A$5:$A$504,0)))&amp;"","ID not found"))</f>
        <v/>
      </c>
      <c r="E752" s="51" t="str">
        <f aca="false">IF(C752="","",IFERROR(IF(LEFT(C752,1)="L",INDEX('Leads Pipeline'!$D$5:$D$1004,MATCH(C752,'Leads Pipeline'!$A$5:$A$1004,0)),INDEX('Active Clients'!$B$5:$B$504,MATCH(C752,'Active Clients'!$A$5:$A$504,0)))&amp;"","ID not found"))</f>
        <v/>
      </c>
      <c r="F752" s="51" t="str">
        <f aca="false">IF(C752="","",IFERROR(IF(LEFT(C752,1)="L",INDEX('Leads Pipeline'!$E$5:$E$1004,MATCH(C752,'Leads Pipeline'!$A$5:$A$1004,0)),INDEX('Active Clients'!$C$5:$C$504,MATCH(C752,'Active Clients'!$A$5:$A$504,0)))&amp;"","ID not found"))</f>
        <v/>
      </c>
      <c r="G752" s="16"/>
      <c r="H752" s="16"/>
      <c r="I752" s="16"/>
      <c r="J752" s="16"/>
      <c r="K752" s="16"/>
      <c r="L752" s="18"/>
    </row>
    <row r="753" customFormat="false" ht="15" hidden="false" customHeight="false" outlineLevel="0" collapsed="false">
      <c r="A753" s="18"/>
      <c r="B753" s="16"/>
      <c r="C753" s="16"/>
      <c r="D753" s="51" t="str">
        <f aca="false">IF(C753="","",IFERROR(IF(LEFT(C753,1)="L",INDEX('Leads Pipeline'!$F$5:$F$1004,MATCH(C753,'Leads Pipeline'!$A$5:$A$1004,0)),INDEX('Active Clients'!$D$5:$D$504,MATCH(C753,'Active Clients'!$A$5:$A$504,0)))&amp;"","ID not found"))</f>
        <v/>
      </c>
      <c r="E753" s="51" t="str">
        <f aca="false">IF(C753="","",IFERROR(IF(LEFT(C753,1)="L",INDEX('Leads Pipeline'!$D$5:$D$1004,MATCH(C753,'Leads Pipeline'!$A$5:$A$1004,0)),INDEX('Active Clients'!$B$5:$B$504,MATCH(C753,'Active Clients'!$A$5:$A$504,0)))&amp;"","ID not found"))</f>
        <v/>
      </c>
      <c r="F753" s="51" t="str">
        <f aca="false">IF(C753="","",IFERROR(IF(LEFT(C753,1)="L",INDEX('Leads Pipeline'!$E$5:$E$1004,MATCH(C753,'Leads Pipeline'!$A$5:$A$1004,0)),INDEX('Active Clients'!$C$5:$C$504,MATCH(C753,'Active Clients'!$A$5:$A$504,0)))&amp;"","ID not found"))</f>
        <v/>
      </c>
      <c r="G753" s="16"/>
      <c r="H753" s="16"/>
      <c r="I753" s="16"/>
      <c r="J753" s="16"/>
      <c r="K753" s="16"/>
      <c r="L753" s="18"/>
    </row>
    <row r="754" customFormat="false" ht="15" hidden="false" customHeight="false" outlineLevel="0" collapsed="false">
      <c r="A754" s="18"/>
      <c r="B754" s="16"/>
      <c r="C754" s="16"/>
      <c r="D754" s="51" t="str">
        <f aca="false">IF(C754="","",IFERROR(IF(LEFT(C754,1)="L",INDEX('Leads Pipeline'!$F$5:$F$1004,MATCH(C754,'Leads Pipeline'!$A$5:$A$1004,0)),INDEX('Active Clients'!$D$5:$D$504,MATCH(C754,'Active Clients'!$A$5:$A$504,0)))&amp;"","ID not found"))</f>
        <v/>
      </c>
      <c r="E754" s="51" t="str">
        <f aca="false">IF(C754="","",IFERROR(IF(LEFT(C754,1)="L",INDEX('Leads Pipeline'!$D$5:$D$1004,MATCH(C754,'Leads Pipeline'!$A$5:$A$1004,0)),INDEX('Active Clients'!$B$5:$B$504,MATCH(C754,'Active Clients'!$A$5:$A$504,0)))&amp;"","ID not found"))</f>
        <v/>
      </c>
      <c r="F754" s="51" t="str">
        <f aca="false">IF(C754="","",IFERROR(IF(LEFT(C754,1)="L",INDEX('Leads Pipeline'!$E$5:$E$1004,MATCH(C754,'Leads Pipeline'!$A$5:$A$1004,0)),INDEX('Active Clients'!$C$5:$C$504,MATCH(C754,'Active Clients'!$A$5:$A$504,0)))&amp;"","ID not found"))</f>
        <v/>
      </c>
      <c r="G754" s="16"/>
      <c r="H754" s="16"/>
      <c r="I754" s="16"/>
      <c r="J754" s="16"/>
      <c r="K754" s="16"/>
      <c r="L754" s="18"/>
    </row>
    <row r="755" customFormat="false" ht="15" hidden="false" customHeight="false" outlineLevel="0" collapsed="false">
      <c r="A755" s="18"/>
      <c r="B755" s="16"/>
      <c r="C755" s="16"/>
      <c r="D755" s="51" t="str">
        <f aca="false">IF(C755="","",IFERROR(IF(LEFT(C755,1)="L",INDEX('Leads Pipeline'!$F$5:$F$1004,MATCH(C755,'Leads Pipeline'!$A$5:$A$1004,0)),INDEX('Active Clients'!$D$5:$D$504,MATCH(C755,'Active Clients'!$A$5:$A$504,0)))&amp;"","ID not found"))</f>
        <v/>
      </c>
      <c r="E755" s="51" t="str">
        <f aca="false">IF(C755="","",IFERROR(IF(LEFT(C755,1)="L",INDEX('Leads Pipeline'!$D$5:$D$1004,MATCH(C755,'Leads Pipeline'!$A$5:$A$1004,0)),INDEX('Active Clients'!$B$5:$B$504,MATCH(C755,'Active Clients'!$A$5:$A$504,0)))&amp;"","ID not found"))</f>
        <v/>
      </c>
      <c r="F755" s="51" t="str">
        <f aca="false">IF(C755="","",IFERROR(IF(LEFT(C755,1)="L",INDEX('Leads Pipeline'!$E$5:$E$1004,MATCH(C755,'Leads Pipeline'!$A$5:$A$1004,0)),INDEX('Active Clients'!$C$5:$C$504,MATCH(C755,'Active Clients'!$A$5:$A$504,0)))&amp;"","ID not found"))</f>
        <v/>
      </c>
      <c r="G755" s="16"/>
      <c r="H755" s="16"/>
      <c r="I755" s="16"/>
      <c r="J755" s="16"/>
      <c r="K755" s="16"/>
      <c r="L755" s="18"/>
    </row>
    <row r="756" customFormat="false" ht="15" hidden="false" customHeight="false" outlineLevel="0" collapsed="false">
      <c r="A756" s="18"/>
      <c r="B756" s="16"/>
      <c r="C756" s="16"/>
      <c r="D756" s="51" t="str">
        <f aca="false">IF(C756="","",IFERROR(IF(LEFT(C756,1)="L",INDEX('Leads Pipeline'!$F$5:$F$1004,MATCH(C756,'Leads Pipeline'!$A$5:$A$1004,0)),INDEX('Active Clients'!$D$5:$D$504,MATCH(C756,'Active Clients'!$A$5:$A$504,0)))&amp;"","ID not found"))</f>
        <v/>
      </c>
      <c r="E756" s="51" t="str">
        <f aca="false">IF(C756="","",IFERROR(IF(LEFT(C756,1)="L",INDEX('Leads Pipeline'!$D$5:$D$1004,MATCH(C756,'Leads Pipeline'!$A$5:$A$1004,0)),INDEX('Active Clients'!$B$5:$B$504,MATCH(C756,'Active Clients'!$A$5:$A$504,0)))&amp;"","ID not found"))</f>
        <v/>
      </c>
      <c r="F756" s="51" t="str">
        <f aca="false">IF(C756="","",IFERROR(IF(LEFT(C756,1)="L",INDEX('Leads Pipeline'!$E$5:$E$1004,MATCH(C756,'Leads Pipeline'!$A$5:$A$1004,0)),INDEX('Active Clients'!$C$5:$C$504,MATCH(C756,'Active Clients'!$A$5:$A$504,0)))&amp;"","ID not found"))</f>
        <v/>
      </c>
      <c r="G756" s="16"/>
      <c r="H756" s="16"/>
      <c r="I756" s="16"/>
      <c r="J756" s="16"/>
      <c r="K756" s="16"/>
      <c r="L756" s="18"/>
    </row>
    <row r="757" customFormat="false" ht="15" hidden="false" customHeight="false" outlineLevel="0" collapsed="false">
      <c r="A757" s="18"/>
      <c r="B757" s="16"/>
      <c r="C757" s="16"/>
      <c r="D757" s="51" t="str">
        <f aca="false">IF(C757="","",IFERROR(IF(LEFT(C757,1)="L",INDEX('Leads Pipeline'!$F$5:$F$1004,MATCH(C757,'Leads Pipeline'!$A$5:$A$1004,0)),INDEX('Active Clients'!$D$5:$D$504,MATCH(C757,'Active Clients'!$A$5:$A$504,0)))&amp;"","ID not found"))</f>
        <v/>
      </c>
      <c r="E757" s="51" t="str">
        <f aca="false">IF(C757="","",IFERROR(IF(LEFT(C757,1)="L",INDEX('Leads Pipeline'!$D$5:$D$1004,MATCH(C757,'Leads Pipeline'!$A$5:$A$1004,0)),INDEX('Active Clients'!$B$5:$B$504,MATCH(C757,'Active Clients'!$A$5:$A$504,0)))&amp;"","ID not found"))</f>
        <v/>
      </c>
      <c r="F757" s="51" t="str">
        <f aca="false">IF(C757="","",IFERROR(IF(LEFT(C757,1)="L",INDEX('Leads Pipeline'!$E$5:$E$1004,MATCH(C757,'Leads Pipeline'!$A$5:$A$1004,0)),INDEX('Active Clients'!$C$5:$C$504,MATCH(C757,'Active Clients'!$A$5:$A$504,0)))&amp;"","ID not found"))</f>
        <v/>
      </c>
      <c r="G757" s="16"/>
      <c r="H757" s="16"/>
      <c r="I757" s="16"/>
      <c r="J757" s="16"/>
      <c r="K757" s="16"/>
      <c r="L757" s="18"/>
    </row>
    <row r="758" customFormat="false" ht="15" hidden="false" customHeight="false" outlineLevel="0" collapsed="false">
      <c r="A758" s="18"/>
      <c r="B758" s="16"/>
      <c r="C758" s="16"/>
      <c r="D758" s="51" t="str">
        <f aca="false">IF(C758="","",IFERROR(IF(LEFT(C758,1)="L",INDEX('Leads Pipeline'!$F$5:$F$1004,MATCH(C758,'Leads Pipeline'!$A$5:$A$1004,0)),INDEX('Active Clients'!$D$5:$D$504,MATCH(C758,'Active Clients'!$A$5:$A$504,0)))&amp;"","ID not found"))</f>
        <v/>
      </c>
      <c r="E758" s="51" t="str">
        <f aca="false">IF(C758="","",IFERROR(IF(LEFT(C758,1)="L",INDEX('Leads Pipeline'!$D$5:$D$1004,MATCH(C758,'Leads Pipeline'!$A$5:$A$1004,0)),INDEX('Active Clients'!$B$5:$B$504,MATCH(C758,'Active Clients'!$A$5:$A$504,0)))&amp;"","ID not found"))</f>
        <v/>
      </c>
      <c r="F758" s="51" t="str">
        <f aca="false">IF(C758="","",IFERROR(IF(LEFT(C758,1)="L",INDEX('Leads Pipeline'!$E$5:$E$1004,MATCH(C758,'Leads Pipeline'!$A$5:$A$1004,0)),INDEX('Active Clients'!$C$5:$C$504,MATCH(C758,'Active Clients'!$A$5:$A$504,0)))&amp;"","ID not found"))</f>
        <v/>
      </c>
      <c r="G758" s="16"/>
      <c r="H758" s="16"/>
      <c r="I758" s="16"/>
      <c r="J758" s="16"/>
      <c r="K758" s="16"/>
      <c r="L758" s="18"/>
    </row>
    <row r="759" customFormat="false" ht="15" hidden="false" customHeight="false" outlineLevel="0" collapsed="false">
      <c r="A759" s="18"/>
      <c r="B759" s="16"/>
      <c r="C759" s="16"/>
      <c r="D759" s="51" t="str">
        <f aca="false">IF(C759="","",IFERROR(IF(LEFT(C759,1)="L",INDEX('Leads Pipeline'!$F$5:$F$1004,MATCH(C759,'Leads Pipeline'!$A$5:$A$1004,0)),INDEX('Active Clients'!$D$5:$D$504,MATCH(C759,'Active Clients'!$A$5:$A$504,0)))&amp;"","ID not found"))</f>
        <v/>
      </c>
      <c r="E759" s="51" t="str">
        <f aca="false">IF(C759="","",IFERROR(IF(LEFT(C759,1)="L",INDEX('Leads Pipeline'!$D$5:$D$1004,MATCH(C759,'Leads Pipeline'!$A$5:$A$1004,0)),INDEX('Active Clients'!$B$5:$B$504,MATCH(C759,'Active Clients'!$A$5:$A$504,0)))&amp;"","ID not found"))</f>
        <v/>
      </c>
      <c r="F759" s="51" t="str">
        <f aca="false">IF(C759="","",IFERROR(IF(LEFT(C759,1)="L",INDEX('Leads Pipeline'!$E$5:$E$1004,MATCH(C759,'Leads Pipeline'!$A$5:$A$1004,0)),INDEX('Active Clients'!$C$5:$C$504,MATCH(C759,'Active Clients'!$A$5:$A$504,0)))&amp;"","ID not found"))</f>
        <v/>
      </c>
      <c r="G759" s="16"/>
      <c r="H759" s="16"/>
      <c r="I759" s="16"/>
      <c r="J759" s="16"/>
      <c r="K759" s="16"/>
      <c r="L759" s="18"/>
    </row>
    <row r="760" customFormat="false" ht="15" hidden="false" customHeight="false" outlineLevel="0" collapsed="false">
      <c r="A760" s="18"/>
      <c r="B760" s="16"/>
      <c r="C760" s="16"/>
      <c r="D760" s="51" t="str">
        <f aca="false">IF(C760="","",IFERROR(IF(LEFT(C760,1)="L",INDEX('Leads Pipeline'!$F$5:$F$1004,MATCH(C760,'Leads Pipeline'!$A$5:$A$1004,0)),INDEX('Active Clients'!$D$5:$D$504,MATCH(C760,'Active Clients'!$A$5:$A$504,0)))&amp;"","ID not found"))</f>
        <v/>
      </c>
      <c r="E760" s="51" t="str">
        <f aca="false">IF(C760="","",IFERROR(IF(LEFT(C760,1)="L",INDEX('Leads Pipeline'!$D$5:$D$1004,MATCH(C760,'Leads Pipeline'!$A$5:$A$1004,0)),INDEX('Active Clients'!$B$5:$B$504,MATCH(C760,'Active Clients'!$A$5:$A$504,0)))&amp;"","ID not found"))</f>
        <v/>
      </c>
      <c r="F760" s="51" t="str">
        <f aca="false">IF(C760="","",IFERROR(IF(LEFT(C760,1)="L",INDEX('Leads Pipeline'!$E$5:$E$1004,MATCH(C760,'Leads Pipeline'!$A$5:$A$1004,0)),INDEX('Active Clients'!$C$5:$C$504,MATCH(C760,'Active Clients'!$A$5:$A$504,0)))&amp;"","ID not found"))</f>
        <v/>
      </c>
      <c r="G760" s="16"/>
      <c r="H760" s="16"/>
      <c r="I760" s="16"/>
      <c r="J760" s="16"/>
      <c r="K760" s="16"/>
      <c r="L760" s="18"/>
    </row>
    <row r="761" customFormat="false" ht="15" hidden="false" customHeight="false" outlineLevel="0" collapsed="false">
      <c r="A761" s="18"/>
      <c r="B761" s="16"/>
      <c r="C761" s="16"/>
      <c r="D761" s="51" t="str">
        <f aca="false">IF(C761="","",IFERROR(IF(LEFT(C761,1)="L",INDEX('Leads Pipeline'!$F$5:$F$1004,MATCH(C761,'Leads Pipeline'!$A$5:$A$1004,0)),INDEX('Active Clients'!$D$5:$D$504,MATCH(C761,'Active Clients'!$A$5:$A$504,0)))&amp;"","ID not found"))</f>
        <v/>
      </c>
      <c r="E761" s="51" t="str">
        <f aca="false">IF(C761="","",IFERROR(IF(LEFT(C761,1)="L",INDEX('Leads Pipeline'!$D$5:$D$1004,MATCH(C761,'Leads Pipeline'!$A$5:$A$1004,0)),INDEX('Active Clients'!$B$5:$B$504,MATCH(C761,'Active Clients'!$A$5:$A$504,0)))&amp;"","ID not found"))</f>
        <v/>
      </c>
      <c r="F761" s="51" t="str">
        <f aca="false">IF(C761="","",IFERROR(IF(LEFT(C761,1)="L",INDEX('Leads Pipeline'!$E$5:$E$1004,MATCH(C761,'Leads Pipeline'!$A$5:$A$1004,0)),INDEX('Active Clients'!$C$5:$C$504,MATCH(C761,'Active Clients'!$A$5:$A$504,0)))&amp;"","ID not found"))</f>
        <v/>
      </c>
      <c r="G761" s="16"/>
      <c r="H761" s="16"/>
      <c r="I761" s="16"/>
      <c r="J761" s="16"/>
      <c r="K761" s="16"/>
      <c r="L761" s="18"/>
    </row>
    <row r="762" customFormat="false" ht="15" hidden="false" customHeight="false" outlineLevel="0" collapsed="false">
      <c r="A762" s="18"/>
      <c r="B762" s="16"/>
      <c r="C762" s="16"/>
      <c r="D762" s="51" t="str">
        <f aca="false">IF(C762="","",IFERROR(IF(LEFT(C762,1)="L",INDEX('Leads Pipeline'!$F$5:$F$1004,MATCH(C762,'Leads Pipeline'!$A$5:$A$1004,0)),INDEX('Active Clients'!$D$5:$D$504,MATCH(C762,'Active Clients'!$A$5:$A$504,0)))&amp;"","ID not found"))</f>
        <v/>
      </c>
      <c r="E762" s="51" t="str">
        <f aca="false">IF(C762="","",IFERROR(IF(LEFT(C762,1)="L",INDEX('Leads Pipeline'!$D$5:$D$1004,MATCH(C762,'Leads Pipeline'!$A$5:$A$1004,0)),INDEX('Active Clients'!$B$5:$B$504,MATCH(C762,'Active Clients'!$A$5:$A$504,0)))&amp;"","ID not found"))</f>
        <v/>
      </c>
      <c r="F762" s="51" t="str">
        <f aca="false">IF(C762="","",IFERROR(IF(LEFT(C762,1)="L",INDEX('Leads Pipeline'!$E$5:$E$1004,MATCH(C762,'Leads Pipeline'!$A$5:$A$1004,0)),INDEX('Active Clients'!$C$5:$C$504,MATCH(C762,'Active Clients'!$A$5:$A$504,0)))&amp;"","ID not found"))</f>
        <v/>
      </c>
      <c r="G762" s="16"/>
      <c r="H762" s="16"/>
      <c r="I762" s="16"/>
      <c r="J762" s="16"/>
      <c r="K762" s="16"/>
      <c r="L762" s="18"/>
    </row>
    <row r="763" customFormat="false" ht="15" hidden="false" customHeight="false" outlineLevel="0" collapsed="false">
      <c r="A763" s="18"/>
      <c r="B763" s="16"/>
      <c r="C763" s="16"/>
      <c r="D763" s="51" t="str">
        <f aca="false">IF(C763="","",IFERROR(IF(LEFT(C763,1)="L",INDEX('Leads Pipeline'!$F$5:$F$1004,MATCH(C763,'Leads Pipeline'!$A$5:$A$1004,0)),INDEX('Active Clients'!$D$5:$D$504,MATCH(C763,'Active Clients'!$A$5:$A$504,0)))&amp;"","ID not found"))</f>
        <v/>
      </c>
      <c r="E763" s="51" t="str">
        <f aca="false">IF(C763="","",IFERROR(IF(LEFT(C763,1)="L",INDEX('Leads Pipeline'!$D$5:$D$1004,MATCH(C763,'Leads Pipeline'!$A$5:$A$1004,0)),INDEX('Active Clients'!$B$5:$B$504,MATCH(C763,'Active Clients'!$A$5:$A$504,0)))&amp;"","ID not found"))</f>
        <v/>
      </c>
      <c r="F763" s="51" t="str">
        <f aca="false">IF(C763="","",IFERROR(IF(LEFT(C763,1)="L",INDEX('Leads Pipeline'!$E$5:$E$1004,MATCH(C763,'Leads Pipeline'!$A$5:$A$1004,0)),INDEX('Active Clients'!$C$5:$C$504,MATCH(C763,'Active Clients'!$A$5:$A$504,0)))&amp;"","ID not found"))</f>
        <v/>
      </c>
      <c r="G763" s="16"/>
      <c r="H763" s="16"/>
      <c r="I763" s="16"/>
      <c r="J763" s="16"/>
      <c r="K763" s="16"/>
      <c r="L763" s="18"/>
    </row>
    <row r="764" customFormat="false" ht="15" hidden="false" customHeight="false" outlineLevel="0" collapsed="false">
      <c r="A764" s="18"/>
      <c r="B764" s="16"/>
      <c r="C764" s="16"/>
      <c r="D764" s="51" t="str">
        <f aca="false">IF(C764="","",IFERROR(IF(LEFT(C764,1)="L",INDEX('Leads Pipeline'!$F$5:$F$1004,MATCH(C764,'Leads Pipeline'!$A$5:$A$1004,0)),INDEX('Active Clients'!$D$5:$D$504,MATCH(C764,'Active Clients'!$A$5:$A$504,0)))&amp;"","ID not found"))</f>
        <v/>
      </c>
      <c r="E764" s="51" t="str">
        <f aca="false">IF(C764="","",IFERROR(IF(LEFT(C764,1)="L",INDEX('Leads Pipeline'!$D$5:$D$1004,MATCH(C764,'Leads Pipeline'!$A$5:$A$1004,0)),INDEX('Active Clients'!$B$5:$B$504,MATCH(C764,'Active Clients'!$A$5:$A$504,0)))&amp;"","ID not found"))</f>
        <v/>
      </c>
      <c r="F764" s="51" t="str">
        <f aca="false">IF(C764="","",IFERROR(IF(LEFT(C764,1)="L",INDEX('Leads Pipeline'!$E$5:$E$1004,MATCH(C764,'Leads Pipeline'!$A$5:$A$1004,0)),INDEX('Active Clients'!$C$5:$C$504,MATCH(C764,'Active Clients'!$A$5:$A$504,0)))&amp;"","ID not found"))</f>
        <v/>
      </c>
      <c r="G764" s="16"/>
      <c r="H764" s="16"/>
      <c r="I764" s="16"/>
      <c r="J764" s="16"/>
      <c r="K764" s="16"/>
      <c r="L764" s="18"/>
    </row>
    <row r="765" customFormat="false" ht="15" hidden="false" customHeight="false" outlineLevel="0" collapsed="false">
      <c r="A765" s="18"/>
      <c r="B765" s="16"/>
      <c r="C765" s="16"/>
      <c r="D765" s="51" t="str">
        <f aca="false">IF(C765="","",IFERROR(IF(LEFT(C765,1)="L",INDEX('Leads Pipeline'!$F$5:$F$1004,MATCH(C765,'Leads Pipeline'!$A$5:$A$1004,0)),INDEX('Active Clients'!$D$5:$D$504,MATCH(C765,'Active Clients'!$A$5:$A$504,0)))&amp;"","ID not found"))</f>
        <v/>
      </c>
      <c r="E765" s="51" t="str">
        <f aca="false">IF(C765="","",IFERROR(IF(LEFT(C765,1)="L",INDEX('Leads Pipeline'!$D$5:$D$1004,MATCH(C765,'Leads Pipeline'!$A$5:$A$1004,0)),INDEX('Active Clients'!$B$5:$B$504,MATCH(C765,'Active Clients'!$A$5:$A$504,0)))&amp;"","ID not found"))</f>
        <v/>
      </c>
      <c r="F765" s="51" t="str">
        <f aca="false">IF(C765="","",IFERROR(IF(LEFT(C765,1)="L",INDEX('Leads Pipeline'!$E$5:$E$1004,MATCH(C765,'Leads Pipeline'!$A$5:$A$1004,0)),INDEX('Active Clients'!$C$5:$C$504,MATCH(C765,'Active Clients'!$A$5:$A$504,0)))&amp;"","ID not found"))</f>
        <v/>
      </c>
      <c r="G765" s="16"/>
      <c r="H765" s="16"/>
      <c r="I765" s="16"/>
      <c r="J765" s="16"/>
      <c r="K765" s="16"/>
      <c r="L765" s="18"/>
    </row>
    <row r="766" customFormat="false" ht="15" hidden="false" customHeight="false" outlineLevel="0" collapsed="false">
      <c r="A766" s="18"/>
      <c r="B766" s="16"/>
      <c r="C766" s="16"/>
      <c r="D766" s="51" t="str">
        <f aca="false">IF(C766="","",IFERROR(IF(LEFT(C766,1)="L",INDEX('Leads Pipeline'!$F$5:$F$1004,MATCH(C766,'Leads Pipeline'!$A$5:$A$1004,0)),INDEX('Active Clients'!$D$5:$D$504,MATCH(C766,'Active Clients'!$A$5:$A$504,0)))&amp;"","ID not found"))</f>
        <v/>
      </c>
      <c r="E766" s="51" t="str">
        <f aca="false">IF(C766="","",IFERROR(IF(LEFT(C766,1)="L",INDEX('Leads Pipeline'!$D$5:$D$1004,MATCH(C766,'Leads Pipeline'!$A$5:$A$1004,0)),INDEX('Active Clients'!$B$5:$B$504,MATCH(C766,'Active Clients'!$A$5:$A$504,0)))&amp;"","ID not found"))</f>
        <v/>
      </c>
      <c r="F766" s="51" t="str">
        <f aca="false">IF(C766="","",IFERROR(IF(LEFT(C766,1)="L",INDEX('Leads Pipeline'!$E$5:$E$1004,MATCH(C766,'Leads Pipeline'!$A$5:$A$1004,0)),INDEX('Active Clients'!$C$5:$C$504,MATCH(C766,'Active Clients'!$A$5:$A$504,0)))&amp;"","ID not found"))</f>
        <v/>
      </c>
      <c r="G766" s="16"/>
      <c r="H766" s="16"/>
      <c r="I766" s="16"/>
      <c r="J766" s="16"/>
      <c r="K766" s="16"/>
      <c r="L766" s="18"/>
    </row>
    <row r="767" customFormat="false" ht="15" hidden="false" customHeight="false" outlineLevel="0" collapsed="false">
      <c r="A767" s="18"/>
      <c r="B767" s="16"/>
      <c r="C767" s="16"/>
      <c r="D767" s="51" t="str">
        <f aca="false">IF(C767="","",IFERROR(IF(LEFT(C767,1)="L",INDEX('Leads Pipeline'!$F$5:$F$1004,MATCH(C767,'Leads Pipeline'!$A$5:$A$1004,0)),INDEX('Active Clients'!$D$5:$D$504,MATCH(C767,'Active Clients'!$A$5:$A$504,0)))&amp;"","ID not found"))</f>
        <v/>
      </c>
      <c r="E767" s="51" t="str">
        <f aca="false">IF(C767="","",IFERROR(IF(LEFT(C767,1)="L",INDEX('Leads Pipeline'!$D$5:$D$1004,MATCH(C767,'Leads Pipeline'!$A$5:$A$1004,0)),INDEX('Active Clients'!$B$5:$B$504,MATCH(C767,'Active Clients'!$A$5:$A$504,0)))&amp;"","ID not found"))</f>
        <v/>
      </c>
      <c r="F767" s="51" t="str">
        <f aca="false">IF(C767="","",IFERROR(IF(LEFT(C767,1)="L",INDEX('Leads Pipeline'!$E$5:$E$1004,MATCH(C767,'Leads Pipeline'!$A$5:$A$1004,0)),INDEX('Active Clients'!$C$5:$C$504,MATCH(C767,'Active Clients'!$A$5:$A$504,0)))&amp;"","ID not found"))</f>
        <v/>
      </c>
      <c r="G767" s="16"/>
      <c r="H767" s="16"/>
      <c r="I767" s="16"/>
      <c r="J767" s="16"/>
      <c r="K767" s="16"/>
      <c r="L767" s="18"/>
    </row>
    <row r="768" customFormat="false" ht="15" hidden="false" customHeight="false" outlineLevel="0" collapsed="false">
      <c r="A768" s="18"/>
      <c r="B768" s="16"/>
      <c r="C768" s="16"/>
      <c r="D768" s="51" t="str">
        <f aca="false">IF(C768="","",IFERROR(IF(LEFT(C768,1)="L",INDEX('Leads Pipeline'!$F$5:$F$1004,MATCH(C768,'Leads Pipeline'!$A$5:$A$1004,0)),INDEX('Active Clients'!$D$5:$D$504,MATCH(C768,'Active Clients'!$A$5:$A$504,0)))&amp;"","ID not found"))</f>
        <v/>
      </c>
      <c r="E768" s="51" t="str">
        <f aca="false">IF(C768="","",IFERROR(IF(LEFT(C768,1)="L",INDEX('Leads Pipeline'!$D$5:$D$1004,MATCH(C768,'Leads Pipeline'!$A$5:$A$1004,0)),INDEX('Active Clients'!$B$5:$B$504,MATCH(C768,'Active Clients'!$A$5:$A$504,0)))&amp;"","ID not found"))</f>
        <v/>
      </c>
      <c r="F768" s="51" t="str">
        <f aca="false">IF(C768="","",IFERROR(IF(LEFT(C768,1)="L",INDEX('Leads Pipeline'!$E$5:$E$1004,MATCH(C768,'Leads Pipeline'!$A$5:$A$1004,0)),INDEX('Active Clients'!$C$5:$C$504,MATCH(C768,'Active Clients'!$A$5:$A$504,0)))&amp;"","ID not found"))</f>
        <v/>
      </c>
      <c r="G768" s="16"/>
      <c r="H768" s="16"/>
      <c r="I768" s="16"/>
      <c r="J768" s="16"/>
      <c r="K768" s="16"/>
      <c r="L768" s="18"/>
    </row>
    <row r="769" customFormat="false" ht="15" hidden="false" customHeight="false" outlineLevel="0" collapsed="false">
      <c r="A769" s="18"/>
      <c r="B769" s="16"/>
      <c r="C769" s="16"/>
      <c r="D769" s="51" t="str">
        <f aca="false">IF(C769="","",IFERROR(IF(LEFT(C769,1)="L",INDEX('Leads Pipeline'!$F$5:$F$1004,MATCH(C769,'Leads Pipeline'!$A$5:$A$1004,0)),INDEX('Active Clients'!$D$5:$D$504,MATCH(C769,'Active Clients'!$A$5:$A$504,0)))&amp;"","ID not found"))</f>
        <v/>
      </c>
      <c r="E769" s="51" t="str">
        <f aca="false">IF(C769="","",IFERROR(IF(LEFT(C769,1)="L",INDEX('Leads Pipeline'!$D$5:$D$1004,MATCH(C769,'Leads Pipeline'!$A$5:$A$1004,0)),INDEX('Active Clients'!$B$5:$B$504,MATCH(C769,'Active Clients'!$A$5:$A$504,0)))&amp;"","ID not found"))</f>
        <v/>
      </c>
      <c r="F769" s="51" t="str">
        <f aca="false">IF(C769="","",IFERROR(IF(LEFT(C769,1)="L",INDEX('Leads Pipeline'!$E$5:$E$1004,MATCH(C769,'Leads Pipeline'!$A$5:$A$1004,0)),INDEX('Active Clients'!$C$5:$C$504,MATCH(C769,'Active Clients'!$A$5:$A$504,0)))&amp;"","ID not found"))</f>
        <v/>
      </c>
      <c r="G769" s="16"/>
      <c r="H769" s="16"/>
      <c r="I769" s="16"/>
      <c r="J769" s="16"/>
      <c r="K769" s="16"/>
      <c r="L769" s="18"/>
    </row>
    <row r="770" customFormat="false" ht="15" hidden="false" customHeight="false" outlineLevel="0" collapsed="false">
      <c r="A770" s="18"/>
      <c r="B770" s="16"/>
      <c r="C770" s="16"/>
      <c r="D770" s="51" t="str">
        <f aca="false">IF(C770="","",IFERROR(IF(LEFT(C770,1)="L",INDEX('Leads Pipeline'!$F$5:$F$1004,MATCH(C770,'Leads Pipeline'!$A$5:$A$1004,0)),INDEX('Active Clients'!$D$5:$D$504,MATCH(C770,'Active Clients'!$A$5:$A$504,0)))&amp;"","ID not found"))</f>
        <v/>
      </c>
      <c r="E770" s="51" t="str">
        <f aca="false">IF(C770="","",IFERROR(IF(LEFT(C770,1)="L",INDEX('Leads Pipeline'!$D$5:$D$1004,MATCH(C770,'Leads Pipeline'!$A$5:$A$1004,0)),INDEX('Active Clients'!$B$5:$B$504,MATCH(C770,'Active Clients'!$A$5:$A$504,0)))&amp;"","ID not found"))</f>
        <v/>
      </c>
      <c r="F770" s="51" t="str">
        <f aca="false">IF(C770="","",IFERROR(IF(LEFT(C770,1)="L",INDEX('Leads Pipeline'!$E$5:$E$1004,MATCH(C770,'Leads Pipeline'!$A$5:$A$1004,0)),INDEX('Active Clients'!$C$5:$C$504,MATCH(C770,'Active Clients'!$A$5:$A$504,0)))&amp;"","ID not found"))</f>
        <v/>
      </c>
      <c r="G770" s="16"/>
      <c r="H770" s="16"/>
      <c r="I770" s="16"/>
      <c r="J770" s="16"/>
      <c r="K770" s="16"/>
      <c r="L770" s="18"/>
    </row>
    <row r="771" customFormat="false" ht="15" hidden="false" customHeight="false" outlineLevel="0" collapsed="false">
      <c r="A771" s="18"/>
      <c r="B771" s="16"/>
      <c r="C771" s="16"/>
      <c r="D771" s="51" t="str">
        <f aca="false">IF(C771="","",IFERROR(IF(LEFT(C771,1)="L",INDEX('Leads Pipeline'!$F$5:$F$1004,MATCH(C771,'Leads Pipeline'!$A$5:$A$1004,0)),INDEX('Active Clients'!$D$5:$D$504,MATCH(C771,'Active Clients'!$A$5:$A$504,0)))&amp;"","ID not found"))</f>
        <v/>
      </c>
      <c r="E771" s="51" t="str">
        <f aca="false">IF(C771="","",IFERROR(IF(LEFT(C771,1)="L",INDEX('Leads Pipeline'!$D$5:$D$1004,MATCH(C771,'Leads Pipeline'!$A$5:$A$1004,0)),INDEX('Active Clients'!$B$5:$B$504,MATCH(C771,'Active Clients'!$A$5:$A$504,0)))&amp;"","ID not found"))</f>
        <v/>
      </c>
      <c r="F771" s="51" t="str">
        <f aca="false">IF(C771="","",IFERROR(IF(LEFT(C771,1)="L",INDEX('Leads Pipeline'!$E$5:$E$1004,MATCH(C771,'Leads Pipeline'!$A$5:$A$1004,0)),INDEX('Active Clients'!$C$5:$C$504,MATCH(C771,'Active Clients'!$A$5:$A$504,0)))&amp;"","ID not found"))</f>
        <v/>
      </c>
      <c r="G771" s="16"/>
      <c r="H771" s="16"/>
      <c r="I771" s="16"/>
      <c r="J771" s="16"/>
      <c r="K771" s="16"/>
      <c r="L771" s="18"/>
    </row>
    <row r="772" customFormat="false" ht="15" hidden="false" customHeight="false" outlineLevel="0" collapsed="false">
      <c r="A772" s="18"/>
      <c r="B772" s="16"/>
      <c r="C772" s="16"/>
      <c r="D772" s="51" t="str">
        <f aca="false">IF(C772="","",IFERROR(IF(LEFT(C772,1)="L",INDEX('Leads Pipeline'!$F$5:$F$1004,MATCH(C772,'Leads Pipeline'!$A$5:$A$1004,0)),INDEX('Active Clients'!$D$5:$D$504,MATCH(C772,'Active Clients'!$A$5:$A$504,0)))&amp;"","ID not found"))</f>
        <v/>
      </c>
      <c r="E772" s="51" t="str">
        <f aca="false">IF(C772="","",IFERROR(IF(LEFT(C772,1)="L",INDEX('Leads Pipeline'!$D$5:$D$1004,MATCH(C772,'Leads Pipeline'!$A$5:$A$1004,0)),INDEX('Active Clients'!$B$5:$B$504,MATCH(C772,'Active Clients'!$A$5:$A$504,0)))&amp;"","ID not found"))</f>
        <v/>
      </c>
      <c r="F772" s="51" t="str">
        <f aca="false">IF(C772="","",IFERROR(IF(LEFT(C772,1)="L",INDEX('Leads Pipeline'!$E$5:$E$1004,MATCH(C772,'Leads Pipeline'!$A$5:$A$1004,0)),INDEX('Active Clients'!$C$5:$C$504,MATCH(C772,'Active Clients'!$A$5:$A$504,0)))&amp;"","ID not found"))</f>
        <v/>
      </c>
      <c r="G772" s="16"/>
      <c r="H772" s="16"/>
      <c r="I772" s="16"/>
      <c r="J772" s="16"/>
      <c r="K772" s="16"/>
      <c r="L772" s="18"/>
    </row>
    <row r="773" customFormat="false" ht="15" hidden="false" customHeight="false" outlineLevel="0" collapsed="false">
      <c r="A773" s="18"/>
      <c r="B773" s="16"/>
      <c r="C773" s="16"/>
      <c r="D773" s="51" t="str">
        <f aca="false">IF(C773="","",IFERROR(IF(LEFT(C773,1)="L",INDEX('Leads Pipeline'!$F$5:$F$1004,MATCH(C773,'Leads Pipeline'!$A$5:$A$1004,0)),INDEX('Active Clients'!$D$5:$D$504,MATCH(C773,'Active Clients'!$A$5:$A$504,0)))&amp;"","ID not found"))</f>
        <v/>
      </c>
      <c r="E773" s="51" t="str">
        <f aca="false">IF(C773="","",IFERROR(IF(LEFT(C773,1)="L",INDEX('Leads Pipeline'!$D$5:$D$1004,MATCH(C773,'Leads Pipeline'!$A$5:$A$1004,0)),INDEX('Active Clients'!$B$5:$B$504,MATCH(C773,'Active Clients'!$A$5:$A$504,0)))&amp;"","ID not found"))</f>
        <v/>
      </c>
      <c r="F773" s="51" t="str">
        <f aca="false">IF(C773="","",IFERROR(IF(LEFT(C773,1)="L",INDEX('Leads Pipeline'!$E$5:$E$1004,MATCH(C773,'Leads Pipeline'!$A$5:$A$1004,0)),INDEX('Active Clients'!$C$5:$C$504,MATCH(C773,'Active Clients'!$A$5:$A$504,0)))&amp;"","ID not found"))</f>
        <v/>
      </c>
      <c r="G773" s="16"/>
      <c r="H773" s="16"/>
      <c r="I773" s="16"/>
      <c r="J773" s="16"/>
      <c r="K773" s="16"/>
      <c r="L773" s="18"/>
    </row>
    <row r="774" customFormat="false" ht="15" hidden="false" customHeight="false" outlineLevel="0" collapsed="false">
      <c r="A774" s="18"/>
      <c r="B774" s="16"/>
      <c r="C774" s="16"/>
      <c r="D774" s="51" t="str">
        <f aca="false">IF(C774="","",IFERROR(IF(LEFT(C774,1)="L",INDEX('Leads Pipeline'!$F$5:$F$1004,MATCH(C774,'Leads Pipeline'!$A$5:$A$1004,0)),INDEX('Active Clients'!$D$5:$D$504,MATCH(C774,'Active Clients'!$A$5:$A$504,0)))&amp;"","ID not found"))</f>
        <v/>
      </c>
      <c r="E774" s="51" t="str">
        <f aca="false">IF(C774="","",IFERROR(IF(LEFT(C774,1)="L",INDEX('Leads Pipeline'!$D$5:$D$1004,MATCH(C774,'Leads Pipeline'!$A$5:$A$1004,0)),INDEX('Active Clients'!$B$5:$B$504,MATCH(C774,'Active Clients'!$A$5:$A$504,0)))&amp;"","ID not found"))</f>
        <v/>
      </c>
      <c r="F774" s="51" t="str">
        <f aca="false">IF(C774="","",IFERROR(IF(LEFT(C774,1)="L",INDEX('Leads Pipeline'!$E$5:$E$1004,MATCH(C774,'Leads Pipeline'!$A$5:$A$1004,0)),INDEX('Active Clients'!$C$5:$C$504,MATCH(C774,'Active Clients'!$A$5:$A$504,0)))&amp;"","ID not found"))</f>
        <v/>
      </c>
      <c r="G774" s="16"/>
      <c r="H774" s="16"/>
      <c r="I774" s="16"/>
      <c r="J774" s="16"/>
      <c r="K774" s="16"/>
      <c r="L774" s="18"/>
    </row>
    <row r="775" customFormat="false" ht="15" hidden="false" customHeight="false" outlineLevel="0" collapsed="false">
      <c r="A775" s="18"/>
      <c r="B775" s="16"/>
      <c r="C775" s="16"/>
      <c r="D775" s="51" t="str">
        <f aca="false">IF(C775="","",IFERROR(IF(LEFT(C775,1)="L",INDEX('Leads Pipeline'!$F$5:$F$1004,MATCH(C775,'Leads Pipeline'!$A$5:$A$1004,0)),INDEX('Active Clients'!$D$5:$D$504,MATCH(C775,'Active Clients'!$A$5:$A$504,0)))&amp;"","ID not found"))</f>
        <v/>
      </c>
      <c r="E775" s="51" t="str">
        <f aca="false">IF(C775="","",IFERROR(IF(LEFT(C775,1)="L",INDEX('Leads Pipeline'!$D$5:$D$1004,MATCH(C775,'Leads Pipeline'!$A$5:$A$1004,0)),INDEX('Active Clients'!$B$5:$B$504,MATCH(C775,'Active Clients'!$A$5:$A$504,0)))&amp;"","ID not found"))</f>
        <v/>
      </c>
      <c r="F775" s="51" t="str">
        <f aca="false">IF(C775="","",IFERROR(IF(LEFT(C775,1)="L",INDEX('Leads Pipeline'!$E$5:$E$1004,MATCH(C775,'Leads Pipeline'!$A$5:$A$1004,0)),INDEX('Active Clients'!$C$5:$C$504,MATCH(C775,'Active Clients'!$A$5:$A$504,0)))&amp;"","ID not found"))</f>
        <v/>
      </c>
      <c r="G775" s="16"/>
      <c r="H775" s="16"/>
      <c r="I775" s="16"/>
      <c r="J775" s="16"/>
      <c r="K775" s="16"/>
      <c r="L775" s="18"/>
    </row>
    <row r="776" customFormat="false" ht="15" hidden="false" customHeight="false" outlineLevel="0" collapsed="false">
      <c r="A776" s="18"/>
      <c r="B776" s="16"/>
      <c r="C776" s="16"/>
      <c r="D776" s="51" t="str">
        <f aca="false">IF(C776="","",IFERROR(IF(LEFT(C776,1)="L",INDEX('Leads Pipeline'!$F$5:$F$1004,MATCH(C776,'Leads Pipeline'!$A$5:$A$1004,0)),INDEX('Active Clients'!$D$5:$D$504,MATCH(C776,'Active Clients'!$A$5:$A$504,0)))&amp;"","ID not found"))</f>
        <v/>
      </c>
      <c r="E776" s="51" t="str">
        <f aca="false">IF(C776="","",IFERROR(IF(LEFT(C776,1)="L",INDEX('Leads Pipeline'!$D$5:$D$1004,MATCH(C776,'Leads Pipeline'!$A$5:$A$1004,0)),INDEX('Active Clients'!$B$5:$B$504,MATCH(C776,'Active Clients'!$A$5:$A$504,0)))&amp;"","ID not found"))</f>
        <v/>
      </c>
      <c r="F776" s="51" t="str">
        <f aca="false">IF(C776="","",IFERROR(IF(LEFT(C776,1)="L",INDEX('Leads Pipeline'!$E$5:$E$1004,MATCH(C776,'Leads Pipeline'!$A$5:$A$1004,0)),INDEX('Active Clients'!$C$5:$C$504,MATCH(C776,'Active Clients'!$A$5:$A$504,0)))&amp;"","ID not found"))</f>
        <v/>
      </c>
      <c r="G776" s="16"/>
      <c r="H776" s="16"/>
      <c r="I776" s="16"/>
      <c r="J776" s="16"/>
      <c r="K776" s="16"/>
      <c r="L776" s="18"/>
    </row>
    <row r="777" customFormat="false" ht="15" hidden="false" customHeight="false" outlineLevel="0" collapsed="false">
      <c r="A777" s="18"/>
      <c r="B777" s="16"/>
      <c r="C777" s="16"/>
      <c r="D777" s="51" t="str">
        <f aca="false">IF(C777="","",IFERROR(IF(LEFT(C777,1)="L",INDEX('Leads Pipeline'!$F$5:$F$1004,MATCH(C777,'Leads Pipeline'!$A$5:$A$1004,0)),INDEX('Active Clients'!$D$5:$D$504,MATCH(C777,'Active Clients'!$A$5:$A$504,0)))&amp;"","ID not found"))</f>
        <v/>
      </c>
      <c r="E777" s="51" t="str">
        <f aca="false">IF(C777="","",IFERROR(IF(LEFT(C777,1)="L",INDEX('Leads Pipeline'!$D$5:$D$1004,MATCH(C777,'Leads Pipeline'!$A$5:$A$1004,0)),INDEX('Active Clients'!$B$5:$B$504,MATCH(C777,'Active Clients'!$A$5:$A$504,0)))&amp;"","ID not found"))</f>
        <v/>
      </c>
      <c r="F777" s="51" t="str">
        <f aca="false">IF(C777="","",IFERROR(IF(LEFT(C777,1)="L",INDEX('Leads Pipeline'!$E$5:$E$1004,MATCH(C777,'Leads Pipeline'!$A$5:$A$1004,0)),INDEX('Active Clients'!$C$5:$C$504,MATCH(C777,'Active Clients'!$A$5:$A$504,0)))&amp;"","ID not found"))</f>
        <v/>
      </c>
      <c r="G777" s="16"/>
      <c r="H777" s="16"/>
      <c r="I777" s="16"/>
      <c r="J777" s="16"/>
      <c r="K777" s="16"/>
      <c r="L777" s="18"/>
    </row>
    <row r="778" customFormat="false" ht="15" hidden="false" customHeight="false" outlineLevel="0" collapsed="false">
      <c r="A778" s="18"/>
      <c r="B778" s="16"/>
      <c r="C778" s="16"/>
      <c r="D778" s="51" t="str">
        <f aca="false">IF(C778="","",IFERROR(IF(LEFT(C778,1)="L",INDEX('Leads Pipeline'!$F$5:$F$1004,MATCH(C778,'Leads Pipeline'!$A$5:$A$1004,0)),INDEX('Active Clients'!$D$5:$D$504,MATCH(C778,'Active Clients'!$A$5:$A$504,0)))&amp;"","ID not found"))</f>
        <v/>
      </c>
      <c r="E778" s="51" t="str">
        <f aca="false">IF(C778="","",IFERROR(IF(LEFT(C778,1)="L",INDEX('Leads Pipeline'!$D$5:$D$1004,MATCH(C778,'Leads Pipeline'!$A$5:$A$1004,0)),INDEX('Active Clients'!$B$5:$B$504,MATCH(C778,'Active Clients'!$A$5:$A$504,0)))&amp;"","ID not found"))</f>
        <v/>
      </c>
      <c r="F778" s="51" t="str">
        <f aca="false">IF(C778="","",IFERROR(IF(LEFT(C778,1)="L",INDEX('Leads Pipeline'!$E$5:$E$1004,MATCH(C778,'Leads Pipeline'!$A$5:$A$1004,0)),INDEX('Active Clients'!$C$5:$C$504,MATCH(C778,'Active Clients'!$A$5:$A$504,0)))&amp;"","ID not found"))</f>
        <v/>
      </c>
      <c r="G778" s="16"/>
      <c r="H778" s="16"/>
      <c r="I778" s="16"/>
      <c r="J778" s="16"/>
      <c r="K778" s="16"/>
      <c r="L778" s="18"/>
    </row>
    <row r="779" customFormat="false" ht="15" hidden="false" customHeight="false" outlineLevel="0" collapsed="false">
      <c r="A779" s="18"/>
      <c r="B779" s="16"/>
      <c r="C779" s="16"/>
      <c r="D779" s="51" t="str">
        <f aca="false">IF(C779="","",IFERROR(IF(LEFT(C779,1)="L",INDEX('Leads Pipeline'!$F$5:$F$1004,MATCH(C779,'Leads Pipeline'!$A$5:$A$1004,0)),INDEX('Active Clients'!$D$5:$D$504,MATCH(C779,'Active Clients'!$A$5:$A$504,0)))&amp;"","ID not found"))</f>
        <v/>
      </c>
      <c r="E779" s="51" t="str">
        <f aca="false">IF(C779="","",IFERROR(IF(LEFT(C779,1)="L",INDEX('Leads Pipeline'!$D$5:$D$1004,MATCH(C779,'Leads Pipeline'!$A$5:$A$1004,0)),INDEX('Active Clients'!$B$5:$B$504,MATCH(C779,'Active Clients'!$A$5:$A$504,0)))&amp;"","ID not found"))</f>
        <v/>
      </c>
      <c r="F779" s="51" t="str">
        <f aca="false">IF(C779="","",IFERROR(IF(LEFT(C779,1)="L",INDEX('Leads Pipeline'!$E$5:$E$1004,MATCH(C779,'Leads Pipeline'!$A$5:$A$1004,0)),INDEX('Active Clients'!$C$5:$C$504,MATCH(C779,'Active Clients'!$A$5:$A$504,0)))&amp;"","ID not found"))</f>
        <v/>
      </c>
      <c r="G779" s="16"/>
      <c r="H779" s="16"/>
      <c r="I779" s="16"/>
      <c r="J779" s="16"/>
      <c r="K779" s="16"/>
      <c r="L779" s="18"/>
    </row>
    <row r="780" customFormat="false" ht="15" hidden="false" customHeight="false" outlineLevel="0" collapsed="false">
      <c r="A780" s="18"/>
      <c r="B780" s="16"/>
      <c r="C780" s="16"/>
      <c r="D780" s="51" t="str">
        <f aca="false">IF(C780="","",IFERROR(IF(LEFT(C780,1)="L",INDEX('Leads Pipeline'!$F$5:$F$1004,MATCH(C780,'Leads Pipeline'!$A$5:$A$1004,0)),INDEX('Active Clients'!$D$5:$D$504,MATCH(C780,'Active Clients'!$A$5:$A$504,0)))&amp;"","ID not found"))</f>
        <v/>
      </c>
      <c r="E780" s="51" t="str">
        <f aca="false">IF(C780="","",IFERROR(IF(LEFT(C780,1)="L",INDEX('Leads Pipeline'!$D$5:$D$1004,MATCH(C780,'Leads Pipeline'!$A$5:$A$1004,0)),INDEX('Active Clients'!$B$5:$B$504,MATCH(C780,'Active Clients'!$A$5:$A$504,0)))&amp;"","ID not found"))</f>
        <v/>
      </c>
      <c r="F780" s="51" t="str">
        <f aca="false">IF(C780="","",IFERROR(IF(LEFT(C780,1)="L",INDEX('Leads Pipeline'!$E$5:$E$1004,MATCH(C780,'Leads Pipeline'!$A$5:$A$1004,0)),INDEX('Active Clients'!$C$5:$C$504,MATCH(C780,'Active Clients'!$A$5:$A$504,0)))&amp;"","ID not found"))</f>
        <v/>
      </c>
      <c r="G780" s="16"/>
      <c r="H780" s="16"/>
      <c r="I780" s="16"/>
      <c r="J780" s="16"/>
      <c r="K780" s="16"/>
      <c r="L780" s="18"/>
    </row>
    <row r="781" customFormat="false" ht="15" hidden="false" customHeight="false" outlineLevel="0" collapsed="false">
      <c r="A781" s="18"/>
      <c r="B781" s="16"/>
      <c r="C781" s="16"/>
      <c r="D781" s="51" t="str">
        <f aca="false">IF(C781="","",IFERROR(IF(LEFT(C781,1)="L",INDEX('Leads Pipeline'!$F$5:$F$1004,MATCH(C781,'Leads Pipeline'!$A$5:$A$1004,0)),INDEX('Active Clients'!$D$5:$D$504,MATCH(C781,'Active Clients'!$A$5:$A$504,0)))&amp;"","ID not found"))</f>
        <v/>
      </c>
      <c r="E781" s="51" t="str">
        <f aca="false">IF(C781="","",IFERROR(IF(LEFT(C781,1)="L",INDEX('Leads Pipeline'!$D$5:$D$1004,MATCH(C781,'Leads Pipeline'!$A$5:$A$1004,0)),INDEX('Active Clients'!$B$5:$B$504,MATCH(C781,'Active Clients'!$A$5:$A$504,0)))&amp;"","ID not found"))</f>
        <v/>
      </c>
      <c r="F781" s="51" t="str">
        <f aca="false">IF(C781="","",IFERROR(IF(LEFT(C781,1)="L",INDEX('Leads Pipeline'!$E$5:$E$1004,MATCH(C781,'Leads Pipeline'!$A$5:$A$1004,0)),INDEX('Active Clients'!$C$5:$C$504,MATCH(C781,'Active Clients'!$A$5:$A$504,0)))&amp;"","ID not found"))</f>
        <v/>
      </c>
      <c r="G781" s="16"/>
      <c r="H781" s="16"/>
      <c r="I781" s="16"/>
      <c r="J781" s="16"/>
      <c r="K781" s="16"/>
      <c r="L781" s="18"/>
    </row>
    <row r="782" customFormat="false" ht="15" hidden="false" customHeight="false" outlineLevel="0" collapsed="false">
      <c r="A782" s="18"/>
      <c r="B782" s="16"/>
      <c r="C782" s="16"/>
      <c r="D782" s="51" t="str">
        <f aca="false">IF(C782="","",IFERROR(IF(LEFT(C782,1)="L",INDEX('Leads Pipeline'!$F$5:$F$1004,MATCH(C782,'Leads Pipeline'!$A$5:$A$1004,0)),INDEX('Active Clients'!$D$5:$D$504,MATCH(C782,'Active Clients'!$A$5:$A$504,0)))&amp;"","ID not found"))</f>
        <v/>
      </c>
      <c r="E782" s="51" t="str">
        <f aca="false">IF(C782="","",IFERROR(IF(LEFT(C782,1)="L",INDEX('Leads Pipeline'!$D$5:$D$1004,MATCH(C782,'Leads Pipeline'!$A$5:$A$1004,0)),INDEX('Active Clients'!$B$5:$B$504,MATCH(C782,'Active Clients'!$A$5:$A$504,0)))&amp;"","ID not found"))</f>
        <v/>
      </c>
      <c r="F782" s="51" t="str">
        <f aca="false">IF(C782="","",IFERROR(IF(LEFT(C782,1)="L",INDEX('Leads Pipeline'!$E$5:$E$1004,MATCH(C782,'Leads Pipeline'!$A$5:$A$1004,0)),INDEX('Active Clients'!$C$5:$C$504,MATCH(C782,'Active Clients'!$A$5:$A$504,0)))&amp;"","ID not found"))</f>
        <v/>
      </c>
      <c r="G782" s="16"/>
      <c r="H782" s="16"/>
      <c r="I782" s="16"/>
      <c r="J782" s="16"/>
      <c r="K782" s="16"/>
      <c r="L782" s="18"/>
    </row>
    <row r="783" customFormat="false" ht="15" hidden="false" customHeight="false" outlineLevel="0" collapsed="false">
      <c r="A783" s="18"/>
      <c r="B783" s="16"/>
      <c r="C783" s="16"/>
      <c r="D783" s="51" t="str">
        <f aca="false">IF(C783="","",IFERROR(IF(LEFT(C783,1)="L",INDEX('Leads Pipeline'!$F$5:$F$1004,MATCH(C783,'Leads Pipeline'!$A$5:$A$1004,0)),INDEX('Active Clients'!$D$5:$D$504,MATCH(C783,'Active Clients'!$A$5:$A$504,0)))&amp;"","ID not found"))</f>
        <v/>
      </c>
      <c r="E783" s="51" t="str">
        <f aca="false">IF(C783="","",IFERROR(IF(LEFT(C783,1)="L",INDEX('Leads Pipeline'!$D$5:$D$1004,MATCH(C783,'Leads Pipeline'!$A$5:$A$1004,0)),INDEX('Active Clients'!$B$5:$B$504,MATCH(C783,'Active Clients'!$A$5:$A$504,0)))&amp;"","ID not found"))</f>
        <v/>
      </c>
      <c r="F783" s="51" t="str">
        <f aca="false">IF(C783="","",IFERROR(IF(LEFT(C783,1)="L",INDEX('Leads Pipeline'!$E$5:$E$1004,MATCH(C783,'Leads Pipeline'!$A$5:$A$1004,0)),INDEX('Active Clients'!$C$5:$C$504,MATCH(C783,'Active Clients'!$A$5:$A$504,0)))&amp;"","ID not found"))</f>
        <v/>
      </c>
      <c r="G783" s="16"/>
      <c r="H783" s="16"/>
      <c r="I783" s="16"/>
      <c r="J783" s="16"/>
      <c r="K783" s="16"/>
      <c r="L783" s="18"/>
    </row>
    <row r="784" customFormat="false" ht="15" hidden="false" customHeight="false" outlineLevel="0" collapsed="false">
      <c r="A784" s="18"/>
      <c r="B784" s="16"/>
      <c r="C784" s="16"/>
      <c r="D784" s="51" t="str">
        <f aca="false">IF(C784="","",IFERROR(IF(LEFT(C784,1)="L",INDEX('Leads Pipeline'!$F$5:$F$1004,MATCH(C784,'Leads Pipeline'!$A$5:$A$1004,0)),INDEX('Active Clients'!$D$5:$D$504,MATCH(C784,'Active Clients'!$A$5:$A$504,0)))&amp;"","ID not found"))</f>
        <v/>
      </c>
      <c r="E784" s="51" t="str">
        <f aca="false">IF(C784="","",IFERROR(IF(LEFT(C784,1)="L",INDEX('Leads Pipeline'!$D$5:$D$1004,MATCH(C784,'Leads Pipeline'!$A$5:$A$1004,0)),INDEX('Active Clients'!$B$5:$B$504,MATCH(C784,'Active Clients'!$A$5:$A$504,0)))&amp;"","ID not found"))</f>
        <v/>
      </c>
      <c r="F784" s="51" t="str">
        <f aca="false">IF(C784="","",IFERROR(IF(LEFT(C784,1)="L",INDEX('Leads Pipeline'!$E$5:$E$1004,MATCH(C784,'Leads Pipeline'!$A$5:$A$1004,0)),INDEX('Active Clients'!$C$5:$C$504,MATCH(C784,'Active Clients'!$A$5:$A$504,0)))&amp;"","ID not found"))</f>
        <v/>
      </c>
      <c r="G784" s="16"/>
      <c r="H784" s="16"/>
      <c r="I784" s="16"/>
      <c r="J784" s="16"/>
      <c r="K784" s="16"/>
      <c r="L784" s="18"/>
    </row>
    <row r="785" customFormat="false" ht="15" hidden="false" customHeight="false" outlineLevel="0" collapsed="false">
      <c r="A785" s="18"/>
      <c r="B785" s="16"/>
      <c r="C785" s="16"/>
      <c r="D785" s="51" t="str">
        <f aca="false">IF(C785="","",IFERROR(IF(LEFT(C785,1)="L",INDEX('Leads Pipeline'!$F$5:$F$1004,MATCH(C785,'Leads Pipeline'!$A$5:$A$1004,0)),INDEX('Active Clients'!$D$5:$D$504,MATCH(C785,'Active Clients'!$A$5:$A$504,0)))&amp;"","ID not found"))</f>
        <v/>
      </c>
      <c r="E785" s="51" t="str">
        <f aca="false">IF(C785="","",IFERROR(IF(LEFT(C785,1)="L",INDEX('Leads Pipeline'!$D$5:$D$1004,MATCH(C785,'Leads Pipeline'!$A$5:$A$1004,0)),INDEX('Active Clients'!$B$5:$B$504,MATCH(C785,'Active Clients'!$A$5:$A$504,0)))&amp;"","ID not found"))</f>
        <v/>
      </c>
      <c r="F785" s="51" t="str">
        <f aca="false">IF(C785="","",IFERROR(IF(LEFT(C785,1)="L",INDEX('Leads Pipeline'!$E$5:$E$1004,MATCH(C785,'Leads Pipeline'!$A$5:$A$1004,0)),INDEX('Active Clients'!$C$5:$C$504,MATCH(C785,'Active Clients'!$A$5:$A$504,0)))&amp;"","ID not found"))</f>
        <v/>
      </c>
      <c r="G785" s="16"/>
      <c r="H785" s="16"/>
      <c r="I785" s="16"/>
      <c r="J785" s="16"/>
      <c r="K785" s="16"/>
      <c r="L785" s="18"/>
    </row>
    <row r="786" customFormat="false" ht="15" hidden="false" customHeight="false" outlineLevel="0" collapsed="false">
      <c r="A786" s="18"/>
      <c r="B786" s="16"/>
      <c r="C786" s="16"/>
      <c r="D786" s="51" t="str">
        <f aca="false">IF(C786="","",IFERROR(IF(LEFT(C786,1)="L",INDEX('Leads Pipeline'!$F$5:$F$1004,MATCH(C786,'Leads Pipeline'!$A$5:$A$1004,0)),INDEX('Active Clients'!$D$5:$D$504,MATCH(C786,'Active Clients'!$A$5:$A$504,0)))&amp;"","ID not found"))</f>
        <v/>
      </c>
      <c r="E786" s="51" t="str">
        <f aca="false">IF(C786="","",IFERROR(IF(LEFT(C786,1)="L",INDEX('Leads Pipeline'!$D$5:$D$1004,MATCH(C786,'Leads Pipeline'!$A$5:$A$1004,0)),INDEX('Active Clients'!$B$5:$B$504,MATCH(C786,'Active Clients'!$A$5:$A$504,0)))&amp;"","ID not found"))</f>
        <v/>
      </c>
      <c r="F786" s="51" t="str">
        <f aca="false">IF(C786="","",IFERROR(IF(LEFT(C786,1)="L",INDEX('Leads Pipeline'!$E$5:$E$1004,MATCH(C786,'Leads Pipeline'!$A$5:$A$1004,0)),INDEX('Active Clients'!$C$5:$C$504,MATCH(C786,'Active Clients'!$A$5:$A$504,0)))&amp;"","ID not found"))</f>
        <v/>
      </c>
      <c r="G786" s="16"/>
      <c r="H786" s="16"/>
      <c r="I786" s="16"/>
      <c r="J786" s="16"/>
      <c r="K786" s="16"/>
      <c r="L786" s="18"/>
    </row>
    <row r="787" customFormat="false" ht="15" hidden="false" customHeight="false" outlineLevel="0" collapsed="false">
      <c r="A787" s="18"/>
      <c r="B787" s="16"/>
      <c r="C787" s="16"/>
      <c r="D787" s="51" t="str">
        <f aca="false">IF(C787="","",IFERROR(IF(LEFT(C787,1)="L",INDEX('Leads Pipeline'!$F$5:$F$1004,MATCH(C787,'Leads Pipeline'!$A$5:$A$1004,0)),INDEX('Active Clients'!$D$5:$D$504,MATCH(C787,'Active Clients'!$A$5:$A$504,0)))&amp;"","ID not found"))</f>
        <v/>
      </c>
      <c r="E787" s="51" t="str">
        <f aca="false">IF(C787="","",IFERROR(IF(LEFT(C787,1)="L",INDEX('Leads Pipeline'!$D$5:$D$1004,MATCH(C787,'Leads Pipeline'!$A$5:$A$1004,0)),INDEX('Active Clients'!$B$5:$B$504,MATCH(C787,'Active Clients'!$A$5:$A$504,0)))&amp;"","ID not found"))</f>
        <v/>
      </c>
      <c r="F787" s="51" t="str">
        <f aca="false">IF(C787="","",IFERROR(IF(LEFT(C787,1)="L",INDEX('Leads Pipeline'!$E$5:$E$1004,MATCH(C787,'Leads Pipeline'!$A$5:$A$1004,0)),INDEX('Active Clients'!$C$5:$C$504,MATCH(C787,'Active Clients'!$A$5:$A$504,0)))&amp;"","ID not found"))</f>
        <v/>
      </c>
      <c r="G787" s="16"/>
      <c r="H787" s="16"/>
      <c r="I787" s="16"/>
      <c r="J787" s="16"/>
      <c r="K787" s="16"/>
      <c r="L787" s="18"/>
    </row>
    <row r="788" customFormat="false" ht="15" hidden="false" customHeight="false" outlineLevel="0" collapsed="false">
      <c r="A788" s="18"/>
      <c r="B788" s="16"/>
      <c r="C788" s="16"/>
      <c r="D788" s="51" t="str">
        <f aca="false">IF(C788="","",IFERROR(IF(LEFT(C788,1)="L",INDEX('Leads Pipeline'!$F$5:$F$1004,MATCH(C788,'Leads Pipeline'!$A$5:$A$1004,0)),INDEX('Active Clients'!$D$5:$D$504,MATCH(C788,'Active Clients'!$A$5:$A$504,0)))&amp;"","ID not found"))</f>
        <v/>
      </c>
      <c r="E788" s="51" t="str">
        <f aca="false">IF(C788="","",IFERROR(IF(LEFT(C788,1)="L",INDEX('Leads Pipeline'!$D$5:$D$1004,MATCH(C788,'Leads Pipeline'!$A$5:$A$1004,0)),INDEX('Active Clients'!$B$5:$B$504,MATCH(C788,'Active Clients'!$A$5:$A$504,0)))&amp;"","ID not found"))</f>
        <v/>
      </c>
      <c r="F788" s="51" t="str">
        <f aca="false">IF(C788="","",IFERROR(IF(LEFT(C788,1)="L",INDEX('Leads Pipeline'!$E$5:$E$1004,MATCH(C788,'Leads Pipeline'!$A$5:$A$1004,0)),INDEX('Active Clients'!$C$5:$C$504,MATCH(C788,'Active Clients'!$A$5:$A$504,0)))&amp;"","ID not found"))</f>
        <v/>
      </c>
      <c r="G788" s="16"/>
      <c r="H788" s="16"/>
      <c r="I788" s="16"/>
      <c r="J788" s="16"/>
      <c r="K788" s="16"/>
      <c r="L788" s="18"/>
    </row>
    <row r="789" customFormat="false" ht="15" hidden="false" customHeight="false" outlineLevel="0" collapsed="false">
      <c r="A789" s="18"/>
      <c r="B789" s="16"/>
      <c r="C789" s="16"/>
      <c r="D789" s="51" t="str">
        <f aca="false">IF(C789="","",IFERROR(IF(LEFT(C789,1)="L",INDEX('Leads Pipeline'!$F$5:$F$1004,MATCH(C789,'Leads Pipeline'!$A$5:$A$1004,0)),INDEX('Active Clients'!$D$5:$D$504,MATCH(C789,'Active Clients'!$A$5:$A$504,0)))&amp;"","ID not found"))</f>
        <v/>
      </c>
      <c r="E789" s="51" t="str">
        <f aca="false">IF(C789="","",IFERROR(IF(LEFT(C789,1)="L",INDEX('Leads Pipeline'!$D$5:$D$1004,MATCH(C789,'Leads Pipeline'!$A$5:$A$1004,0)),INDEX('Active Clients'!$B$5:$B$504,MATCH(C789,'Active Clients'!$A$5:$A$504,0)))&amp;"","ID not found"))</f>
        <v/>
      </c>
      <c r="F789" s="51" t="str">
        <f aca="false">IF(C789="","",IFERROR(IF(LEFT(C789,1)="L",INDEX('Leads Pipeline'!$E$5:$E$1004,MATCH(C789,'Leads Pipeline'!$A$5:$A$1004,0)),INDEX('Active Clients'!$C$5:$C$504,MATCH(C789,'Active Clients'!$A$5:$A$504,0)))&amp;"","ID not found"))</f>
        <v/>
      </c>
      <c r="G789" s="16"/>
      <c r="H789" s="16"/>
      <c r="I789" s="16"/>
      <c r="J789" s="16"/>
      <c r="K789" s="16"/>
      <c r="L789" s="18"/>
    </row>
    <row r="790" customFormat="false" ht="15" hidden="false" customHeight="false" outlineLevel="0" collapsed="false">
      <c r="A790" s="18"/>
      <c r="B790" s="16"/>
      <c r="C790" s="16"/>
      <c r="D790" s="51" t="str">
        <f aca="false">IF(C790="","",IFERROR(IF(LEFT(C790,1)="L",INDEX('Leads Pipeline'!$F$5:$F$1004,MATCH(C790,'Leads Pipeline'!$A$5:$A$1004,0)),INDEX('Active Clients'!$D$5:$D$504,MATCH(C790,'Active Clients'!$A$5:$A$504,0)))&amp;"","ID not found"))</f>
        <v/>
      </c>
      <c r="E790" s="51" t="str">
        <f aca="false">IF(C790="","",IFERROR(IF(LEFT(C790,1)="L",INDEX('Leads Pipeline'!$D$5:$D$1004,MATCH(C790,'Leads Pipeline'!$A$5:$A$1004,0)),INDEX('Active Clients'!$B$5:$B$504,MATCH(C790,'Active Clients'!$A$5:$A$504,0)))&amp;"","ID not found"))</f>
        <v/>
      </c>
      <c r="F790" s="51" t="str">
        <f aca="false">IF(C790="","",IFERROR(IF(LEFT(C790,1)="L",INDEX('Leads Pipeline'!$E$5:$E$1004,MATCH(C790,'Leads Pipeline'!$A$5:$A$1004,0)),INDEX('Active Clients'!$C$5:$C$504,MATCH(C790,'Active Clients'!$A$5:$A$504,0)))&amp;"","ID not found"))</f>
        <v/>
      </c>
      <c r="G790" s="16"/>
      <c r="H790" s="16"/>
      <c r="I790" s="16"/>
      <c r="J790" s="16"/>
      <c r="K790" s="16"/>
      <c r="L790" s="18"/>
    </row>
    <row r="791" customFormat="false" ht="15" hidden="false" customHeight="false" outlineLevel="0" collapsed="false">
      <c r="A791" s="18"/>
      <c r="B791" s="16"/>
      <c r="C791" s="16"/>
      <c r="D791" s="51" t="str">
        <f aca="false">IF(C791="","",IFERROR(IF(LEFT(C791,1)="L",INDEX('Leads Pipeline'!$F$5:$F$1004,MATCH(C791,'Leads Pipeline'!$A$5:$A$1004,0)),INDEX('Active Clients'!$D$5:$D$504,MATCH(C791,'Active Clients'!$A$5:$A$504,0)))&amp;"","ID not found"))</f>
        <v/>
      </c>
      <c r="E791" s="51" t="str">
        <f aca="false">IF(C791="","",IFERROR(IF(LEFT(C791,1)="L",INDEX('Leads Pipeline'!$D$5:$D$1004,MATCH(C791,'Leads Pipeline'!$A$5:$A$1004,0)),INDEX('Active Clients'!$B$5:$B$504,MATCH(C791,'Active Clients'!$A$5:$A$504,0)))&amp;"","ID not found"))</f>
        <v/>
      </c>
      <c r="F791" s="51" t="str">
        <f aca="false">IF(C791="","",IFERROR(IF(LEFT(C791,1)="L",INDEX('Leads Pipeline'!$E$5:$E$1004,MATCH(C791,'Leads Pipeline'!$A$5:$A$1004,0)),INDEX('Active Clients'!$C$5:$C$504,MATCH(C791,'Active Clients'!$A$5:$A$504,0)))&amp;"","ID not found"))</f>
        <v/>
      </c>
      <c r="G791" s="16"/>
      <c r="H791" s="16"/>
      <c r="I791" s="16"/>
      <c r="J791" s="16"/>
      <c r="K791" s="16"/>
      <c r="L791" s="18"/>
    </row>
    <row r="792" customFormat="false" ht="15" hidden="false" customHeight="false" outlineLevel="0" collapsed="false">
      <c r="A792" s="18"/>
      <c r="B792" s="16"/>
      <c r="C792" s="16"/>
      <c r="D792" s="51" t="str">
        <f aca="false">IF(C792="","",IFERROR(IF(LEFT(C792,1)="L",INDEX('Leads Pipeline'!$F$5:$F$1004,MATCH(C792,'Leads Pipeline'!$A$5:$A$1004,0)),INDEX('Active Clients'!$D$5:$D$504,MATCH(C792,'Active Clients'!$A$5:$A$504,0)))&amp;"","ID not found"))</f>
        <v/>
      </c>
      <c r="E792" s="51" t="str">
        <f aca="false">IF(C792="","",IFERROR(IF(LEFT(C792,1)="L",INDEX('Leads Pipeline'!$D$5:$D$1004,MATCH(C792,'Leads Pipeline'!$A$5:$A$1004,0)),INDEX('Active Clients'!$B$5:$B$504,MATCH(C792,'Active Clients'!$A$5:$A$504,0)))&amp;"","ID not found"))</f>
        <v/>
      </c>
      <c r="F792" s="51" t="str">
        <f aca="false">IF(C792="","",IFERROR(IF(LEFT(C792,1)="L",INDEX('Leads Pipeline'!$E$5:$E$1004,MATCH(C792,'Leads Pipeline'!$A$5:$A$1004,0)),INDEX('Active Clients'!$C$5:$C$504,MATCH(C792,'Active Clients'!$A$5:$A$504,0)))&amp;"","ID not found"))</f>
        <v/>
      </c>
      <c r="G792" s="16"/>
      <c r="H792" s="16"/>
      <c r="I792" s="16"/>
      <c r="J792" s="16"/>
      <c r="K792" s="16"/>
      <c r="L792" s="18"/>
    </row>
    <row r="793" customFormat="false" ht="15" hidden="false" customHeight="false" outlineLevel="0" collapsed="false">
      <c r="A793" s="18"/>
      <c r="B793" s="16"/>
      <c r="C793" s="16"/>
      <c r="D793" s="51" t="str">
        <f aca="false">IF(C793="","",IFERROR(IF(LEFT(C793,1)="L",INDEX('Leads Pipeline'!$F$5:$F$1004,MATCH(C793,'Leads Pipeline'!$A$5:$A$1004,0)),INDEX('Active Clients'!$D$5:$D$504,MATCH(C793,'Active Clients'!$A$5:$A$504,0)))&amp;"","ID not found"))</f>
        <v/>
      </c>
      <c r="E793" s="51" t="str">
        <f aca="false">IF(C793="","",IFERROR(IF(LEFT(C793,1)="L",INDEX('Leads Pipeline'!$D$5:$D$1004,MATCH(C793,'Leads Pipeline'!$A$5:$A$1004,0)),INDEX('Active Clients'!$B$5:$B$504,MATCH(C793,'Active Clients'!$A$5:$A$504,0)))&amp;"","ID not found"))</f>
        <v/>
      </c>
      <c r="F793" s="51" t="str">
        <f aca="false">IF(C793="","",IFERROR(IF(LEFT(C793,1)="L",INDEX('Leads Pipeline'!$E$5:$E$1004,MATCH(C793,'Leads Pipeline'!$A$5:$A$1004,0)),INDEX('Active Clients'!$C$5:$C$504,MATCH(C793,'Active Clients'!$A$5:$A$504,0)))&amp;"","ID not found"))</f>
        <v/>
      </c>
      <c r="G793" s="16"/>
      <c r="H793" s="16"/>
      <c r="I793" s="16"/>
      <c r="J793" s="16"/>
      <c r="K793" s="16"/>
      <c r="L793" s="18"/>
    </row>
    <row r="794" customFormat="false" ht="15" hidden="false" customHeight="false" outlineLevel="0" collapsed="false">
      <c r="A794" s="18"/>
      <c r="B794" s="16"/>
      <c r="C794" s="16"/>
      <c r="D794" s="51" t="str">
        <f aca="false">IF(C794="","",IFERROR(IF(LEFT(C794,1)="L",INDEX('Leads Pipeline'!$F$5:$F$1004,MATCH(C794,'Leads Pipeline'!$A$5:$A$1004,0)),INDEX('Active Clients'!$D$5:$D$504,MATCH(C794,'Active Clients'!$A$5:$A$504,0)))&amp;"","ID not found"))</f>
        <v/>
      </c>
      <c r="E794" s="51" t="str">
        <f aca="false">IF(C794="","",IFERROR(IF(LEFT(C794,1)="L",INDEX('Leads Pipeline'!$D$5:$D$1004,MATCH(C794,'Leads Pipeline'!$A$5:$A$1004,0)),INDEX('Active Clients'!$B$5:$B$504,MATCH(C794,'Active Clients'!$A$5:$A$504,0)))&amp;"","ID not found"))</f>
        <v/>
      </c>
      <c r="F794" s="51" t="str">
        <f aca="false">IF(C794="","",IFERROR(IF(LEFT(C794,1)="L",INDEX('Leads Pipeline'!$E$5:$E$1004,MATCH(C794,'Leads Pipeline'!$A$5:$A$1004,0)),INDEX('Active Clients'!$C$5:$C$504,MATCH(C794,'Active Clients'!$A$5:$A$504,0)))&amp;"","ID not found"))</f>
        <v/>
      </c>
      <c r="G794" s="16"/>
      <c r="H794" s="16"/>
      <c r="I794" s="16"/>
      <c r="J794" s="16"/>
      <c r="K794" s="16"/>
      <c r="L794" s="18"/>
    </row>
    <row r="795" customFormat="false" ht="15" hidden="false" customHeight="false" outlineLevel="0" collapsed="false">
      <c r="A795" s="18"/>
      <c r="B795" s="16"/>
      <c r="C795" s="16"/>
      <c r="D795" s="51" t="str">
        <f aca="false">IF(C795="","",IFERROR(IF(LEFT(C795,1)="L",INDEX('Leads Pipeline'!$F$5:$F$1004,MATCH(C795,'Leads Pipeline'!$A$5:$A$1004,0)),INDEX('Active Clients'!$D$5:$D$504,MATCH(C795,'Active Clients'!$A$5:$A$504,0)))&amp;"","ID not found"))</f>
        <v/>
      </c>
      <c r="E795" s="51" t="str">
        <f aca="false">IF(C795="","",IFERROR(IF(LEFT(C795,1)="L",INDEX('Leads Pipeline'!$D$5:$D$1004,MATCH(C795,'Leads Pipeline'!$A$5:$A$1004,0)),INDEX('Active Clients'!$B$5:$B$504,MATCH(C795,'Active Clients'!$A$5:$A$504,0)))&amp;"","ID not found"))</f>
        <v/>
      </c>
      <c r="F795" s="51" t="str">
        <f aca="false">IF(C795="","",IFERROR(IF(LEFT(C795,1)="L",INDEX('Leads Pipeline'!$E$5:$E$1004,MATCH(C795,'Leads Pipeline'!$A$5:$A$1004,0)),INDEX('Active Clients'!$C$5:$C$504,MATCH(C795,'Active Clients'!$A$5:$A$504,0)))&amp;"","ID not found"))</f>
        <v/>
      </c>
      <c r="G795" s="16"/>
      <c r="H795" s="16"/>
      <c r="I795" s="16"/>
      <c r="J795" s="16"/>
      <c r="K795" s="16"/>
      <c r="L795" s="18"/>
    </row>
    <row r="796" customFormat="false" ht="15" hidden="false" customHeight="false" outlineLevel="0" collapsed="false">
      <c r="A796" s="18"/>
      <c r="B796" s="16"/>
      <c r="C796" s="16"/>
      <c r="D796" s="51" t="str">
        <f aca="false">IF(C796="","",IFERROR(IF(LEFT(C796,1)="L",INDEX('Leads Pipeline'!$F$5:$F$1004,MATCH(C796,'Leads Pipeline'!$A$5:$A$1004,0)),INDEX('Active Clients'!$D$5:$D$504,MATCH(C796,'Active Clients'!$A$5:$A$504,0)))&amp;"","ID not found"))</f>
        <v/>
      </c>
      <c r="E796" s="51" t="str">
        <f aca="false">IF(C796="","",IFERROR(IF(LEFT(C796,1)="L",INDEX('Leads Pipeline'!$D$5:$D$1004,MATCH(C796,'Leads Pipeline'!$A$5:$A$1004,0)),INDEX('Active Clients'!$B$5:$B$504,MATCH(C796,'Active Clients'!$A$5:$A$504,0)))&amp;"","ID not found"))</f>
        <v/>
      </c>
      <c r="F796" s="51" t="str">
        <f aca="false">IF(C796="","",IFERROR(IF(LEFT(C796,1)="L",INDEX('Leads Pipeline'!$E$5:$E$1004,MATCH(C796,'Leads Pipeline'!$A$5:$A$1004,0)),INDEX('Active Clients'!$C$5:$C$504,MATCH(C796,'Active Clients'!$A$5:$A$504,0)))&amp;"","ID not found"))</f>
        <v/>
      </c>
      <c r="G796" s="16"/>
      <c r="H796" s="16"/>
      <c r="I796" s="16"/>
      <c r="J796" s="16"/>
      <c r="K796" s="16"/>
      <c r="L796" s="18"/>
    </row>
    <row r="797" customFormat="false" ht="15" hidden="false" customHeight="false" outlineLevel="0" collapsed="false">
      <c r="A797" s="18"/>
      <c r="B797" s="16"/>
      <c r="C797" s="16"/>
      <c r="D797" s="51" t="str">
        <f aca="false">IF(C797="","",IFERROR(IF(LEFT(C797,1)="L",INDEX('Leads Pipeline'!$F$5:$F$1004,MATCH(C797,'Leads Pipeline'!$A$5:$A$1004,0)),INDEX('Active Clients'!$D$5:$D$504,MATCH(C797,'Active Clients'!$A$5:$A$504,0)))&amp;"","ID not found"))</f>
        <v/>
      </c>
      <c r="E797" s="51" t="str">
        <f aca="false">IF(C797="","",IFERROR(IF(LEFT(C797,1)="L",INDEX('Leads Pipeline'!$D$5:$D$1004,MATCH(C797,'Leads Pipeline'!$A$5:$A$1004,0)),INDEX('Active Clients'!$B$5:$B$504,MATCH(C797,'Active Clients'!$A$5:$A$504,0)))&amp;"","ID not found"))</f>
        <v/>
      </c>
      <c r="F797" s="51" t="str">
        <f aca="false">IF(C797="","",IFERROR(IF(LEFT(C797,1)="L",INDEX('Leads Pipeline'!$E$5:$E$1004,MATCH(C797,'Leads Pipeline'!$A$5:$A$1004,0)),INDEX('Active Clients'!$C$5:$C$504,MATCH(C797,'Active Clients'!$A$5:$A$504,0)))&amp;"","ID not found"))</f>
        <v/>
      </c>
      <c r="G797" s="16"/>
      <c r="H797" s="16"/>
      <c r="I797" s="16"/>
      <c r="J797" s="16"/>
      <c r="K797" s="16"/>
      <c r="L797" s="18"/>
    </row>
    <row r="798" customFormat="false" ht="15" hidden="false" customHeight="false" outlineLevel="0" collapsed="false">
      <c r="A798" s="18"/>
      <c r="B798" s="16"/>
      <c r="C798" s="16"/>
      <c r="D798" s="51" t="str">
        <f aca="false">IF(C798="","",IFERROR(IF(LEFT(C798,1)="L",INDEX('Leads Pipeline'!$F$5:$F$1004,MATCH(C798,'Leads Pipeline'!$A$5:$A$1004,0)),INDEX('Active Clients'!$D$5:$D$504,MATCH(C798,'Active Clients'!$A$5:$A$504,0)))&amp;"","ID not found"))</f>
        <v/>
      </c>
      <c r="E798" s="51" t="str">
        <f aca="false">IF(C798="","",IFERROR(IF(LEFT(C798,1)="L",INDEX('Leads Pipeline'!$D$5:$D$1004,MATCH(C798,'Leads Pipeline'!$A$5:$A$1004,0)),INDEX('Active Clients'!$B$5:$B$504,MATCH(C798,'Active Clients'!$A$5:$A$504,0)))&amp;"","ID not found"))</f>
        <v/>
      </c>
      <c r="F798" s="51" t="str">
        <f aca="false">IF(C798="","",IFERROR(IF(LEFT(C798,1)="L",INDEX('Leads Pipeline'!$E$5:$E$1004,MATCH(C798,'Leads Pipeline'!$A$5:$A$1004,0)),INDEX('Active Clients'!$C$5:$C$504,MATCH(C798,'Active Clients'!$A$5:$A$504,0)))&amp;"","ID not found"))</f>
        <v/>
      </c>
      <c r="G798" s="16"/>
      <c r="H798" s="16"/>
      <c r="I798" s="16"/>
      <c r="J798" s="16"/>
      <c r="K798" s="16"/>
      <c r="L798" s="18"/>
    </row>
    <row r="799" customFormat="false" ht="15" hidden="false" customHeight="false" outlineLevel="0" collapsed="false">
      <c r="A799" s="18"/>
      <c r="B799" s="16"/>
      <c r="C799" s="16"/>
      <c r="D799" s="51" t="str">
        <f aca="false">IF(C799="","",IFERROR(IF(LEFT(C799,1)="L",INDEX('Leads Pipeline'!$F$5:$F$1004,MATCH(C799,'Leads Pipeline'!$A$5:$A$1004,0)),INDEX('Active Clients'!$D$5:$D$504,MATCH(C799,'Active Clients'!$A$5:$A$504,0)))&amp;"","ID not found"))</f>
        <v/>
      </c>
      <c r="E799" s="51" t="str">
        <f aca="false">IF(C799="","",IFERROR(IF(LEFT(C799,1)="L",INDEX('Leads Pipeline'!$D$5:$D$1004,MATCH(C799,'Leads Pipeline'!$A$5:$A$1004,0)),INDEX('Active Clients'!$B$5:$B$504,MATCH(C799,'Active Clients'!$A$5:$A$504,0)))&amp;"","ID not found"))</f>
        <v/>
      </c>
      <c r="F799" s="51" t="str">
        <f aca="false">IF(C799="","",IFERROR(IF(LEFT(C799,1)="L",INDEX('Leads Pipeline'!$E$5:$E$1004,MATCH(C799,'Leads Pipeline'!$A$5:$A$1004,0)),INDEX('Active Clients'!$C$5:$C$504,MATCH(C799,'Active Clients'!$A$5:$A$504,0)))&amp;"","ID not found"))</f>
        <v/>
      </c>
      <c r="G799" s="16"/>
      <c r="H799" s="16"/>
      <c r="I799" s="16"/>
      <c r="J799" s="16"/>
      <c r="K799" s="16"/>
      <c r="L799" s="18"/>
    </row>
    <row r="800" customFormat="false" ht="15" hidden="false" customHeight="false" outlineLevel="0" collapsed="false">
      <c r="A800" s="18"/>
      <c r="B800" s="16"/>
      <c r="C800" s="16"/>
      <c r="D800" s="51" t="str">
        <f aca="false">IF(C800="","",IFERROR(IF(LEFT(C800,1)="L",INDEX('Leads Pipeline'!$F$5:$F$1004,MATCH(C800,'Leads Pipeline'!$A$5:$A$1004,0)),INDEX('Active Clients'!$D$5:$D$504,MATCH(C800,'Active Clients'!$A$5:$A$504,0)))&amp;"","ID not found"))</f>
        <v/>
      </c>
      <c r="E800" s="51" t="str">
        <f aca="false">IF(C800="","",IFERROR(IF(LEFT(C800,1)="L",INDEX('Leads Pipeline'!$D$5:$D$1004,MATCH(C800,'Leads Pipeline'!$A$5:$A$1004,0)),INDEX('Active Clients'!$B$5:$B$504,MATCH(C800,'Active Clients'!$A$5:$A$504,0)))&amp;"","ID not found"))</f>
        <v/>
      </c>
      <c r="F800" s="51" t="str">
        <f aca="false">IF(C800="","",IFERROR(IF(LEFT(C800,1)="L",INDEX('Leads Pipeline'!$E$5:$E$1004,MATCH(C800,'Leads Pipeline'!$A$5:$A$1004,0)),INDEX('Active Clients'!$C$5:$C$504,MATCH(C800,'Active Clients'!$A$5:$A$504,0)))&amp;"","ID not found"))</f>
        <v/>
      </c>
      <c r="G800" s="16"/>
      <c r="H800" s="16"/>
      <c r="I800" s="16"/>
      <c r="J800" s="16"/>
      <c r="K800" s="16"/>
      <c r="L800" s="18"/>
    </row>
    <row r="801" customFormat="false" ht="15" hidden="false" customHeight="false" outlineLevel="0" collapsed="false">
      <c r="A801" s="18"/>
      <c r="B801" s="16"/>
      <c r="C801" s="16"/>
      <c r="D801" s="51" t="str">
        <f aca="false">IF(C801="","",IFERROR(IF(LEFT(C801,1)="L",INDEX('Leads Pipeline'!$F$5:$F$1004,MATCH(C801,'Leads Pipeline'!$A$5:$A$1004,0)),INDEX('Active Clients'!$D$5:$D$504,MATCH(C801,'Active Clients'!$A$5:$A$504,0)))&amp;"","ID not found"))</f>
        <v/>
      </c>
      <c r="E801" s="51" t="str">
        <f aca="false">IF(C801="","",IFERROR(IF(LEFT(C801,1)="L",INDEX('Leads Pipeline'!$D$5:$D$1004,MATCH(C801,'Leads Pipeline'!$A$5:$A$1004,0)),INDEX('Active Clients'!$B$5:$B$504,MATCH(C801,'Active Clients'!$A$5:$A$504,0)))&amp;"","ID not found"))</f>
        <v/>
      </c>
      <c r="F801" s="51" t="str">
        <f aca="false">IF(C801="","",IFERROR(IF(LEFT(C801,1)="L",INDEX('Leads Pipeline'!$E$5:$E$1004,MATCH(C801,'Leads Pipeline'!$A$5:$A$1004,0)),INDEX('Active Clients'!$C$5:$C$504,MATCH(C801,'Active Clients'!$A$5:$A$504,0)))&amp;"","ID not found"))</f>
        <v/>
      </c>
      <c r="G801" s="16"/>
      <c r="H801" s="16"/>
      <c r="I801" s="16"/>
      <c r="J801" s="16"/>
      <c r="K801" s="16"/>
      <c r="L801" s="18"/>
    </row>
    <row r="802" customFormat="false" ht="15" hidden="false" customHeight="false" outlineLevel="0" collapsed="false">
      <c r="A802" s="18"/>
      <c r="B802" s="16"/>
      <c r="C802" s="16"/>
      <c r="D802" s="51" t="str">
        <f aca="false">IF(C802="","",IFERROR(IF(LEFT(C802,1)="L",INDEX('Leads Pipeline'!$F$5:$F$1004,MATCH(C802,'Leads Pipeline'!$A$5:$A$1004,0)),INDEX('Active Clients'!$D$5:$D$504,MATCH(C802,'Active Clients'!$A$5:$A$504,0)))&amp;"","ID not found"))</f>
        <v/>
      </c>
      <c r="E802" s="51" t="str">
        <f aca="false">IF(C802="","",IFERROR(IF(LEFT(C802,1)="L",INDEX('Leads Pipeline'!$D$5:$D$1004,MATCH(C802,'Leads Pipeline'!$A$5:$A$1004,0)),INDEX('Active Clients'!$B$5:$B$504,MATCH(C802,'Active Clients'!$A$5:$A$504,0)))&amp;"","ID not found"))</f>
        <v/>
      </c>
      <c r="F802" s="51" t="str">
        <f aca="false">IF(C802="","",IFERROR(IF(LEFT(C802,1)="L",INDEX('Leads Pipeline'!$E$5:$E$1004,MATCH(C802,'Leads Pipeline'!$A$5:$A$1004,0)),INDEX('Active Clients'!$C$5:$C$504,MATCH(C802,'Active Clients'!$A$5:$A$504,0)))&amp;"","ID not found"))</f>
        <v/>
      </c>
      <c r="G802" s="16"/>
      <c r="H802" s="16"/>
      <c r="I802" s="16"/>
      <c r="J802" s="16"/>
      <c r="K802" s="16"/>
      <c r="L802" s="18"/>
    </row>
    <row r="803" customFormat="false" ht="15" hidden="false" customHeight="false" outlineLevel="0" collapsed="false">
      <c r="A803" s="18"/>
      <c r="B803" s="16"/>
      <c r="C803" s="16"/>
      <c r="D803" s="51" t="str">
        <f aca="false">IF(C803="","",IFERROR(IF(LEFT(C803,1)="L",INDEX('Leads Pipeline'!$F$5:$F$1004,MATCH(C803,'Leads Pipeline'!$A$5:$A$1004,0)),INDEX('Active Clients'!$D$5:$D$504,MATCH(C803,'Active Clients'!$A$5:$A$504,0)))&amp;"","ID not found"))</f>
        <v/>
      </c>
      <c r="E803" s="51" t="str">
        <f aca="false">IF(C803="","",IFERROR(IF(LEFT(C803,1)="L",INDEX('Leads Pipeline'!$D$5:$D$1004,MATCH(C803,'Leads Pipeline'!$A$5:$A$1004,0)),INDEX('Active Clients'!$B$5:$B$504,MATCH(C803,'Active Clients'!$A$5:$A$504,0)))&amp;"","ID not found"))</f>
        <v/>
      </c>
      <c r="F803" s="51" t="str">
        <f aca="false">IF(C803="","",IFERROR(IF(LEFT(C803,1)="L",INDEX('Leads Pipeline'!$E$5:$E$1004,MATCH(C803,'Leads Pipeline'!$A$5:$A$1004,0)),INDEX('Active Clients'!$C$5:$C$504,MATCH(C803,'Active Clients'!$A$5:$A$504,0)))&amp;"","ID not found"))</f>
        <v/>
      </c>
      <c r="G803" s="16"/>
      <c r="H803" s="16"/>
      <c r="I803" s="16"/>
      <c r="J803" s="16"/>
      <c r="K803" s="16"/>
      <c r="L803" s="18"/>
    </row>
    <row r="804" customFormat="false" ht="15" hidden="false" customHeight="false" outlineLevel="0" collapsed="false">
      <c r="A804" s="18"/>
      <c r="B804" s="16"/>
      <c r="C804" s="16"/>
      <c r="D804" s="51" t="str">
        <f aca="false">IF(C804="","",IFERROR(IF(LEFT(C804,1)="L",INDEX('Leads Pipeline'!$F$5:$F$1004,MATCH(C804,'Leads Pipeline'!$A$5:$A$1004,0)),INDEX('Active Clients'!$D$5:$D$504,MATCH(C804,'Active Clients'!$A$5:$A$504,0)))&amp;"","ID not found"))</f>
        <v/>
      </c>
      <c r="E804" s="51" t="str">
        <f aca="false">IF(C804="","",IFERROR(IF(LEFT(C804,1)="L",INDEX('Leads Pipeline'!$D$5:$D$1004,MATCH(C804,'Leads Pipeline'!$A$5:$A$1004,0)),INDEX('Active Clients'!$B$5:$B$504,MATCH(C804,'Active Clients'!$A$5:$A$504,0)))&amp;"","ID not found"))</f>
        <v/>
      </c>
      <c r="F804" s="51" t="str">
        <f aca="false">IF(C804="","",IFERROR(IF(LEFT(C804,1)="L",INDEX('Leads Pipeline'!$E$5:$E$1004,MATCH(C804,'Leads Pipeline'!$A$5:$A$1004,0)),INDEX('Active Clients'!$C$5:$C$504,MATCH(C804,'Active Clients'!$A$5:$A$504,0)))&amp;"","ID not found"))</f>
        <v/>
      </c>
      <c r="G804" s="16"/>
      <c r="H804" s="16"/>
      <c r="I804" s="16"/>
      <c r="J804" s="16"/>
      <c r="K804" s="16"/>
      <c r="L804" s="18"/>
    </row>
    <row r="805" customFormat="false" ht="15" hidden="false" customHeight="false" outlineLevel="0" collapsed="false">
      <c r="A805" s="18"/>
      <c r="B805" s="16"/>
      <c r="C805" s="16"/>
      <c r="D805" s="51" t="str">
        <f aca="false">IF(C805="","",IFERROR(IF(LEFT(C805,1)="L",INDEX('Leads Pipeline'!$F$5:$F$1004,MATCH(C805,'Leads Pipeline'!$A$5:$A$1004,0)),INDEX('Active Clients'!$D$5:$D$504,MATCH(C805,'Active Clients'!$A$5:$A$504,0)))&amp;"","ID not found"))</f>
        <v/>
      </c>
      <c r="E805" s="51" t="str">
        <f aca="false">IF(C805="","",IFERROR(IF(LEFT(C805,1)="L",INDEX('Leads Pipeline'!$D$5:$D$1004,MATCH(C805,'Leads Pipeline'!$A$5:$A$1004,0)),INDEX('Active Clients'!$B$5:$B$504,MATCH(C805,'Active Clients'!$A$5:$A$504,0)))&amp;"","ID not found"))</f>
        <v/>
      </c>
      <c r="F805" s="51" t="str">
        <f aca="false">IF(C805="","",IFERROR(IF(LEFT(C805,1)="L",INDEX('Leads Pipeline'!$E$5:$E$1004,MATCH(C805,'Leads Pipeline'!$A$5:$A$1004,0)),INDEX('Active Clients'!$C$5:$C$504,MATCH(C805,'Active Clients'!$A$5:$A$504,0)))&amp;"","ID not found"))</f>
        <v/>
      </c>
      <c r="G805" s="16"/>
      <c r="H805" s="16"/>
      <c r="I805" s="16"/>
      <c r="J805" s="16"/>
      <c r="K805" s="16"/>
      <c r="L805" s="18"/>
    </row>
    <row r="806" customFormat="false" ht="15" hidden="false" customHeight="false" outlineLevel="0" collapsed="false">
      <c r="A806" s="18"/>
      <c r="B806" s="16"/>
      <c r="C806" s="16"/>
      <c r="D806" s="51" t="str">
        <f aca="false">IF(C806="","",IFERROR(IF(LEFT(C806,1)="L",INDEX('Leads Pipeline'!$F$5:$F$1004,MATCH(C806,'Leads Pipeline'!$A$5:$A$1004,0)),INDEX('Active Clients'!$D$5:$D$504,MATCH(C806,'Active Clients'!$A$5:$A$504,0)))&amp;"","ID not found"))</f>
        <v/>
      </c>
      <c r="E806" s="51" t="str">
        <f aca="false">IF(C806="","",IFERROR(IF(LEFT(C806,1)="L",INDEX('Leads Pipeline'!$D$5:$D$1004,MATCH(C806,'Leads Pipeline'!$A$5:$A$1004,0)),INDEX('Active Clients'!$B$5:$B$504,MATCH(C806,'Active Clients'!$A$5:$A$504,0)))&amp;"","ID not found"))</f>
        <v/>
      </c>
      <c r="F806" s="51" t="str">
        <f aca="false">IF(C806="","",IFERROR(IF(LEFT(C806,1)="L",INDEX('Leads Pipeline'!$E$5:$E$1004,MATCH(C806,'Leads Pipeline'!$A$5:$A$1004,0)),INDEX('Active Clients'!$C$5:$C$504,MATCH(C806,'Active Clients'!$A$5:$A$504,0)))&amp;"","ID not found"))</f>
        <v/>
      </c>
      <c r="G806" s="16"/>
      <c r="H806" s="16"/>
      <c r="I806" s="16"/>
      <c r="J806" s="16"/>
      <c r="K806" s="16"/>
      <c r="L806" s="18"/>
    </row>
    <row r="807" customFormat="false" ht="15" hidden="false" customHeight="false" outlineLevel="0" collapsed="false">
      <c r="A807" s="18"/>
      <c r="B807" s="16"/>
      <c r="C807" s="16"/>
      <c r="D807" s="51" t="str">
        <f aca="false">IF(C807="","",IFERROR(IF(LEFT(C807,1)="L",INDEX('Leads Pipeline'!$F$5:$F$1004,MATCH(C807,'Leads Pipeline'!$A$5:$A$1004,0)),INDEX('Active Clients'!$D$5:$D$504,MATCH(C807,'Active Clients'!$A$5:$A$504,0)))&amp;"","ID not found"))</f>
        <v/>
      </c>
      <c r="E807" s="51" t="str">
        <f aca="false">IF(C807="","",IFERROR(IF(LEFT(C807,1)="L",INDEX('Leads Pipeline'!$D$5:$D$1004,MATCH(C807,'Leads Pipeline'!$A$5:$A$1004,0)),INDEX('Active Clients'!$B$5:$B$504,MATCH(C807,'Active Clients'!$A$5:$A$504,0)))&amp;"","ID not found"))</f>
        <v/>
      </c>
      <c r="F807" s="51" t="str">
        <f aca="false">IF(C807="","",IFERROR(IF(LEFT(C807,1)="L",INDEX('Leads Pipeline'!$E$5:$E$1004,MATCH(C807,'Leads Pipeline'!$A$5:$A$1004,0)),INDEX('Active Clients'!$C$5:$C$504,MATCH(C807,'Active Clients'!$A$5:$A$504,0)))&amp;"","ID not found"))</f>
        <v/>
      </c>
      <c r="G807" s="16"/>
      <c r="H807" s="16"/>
      <c r="I807" s="16"/>
      <c r="J807" s="16"/>
      <c r="K807" s="16"/>
      <c r="L807" s="18"/>
    </row>
    <row r="808" customFormat="false" ht="15" hidden="false" customHeight="false" outlineLevel="0" collapsed="false">
      <c r="A808" s="18"/>
      <c r="B808" s="16"/>
      <c r="C808" s="16"/>
      <c r="D808" s="51" t="str">
        <f aca="false">IF(C808="","",IFERROR(IF(LEFT(C808,1)="L",INDEX('Leads Pipeline'!$F$5:$F$1004,MATCH(C808,'Leads Pipeline'!$A$5:$A$1004,0)),INDEX('Active Clients'!$D$5:$D$504,MATCH(C808,'Active Clients'!$A$5:$A$504,0)))&amp;"","ID not found"))</f>
        <v/>
      </c>
      <c r="E808" s="51" t="str">
        <f aca="false">IF(C808="","",IFERROR(IF(LEFT(C808,1)="L",INDEX('Leads Pipeline'!$D$5:$D$1004,MATCH(C808,'Leads Pipeline'!$A$5:$A$1004,0)),INDEX('Active Clients'!$B$5:$B$504,MATCH(C808,'Active Clients'!$A$5:$A$504,0)))&amp;"","ID not found"))</f>
        <v/>
      </c>
      <c r="F808" s="51" t="str">
        <f aca="false">IF(C808="","",IFERROR(IF(LEFT(C808,1)="L",INDEX('Leads Pipeline'!$E$5:$E$1004,MATCH(C808,'Leads Pipeline'!$A$5:$A$1004,0)),INDEX('Active Clients'!$C$5:$C$504,MATCH(C808,'Active Clients'!$A$5:$A$504,0)))&amp;"","ID not found"))</f>
        <v/>
      </c>
      <c r="G808" s="16"/>
      <c r="H808" s="16"/>
      <c r="I808" s="16"/>
      <c r="J808" s="16"/>
      <c r="K808" s="16"/>
      <c r="L808" s="18"/>
    </row>
    <row r="809" customFormat="false" ht="15" hidden="false" customHeight="false" outlineLevel="0" collapsed="false">
      <c r="A809" s="18"/>
      <c r="B809" s="16"/>
      <c r="C809" s="16"/>
      <c r="D809" s="51" t="str">
        <f aca="false">IF(C809="","",IFERROR(IF(LEFT(C809,1)="L",INDEX('Leads Pipeline'!$F$5:$F$1004,MATCH(C809,'Leads Pipeline'!$A$5:$A$1004,0)),INDEX('Active Clients'!$D$5:$D$504,MATCH(C809,'Active Clients'!$A$5:$A$504,0)))&amp;"","ID not found"))</f>
        <v/>
      </c>
      <c r="E809" s="51" t="str">
        <f aca="false">IF(C809="","",IFERROR(IF(LEFT(C809,1)="L",INDEX('Leads Pipeline'!$D$5:$D$1004,MATCH(C809,'Leads Pipeline'!$A$5:$A$1004,0)),INDEX('Active Clients'!$B$5:$B$504,MATCH(C809,'Active Clients'!$A$5:$A$504,0)))&amp;"","ID not found"))</f>
        <v/>
      </c>
      <c r="F809" s="51" t="str">
        <f aca="false">IF(C809="","",IFERROR(IF(LEFT(C809,1)="L",INDEX('Leads Pipeline'!$E$5:$E$1004,MATCH(C809,'Leads Pipeline'!$A$5:$A$1004,0)),INDEX('Active Clients'!$C$5:$C$504,MATCH(C809,'Active Clients'!$A$5:$A$504,0)))&amp;"","ID not found"))</f>
        <v/>
      </c>
      <c r="G809" s="16"/>
      <c r="H809" s="16"/>
      <c r="I809" s="16"/>
      <c r="J809" s="16"/>
      <c r="K809" s="16"/>
      <c r="L809" s="18"/>
    </row>
    <row r="810" customFormat="false" ht="15" hidden="false" customHeight="false" outlineLevel="0" collapsed="false">
      <c r="A810" s="18"/>
      <c r="B810" s="16"/>
      <c r="C810" s="16"/>
      <c r="D810" s="51" t="str">
        <f aca="false">IF(C810="","",IFERROR(IF(LEFT(C810,1)="L",INDEX('Leads Pipeline'!$F$5:$F$1004,MATCH(C810,'Leads Pipeline'!$A$5:$A$1004,0)),INDEX('Active Clients'!$D$5:$D$504,MATCH(C810,'Active Clients'!$A$5:$A$504,0)))&amp;"","ID not found"))</f>
        <v/>
      </c>
      <c r="E810" s="51" t="str">
        <f aca="false">IF(C810="","",IFERROR(IF(LEFT(C810,1)="L",INDEX('Leads Pipeline'!$D$5:$D$1004,MATCH(C810,'Leads Pipeline'!$A$5:$A$1004,0)),INDEX('Active Clients'!$B$5:$B$504,MATCH(C810,'Active Clients'!$A$5:$A$504,0)))&amp;"","ID not found"))</f>
        <v/>
      </c>
      <c r="F810" s="51" t="str">
        <f aca="false">IF(C810="","",IFERROR(IF(LEFT(C810,1)="L",INDEX('Leads Pipeline'!$E$5:$E$1004,MATCH(C810,'Leads Pipeline'!$A$5:$A$1004,0)),INDEX('Active Clients'!$C$5:$C$504,MATCH(C810,'Active Clients'!$A$5:$A$504,0)))&amp;"","ID not found"))</f>
        <v/>
      </c>
      <c r="G810" s="16"/>
      <c r="H810" s="16"/>
      <c r="I810" s="16"/>
      <c r="J810" s="16"/>
      <c r="K810" s="16"/>
      <c r="L810" s="18"/>
    </row>
    <row r="811" customFormat="false" ht="15" hidden="false" customHeight="false" outlineLevel="0" collapsed="false">
      <c r="A811" s="18"/>
      <c r="B811" s="16"/>
      <c r="C811" s="16"/>
      <c r="D811" s="51" t="str">
        <f aca="false">IF(C811="","",IFERROR(IF(LEFT(C811,1)="L",INDEX('Leads Pipeline'!$F$5:$F$1004,MATCH(C811,'Leads Pipeline'!$A$5:$A$1004,0)),INDEX('Active Clients'!$D$5:$D$504,MATCH(C811,'Active Clients'!$A$5:$A$504,0)))&amp;"","ID not found"))</f>
        <v/>
      </c>
      <c r="E811" s="51" t="str">
        <f aca="false">IF(C811="","",IFERROR(IF(LEFT(C811,1)="L",INDEX('Leads Pipeline'!$D$5:$D$1004,MATCH(C811,'Leads Pipeline'!$A$5:$A$1004,0)),INDEX('Active Clients'!$B$5:$B$504,MATCH(C811,'Active Clients'!$A$5:$A$504,0)))&amp;"","ID not found"))</f>
        <v/>
      </c>
      <c r="F811" s="51" t="str">
        <f aca="false">IF(C811="","",IFERROR(IF(LEFT(C811,1)="L",INDEX('Leads Pipeline'!$E$5:$E$1004,MATCH(C811,'Leads Pipeline'!$A$5:$A$1004,0)),INDEX('Active Clients'!$C$5:$C$504,MATCH(C811,'Active Clients'!$A$5:$A$504,0)))&amp;"","ID not found"))</f>
        <v/>
      </c>
      <c r="G811" s="16"/>
      <c r="H811" s="16"/>
      <c r="I811" s="16"/>
      <c r="J811" s="16"/>
      <c r="K811" s="16"/>
      <c r="L811" s="18"/>
    </row>
    <row r="812" customFormat="false" ht="15" hidden="false" customHeight="false" outlineLevel="0" collapsed="false">
      <c r="A812" s="18"/>
      <c r="B812" s="16"/>
      <c r="C812" s="16"/>
      <c r="D812" s="51" t="str">
        <f aca="false">IF(C812="","",IFERROR(IF(LEFT(C812,1)="L",INDEX('Leads Pipeline'!$F$5:$F$1004,MATCH(C812,'Leads Pipeline'!$A$5:$A$1004,0)),INDEX('Active Clients'!$D$5:$D$504,MATCH(C812,'Active Clients'!$A$5:$A$504,0)))&amp;"","ID not found"))</f>
        <v/>
      </c>
      <c r="E812" s="51" t="str">
        <f aca="false">IF(C812="","",IFERROR(IF(LEFT(C812,1)="L",INDEX('Leads Pipeline'!$D$5:$D$1004,MATCH(C812,'Leads Pipeline'!$A$5:$A$1004,0)),INDEX('Active Clients'!$B$5:$B$504,MATCH(C812,'Active Clients'!$A$5:$A$504,0)))&amp;"","ID not found"))</f>
        <v/>
      </c>
      <c r="F812" s="51" t="str">
        <f aca="false">IF(C812="","",IFERROR(IF(LEFT(C812,1)="L",INDEX('Leads Pipeline'!$E$5:$E$1004,MATCH(C812,'Leads Pipeline'!$A$5:$A$1004,0)),INDEX('Active Clients'!$C$5:$C$504,MATCH(C812,'Active Clients'!$A$5:$A$504,0)))&amp;"","ID not found"))</f>
        <v/>
      </c>
      <c r="G812" s="16"/>
      <c r="H812" s="16"/>
      <c r="I812" s="16"/>
      <c r="J812" s="16"/>
      <c r="K812" s="16"/>
      <c r="L812" s="18"/>
    </row>
    <row r="813" customFormat="false" ht="15" hidden="false" customHeight="false" outlineLevel="0" collapsed="false">
      <c r="A813" s="18"/>
      <c r="B813" s="16"/>
      <c r="C813" s="16"/>
      <c r="D813" s="51" t="str">
        <f aca="false">IF(C813="","",IFERROR(IF(LEFT(C813,1)="L",INDEX('Leads Pipeline'!$F$5:$F$1004,MATCH(C813,'Leads Pipeline'!$A$5:$A$1004,0)),INDEX('Active Clients'!$D$5:$D$504,MATCH(C813,'Active Clients'!$A$5:$A$504,0)))&amp;"","ID not found"))</f>
        <v/>
      </c>
      <c r="E813" s="51" t="str">
        <f aca="false">IF(C813="","",IFERROR(IF(LEFT(C813,1)="L",INDEX('Leads Pipeline'!$D$5:$D$1004,MATCH(C813,'Leads Pipeline'!$A$5:$A$1004,0)),INDEX('Active Clients'!$B$5:$B$504,MATCH(C813,'Active Clients'!$A$5:$A$504,0)))&amp;"","ID not found"))</f>
        <v/>
      </c>
      <c r="F813" s="51" t="str">
        <f aca="false">IF(C813="","",IFERROR(IF(LEFT(C813,1)="L",INDEX('Leads Pipeline'!$E$5:$E$1004,MATCH(C813,'Leads Pipeline'!$A$5:$A$1004,0)),INDEX('Active Clients'!$C$5:$C$504,MATCH(C813,'Active Clients'!$A$5:$A$504,0)))&amp;"","ID not found"))</f>
        <v/>
      </c>
      <c r="G813" s="16"/>
      <c r="H813" s="16"/>
      <c r="I813" s="16"/>
      <c r="J813" s="16"/>
      <c r="K813" s="16"/>
      <c r="L813" s="18"/>
    </row>
    <row r="814" customFormat="false" ht="15" hidden="false" customHeight="false" outlineLevel="0" collapsed="false">
      <c r="A814" s="18"/>
      <c r="B814" s="16"/>
      <c r="C814" s="16"/>
      <c r="D814" s="51" t="str">
        <f aca="false">IF(C814="","",IFERROR(IF(LEFT(C814,1)="L",INDEX('Leads Pipeline'!$F$5:$F$1004,MATCH(C814,'Leads Pipeline'!$A$5:$A$1004,0)),INDEX('Active Clients'!$D$5:$D$504,MATCH(C814,'Active Clients'!$A$5:$A$504,0)))&amp;"","ID not found"))</f>
        <v/>
      </c>
      <c r="E814" s="51" t="str">
        <f aca="false">IF(C814="","",IFERROR(IF(LEFT(C814,1)="L",INDEX('Leads Pipeline'!$D$5:$D$1004,MATCH(C814,'Leads Pipeline'!$A$5:$A$1004,0)),INDEX('Active Clients'!$B$5:$B$504,MATCH(C814,'Active Clients'!$A$5:$A$504,0)))&amp;"","ID not found"))</f>
        <v/>
      </c>
      <c r="F814" s="51" t="str">
        <f aca="false">IF(C814="","",IFERROR(IF(LEFT(C814,1)="L",INDEX('Leads Pipeline'!$E$5:$E$1004,MATCH(C814,'Leads Pipeline'!$A$5:$A$1004,0)),INDEX('Active Clients'!$C$5:$C$504,MATCH(C814,'Active Clients'!$A$5:$A$504,0)))&amp;"","ID not found"))</f>
        <v/>
      </c>
      <c r="G814" s="16"/>
      <c r="H814" s="16"/>
      <c r="I814" s="16"/>
      <c r="J814" s="16"/>
      <c r="K814" s="16"/>
      <c r="L814" s="18"/>
    </row>
    <row r="815" customFormat="false" ht="15" hidden="false" customHeight="false" outlineLevel="0" collapsed="false">
      <c r="A815" s="18"/>
      <c r="B815" s="16"/>
      <c r="C815" s="16"/>
      <c r="D815" s="51" t="str">
        <f aca="false">IF(C815="","",IFERROR(IF(LEFT(C815,1)="L",INDEX('Leads Pipeline'!$F$5:$F$1004,MATCH(C815,'Leads Pipeline'!$A$5:$A$1004,0)),INDEX('Active Clients'!$D$5:$D$504,MATCH(C815,'Active Clients'!$A$5:$A$504,0)))&amp;"","ID not found"))</f>
        <v/>
      </c>
      <c r="E815" s="51" t="str">
        <f aca="false">IF(C815="","",IFERROR(IF(LEFT(C815,1)="L",INDEX('Leads Pipeline'!$D$5:$D$1004,MATCH(C815,'Leads Pipeline'!$A$5:$A$1004,0)),INDEX('Active Clients'!$B$5:$B$504,MATCH(C815,'Active Clients'!$A$5:$A$504,0)))&amp;"","ID not found"))</f>
        <v/>
      </c>
      <c r="F815" s="51" t="str">
        <f aca="false">IF(C815="","",IFERROR(IF(LEFT(C815,1)="L",INDEX('Leads Pipeline'!$E$5:$E$1004,MATCH(C815,'Leads Pipeline'!$A$5:$A$1004,0)),INDEX('Active Clients'!$C$5:$C$504,MATCH(C815,'Active Clients'!$A$5:$A$504,0)))&amp;"","ID not found"))</f>
        <v/>
      </c>
      <c r="G815" s="16"/>
      <c r="H815" s="16"/>
      <c r="I815" s="16"/>
      <c r="J815" s="16"/>
      <c r="K815" s="16"/>
      <c r="L815" s="18"/>
    </row>
    <row r="816" customFormat="false" ht="15" hidden="false" customHeight="false" outlineLevel="0" collapsed="false">
      <c r="A816" s="18"/>
      <c r="B816" s="16"/>
      <c r="C816" s="16"/>
      <c r="D816" s="51" t="str">
        <f aca="false">IF(C816="","",IFERROR(IF(LEFT(C816,1)="L",INDEX('Leads Pipeline'!$F$5:$F$1004,MATCH(C816,'Leads Pipeline'!$A$5:$A$1004,0)),INDEX('Active Clients'!$D$5:$D$504,MATCH(C816,'Active Clients'!$A$5:$A$504,0)))&amp;"","ID not found"))</f>
        <v/>
      </c>
      <c r="E816" s="51" t="str">
        <f aca="false">IF(C816="","",IFERROR(IF(LEFT(C816,1)="L",INDEX('Leads Pipeline'!$D$5:$D$1004,MATCH(C816,'Leads Pipeline'!$A$5:$A$1004,0)),INDEX('Active Clients'!$B$5:$B$504,MATCH(C816,'Active Clients'!$A$5:$A$504,0)))&amp;"","ID not found"))</f>
        <v/>
      </c>
      <c r="F816" s="51" t="str">
        <f aca="false">IF(C816="","",IFERROR(IF(LEFT(C816,1)="L",INDEX('Leads Pipeline'!$E$5:$E$1004,MATCH(C816,'Leads Pipeline'!$A$5:$A$1004,0)),INDEX('Active Clients'!$C$5:$C$504,MATCH(C816,'Active Clients'!$A$5:$A$504,0)))&amp;"","ID not found"))</f>
        <v/>
      </c>
      <c r="G816" s="16"/>
      <c r="H816" s="16"/>
      <c r="I816" s="16"/>
      <c r="J816" s="16"/>
      <c r="K816" s="16"/>
      <c r="L816" s="18"/>
    </row>
    <row r="817" customFormat="false" ht="15" hidden="false" customHeight="false" outlineLevel="0" collapsed="false">
      <c r="A817" s="18"/>
      <c r="B817" s="16"/>
      <c r="C817" s="16"/>
      <c r="D817" s="51" t="str">
        <f aca="false">IF(C817="","",IFERROR(IF(LEFT(C817,1)="L",INDEX('Leads Pipeline'!$F$5:$F$1004,MATCH(C817,'Leads Pipeline'!$A$5:$A$1004,0)),INDEX('Active Clients'!$D$5:$D$504,MATCH(C817,'Active Clients'!$A$5:$A$504,0)))&amp;"","ID not found"))</f>
        <v/>
      </c>
      <c r="E817" s="51" t="str">
        <f aca="false">IF(C817="","",IFERROR(IF(LEFT(C817,1)="L",INDEX('Leads Pipeline'!$D$5:$D$1004,MATCH(C817,'Leads Pipeline'!$A$5:$A$1004,0)),INDEX('Active Clients'!$B$5:$B$504,MATCH(C817,'Active Clients'!$A$5:$A$504,0)))&amp;"","ID not found"))</f>
        <v/>
      </c>
      <c r="F817" s="51" t="str">
        <f aca="false">IF(C817="","",IFERROR(IF(LEFT(C817,1)="L",INDEX('Leads Pipeline'!$E$5:$E$1004,MATCH(C817,'Leads Pipeline'!$A$5:$A$1004,0)),INDEX('Active Clients'!$C$5:$C$504,MATCH(C817,'Active Clients'!$A$5:$A$504,0)))&amp;"","ID not found"))</f>
        <v/>
      </c>
      <c r="G817" s="16"/>
      <c r="H817" s="16"/>
      <c r="I817" s="16"/>
      <c r="J817" s="16"/>
      <c r="K817" s="16"/>
      <c r="L817" s="18"/>
    </row>
    <row r="818" customFormat="false" ht="15" hidden="false" customHeight="false" outlineLevel="0" collapsed="false">
      <c r="A818" s="18"/>
      <c r="B818" s="16"/>
      <c r="C818" s="16"/>
      <c r="D818" s="51" t="str">
        <f aca="false">IF(C818="","",IFERROR(IF(LEFT(C818,1)="L",INDEX('Leads Pipeline'!$F$5:$F$1004,MATCH(C818,'Leads Pipeline'!$A$5:$A$1004,0)),INDEX('Active Clients'!$D$5:$D$504,MATCH(C818,'Active Clients'!$A$5:$A$504,0)))&amp;"","ID not found"))</f>
        <v/>
      </c>
      <c r="E818" s="51" t="str">
        <f aca="false">IF(C818="","",IFERROR(IF(LEFT(C818,1)="L",INDEX('Leads Pipeline'!$D$5:$D$1004,MATCH(C818,'Leads Pipeline'!$A$5:$A$1004,0)),INDEX('Active Clients'!$B$5:$B$504,MATCH(C818,'Active Clients'!$A$5:$A$504,0)))&amp;"","ID not found"))</f>
        <v/>
      </c>
      <c r="F818" s="51" t="str">
        <f aca="false">IF(C818="","",IFERROR(IF(LEFT(C818,1)="L",INDEX('Leads Pipeline'!$E$5:$E$1004,MATCH(C818,'Leads Pipeline'!$A$5:$A$1004,0)),INDEX('Active Clients'!$C$5:$C$504,MATCH(C818,'Active Clients'!$A$5:$A$504,0)))&amp;"","ID not found"))</f>
        <v/>
      </c>
      <c r="G818" s="16"/>
      <c r="H818" s="16"/>
      <c r="I818" s="16"/>
      <c r="J818" s="16"/>
      <c r="K818" s="16"/>
      <c r="L818" s="18"/>
    </row>
    <row r="819" customFormat="false" ht="15" hidden="false" customHeight="false" outlineLevel="0" collapsed="false">
      <c r="A819" s="18"/>
      <c r="B819" s="16"/>
      <c r="C819" s="16"/>
      <c r="D819" s="51" t="str">
        <f aca="false">IF(C819="","",IFERROR(IF(LEFT(C819,1)="L",INDEX('Leads Pipeline'!$F$5:$F$1004,MATCH(C819,'Leads Pipeline'!$A$5:$A$1004,0)),INDEX('Active Clients'!$D$5:$D$504,MATCH(C819,'Active Clients'!$A$5:$A$504,0)))&amp;"","ID not found"))</f>
        <v/>
      </c>
      <c r="E819" s="51" t="str">
        <f aca="false">IF(C819="","",IFERROR(IF(LEFT(C819,1)="L",INDEX('Leads Pipeline'!$D$5:$D$1004,MATCH(C819,'Leads Pipeline'!$A$5:$A$1004,0)),INDEX('Active Clients'!$B$5:$B$504,MATCH(C819,'Active Clients'!$A$5:$A$504,0)))&amp;"","ID not found"))</f>
        <v/>
      </c>
      <c r="F819" s="51" t="str">
        <f aca="false">IF(C819="","",IFERROR(IF(LEFT(C819,1)="L",INDEX('Leads Pipeline'!$E$5:$E$1004,MATCH(C819,'Leads Pipeline'!$A$5:$A$1004,0)),INDEX('Active Clients'!$C$5:$C$504,MATCH(C819,'Active Clients'!$A$5:$A$504,0)))&amp;"","ID not found"))</f>
        <v/>
      </c>
      <c r="G819" s="16"/>
      <c r="H819" s="16"/>
      <c r="I819" s="16"/>
      <c r="J819" s="16"/>
      <c r="K819" s="16"/>
      <c r="L819" s="18"/>
    </row>
    <row r="820" customFormat="false" ht="15" hidden="false" customHeight="false" outlineLevel="0" collapsed="false">
      <c r="A820" s="18"/>
      <c r="B820" s="16"/>
      <c r="C820" s="16"/>
      <c r="D820" s="51" t="str">
        <f aca="false">IF(C820="","",IFERROR(IF(LEFT(C820,1)="L",INDEX('Leads Pipeline'!$F$5:$F$1004,MATCH(C820,'Leads Pipeline'!$A$5:$A$1004,0)),INDEX('Active Clients'!$D$5:$D$504,MATCH(C820,'Active Clients'!$A$5:$A$504,0)))&amp;"","ID not found"))</f>
        <v/>
      </c>
      <c r="E820" s="51" t="str">
        <f aca="false">IF(C820="","",IFERROR(IF(LEFT(C820,1)="L",INDEX('Leads Pipeline'!$D$5:$D$1004,MATCH(C820,'Leads Pipeline'!$A$5:$A$1004,0)),INDEX('Active Clients'!$B$5:$B$504,MATCH(C820,'Active Clients'!$A$5:$A$504,0)))&amp;"","ID not found"))</f>
        <v/>
      </c>
      <c r="F820" s="51" t="str">
        <f aca="false">IF(C820="","",IFERROR(IF(LEFT(C820,1)="L",INDEX('Leads Pipeline'!$E$5:$E$1004,MATCH(C820,'Leads Pipeline'!$A$5:$A$1004,0)),INDEX('Active Clients'!$C$5:$C$504,MATCH(C820,'Active Clients'!$A$5:$A$504,0)))&amp;"","ID not found"))</f>
        <v/>
      </c>
      <c r="G820" s="16"/>
      <c r="H820" s="16"/>
      <c r="I820" s="16"/>
      <c r="J820" s="16"/>
      <c r="K820" s="16"/>
      <c r="L820" s="18"/>
    </row>
    <row r="821" customFormat="false" ht="15" hidden="false" customHeight="false" outlineLevel="0" collapsed="false">
      <c r="A821" s="18"/>
      <c r="B821" s="16"/>
      <c r="C821" s="16"/>
      <c r="D821" s="51" t="str">
        <f aca="false">IF(C821="","",IFERROR(IF(LEFT(C821,1)="L",INDEX('Leads Pipeline'!$F$5:$F$1004,MATCH(C821,'Leads Pipeline'!$A$5:$A$1004,0)),INDEX('Active Clients'!$D$5:$D$504,MATCH(C821,'Active Clients'!$A$5:$A$504,0)))&amp;"","ID not found"))</f>
        <v/>
      </c>
      <c r="E821" s="51" t="str">
        <f aca="false">IF(C821="","",IFERROR(IF(LEFT(C821,1)="L",INDEX('Leads Pipeline'!$D$5:$D$1004,MATCH(C821,'Leads Pipeline'!$A$5:$A$1004,0)),INDEX('Active Clients'!$B$5:$B$504,MATCH(C821,'Active Clients'!$A$5:$A$504,0)))&amp;"","ID not found"))</f>
        <v/>
      </c>
      <c r="F821" s="51" t="str">
        <f aca="false">IF(C821="","",IFERROR(IF(LEFT(C821,1)="L",INDEX('Leads Pipeline'!$E$5:$E$1004,MATCH(C821,'Leads Pipeline'!$A$5:$A$1004,0)),INDEX('Active Clients'!$C$5:$C$504,MATCH(C821,'Active Clients'!$A$5:$A$504,0)))&amp;"","ID not found"))</f>
        <v/>
      </c>
      <c r="G821" s="16"/>
      <c r="H821" s="16"/>
      <c r="I821" s="16"/>
      <c r="J821" s="16"/>
      <c r="K821" s="16"/>
      <c r="L821" s="18"/>
    </row>
    <row r="822" customFormat="false" ht="15" hidden="false" customHeight="false" outlineLevel="0" collapsed="false">
      <c r="A822" s="18"/>
      <c r="B822" s="16"/>
      <c r="C822" s="16"/>
      <c r="D822" s="51" t="str">
        <f aca="false">IF(C822="","",IFERROR(IF(LEFT(C822,1)="L",INDEX('Leads Pipeline'!$F$5:$F$1004,MATCH(C822,'Leads Pipeline'!$A$5:$A$1004,0)),INDEX('Active Clients'!$D$5:$D$504,MATCH(C822,'Active Clients'!$A$5:$A$504,0)))&amp;"","ID not found"))</f>
        <v/>
      </c>
      <c r="E822" s="51" t="str">
        <f aca="false">IF(C822="","",IFERROR(IF(LEFT(C822,1)="L",INDEX('Leads Pipeline'!$D$5:$D$1004,MATCH(C822,'Leads Pipeline'!$A$5:$A$1004,0)),INDEX('Active Clients'!$B$5:$B$504,MATCH(C822,'Active Clients'!$A$5:$A$504,0)))&amp;"","ID not found"))</f>
        <v/>
      </c>
      <c r="F822" s="51" t="str">
        <f aca="false">IF(C822="","",IFERROR(IF(LEFT(C822,1)="L",INDEX('Leads Pipeline'!$E$5:$E$1004,MATCH(C822,'Leads Pipeline'!$A$5:$A$1004,0)),INDEX('Active Clients'!$C$5:$C$504,MATCH(C822,'Active Clients'!$A$5:$A$504,0)))&amp;"","ID not found"))</f>
        <v/>
      </c>
      <c r="G822" s="16"/>
      <c r="H822" s="16"/>
      <c r="I822" s="16"/>
      <c r="J822" s="16"/>
      <c r="K822" s="16"/>
      <c r="L822" s="18"/>
    </row>
    <row r="823" customFormat="false" ht="15" hidden="false" customHeight="false" outlineLevel="0" collapsed="false">
      <c r="A823" s="18"/>
      <c r="B823" s="16"/>
      <c r="C823" s="16"/>
      <c r="D823" s="51" t="str">
        <f aca="false">IF(C823="","",IFERROR(IF(LEFT(C823,1)="L",INDEX('Leads Pipeline'!$F$5:$F$1004,MATCH(C823,'Leads Pipeline'!$A$5:$A$1004,0)),INDEX('Active Clients'!$D$5:$D$504,MATCH(C823,'Active Clients'!$A$5:$A$504,0)))&amp;"","ID not found"))</f>
        <v/>
      </c>
      <c r="E823" s="51" t="str">
        <f aca="false">IF(C823="","",IFERROR(IF(LEFT(C823,1)="L",INDEX('Leads Pipeline'!$D$5:$D$1004,MATCH(C823,'Leads Pipeline'!$A$5:$A$1004,0)),INDEX('Active Clients'!$B$5:$B$504,MATCH(C823,'Active Clients'!$A$5:$A$504,0)))&amp;"","ID not found"))</f>
        <v/>
      </c>
      <c r="F823" s="51" t="str">
        <f aca="false">IF(C823="","",IFERROR(IF(LEFT(C823,1)="L",INDEX('Leads Pipeline'!$E$5:$E$1004,MATCH(C823,'Leads Pipeline'!$A$5:$A$1004,0)),INDEX('Active Clients'!$C$5:$C$504,MATCH(C823,'Active Clients'!$A$5:$A$504,0)))&amp;"","ID not found"))</f>
        <v/>
      </c>
      <c r="G823" s="16"/>
      <c r="H823" s="16"/>
      <c r="I823" s="16"/>
      <c r="J823" s="16"/>
      <c r="K823" s="16"/>
      <c r="L823" s="18"/>
    </row>
    <row r="824" customFormat="false" ht="15" hidden="false" customHeight="false" outlineLevel="0" collapsed="false">
      <c r="A824" s="18"/>
      <c r="B824" s="16"/>
      <c r="C824" s="16"/>
      <c r="D824" s="51" t="str">
        <f aca="false">IF(C824="","",IFERROR(IF(LEFT(C824,1)="L",INDEX('Leads Pipeline'!$F$5:$F$1004,MATCH(C824,'Leads Pipeline'!$A$5:$A$1004,0)),INDEX('Active Clients'!$D$5:$D$504,MATCH(C824,'Active Clients'!$A$5:$A$504,0)))&amp;"","ID not found"))</f>
        <v/>
      </c>
      <c r="E824" s="51" t="str">
        <f aca="false">IF(C824="","",IFERROR(IF(LEFT(C824,1)="L",INDEX('Leads Pipeline'!$D$5:$D$1004,MATCH(C824,'Leads Pipeline'!$A$5:$A$1004,0)),INDEX('Active Clients'!$B$5:$B$504,MATCH(C824,'Active Clients'!$A$5:$A$504,0)))&amp;"","ID not found"))</f>
        <v/>
      </c>
      <c r="F824" s="51" t="str">
        <f aca="false">IF(C824="","",IFERROR(IF(LEFT(C824,1)="L",INDEX('Leads Pipeline'!$E$5:$E$1004,MATCH(C824,'Leads Pipeline'!$A$5:$A$1004,0)),INDEX('Active Clients'!$C$5:$C$504,MATCH(C824,'Active Clients'!$A$5:$A$504,0)))&amp;"","ID not found"))</f>
        <v/>
      </c>
      <c r="G824" s="16"/>
      <c r="H824" s="16"/>
      <c r="I824" s="16"/>
      <c r="J824" s="16"/>
      <c r="K824" s="16"/>
      <c r="L824" s="18"/>
    </row>
    <row r="825" customFormat="false" ht="15" hidden="false" customHeight="false" outlineLevel="0" collapsed="false">
      <c r="A825" s="18"/>
      <c r="B825" s="16"/>
      <c r="C825" s="16"/>
      <c r="D825" s="51" t="str">
        <f aca="false">IF(C825="","",IFERROR(IF(LEFT(C825,1)="L",INDEX('Leads Pipeline'!$F$5:$F$1004,MATCH(C825,'Leads Pipeline'!$A$5:$A$1004,0)),INDEX('Active Clients'!$D$5:$D$504,MATCH(C825,'Active Clients'!$A$5:$A$504,0)))&amp;"","ID not found"))</f>
        <v/>
      </c>
      <c r="E825" s="51" t="str">
        <f aca="false">IF(C825="","",IFERROR(IF(LEFT(C825,1)="L",INDEX('Leads Pipeline'!$D$5:$D$1004,MATCH(C825,'Leads Pipeline'!$A$5:$A$1004,0)),INDEX('Active Clients'!$B$5:$B$504,MATCH(C825,'Active Clients'!$A$5:$A$504,0)))&amp;"","ID not found"))</f>
        <v/>
      </c>
      <c r="F825" s="51" t="str">
        <f aca="false">IF(C825="","",IFERROR(IF(LEFT(C825,1)="L",INDEX('Leads Pipeline'!$E$5:$E$1004,MATCH(C825,'Leads Pipeline'!$A$5:$A$1004,0)),INDEX('Active Clients'!$C$5:$C$504,MATCH(C825,'Active Clients'!$A$5:$A$504,0)))&amp;"","ID not found"))</f>
        <v/>
      </c>
      <c r="G825" s="16"/>
      <c r="H825" s="16"/>
      <c r="I825" s="16"/>
      <c r="J825" s="16"/>
      <c r="K825" s="16"/>
      <c r="L825" s="18"/>
    </row>
    <row r="826" customFormat="false" ht="15" hidden="false" customHeight="false" outlineLevel="0" collapsed="false">
      <c r="A826" s="18"/>
      <c r="B826" s="16"/>
      <c r="C826" s="16"/>
      <c r="D826" s="51" t="str">
        <f aca="false">IF(C826="","",IFERROR(IF(LEFT(C826,1)="L",INDEX('Leads Pipeline'!$F$5:$F$1004,MATCH(C826,'Leads Pipeline'!$A$5:$A$1004,0)),INDEX('Active Clients'!$D$5:$D$504,MATCH(C826,'Active Clients'!$A$5:$A$504,0)))&amp;"","ID not found"))</f>
        <v/>
      </c>
      <c r="E826" s="51" t="str">
        <f aca="false">IF(C826="","",IFERROR(IF(LEFT(C826,1)="L",INDEX('Leads Pipeline'!$D$5:$D$1004,MATCH(C826,'Leads Pipeline'!$A$5:$A$1004,0)),INDEX('Active Clients'!$B$5:$B$504,MATCH(C826,'Active Clients'!$A$5:$A$504,0)))&amp;"","ID not found"))</f>
        <v/>
      </c>
      <c r="F826" s="51" t="str">
        <f aca="false">IF(C826="","",IFERROR(IF(LEFT(C826,1)="L",INDEX('Leads Pipeline'!$E$5:$E$1004,MATCH(C826,'Leads Pipeline'!$A$5:$A$1004,0)),INDEX('Active Clients'!$C$5:$C$504,MATCH(C826,'Active Clients'!$A$5:$A$504,0)))&amp;"","ID not found"))</f>
        <v/>
      </c>
      <c r="G826" s="16"/>
      <c r="H826" s="16"/>
      <c r="I826" s="16"/>
      <c r="J826" s="16"/>
      <c r="K826" s="16"/>
      <c r="L826" s="18"/>
    </row>
    <row r="827" customFormat="false" ht="15" hidden="false" customHeight="false" outlineLevel="0" collapsed="false">
      <c r="A827" s="18"/>
      <c r="B827" s="16"/>
      <c r="C827" s="16"/>
      <c r="D827" s="51" t="str">
        <f aca="false">IF(C827="","",IFERROR(IF(LEFT(C827,1)="L",INDEX('Leads Pipeline'!$F$5:$F$1004,MATCH(C827,'Leads Pipeline'!$A$5:$A$1004,0)),INDEX('Active Clients'!$D$5:$D$504,MATCH(C827,'Active Clients'!$A$5:$A$504,0)))&amp;"","ID not found"))</f>
        <v/>
      </c>
      <c r="E827" s="51" t="str">
        <f aca="false">IF(C827="","",IFERROR(IF(LEFT(C827,1)="L",INDEX('Leads Pipeline'!$D$5:$D$1004,MATCH(C827,'Leads Pipeline'!$A$5:$A$1004,0)),INDEX('Active Clients'!$B$5:$B$504,MATCH(C827,'Active Clients'!$A$5:$A$504,0)))&amp;"","ID not found"))</f>
        <v/>
      </c>
      <c r="F827" s="51" t="str">
        <f aca="false">IF(C827="","",IFERROR(IF(LEFT(C827,1)="L",INDEX('Leads Pipeline'!$E$5:$E$1004,MATCH(C827,'Leads Pipeline'!$A$5:$A$1004,0)),INDEX('Active Clients'!$C$5:$C$504,MATCH(C827,'Active Clients'!$A$5:$A$504,0)))&amp;"","ID not found"))</f>
        <v/>
      </c>
      <c r="G827" s="16"/>
      <c r="H827" s="16"/>
      <c r="I827" s="16"/>
      <c r="J827" s="16"/>
      <c r="K827" s="16"/>
      <c r="L827" s="18"/>
    </row>
    <row r="828" customFormat="false" ht="15" hidden="false" customHeight="false" outlineLevel="0" collapsed="false">
      <c r="A828" s="18"/>
      <c r="B828" s="16"/>
      <c r="C828" s="16"/>
      <c r="D828" s="51" t="str">
        <f aca="false">IF(C828="","",IFERROR(IF(LEFT(C828,1)="L",INDEX('Leads Pipeline'!$F$5:$F$1004,MATCH(C828,'Leads Pipeline'!$A$5:$A$1004,0)),INDEX('Active Clients'!$D$5:$D$504,MATCH(C828,'Active Clients'!$A$5:$A$504,0)))&amp;"","ID not found"))</f>
        <v/>
      </c>
      <c r="E828" s="51" t="str">
        <f aca="false">IF(C828="","",IFERROR(IF(LEFT(C828,1)="L",INDEX('Leads Pipeline'!$D$5:$D$1004,MATCH(C828,'Leads Pipeline'!$A$5:$A$1004,0)),INDEX('Active Clients'!$B$5:$B$504,MATCH(C828,'Active Clients'!$A$5:$A$504,0)))&amp;"","ID not found"))</f>
        <v/>
      </c>
      <c r="F828" s="51" t="str">
        <f aca="false">IF(C828="","",IFERROR(IF(LEFT(C828,1)="L",INDEX('Leads Pipeline'!$E$5:$E$1004,MATCH(C828,'Leads Pipeline'!$A$5:$A$1004,0)),INDEX('Active Clients'!$C$5:$C$504,MATCH(C828,'Active Clients'!$A$5:$A$504,0)))&amp;"","ID not found"))</f>
        <v/>
      </c>
      <c r="G828" s="16"/>
      <c r="H828" s="16"/>
      <c r="I828" s="16"/>
      <c r="J828" s="16"/>
      <c r="K828" s="16"/>
      <c r="L828" s="18"/>
    </row>
    <row r="829" customFormat="false" ht="15" hidden="false" customHeight="false" outlineLevel="0" collapsed="false">
      <c r="A829" s="18"/>
      <c r="B829" s="16"/>
      <c r="C829" s="16"/>
      <c r="D829" s="51" t="str">
        <f aca="false">IF(C829="","",IFERROR(IF(LEFT(C829,1)="L",INDEX('Leads Pipeline'!$F$5:$F$1004,MATCH(C829,'Leads Pipeline'!$A$5:$A$1004,0)),INDEX('Active Clients'!$D$5:$D$504,MATCH(C829,'Active Clients'!$A$5:$A$504,0)))&amp;"","ID not found"))</f>
        <v/>
      </c>
      <c r="E829" s="51" t="str">
        <f aca="false">IF(C829="","",IFERROR(IF(LEFT(C829,1)="L",INDEX('Leads Pipeline'!$D$5:$D$1004,MATCH(C829,'Leads Pipeline'!$A$5:$A$1004,0)),INDEX('Active Clients'!$B$5:$B$504,MATCH(C829,'Active Clients'!$A$5:$A$504,0)))&amp;"","ID not found"))</f>
        <v/>
      </c>
      <c r="F829" s="51" t="str">
        <f aca="false">IF(C829="","",IFERROR(IF(LEFT(C829,1)="L",INDEX('Leads Pipeline'!$E$5:$E$1004,MATCH(C829,'Leads Pipeline'!$A$5:$A$1004,0)),INDEX('Active Clients'!$C$5:$C$504,MATCH(C829,'Active Clients'!$A$5:$A$504,0)))&amp;"","ID not found"))</f>
        <v/>
      </c>
      <c r="G829" s="16"/>
      <c r="H829" s="16"/>
      <c r="I829" s="16"/>
      <c r="J829" s="16"/>
      <c r="K829" s="16"/>
      <c r="L829" s="18"/>
    </row>
    <row r="830" customFormat="false" ht="15" hidden="false" customHeight="false" outlineLevel="0" collapsed="false">
      <c r="A830" s="18"/>
      <c r="B830" s="16"/>
      <c r="C830" s="16"/>
      <c r="D830" s="51" t="str">
        <f aca="false">IF(C830="","",IFERROR(IF(LEFT(C830,1)="L",INDEX('Leads Pipeline'!$F$5:$F$1004,MATCH(C830,'Leads Pipeline'!$A$5:$A$1004,0)),INDEX('Active Clients'!$D$5:$D$504,MATCH(C830,'Active Clients'!$A$5:$A$504,0)))&amp;"","ID not found"))</f>
        <v/>
      </c>
      <c r="E830" s="51" t="str">
        <f aca="false">IF(C830="","",IFERROR(IF(LEFT(C830,1)="L",INDEX('Leads Pipeline'!$D$5:$D$1004,MATCH(C830,'Leads Pipeline'!$A$5:$A$1004,0)),INDEX('Active Clients'!$B$5:$B$504,MATCH(C830,'Active Clients'!$A$5:$A$504,0)))&amp;"","ID not found"))</f>
        <v/>
      </c>
      <c r="F830" s="51" t="str">
        <f aca="false">IF(C830="","",IFERROR(IF(LEFT(C830,1)="L",INDEX('Leads Pipeline'!$E$5:$E$1004,MATCH(C830,'Leads Pipeline'!$A$5:$A$1004,0)),INDEX('Active Clients'!$C$5:$C$504,MATCH(C830,'Active Clients'!$A$5:$A$504,0)))&amp;"","ID not found"))</f>
        <v/>
      </c>
      <c r="G830" s="16"/>
      <c r="H830" s="16"/>
      <c r="I830" s="16"/>
      <c r="J830" s="16"/>
      <c r="K830" s="16"/>
      <c r="L830" s="18"/>
    </row>
    <row r="831" customFormat="false" ht="15" hidden="false" customHeight="false" outlineLevel="0" collapsed="false">
      <c r="A831" s="18"/>
      <c r="B831" s="16"/>
      <c r="C831" s="16"/>
      <c r="D831" s="51" t="str">
        <f aca="false">IF(C831="","",IFERROR(IF(LEFT(C831,1)="L",INDEX('Leads Pipeline'!$F$5:$F$1004,MATCH(C831,'Leads Pipeline'!$A$5:$A$1004,0)),INDEX('Active Clients'!$D$5:$D$504,MATCH(C831,'Active Clients'!$A$5:$A$504,0)))&amp;"","ID not found"))</f>
        <v/>
      </c>
      <c r="E831" s="51" t="str">
        <f aca="false">IF(C831="","",IFERROR(IF(LEFT(C831,1)="L",INDEX('Leads Pipeline'!$D$5:$D$1004,MATCH(C831,'Leads Pipeline'!$A$5:$A$1004,0)),INDEX('Active Clients'!$B$5:$B$504,MATCH(C831,'Active Clients'!$A$5:$A$504,0)))&amp;"","ID not found"))</f>
        <v/>
      </c>
      <c r="F831" s="51" t="str">
        <f aca="false">IF(C831="","",IFERROR(IF(LEFT(C831,1)="L",INDEX('Leads Pipeline'!$E$5:$E$1004,MATCH(C831,'Leads Pipeline'!$A$5:$A$1004,0)),INDEX('Active Clients'!$C$5:$C$504,MATCH(C831,'Active Clients'!$A$5:$A$504,0)))&amp;"","ID not found"))</f>
        <v/>
      </c>
      <c r="G831" s="16"/>
      <c r="H831" s="16"/>
      <c r="I831" s="16"/>
      <c r="J831" s="16"/>
      <c r="K831" s="16"/>
      <c r="L831" s="18"/>
    </row>
    <row r="832" customFormat="false" ht="15" hidden="false" customHeight="false" outlineLevel="0" collapsed="false">
      <c r="A832" s="18"/>
      <c r="B832" s="16"/>
      <c r="C832" s="16"/>
      <c r="D832" s="51" t="str">
        <f aca="false">IF(C832="","",IFERROR(IF(LEFT(C832,1)="L",INDEX('Leads Pipeline'!$F$5:$F$1004,MATCH(C832,'Leads Pipeline'!$A$5:$A$1004,0)),INDEX('Active Clients'!$D$5:$D$504,MATCH(C832,'Active Clients'!$A$5:$A$504,0)))&amp;"","ID not found"))</f>
        <v/>
      </c>
      <c r="E832" s="51" t="str">
        <f aca="false">IF(C832="","",IFERROR(IF(LEFT(C832,1)="L",INDEX('Leads Pipeline'!$D$5:$D$1004,MATCH(C832,'Leads Pipeline'!$A$5:$A$1004,0)),INDEX('Active Clients'!$B$5:$B$504,MATCH(C832,'Active Clients'!$A$5:$A$504,0)))&amp;"","ID not found"))</f>
        <v/>
      </c>
      <c r="F832" s="51" t="str">
        <f aca="false">IF(C832="","",IFERROR(IF(LEFT(C832,1)="L",INDEX('Leads Pipeline'!$E$5:$E$1004,MATCH(C832,'Leads Pipeline'!$A$5:$A$1004,0)),INDEX('Active Clients'!$C$5:$C$504,MATCH(C832,'Active Clients'!$A$5:$A$504,0)))&amp;"","ID not found"))</f>
        <v/>
      </c>
      <c r="G832" s="16"/>
      <c r="H832" s="16"/>
      <c r="I832" s="16"/>
      <c r="J832" s="16"/>
      <c r="K832" s="16"/>
      <c r="L832" s="18"/>
    </row>
    <row r="833" customFormat="false" ht="15" hidden="false" customHeight="false" outlineLevel="0" collapsed="false">
      <c r="A833" s="18"/>
      <c r="B833" s="16"/>
      <c r="C833" s="16"/>
      <c r="D833" s="51" t="str">
        <f aca="false">IF(C833="","",IFERROR(IF(LEFT(C833,1)="L",INDEX('Leads Pipeline'!$F$5:$F$1004,MATCH(C833,'Leads Pipeline'!$A$5:$A$1004,0)),INDEX('Active Clients'!$D$5:$D$504,MATCH(C833,'Active Clients'!$A$5:$A$504,0)))&amp;"","ID not found"))</f>
        <v/>
      </c>
      <c r="E833" s="51" t="str">
        <f aca="false">IF(C833="","",IFERROR(IF(LEFT(C833,1)="L",INDEX('Leads Pipeline'!$D$5:$D$1004,MATCH(C833,'Leads Pipeline'!$A$5:$A$1004,0)),INDEX('Active Clients'!$B$5:$B$504,MATCH(C833,'Active Clients'!$A$5:$A$504,0)))&amp;"","ID not found"))</f>
        <v/>
      </c>
      <c r="F833" s="51" t="str">
        <f aca="false">IF(C833="","",IFERROR(IF(LEFT(C833,1)="L",INDEX('Leads Pipeline'!$E$5:$E$1004,MATCH(C833,'Leads Pipeline'!$A$5:$A$1004,0)),INDEX('Active Clients'!$C$5:$C$504,MATCH(C833,'Active Clients'!$A$5:$A$504,0)))&amp;"","ID not found"))</f>
        <v/>
      </c>
      <c r="G833" s="16"/>
      <c r="H833" s="16"/>
      <c r="I833" s="16"/>
      <c r="J833" s="16"/>
      <c r="K833" s="16"/>
      <c r="L833" s="18"/>
    </row>
    <row r="834" customFormat="false" ht="15" hidden="false" customHeight="false" outlineLevel="0" collapsed="false">
      <c r="A834" s="18"/>
      <c r="B834" s="16"/>
      <c r="C834" s="16"/>
      <c r="D834" s="51" t="str">
        <f aca="false">IF(C834="","",IFERROR(IF(LEFT(C834,1)="L",INDEX('Leads Pipeline'!$F$5:$F$1004,MATCH(C834,'Leads Pipeline'!$A$5:$A$1004,0)),INDEX('Active Clients'!$D$5:$D$504,MATCH(C834,'Active Clients'!$A$5:$A$504,0)))&amp;"","ID not found"))</f>
        <v/>
      </c>
      <c r="E834" s="51" t="str">
        <f aca="false">IF(C834="","",IFERROR(IF(LEFT(C834,1)="L",INDEX('Leads Pipeline'!$D$5:$D$1004,MATCH(C834,'Leads Pipeline'!$A$5:$A$1004,0)),INDEX('Active Clients'!$B$5:$B$504,MATCH(C834,'Active Clients'!$A$5:$A$504,0)))&amp;"","ID not found"))</f>
        <v/>
      </c>
      <c r="F834" s="51" t="str">
        <f aca="false">IF(C834="","",IFERROR(IF(LEFT(C834,1)="L",INDEX('Leads Pipeline'!$E$5:$E$1004,MATCH(C834,'Leads Pipeline'!$A$5:$A$1004,0)),INDEX('Active Clients'!$C$5:$C$504,MATCH(C834,'Active Clients'!$A$5:$A$504,0)))&amp;"","ID not found"))</f>
        <v/>
      </c>
      <c r="G834" s="16"/>
      <c r="H834" s="16"/>
      <c r="I834" s="16"/>
      <c r="J834" s="16"/>
      <c r="K834" s="16"/>
      <c r="L834" s="18"/>
    </row>
    <row r="835" customFormat="false" ht="15" hidden="false" customHeight="false" outlineLevel="0" collapsed="false">
      <c r="A835" s="18"/>
      <c r="B835" s="16"/>
      <c r="C835" s="16"/>
      <c r="D835" s="51" t="str">
        <f aca="false">IF(C835="","",IFERROR(IF(LEFT(C835,1)="L",INDEX('Leads Pipeline'!$F$5:$F$1004,MATCH(C835,'Leads Pipeline'!$A$5:$A$1004,0)),INDEX('Active Clients'!$D$5:$D$504,MATCH(C835,'Active Clients'!$A$5:$A$504,0)))&amp;"","ID not found"))</f>
        <v/>
      </c>
      <c r="E835" s="51" t="str">
        <f aca="false">IF(C835="","",IFERROR(IF(LEFT(C835,1)="L",INDEX('Leads Pipeline'!$D$5:$D$1004,MATCH(C835,'Leads Pipeline'!$A$5:$A$1004,0)),INDEX('Active Clients'!$B$5:$B$504,MATCH(C835,'Active Clients'!$A$5:$A$504,0)))&amp;"","ID not found"))</f>
        <v/>
      </c>
      <c r="F835" s="51" t="str">
        <f aca="false">IF(C835="","",IFERROR(IF(LEFT(C835,1)="L",INDEX('Leads Pipeline'!$E$5:$E$1004,MATCH(C835,'Leads Pipeline'!$A$5:$A$1004,0)),INDEX('Active Clients'!$C$5:$C$504,MATCH(C835,'Active Clients'!$A$5:$A$504,0)))&amp;"","ID not found"))</f>
        <v/>
      </c>
      <c r="G835" s="16"/>
      <c r="H835" s="16"/>
      <c r="I835" s="16"/>
      <c r="J835" s="16"/>
      <c r="K835" s="16"/>
      <c r="L835" s="18"/>
    </row>
    <row r="836" customFormat="false" ht="15" hidden="false" customHeight="false" outlineLevel="0" collapsed="false">
      <c r="A836" s="18"/>
      <c r="B836" s="16"/>
      <c r="C836" s="16"/>
      <c r="D836" s="51" t="str">
        <f aca="false">IF(C836="","",IFERROR(IF(LEFT(C836,1)="L",INDEX('Leads Pipeline'!$F$5:$F$1004,MATCH(C836,'Leads Pipeline'!$A$5:$A$1004,0)),INDEX('Active Clients'!$D$5:$D$504,MATCH(C836,'Active Clients'!$A$5:$A$504,0)))&amp;"","ID not found"))</f>
        <v/>
      </c>
      <c r="E836" s="51" t="str">
        <f aca="false">IF(C836="","",IFERROR(IF(LEFT(C836,1)="L",INDEX('Leads Pipeline'!$D$5:$D$1004,MATCH(C836,'Leads Pipeline'!$A$5:$A$1004,0)),INDEX('Active Clients'!$B$5:$B$504,MATCH(C836,'Active Clients'!$A$5:$A$504,0)))&amp;"","ID not found"))</f>
        <v/>
      </c>
      <c r="F836" s="51" t="str">
        <f aca="false">IF(C836="","",IFERROR(IF(LEFT(C836,1)="L",INDEX('Leads Pipeline'!$E$5:$E$1004,MATCH(C836,'Leads Pipeline'!$A$5:$A$1004,0)),INDEX('Active Clients'!$C$5:$C$504,MATCH(C836,'Active Clients'!$A$5:$A$504,0)))&amp;"","ID not found"))</f>
        <v/>
      </c>
      <c r="G836" s="16"/>
      <c r="H836" s="16"/>
      <c r="I836" s="16"/>
      <c r="J836" s="16"/>
      <c r="K836" s="16"/>
      <c r="L836" s="18"/>
    </row>
    <row r="837" customFormat="false" ht="15" hidden="false" customHeight="false" outlineLevel="0" collapsed="false">
      <c r="A837" s="18"/>
      <c r="B837" s="16"/>
      <c r="C837" s="16"/>
      <c r="D837" s="51" t="str">
        <f aca="false">IF(C837="","",IFERROR(IF(LEFT(C837,1)="L",INDEX('Leads Pipeline'!$F$5:$F$1004,MATCH(C837,'Leads Pipeline'!$A$5:$A$1004,0)),INDEX('Active Clients'!$D$5:$D$504,MATCH(C837,'Active Clients'!$A$5:$A$504,0)))&amp;"","ID not found"))</f>
        <v/>
      </c>
      <c r="E837" s="51" t="str">
        <f aca="false">IF(C837="","",IFERROR(IF(LEFT(C837,1)="L",INDEX('Leads Pipeline'!$D$5:$D$1004,MATCH(C837,'Leads Pipeline'!$A$5:$A$1004,0)),INDEX('Active Clients'!$B$5:$B$504,MATCH(C837,'Active Clients'!$A$5:$A$504,0)))&amp;"","ID not found"))</f>
        <v/>
      </c>
      <c r="F837" s="51" t="str">
        <f aca="false">IF(C837="","",IFERROR(IF(LEFT(C837,1)="L",INDEX('Leads Pipeline'!$E$5:$E$1004,MATCH(C837,'Leads Pipeline'!$A$5:$A$1004,0)),INDEX('Active Clients'!$C$5:$C$504,MATCH(C837,'Active Clients'!$A$5:$A$504,0)))&amp;"","ID not found"))</f>
        <v/>
      </c>
      <c r="G837" s="16"/>
      <c r="H837" s="16"/>
      <c r="I837" s="16"/>
      <c r="J837" s="16"/>
      <c r="K837" s="16"/>
      <c r="L837" s="18"/>
    </row>
    <row r="838" customFormat="false" ht="15" hidden="false" customHeight="false" outlineLevel="0" collapsed="false">
      <c r="A838" s="18"/>
      <c r="B838" s="16"/>
      <c r="C838" s="16"/>
      <c r="D838" s="51" t="str">
        <f aca="false">IF(C838="","",IFERROR(IF(LEFT(C838,1)="L",INDEX('Leads Pipeline'!$F$5:$F$1004,MATCH(C838,'Leads Pipeline'!$A$5:$A$1004,0)),INDEX('Active Clients'!$D$5:$D$504,MATCH(C838,'Active Clients'!$A$5:$A$504,0)))&amp;"","ID not found"))</f>
        <v/>
      </c>
      <c r="E838" s="51" t="str">
        <f aca="false">IF(C838="","",IFERROR(IF(LEFT(C838,1)="L",INDEX('Leads Pipeline'!$D$5:$D$1004,MATCH(C838,'Leads Pipeline'!$A$5:$A$1004,0)),INDEX('Active Clients'!$B$5:$B$504,MATCH(C838,'Active Clients'!$A$5:$A$504,0)))&amp;"","ID not found"))</f>
        <v/>
      </c>
      <c r="F838" s="51" t="str">
        <f aca="false">IF(C838="","",IFERROR(IF(LEFT(C838,1)="L",INDEX('Leads Pipeline'!$E$5:$E$1004,MATCH(C838,'Leads Pipeline'!$A$5:$A$1004,0)),INDEX('Active Clients'!$C$5:$C$504,MATCH(C838,'Active Clients'!$A$5:$A$504,0)))&amp;"","ID not found"))</f>
        <v/>
      </c>
      <c r="G838" s="16"/>
      <c r="H838" s="16"/>
      <c r="I838" s="16"/>
      <c r="J838" s="16"/>
      <c r="K838" s="16"/>
      <c r="L838" s="18"/>
    </row>
    <row r="839" customFormat="false" ht="15" hidden="false" customHeight="false" outlineLevel="0" collapsed="false">
      <c r="A839" s="18"/>
      <c r="B839" s="16"/>
      <c r="C839" s="16"/>
      <c r="D839" s="51" t="str">
        <f aca="false">IF(C839="","",IFERROR(IF(LEFT(C839,1)="L",INDEX('Leads Pipeline'!$F$5:$F$1004,MATCH(C839,'Leads Pipeline'!$A$5:$A$1004,0)),INDEX('Active Clients'!$D$5:$D$504,MATCH(C839,'Active Clients'!$A$5:$A$504,0)))&amp;"","ID not found"))</f>
        <v/>
      </c>
      <c r="E839" s="51" t="str">
        <f aca="false">IF(C839="","",IFERROR(IF(LEFT(C839,1)="L",INDEX('Leads Pipeline'!$D$5:$D$1004,MATCH(C839,'Leads Pipeline'!$A$5:$A$1004,0)),INDEX('Active Clients'!$B$5:$B$504,MATCH(C839,'Active Clients'!$A$5:$A$504,0)))&amp;"","ID not found"))</f>
        <v/>
      </c>
      <c r="F839" s="51" t="str">
        <f aca="false">IF(C839="","",IFERROR(IF(LEFT(C839,1)="L",INDEX('Leads Pipeline'!$E$5:$E$1004,MATCH(C839,'Leads Pipeline'!$A$5:$A$1004,0)),INDEX('Active Clients'!$C$5:$C$504,MATCH(C839,'Active Clients'!$A$5:$A$504,0)))&amp;"","ID not found"))</f>
        <v/>
      </c>
      <c r="G839" s="16"/>
      <c r="H839" s="16"/>
      <c r="I839" s="16"/>
      <c r="J839" s="16"/>
      <c r="K839" s="16"/>
      <c r="L839" s="18"/>
    </row>
    <row r="840" customFormat="false" ht="15" hidden="false" customHeight="false" outlineLevel="0" collapsed="false">
      <c r="A840" s="18"/>
      <c r="B840" s="16"/>
      <c r="C840" s="16"/>
      <c r="D840" s="51" t="str">
        <f aca="false">IF(C840="","",IFERROR(IF(LEFT(C840,1)="L",INDEX('Leads Pipeline'!$F$5:$F$1004,MATCH(C840,'Leads Pipeline'!$A$5:$A$1004,0)),INDEX('Active Clients'!$D$5:$D$504,MATCH(C840,'Active Clients'!$A$5:$A$504,0)))&amp;"","ID not found"))</f>
        <v/>
      </c>
      <c r="E840" s="51" t="str">
        <f aca="false">IF(C840="","",IFERROR(IF(LEFT(C840,1)="L",INDEX('Leads Pipeline'!$D$5:$D$1004,MATCH(C840,'Leads Pipeline'!$A$5:$A$1004,0)),INDEX('Active Clients'!$B$5:$B$504,MATCH(C840,'Active Clients'!$A$5:$A$504,0)))&amp;"","ID not found"))</f>
        <v/>
      </c>
      <c r="F840" s="51" t="str">
        <f aca="false">IF(C840="","",IFERROR(IF(LEFT(C840,1)="L",INDEX('Leads Pipeline'!$E$5:$E$1004,MATCH(C840,'Leads Pipeline'!$A$5:$A$1004,0)),INDEX('Active Clients'!$C$5:$C$504,MATCH(C840,'Active Clients'!$A$5:$A$504,0)))&amp;"","ID not found"))</f>
        <v/>
      </c>
      <c r="G840" s="16"/>
      <c r="H840" s="16"/>
      <c r="I840" s="16"/>
      <c r="J840" s="16"/>
      <c r="K840" s="16"/>
      <c r="L840" s="18"/>
    </row>
    <row r="841" customFormat="false" ht="15" hidden="false" customHeight="false" outlineLevel="0" collapsed="false">
      <c r="A841" s="18"/>
      <c r="B841" s="16"/>
      <c r="C841" s="16"/>
      <c r="D841" s="51" t="str">
        <f aca="false">IF(C841="","",IFERROR(IF(LEFT(C841,1)="L",INDEX('Leads Pipeline'!$F$5:$F$1004,MATCH(C841,'Leads Pipeline'!$A$5:$A$1004,0)),INDEX('Active Clients'!$D$5:$D$504,MATCH(C841,'Active Clients'!$A$5:$A$504,0)))&amp;"","ID not found"))</f>
        <v/>
      </c>
      <c r="E841" s="51" t="str">
        <f aca="false">IF(C841="","",IFERROR(IF(LEFT(C841,1)="L",INDEX('Leads Pipeline'!$D$5:$D$1004,MATCH(C841,'Leads Pipeline'!$A$5:$A$1004,0)),INDEX('Active Clients'!$B$5:$B$504,MATCH(C841,'Active Clients'!$A$5:$A$504,0)))&amp;"","ID not found"))</f>
        <v/>
      </c>
      <c r="F841" s="51" t="str">
        <f aca="false">IF(C841="","",IFERROR(IF(LEFT(C841,1)="L",INDEX('Leads Pipeline'!$E$5:$E$1004,MATCH(C841,'Leads Pipeline'!$A$5:$A$1004,0)),INDEX('Active Clients'!$C$5:$C$504,MATCH(C841,'Active Clients'!$A$5:$A$504,0)))&amp;"","ID not found"))</f>
        <v/>
      </c>
      <c r="G841" s="16"/>
      <c r="H841" s="16"/>
      <c r="I841" s="16"/>
      <c r="J841" s="16"/>
      <c r="K841" s="16"/>
      <c r="L841" s="18"/>
    </row>
    <row r="842" customFormat="false" ht="15" hidden="false" customHeight="false" outlineLevel="0" collapsed="false">
      <c r="A842" s="18"/>
      <c r="B842" s="16"/>
      <c r="C842" s="16"/>
      <c r="D842" s="51" t="str">
        <f aca="false">IF(C842="","",IFERROR(IF(LEFT(C842,1)="L",INDEX('Leads Pipeline'!$F$5:$F$1004,MATCH(C842,'Leads Pipeline'!$A$5:$A$1004,0)),INDEX('Active Clients'!$D$5:$D$504,MATCH(C842,'Active Clients'!$A$5:$A$504,0)))&amp;"","ID not found"))</f>
        <v/>
      </c>
      <c r="E842" s="51" t="str">
        <f aca="false">IF(C842="","",IFERROR(IF(LEFT(C842,1)="L",INDEX('Leads Pipeline'!$D$5:$D$1004,MATCH(C842,'Leads Pipeline'!$A$5:$A$1004,0)),INDEX('Active Clients'!$B$5:$B$504,MATCH(C842,'Active Clients'!$A$5:$A$504,0)))&amp;"","ID not found"))</f>
        <v/>
      </c>
      <c r="F842" s="51" t="str">
        <f aca="false">IF(C842="","",IFERROR(IF(LEFT(C842,1)="L",INDEX('Leads Pipeline'!$E$5:$E$1004,MATCH(C842,'Leads Pipeline'!$A$5:$A$1004,0)),INDEX('Active Clients'!$C$5:$C$504,MATCH(C842,'Active Clients'!$A$5:$A$504,0)))&amp;"","ID not found"))</f>
        <v/>
      </c>
      <c r="G842" s="16"/>
      <c r="H842" s="16"/>
      <c r="I842" s="16"/>
      <c r="J842" s="16"/>
      <c r="K842" s="16"/>
      <c r="L842" s="18"/>
    </row>
    <row r="843" customFormat="false" ht="15" hidden="false" customHeight="false" outlineLevel="0" collapsed="false">
      <c r="A843" s="18"/>
      <c r="B843" s="16"/>
      <c r="C843" s="16"/>
      <c r="D843" s="51" t="str">
        <f aca="false">IF(C843="","",IFERROR(IF(LEFT(C843,1)="L",INDEX('Leads Pipeline'!$F$5:$F$1004,MATCH(C843,'Leads Pipeline'!$A$5:$A$1004,0)),INDEX('Active Clients'!$D$5:$D$504,MATCH(C843,'Active Clients'!$A$5:$A$504,0)))&amp;"","ID not found"))</f>
        <v/>
      </c>
      <c r="E843" s="51" t="str">
        <f aca="false">IF(C843="","",IFERROR(IF(LEFT(C843,1)="L",INDEX('Leads Pipeline'!$D$5:$D$1004,MATCH(C843,'Leads Pipeline'!$A$5:$A$1004,0)),INDEX('Active Clients'!$B$5:$B$504,MATCH(C843,'Active Clients'!$A$5:$A$504,0)))&amp;"","ID not found"))</f>
        <v/>
      </c>
      <c r="F843" s="51" t="str">
        <f aca="false">IF(C843="","",IFERROR(IF(LEFT(C843,1)="L",INDEX('Leads Pipeline'!$E$5:$E$1004,MATCH(C843,'Leads Pipeline'!$A$5:$A$1004,0)),INDEX('Active Clients'!$C$5:$C$504,MATCH(C843,'Active Clients'!$A$5:$A$504,0)))&amp;"","ID not found"))</f>
        <v/>
      </c>
      <c r="G843" s="16"/>
      <c r="H843" s="16"/>
      <c r="I843" s="16"/>
      <c r="J843" s="16"/>
      <c r="K843" s="16"/>
      <c r="L843" s="18"/>
    </row>
    <row r="844" customFormat="false" ht="15" hidden="false" customHeight="false" outlineLevel="0" collapsed="false">
      <c r="A844" s="18"/>
      <c r="B844" s="16"/>
      <c r="C844" s="16"/>
      <c r="D844" s="51" t="str">
        <f aca="false">IF(C844="","",IFERROR(IF(LEFT(C844,1)="L",INDEX('Leads Pipeline'!$F$5:$F$1004,MATCH(C844,'Leads Pipeline'!$A$5:$A$1004,0)),INDEX('Active Clients'!$D$5:$D$504,MATCH(C844,'Active Clients'!$A$5:$A$504,0)))&amp;"","ID not found"))</f>
        <v/>
      </c>
      <c r="E844" s="51" t="str">
        <f aca="false">IF(C844="","",IFERROR(IF(LEFT(C844,1)="L",INDEX('Leads Pipeline'!$D$5:$D$1004,MATCH(C844,'Leads Pipeline'!$A$5:$A$1004,0)),INDEX('Active Clients'!$B$5:$B$504,MATCH(C844,'Active Clients'!$A$5:$A$504,0)))&amp;"","ID not found"))</f>
        <v/>
      </c>
      <c r="F844" s="51" t="str">
        <f aca="false">IF(C844="","",IFERROR(IF(LEFT(C844,1)="L",INDEX('Leads Pipeline'!$E$5:$E$1004,MATCH(C844,'Leads Pipeline'!$A$5:$A$1004,0)),INDEX('Active Clients'!$C$5:$C$504,MATCH(C844,'Active Clients'!$A$5:$A$504,0)))&amp;"","ID not found"))</f>
        <v/>
      </c>
      <c r="G844" s="16"/>
      <c r="H844" s="16"/>
      <c r="I844" s="16"/>
      <c r="J844" s="16"/>
      <c r="K844" s="16"/>
      <c r="L844" s="18"/>
    </row>
    <row r="845" customFormat="false" ht="15" hidden="false" customHeight="false" outlineLevel="0" collapsed="false">
      <c r="A845" s="18"/>
      <c r="B845" s="16"/>
      <c r="C845" s="16"/>
      <c r="D845" s="51" t="str">
        <f aca="false">IF(C845="","",IFERROR(IF(LEFT(C845,1)="L",INDEX('Leads Pipeline'!$F$5:$F$1004,MATCH(C845,'Leads Pipeline'!$A$5:$A$1004,0)),INDEX('Active Clients'!$D$5:$D$504,MATCH(C845,'Active Clients'!$A$5:$A$504,0)))&amp;"","ID not found"))</f>
        <v/>
      </c>
      <c r="E845" s="51" t="str">
        <f aca="false">IF(C845="","",IFERROR(IF(LEFT(C845,1)="L",INDEX('Leads Pipeline'!$D$5:$D$1004,MATCH(C845,'Leads Pipeline'!$A$5:$A$1004,0)),INDEX('Active Clients'!$B$5:$B$504,MATCH(C845,'Active Clients'!$A$5:$A$504,0)))&amp;"","ID not found"))</f>
        <v/>
      </c>
      <c r="F845" s="51" t="str">
        <f aca="false">IF(C845="","",IFERROR(IF(LEFT(C845,1)="L",INDEX('Leads Pipeline'!$E$5:$E$1004,MATCH(C845,'Leads Pipeline'!$A$5:$A$1004,0)),INDEX('Active Clients'!$C$5:$C$504,MATCH(C845,'Active Clients'!$A$5:$A$504,0)))&amp;"","ID not found"))</f>
        <v/>
      </c>
      <c r="G845" s="16"/>
      <c r="H845" s="16"/>
      <c r="I845" s="16"/>
      <c r="J845" s="16"/>
      <c r="K845" s="16"/>
      <c r="L845" s="18"/>
    </row>
    <row r="846" customFormat="false" ht="15" hidden="false" customHeight="false" outlineLevel="0" collapsed="false">
      <c r="A846" s="18"/>
      <c r="B846" s="16"/>
      <c r="C846" s="16"/>
      <c r="D846" s="51" t="str">
        <f aca="false">IF(C846="","",IFERROR(IF(LEFT(C846,1)="L",INDEX('Leads Pipeline'!$F$5:$F$1004,MATCH(C846,'Leads Pipeline'!$A$5:$A$1004,0)),INDEX('Active Clients'!$D$5:$D$504,MATCH(C846,'Active Clients'!$A$5:$A$504,0)))&amp;"","ID not found"))</f>
        <v/>
      </c>
      <c r="E846" s="51" t="str">
        <f aca="false">IF(C846="","",IFERROR(IF(LEFT(C846,1)="L",INDEX('Leads Pipeline'!$D$5:$D$1004,MATCH(C846,'Leads Pipeline'!$A$5:$A$1004,0)),INDEX('Active Clients'!$B$5:$B$504,MATCH(C846,'Active Clients'!$A$5:$A$504,0)))&amp;"","ID not found"))</f>
        <v/>
      </c>
      <c r="F846" s="51" t="str">
        <f aca="false">IF(C846="","",IFERROR(IF(LEFT(C846,1)="L",INDEX('Leads Pipeline'!$E$5:$E$1004,MATCH(C846,'Leads Pipeline'!$A$5:$A$1004,0)),INDEX('Active Clients'!$C$5:$C$504,MATCH(C846,'Active Clients'!$A$5:$A$504,0)))&amp;"","ID not found"))</f>
        <v/>
      </c>
      <c r="G846" s="16"/>
      <c r="H846" s="16"/>
      <c r="I846" s="16"/>
      <c r="J846" s="16"/>
      <c r="K846" s="16"/>
      <c r="L846" s="18"/>
    </row>
    <row r="847" customFormat="false" ht="15" hidden="false" customHeight="false" outlineLevel="0" collapsed="false">
      <c r="A847" s="18"/>
      <c r="B847" s="16"/>
      <c r="C847" s="16"/>
      <c r="D847" s="51" t="str">
        <f aca="false">IF(C847="","",IFERROR(IF(LEFT(C847,1)="L",INDEX('Leads Pipeline'!$F$5:$F$1004,MATCH(C847,'Leads Pipeline'!$A$5:$A$1004,0)),INDEX('Active Clients'!$D$5:$D$504,MATCH(C847,'Active Clients'!$A$5:$A$504,0)))&amp;"","ID not found"))</f>
        <v/>
      </c>
      <c r="E847" s="51" t="str">
        <f aca="false">IF(C847="","",IFERROR(IF(LEFT(C847,1)="L",INDEX('Leads Pipeline'!$D$5:$D$1004,MATCH(C847,'Leads Pipeline'!$A$5:$A$1004,0)),INDEX('Active Clients'!$B$5:$B$504,MATCH(C847,'Active Clients'!$A$5:$A$504,0)))&amp;"","ID not found"))</f>
        <v/>
      </c>
      <c r="F847" s="51" t="str">
        <f aca="false">IF(C847="","",IFERROR(IF(LEFT(C847,1)="L",INDEX('Leads Pipeline'!$E$5:$E$1004,MATCH(C847,'Leads Pipeline'!$A$5:$A$1004,0)),INDEX('Active Clients'!$C$5:$C$504,MATCH(C847,'Active Clients'!$A$5:$A$504,0)))&amp;"","ID not found"))</f>
        <v/>
      </c>
      <c r="G847" s="16"/>
      <c r="H847" s="16"/>
      <c r="I847" s="16"/>
      <c r="J847" s="16"/>
      <c r="K847" s="16"/>
      <c r="L847" s="18"/>
    </row>
    <row r="848" customFormat="false" ht="15" hidden="false" customHeight="false" outlineLevel="0" collapsed="false">
      <c r="A848" s="18"/>
      <c r="B848" s="16"/>
      <c r="C848" s="16"/>
      <c r="D848" s="51" t="str">
        <f aca="false">IF(C848="","",IFERROR(IF(LEFT(C848,1)="L",INDEX('Leads Pipeline'!$F$5:$F$1004,MATCH(C848,'Leads Pipeline'!$A$5:$A$1004,0)),INDEX('Active Clients'!$D$5:$D$504,MATCH(C848,'Active Clients'!$A$5:$A$504,0)))&amp;"","ID not found"))</f>
        <v/>
      </c>
      <c r="E848" s="51" t="str">
        <f aca="false">IF(C848="","",IFERROR(IF(LEFT(C848,1)="L",INDEX('Leads Pipeline'!$D$5:$D$1004,MATCH(C848,'Leads Pipeline'!$A$5:$A$1004,0)),INDEX('Active Clients'!$B$5:$B$504,MATCH(C848,'Active Clients'!$A$5:$A$504,0)))&amp;"","ID not found"))</f>
        <v/>
      </c>
      <c r="F848" s="51" t="str">
        <f aca="false">IF(C848="","",IFERROR(IF(LEFT(C848,1)="L",INDEX('Leads Pipeline'!$E$5:$E$1004,MATCH(C848,'Leads Pipeline'!$A$5:$A$1004,0)),INDEX('Active Clients'!$C$5:$C$504,MATCH(C848,'Active Clients'!$A$5:$A$504,0)))&amp;"","ID not found"))</f>
        <v/>
      </c>
      <c r="G848" s="16"/>
      <c r="H848" s="16"/>
      <c r="I848" s="16"/>
      <c r="J848" s="16"/>
      <c r="K848" s="16"/>
      <c r="L848" s="18"/>
    </row>
    <row r="849" customFormat="false" ht="15" hidden="false" customHeight="false" outlineLevel="0" collapsed="false">
      <c r="A849" s="18"/>
      <c r="B849" s="16"/>
      <c r="C849" s="16"/>
      <c r="D849" s="51" t="str">
        <f aca="false">IF(C849="","",IFERROR(IF(LEFT(C849,1)="L",INDEX('Leads Pipeline'!$F$5:$F$1004,MATCH(C849,'Leads Pipeline'!$A$5:$A$1004,0)),INDEX('Active Clients'!$D$5:$D$504,MATCH(C849,'Active Clients'!$A$5:$A$504,0)))&amp;"","ID not found"))</f>
        <v/>
      </c>
      <c r="E849" s="51" t="str">
        <f aca="false">IF(C849="","",IFERROR(IF(LEFT(C849,1)="L",INDEX('Leads Pipeline'!$D$5:$D$1004,MATCH(C849,'Leads Pipeline'!$A$5:$A$1004,0)),INDEX('Active Clients'!$B$5:$B$504,MATCH(C849,'Active Clients'!$A$5:$A$504,0)))&amp;"","ID not found"))</f>
        <v/>
      </c>
      <c r="F849" s="51" t="str">
        <f aca="false">IF(C849="","",IFERROR(IF(LEFT(C849,1)="L",INDEX('Leads Pipeline'!$E$5:$E$1004,MATCH(C849,'Leads Pipeline'!$A$5:$A$1004,0)),INDEX('Active Clients'!$C$5:$C$504,MATCH(C849,'Active Clients'!$A$5:$A$504,0)))&amp;"","ID not found"))</f>
        <v/>
      </c>
      <c r="G849" s="16"/>
      <c r="H849" s="16"/>
      <c r="I849" s="16"/>
      <c r="J849" s="16"/>
      <c r="K849" s="16"/>
      <c r="L849" s="18"/>
    </row>
    <row r="850" customFormat="false" ht="15" hidden="false" customHeight="false" outlineLevel="0" collapsed="false">
      <c r="A850" s="18"/>
      <c r="B850" s="16"/>
      <c r="C850" s="16"/>
      <c r="D850" s="51" t="str">
        <f aca="false">IF(C850="","",IFERROR(IF(LEFT(C850,1)="L",INDEX('Leads Pipeline'!$F$5:$F$1004,MATCH(C850,'Leads Pipeline'!$A$5:$A$1004,0)),INDEX('Active Clients'!$D$5:$D$504,MATCH(C850,'Active Clients'!$A$5:$A$504,0)))&amp;"","ID not found"))</f>
        <v/>
      </c>
      <c r="E850" s="51" t="str">
        <f aca="false">IF(C850="","",IFERROR(IF(LEFT(C850,1)="L",INDEX('Leads Pipeline'!$D$5:$D$1004,MATCH(C850,'Leads Pipeline'!$A$5:$A$1004,0)),INDEX('Active Clients'!$B$5:$B$504,MATCH(C850,'Active Clients'!$A$5:$A$504,0)))&amp;"","ID not found"))</f>
        <v/>
      </c>
      <c r="F850" s="51" t="str">
        <f aca="false">IF(C850="","",IFERROR(IF(LEFT(C850,1)="L",INDEX('Leads Pipeline'!$E$5:$E$1004,MATCH(C850,'Leads Pipeline'!$A$5:$A$1004,0)),INDEX('Active Clients'!$C$5:$C$504,MATCH(C850,'Active Clients'!$A$5:$A$504,0)))&amp;"","ID not found"))</f>
        <v/>
      </c>
      <c r="G850" s="16"/>
      <c r="H850" s="16"/>
      <c r="I850" s="16"/>
      <c r="J850" s="16"/>
      <c r="K850" s="16"/>
      <c r="L850" s="18"/>
    </row>
    <row r="851" customFormat="false" ht="15" hidden="false" customHeight="false" outlineLevel="0" collapsed="false">
      <c r="A851" s="18"/>
      <c r="B851" s="16"/>
      <c r="C851" s="16"/>
      <c r="D851" s="51" t="str">
        <f aca="false">IF(C851="","",IFERROR(IF(LEFT(C851,1)="L",INDEX('Leads Pipeline'!$F$5:$F$1004,MATCH(C851,'Leads Pipeline'!$A$5:$A$1004,0)),INDEX('Active Clients'!$D$5:$D$504,MATCH(C851,'Active Clients'!$A$5:$A$504,0)))&amp;"","ID not found"))</f>
        <v/>
      </c>
      <c r="E851" s="51" t="str">
        <f aca="false">IF(C851="","",IFERROR(IF(LEFT(C851,1)="L",INDEX('Leads Pipeline'!$D$5:$D$1004,MATCH(C851,'Leads Pipeline'!$A$5:$A$1004,0)),INDEX('Active Clients'!$B$5:$B$504,MATCH(C851,'Active Clients'!$A$5:$A$504,0)))&amp;"","ID not found"))</f>
        <v/>
      </c>
      <c r="F851" s="51" t="str">
        <f aca="false">IF(C851="","",IFERROR(IF(LEFT(C851,1)="L",INDEX('Leads Pipeline'!$E$5:$E$1004,MATCH(C851,'Leads Pipeline'!$A$5:$A$1004,0)),INDEX('Active Clients'!$C$5:$C$504,MATCH(C851,'Active Clients'!$A$5:$A$504,0)))&amp;"","ID not found"))</f>
        <v/>
      </c>
      <c r="G851" s="16"/>
      <c r="H851" s="16"/>
      <c r="I851" s="16"/>
      <c r="J851" s="16"/>
      <c r="K851" s="16"/>
      <c r="L851" s="18"/>
    </row>
    <row r="852" customFormat="false" ht="15" hidden="false" customHeight="false" outlineLevel="0" collapsed="false">
      <c r="A852" s="18"/>
      <c r="B852" s="16"/>
      <c r="C852" s="16"/>
      <c r="D852" s="51" t="str">
        <f aca="false">IF(C852="","",IFERROR(IF(LEFT(C852,1)="L",INDEX('Leads Pipeline'!$F$5:$F$1004,MATCH(C852,'Leads Pipeline'!$A$5:$A$1004,0)),INDEX('Active Clients'!$D$5:$D$504,MATCH(C852,'Active Clients'!$A$5:$A$504,0)))&amp;"","ID not found"))</f>
        <v/>
      </c>
      <c r="E852" s="51" t="str">
        <f aca="false">IF(C852="","",IFERROR(IF(LEFT(C852,1)="L",INDEX('Leads Pipeline'!$D$5:$D$1004,MATCH(C852,'Leads Pipeline'!$A$5:$A$1004,0)),INDEX('Active Clients'!$B$5:$B$504,MATCH(C852,'Active Clients'!$A$5:$A$504,0)))&amp;"","ID not found"))</f>
        <v/>
      </c>
      <c r="F852" s="51" t="str">
        <f aca="false">IF(C852="","",IFERROR(IF(LEFT(C852,1)="L",INDEX('Leads Pipeline'!$E$5:$E$1004,MATCH(C852,'Leads Pipeline'!$A$5:$A$1004,0)),INDEX('Active Clients'!$C$5:$C$504,MATCH(C852,'Active Clients'!$A$5:$A$504,0)))&amp;"","ID not found"))</f>
        <v/>
      </c>
      <c r="G852" s="16"/>
      <c r="H852" s="16"/>
      <c r="I852" s="16"/>
      <c r="J852" s="16"/>
      <c r="K852" s="16"/>
      <c r="L852" s="18"/>
    </row>
    <row r="853" customFormat="false" ht="15" hidden="false" customHeight="false" outlineLevel="0" collapsed="false">
      <c r="A853" s="18"/>
      <c r="B853" s="16"/>
      <c r="C853" s="16"/>
      <c r="D853" s="51" t="str">
        <f aca="false">IF(C853="","",IFERROR(IF(LEFT(C853,1)="L",INDEX('Leads Pipeline'!$F$5:$F$1004,MATCH(C853,'Leads Pipeline'!$A$5:$A$1004,0)),INDEX('Active Clients'!$D$5:$D$504,MATCH(C853,'Active Clients'!$A$5:$A$504,0)))&amp;"","ID not found"))</f>
        <v/>
      </c>
      <c r="E853" s="51" t="str">
        <f aca="false">IF(C853="","",IFERROR(IF(LEFT(C853,1)="L",INDEX('Leads Pipeline'!$D$5:$D$1004,MATCH(C853,'Leads Pipeline'!$A$5:$A$1004,0)),INDEX('Active Clients'!$B$5:$B$504,MATCH(C853,'Active Clients'!$A$5:$A$504,0)))&amp;"","ID not found"))</f>
        <v/>
      </c>
      <c r="F853" s="51" t="str">
        <f aca="false">IF(C853="","",IFERROR(IF(LEFT(C853,1)="L",INDEX('Leads Pipeline'!$E$5:$E$1004,MATCH(C853,'Leads Pipeline'!$A$5:$A$1004,0)),INDEX('Active Clients'!$C$5:$C$504,MATCH(C853,'Active Clients'!$A$5:$A$504,0)))&amp;"","ID not found"))</f>
        <v/>
      </c>
      <c r="G853" s="16"/>
      <c r="H853" s="16"/>
      <c r="I853" s="16"/>
      <c r="J853" s="16"/>
      <c r="K853" s="16"/>
      <c r="L853" s="18"/>
    </row>
    <row r="854" customFormat="false" ht="15" hidden="false" customHeight="false" outlineLevel="0" collapsed="false">
      <c r="A854" s="18"/>
      <c r="B854" s="16"/>
      <c r="C854" s="16"/>
      <c r="D854" s="51" t="str">
        <f aca="false">IF(C854="","",IFERROR(IF(LEFT(C854,1)="L",INDEX('Leads Pipeline'!$F$5:$F$1004,MATCH(C854,'Leads Pipeline'!$A$5:$A$1004,0)),INDEX('Active Clients'!$D$5:$D$504,MATCH(C854,'Active Clients'!$A$5:$A$504,0)))&amp;"","ID not found"))</f>
        <v/>
      </c>
      <c r="E854" s="51" t="str">
        <f aca="false">IF(C854="","",IFERROR(IF(LEFT(C854,1)="L",INDEX('Leads Pipeline'!$D$5:$D$1004,MATCH(C854,'Leads Pipeline'!$A$5:$A$1004,0)),INDEX('Active Clients'!$B$5:$B$504,MATCH(C854,'Active Clients'!$A$5:$A$504,0)))&amp;"","ID not found"))</f>
        <v/>
      </c>
      <c r="F854" s="51" t="str">
        <f aca="false">IF(C854="","",IFERROR(IF(LEFT(C854,1)="L",INDEX('Leads Pipeline'!$E$5:$E$1004,MATCH(C854,'Leads Pipeline'!$A$5:$A$1004,0)),INDEX('Active Clients'!$C$5:$C$504,MATCH(C854,'Active Clients'!$A$5:$A$504,0)))&amp;"","ID not found"))</f>
        <v/>
      </c>
      <c r="G854" s="16"/>
      <c r="H854" s="16"/>
      <c r="I854" s="16"/>
      <c r="J854" s="16"/>
      <c r="K854" s="16"/>
      <c r="L854" s="18"/>
    </row>
    <row r="855" customFormat="false" ht="15" hidden="false" customHeight="false" outlineLevel="0" collapsed="false">
      <c r="A855" s="18"/>
      <c r="B855" s="16"/>
      <c r="C855" s="16"/>
      <c r="D855" s="51" t="str">
        <f aca="false">IF(C855="","",IFERROR(IF(LEFT(C855,1)="L",INDEX('Leads Pipeline'!$F$5:$F$1004,MATCH(C855,'Leads Pipeline'!$A$5:$A$1004,0)),INDEX('Active Clients'!$D$5:$D$504,MATCH(C855,'Active Clients'!$A$5:$A$504,0)))&amp;"","ID not found"))</f>
        <v/>
      </c>
      <c r="E855" s="51" t="str">
        <f aca="false">IF(C855="","",IFERROR(IF(LEFT(C855,1)="L",INDEX('Leads Pipeline'!$D$5:$D$1004,MATCH(C855,'Leads Pipeline'!$A$5:$A$1004,0)),INDEX('Active Clients'!$B$5:$B$504,MATCH(C855,'Active Clients'!$A$5:$A$504,0)))&amp;"","ID not found"))</f>
        <v/>
      </c>
      <c r="F855" s="51" t="str">
        <f aca="false">IF(C855="","",IFERROR(IF(LEFT(C855,1)="L",INDEX('Leads Pipeline'!$E$5:$E$1004,MATCH(C855,'Leads Pipeline'!$A$5:$A$1004,0)),INDEX('Active Clients'!$C$5:$C$504,MATCH(C855,'Active Clients'!$A$5:$A$504,0)))&amp;"","ID not found"))</f>
        <v/>
      </c>
      <c r="G855" s="16"/>
      <c r="H855" s="16"/>
      <c r="I855" s="16"/>
      <c r="J855" s="16"/>
      <c r="K855" s="16"/>
      <c r="L855" s="18"/>
    </row>
    <row r="856" customFormat="false" ht="15" hidden="false" customHeight="false" outlineLevel="0" collapsed="false">
      <c r="A856" s="18"/>
      <c r="B856" s="16"/>
      <c r="C856" s="16"/>
      <c r="D856" s="51" t="str">
        <f aca="false">IF(C856="","",IFERROR(IF(LEFT(C856,1)="L",INDEX('Leads Pipeline'!$F$5:$F$1004,MATCH(C856,'Leads Pipeline'!$A$5:$A$1004,0)),INDEX('Active Clients'!$D$5:$D$504,MATCH(C856,'Active Clients'!$A$5:$A$504,0)))&amp;"","ID not found"))</f>
        <v/>
      </c>
      <c r="E856" s="51" t="str">
        <f aca="false">IF(C856="","",IFERROR(IF(LEFT(C856,1)="L",INDEX('Leads Pipeline'!$D$5:$D$1004,MATCH(C856,'Leads Pipeline'!$A$5:$A$1004,0)),INDEX('Active Clients'!$B$5:$B$504,MATCH(C856,'Active Clients'!$A$5:$A$504,0)))&amp;"","ID not found"))</f>
        <v/>
      </c>
      <c r="F856" s="51" t="str">
        <f aca="false">IF(C856="","",IFERROR(IF(LEFT(C856,1)="L",INDEX('Leads Pipeline'!$E$5:$E$1004,MATCH(C856,'Leads Pipeline'!$A$5:$A$1004,0)),INDEX('Active Clients'!$C$5:$C$504,MATCH(C856,'Active Clients'!$A$5:$A$504,0)))&amp;"","ID not found"))</f>
        <v/>
      </c>
      <c r="G856" s="16"/>
      <c r="H856" s="16"/>
      <c r="I856" s="16"/>
      <c r="J856" s="16"/>
      <c r="K856" s="16"/>
      <c r="L856" s="18"/>
    </row>
    <row r="857" customFormat="false" ht="15" hidden="false" customHeight="false" outlineLevel="0" collapsed="false">
      <c r="A857" s="18"/>
      <c r="B857" s="16"/>
      <c r="C857" s="16"/>
      <c r="D857" s="51" t="str">
        <f aca="false">IF(C857="","",IFERROR(IF(LEFT(C857,1)="L",INDEX('Leads Pipeline'!$F$5:$F$1004,MATCH(C857,'Leads Pipeline'!$A$5:$A$1004,0)),INDEX('Active Clients'!$D$5:$D$504,MATCH(C857,'Active Clients'!$A$5:$A$504,0)))&amp;"","ID not found"))</f>
        <v/>
      </c>
      <c r="E857" s="51" t="str">
        <f aca="false">IF(C857="","",IFERROR(IF(LEFT(C857,1)="L",INDEX('Leads Pipeline'!$D$5:$D$1004,MATCH(C857,'Leads Pipeline'!$A$5:$A$1004,0)),INDEX('Active Clients'!$B$5:$B$504,MATCH(C857,'Active Clients'!$A$5:$A$504,0)))&amp;"","ID not found"))</f>
        <v/>
      </c>
      <c r="F857" s="51" t="str">
        <f aca="false">IF(C857="","",IFERROR(IF(LEFT(C857,1)="L",INDEX('Leads Pipeline'!$E$5:$E$1004,MATCH(C857,'Leads Pipeline'!$A$5:$A$1004,0)),INDEX('Active Clients'!$C$5:$C$504,MATCH(C857,'Active Clients'!$A$5:$A$504,0)))&amp;"","ID not found"))</f>
        <v/>
      </c>
      <c r="G857" s="16"/>
      <c r="H857" s="16"/>
      <c r="I857" s="16"/>
      <c r="J857" s="16"/>
      <c r="K857" s="16"/>
      <c r="L857" s="18"/>
    </row>
    <row r="858" customFormat="false" ht="15" hidden="false" customHeight="false" outlineLevel="0" collapsed="false">
      <c r="A858" s="18"/>
      <c r="B858" s="16"/>
      <c r="C858" s="16"/>
      <c r="D858" s="51" t="str">
        <f aca="false">IF(C858="","",IFERROR(IF(LEFT(C858,1)="L",INDEX('Leads Pipeline'!$F$5:$F$1004,MATCH(C858,'Leads Pipeline'!$A$5:$A$1004,0)),INDEX('Active Clients'!$D$5:$D$504,MATCH(C858,'Active Clients'!$A$5:$A$504,0)))&amp;"","ID not found"))</f>
        <v/>
      </c>
      <c r="E858" s="51" t="str">
        <f aca="false">IF(C858="","",IFERROR(IF(LEFT(C858,1)="L",INDEX('Leads Pipeline'!$D$5:$D$1004,MATCH(C858,'Leads Pipeline'!$A$5:$A$1004,0)),INDEX('Active Clients'!$B$5:$B$504,MATCH(C858,'Active Clients'!$A$5:$A$504,0)))&amp;"","ID not found"))</f>
        <v/>
      </c>
      <c r="F858" s="51" t="str">
        <f aca="false">IF(C858="","",IFERROR(IF(LEFT(C858,1)="L",INDEX('Leads Pipeline'!$E$5:$E$1004,MATCH(C858,'Leads Pipeline'!$A$5:$A$1004,0)),INDEX('Active Clients'!$C$5:$C$504,MATCH(C858,'Active Clients'!$A$5:$A$504,0)))&amp;"","ID not found"))</f>
        <v/>
      </c>
      <c r="G858" s="16"/>
      <c r="H858" s="16"/>
      <c r="I858" s="16"/>
      <c r="J858" s="16"/>
      <c r="K858" s="16"/>
      <c r="L858" s="18"/>
    </row>
    <row r="859" customFormat="false" ht="15" hidden="false" customHeight="false" outlineLevel="0" collapsed="false">
      <c r="A859" s="18"/>
      <c r="B859" s="16"/>
      <c r="C859" s="16"/>
      <c r="D859" s="51" t="str">
        <f aca="false">IF(C859="","",IFERROR(IF(LEFT(C859,1)="L",INDEX('Leads Pipeline'!$F$5:$F$1004,MATCH(C859,'Leads Pipeline'!$A$5:$A$1004,0)),INDEX('Active Clients'!$D$5:$D$504,MATCH(C859,'Active Clients'!$A$5:$A$504,0)))&amp;"","ID not found"))</f>
        <v/>
      </c>
      <c r="E859" s="51" t="str">
        <f aca="false">IF(C859="","",IFERROR(IF(LEFT(C859,1)="L",INDEX('Leads Pipeline'!$D$5:$D$1004,MATCH(C859,'Leads Pipeline'!$A$5:$A$1004,0)),INDEX('Active Clients'!$B$5:$B$504,MATCH(C859,'Active Clients'!$A$5:$A$504,0)))&amp;"","ID not found"))</f>
        <v/>
      </c>
      <c r="F859" s="51" t="str">
        <f aca="false">IF(C859="","",IFERROR(IF(LEFT(C859,1)="L",INDEX('Leads Pipeline'!$E$5:$E$1004,MATCH(C859,'Leads Pipeline'!$A$5:$A$1004,0)),INDEX('Active Clients'!$C$5:$C$504,MATCH(C859,'Active Clients'!$A$5:$A$504,0)))&amp;"","ID not found"))</f>
        <v/>
      </c>
      <c r="G859" s="16"/>
      <c r="H859" s="16"/>
      <c r="I859" s="16"/>
      <c r="J859" s="16"/>
      <c r="K859" s="16"/>
      <c r="L859" s="18"/>
    </row>
    <row r="860" customFormat="false" ht="15" hidden="false" customHeight="false" outlineLevel="0" collapsed="false">
      <c r="A860" s="18"/>
      <c r="B860" s="16"/>
      <c r="C860" s="16"/>
      <c r="D860" s="51" t="str">
        <f aca="false">IF(C860="","",IFERROR(IF(LEFT(C860,1)="L",INDEX('Leads Pipeline'!$F$5:$F$1004,MATCH(C860,'Leads Pipeline'!$A$5:$A$1004,0)),INDEX('Active Clients'!$D$5:$D$504,MATCH(C860,'Active Clients'!$A$5:$A$504,0)))&amp;"","ID not found"))</f>
        <v/>
      </c>
      <c r="E860" s="51" t="str">
        <f aca="false">IF(C860="","",IFERROR(IF(LEFT(C860,1)="L",INDEX('Leads Pipeline'!$D$5:$D$1004,MATCH(C860,'Leads Pipeline'!$A$5:$A$1004,0)),INDEX('Active Clients'!$B$5:$B$504,MATCH(C860,'Active Clients'!$A$5:$A$504,0)))&amp;"","ID not found"))</f>
        <v/>
      </c>
      <c r="F860" s="51" t="str">
        <f aca="false">IF(C860="","",IFERROR(IF(LEFT(C860,1)="L",INDEX('Leads Pipeline'!$E$5:$E$1004,MATCH(C860,'Leads Pipeline'!$A$5:$A$1004,0)),INDEX('Active Clients'!$C$5:$C$504,MATCH(C860,'Active Clients'!$A$5:$A$504,0)))&amp;"","ID not found"))</f>
        <v/>
      </c>
      <c r="G860" s="16"/>
      <c r="H860" s="16"/>
      <c r="I860" s="16"/>
      <c r="J860" s="16"/>
      <c r="K860" s="16"/>
      <c r="L860" s="18"/>
    </row>
    <row r="861" customFormat="false" ht="15" hidden="false" customHeight="false" outlineLevel="0" collapsed="false">
      <c r="A861" s="18"/>
      <c r="B861" s="16"/>
      <c r="C861" s="16"/>
      <c r="D861" s="51" t="str">
        <f aca="false">IF(C861="","",IFERROR(IF(LEFT(C861,1)="L",INDEX('Leads Pipeline'!$F$5:$F$1004,MATCH(C861,'Leads Pipeline'!$A$5:$A$1004,0)),INDEX('Active Clients'!$D$5:$D$504,MATCH(C861,'Active Clients'!$A$5:$A$504,0)))&amp;"","ID not found"))</f>
        <v/>
      </c>
      <c r="E861" s="51" t="str">
        <f aca="false">IF(C861="","",IFERROR(IF(LEFT(C861,1)="L",INDEX('Leads Pipeline'!$D$5:$D$1004,MATCH(C861,'Leads Pipeline'!$A$5:$A$1004,0)),INDEX('Active Clients'!$B$5:$B$504,MATCH(C861,'Active Clients'!$A$5:$A$504,0)))&amp;"","ID not found"))</f>
        <v/>
      </c>
      <c r="F861" s="51" t="str">
        <f aca="false">IF(C861="","",IFERROR(IF(LEFT(C861,1)="L",INDEX('Leads Pipeline'!$E$5:$E$1004,MATCH(C861,'Leads Pipeline'!$A$5:$A$1004,0)),INDEX('Active Clients'!$C$5:$C$504,MATCH(C861,'Active Clients'!$A$5:$A$504,0)))&amp;"","ID not found"))</f>
        <v/>
      </c>
      <c r="G861" s="16"/>
      <c r="H861" s="16"/>
      <c r="I861" s="16"/>
      <c r="J861" s="16"/>
      <c r="K861" s="16"/>
      <c r="L861" s="18"/>
    </row>
    <row r="862" customFormat="false" ht="15" hidden="false" customHeight="false" outlineLevel="0" collapsed="false">
      <c r="A862" s="18"/>
      <c r="B862" s="16"/>
      <c r="C862" s="16"/>
      <c r="D862" s="51" t="str">
        <f aca="false">IF(C862="","",IFERROR(IF(LEFT(C862,1)="L",INDEX('Leads Pipeline'!$F$5:$F$1004,MATCH(C862,'Leads Pipeline'!$A$5:$A$1004,0)),INDEX('Active Clients'!$D$5:$D$504,MATCH(C862,'Active Clients'!$A$5:$A$504,0)))&amp;"","ID not found"))</f>
        <v/>
      </c>
      <c r="E862" s="51" t="str">
        <f aca="false">IF(C862="","",IFERROR(IF(LEFT(C862,1)="L",INDEX('Leads Pipeline'!$D$5:$D$1004,MATCH(C862,'Leads Pipeline'!$A$5:$A$1004,0)),INDEX('Active Clients'!$B$5:$B$504,MATCH(C862,'Active Clients'!$A$5:$A$504,0)))&amp;"","ID not found"))</f>
        <v/>
      </c>
      <c r="F862" s="51" t="str">
        <f aca="false">IF(C862="","",IFERROR(IF(LEFT(C862,1)="L",INDEX('Leads Pipeline'!$E$5:$E$1004,MATCH(C862,'Leads Pipeline'!$A$5:$A$1004,0)),INDEX('Active Clients'!$C$5:$C$504,MATCH(C862,'Active Clients'!$A$5:$A$504,0)))&amp;"","ID not found"))</f>
        <v/>
      </c>
      <c r="G862" s="16"/>
      <c r="H862" s="16"/>
      <c r="I862" s="16"/>
      <c r="J862" s="16"/>
      <c r="K862" s="16"/>
      <c r="L862" s="18"/>
    </row>
    <row r="863" customFormat="false" ht="15" hidden="false" customHeight="false" outlineLevel="0" collapsed="false">
      <c r="A863" s="18"/>
      <c r="B863" s="16"/>
      <c r="C863" s="16"/>
      <c r="D863" s="51" t="str">
        <f aca="false">IF(C863="","",IFERROR(IF(LEFT(C863,1)="L",INDEX('Leads Pipeline'!$F$5:$F$1004,MATCH(C863,'Leads Pipeline'!$A$5:$A$1004,0)),INDEX('Active Clients'!$D$5:$D$504,MATCH(C863,'Active Clients'!$A$5:$A$504,0)))&amp;"","ID not found"))</f>
        <v/>
      </c>
      <c r="E863" s="51" t="str">
        <f aca="false">IF(C863="","",IFERROR(IF(LEFT(C863,1)="L",INDEX('Leads Pipeline'!$D$5:$D$1004,MATCH(C863,'Leads Pipeline'!$A$5:$A$1004,0)),INDEX('Active Clients'!$B$5:$B$504,MATCH(C863,'Active Clients'!$A$5:$A$504,0)))&amp;"","ID not found"))</f>
        <v/>
      </c>
      <c r="F863" s="51" t="str">
        <f aca="false">IF(C863="","",IFERROR(IF(LEFT(C863,1)="L",INDEX('Leads Pipeline'!$E$5:$E$1004,MATCH(C863,'Leads Pipeline'!$A$5:$A$1004,0)),INDEX('Active Clients'!$C$5:$C$504,MATCH(C863,'Active Clients'!$A$5:$A$504,0)))&amp;"","ID not found"))</f>
        <v/>
      </c>
      <c r="G863" s="16"/>
      <c r="H863" s="16"/>
      <c r="I863" s="16"/>
      <c r="J863" s="16"/>
      <c r="K863" s="16"/>
      <c r="L863" s="18"/>
    </row>
    <row r="864" customFormat="false" ht="15" hidden="false" customHeight="false" outlineLevel="0" collapsed="false">
      <c r="A864" s="18"/>
      <c r="B864" s="16"/>
      <c r="C864" s="16"/>
      <c r="D864" s="51" t="str">
        <f aca="false">IF(C864="","",IFERROR(IF(LEFT(C864,1)="L",INDEX('Leads Pipeline'!$F$5:$F$1004,MATCH(C864,'Leads Pipeline'!$A$5:$A$1004,0)),INDEX('Active Clients'!$D$5:$D$504,MATCH(C864,'Active Clients'!$A$5:$A$504,0)))&amp;"","ID not found"))</f>
        <v/>
      </c>
      <c r="E864" s="51" t="str">
        <f aca="false">IF(C864="","",IFERROR(IF(LEFT(C864,1)="L",INDEX('Leads Pipeline'!$D$5:$D$1004,MATCH(C864,'Leads Pipeline'!$A$5:$A$1004,0)),INDEX('Active Clients'!$B$5:$B$504,MATCH(C864,'Active Clients'!$A$5:$A$504,0)))&amp;"","ID not found"))</f>
        <v/>
      </c>
      <c r="F864" s="51" t="str">
        <f aca="false">IF(C864="","",IFERROR(IF(LEFT(C864,1)="L",INDEX('Leads Pipeline'!$E$5:$E$1004,MATCH(C864,'Leads Pipeline'!$A$5:$A$1004,0)),INDEX('Active Clients'!$C$5:$C$504,MATCH(C864,'Active Clients'!$A$5:$A$504,0)))&amp;"","ID not found"))</f>
        <v/>
      </c>
      <c r="G864" s="16"/>
      <c r="H864" s="16"/>
      <c r="I864" s="16"/>
      <c r="J864" s="16"/>
      <c r="K864" s="16"/>
      <c r="L864" s="18"/>
    </row>
    <row r="865" customFormat="false" ht="15" hidden="false" customHeight="false" outlineLevel="0" collapsed="false">
      <c r="A865" s="18"/>
      <c r="B865" s="16"/>
      <c r="C865" s="16"/>
      <c r="D865" s="51" t="str">
        <f aca="false">IF(C865="","",IFERROR(IF(LEFT(C865,1)="L",INDEX('Leads Pipeline'!$F$5:$F$1004,MATCH(C865,'Leads Pipeline'!$A$5:$A$1004,0)),INDEX('Active Clients'!$D$5:$D$504,MATCH(C865,'Active Clients'!$A$5:$A$504,0)))&amp;"","ID not found"))</f>
        <v/>
      </c>
      <c r="E865" s="51" t="str">
        <f aca="false">IF(C865="","",IFERROR(IF(LEFT(C865,1)="L",INDEX('Leads Pipeline'!$D$5:$D$1004,MATCH(C865,'Leads Pipeline'!$A$5:$A$1004,0)),INDEX('Active Clients'!$B$5:$B$504,MATCH(C865,'Active Clients'!$A$5:$A$504,0)))&amp;"","ID not found"))</f>
        <v/>
      </c>
      <c r="F865" s="51" t="str">
        <f aca="false">IF(C865="","",IFERROR(IF(LEFT(C865,1)="L",INDEX('Leads Pipeline'!$E$5:$E$1004,MATCH(C865,'Leads Pipeline'!$A$5:$A$1004,0)),INDEX('Active Clients'!$C$5:$C$504,MATCH(C865,'Active Clients'!$A$5:$A$504,0)))&amp;"","ID not found"))</f>
        <v/>
      </c>
      <c r="G865" s="16"/>
      <c r="H865" s="16"/>
      <c r="I865" s="16"/>
      <c r="J865" s="16"/>
      <c r="K865" s="16"/>
      <c r="L865" s="18"/>
    </row>
    <row r="866" customFormat="false" ht="15" hidden="false" customHeight="false" outlineLevel="0" collapsed="false">
      <c r="A866" s="18"/>
      <c r="B866" s="16"/>
      <c r="C866" s="16"/>
      <c r="D866" s="51" t="str">
        <f aca="false">IF(C866="","",IFERROR(IF(LEFT(C866,1)="L",INDEX('Leads Pipeline'!$F$5:$F$1004,MATCH(C866,'Leads Pipeline'!$A$5:$A$1004,0)),INDEX('Active Clients'!$D$5:$D$504,MATCH(C866,'Active Clients'!$A$5:$A$504,0)))&amp;"","ID not found"))</f>
        <v/>
      </c>
      <c r="E866" s="51" t="str">
        <f aca="false">IF(C866="","",IFERROR(IF(LEFT(C866,1)="L",INDEX('Leads Pipeline'!$D$5:$D$1004,MATCH(C866,'Leads Pipeline'!$A$5:$A$1004,0)),INDEX('Active Clients'!$B$5:$B$504,MATCH(C866,'Active Clients'!$A$5:$A$504,0)))&amp;"","ID not found"))</f>
        <v/>
      </c>
      <c r="F866" s="51" t="str">
        <f aca="false">IF(C866="","",IFERROR(IF(LEFT(C866,1)="L",INDEX('Leads Pipeline'!$E$5:$E$1004,MATCH(C866,'Leads Pipeline'!$A$5:$A$1004,0)),INDEX('Active Clients'!$C$5:$C$504,MATCH(C866,'Active Clients'!$A$5:$A$504,0)))&amp;"","ID not found"))</f>
        <v/>
      </c>
      <c r="G866" s="16"/>
      <c r="H866" s="16"/>
      <c r="I866" s="16"/>
      <c r="J866" s="16"/>
      <c r="K866" s="16"/>
      <c r="L866" s="18"/>
    </row>
    <row r="867" customFormat="false" ht="15" hidden="false" customHeight="false" outlineLevel="0" collapsed="false">
      <c r="A867" s="18"/>
      <c r="B867" s="16"/>
      <c r="C867" s="16"/>
      <c r="D867" s="51" t="str">
        <f aca="false">IF(C867="","",IFERROR(IF(LEFT(C867,1)="L",INDEX('Leads Pipeline'!$F$5:$F$1004,MATCH(C867,'Leads Pipeline'!$A$5:$A$1004,0)),INDEX('Active Clients'!$D$5:$D$504,MATCH(C867,'Active Clients'!$A$5:$A$504,0)))&amp;"","ID not found"))</f>
        <v/>
      </c>
      <c r="E867" s="51" t="str">
        <f aca="false">IF(C867="","",IFERROR(IF(LEFT(C867,1)="L",INDEX('Leads Pipeline'!$D$5:$D$1004,MATCH(C867,'Leads Pipeline'!$A$5:$A$1004,0)),INDEX('Active Clients'!$B$5:$B$504,MATCH(C867,'Active Clients'!$A$5:$A$504,0)))&amp;"","ID not found"))</f>
        <v/>
      </c>
      <c r="F867" s="51" t="str">
        <f aca="false">IF(C867="","",IFERROR(IF(LEFT(C867,1)="L",INDEX('Leads Pipeline'!$E$5:$E$1004,MATCH(C867,'Leads Pipeline'!$A$5:$A$1004,0)),INDEX('Active Clients'!$C$5:$C$504,MATCH(C867,'Active Clients'!$A$5:$A$504,0)))&amp;"","ID not found"))</f>
        <v/>
      </c>
      <c r="G867" s="16"/>
      <c r="H867" s="16"/>
      <c r="I867" s="16"/>
      <c r="J867" s="16"/>
      <c r="K867" s="16"/>
      <c r="L867" s="18"/>
    </row>
    <row r="868" customFormat="false" ht="15" hidden="false" customHeight="false" outlineLevel="0" collapsed="false">
      <c r="A868" s="18"/>
      <c r="B868" s="16"/>
      <c r="C868" s="16"/>
      <c r="D868" s="51" t="str">
        <f aca="false">IF(C868="","",IFERROR(IF(LEFT(C868,1)="L",INDEX('Leads Pipeline'!$F$5:$F$1004,MATCH(C868,'Leads Pipeline'!$A$5:$A$1004,0)),INDEX('Active Clients'!$D$5:$D$504,MATCH(C868,'Active Clients'!$A$5:$A$504,0)))&amp;"","ID not found"))</f>
        <v/>
      </c>
      <c r="E868" s="51" t="str">
        <f aca="false">IF(C868="","",IFERROR(IF(LEFT(C868,1)="L",INDEX('Leads Pipeline'!$D$5:$D$1004,MATCH(C868,'Leads Pipeline'!$A$5:$A$1004,0)),INDEX('Active Clients'!$B$5:$B$504,MATCH(C868,'Active Clients'!$A$5:$A$504,0)))&amp;"","ID not found"))</f>
        <v/>
      </c>
      <c r="F868" s="51" t="str">
        <f aca="false">IF(C868="","",IFERROR(IF(LEFT(C868,1)="L",INDEX('Leads Pipeline'!$E$5:$E$1004,MATCH(C868,'Leads Pipeline'!$A$5:$A$1004,0)),INDEX('Active Clients'!$C$5:$C$504,MATCH(C868,'Active Clients'!$A$5:$A$504,0)))&amp;"","ID not found"))</f>
        <v/>
      </c>
      <c r="G868" s="16"/>
      <c r="H868" s="16"/>
      <c r="I868" s="16"/>
      <c r="J868" s="16"/>
      <c r="K868" s="16"/>
      <c r="L868" s="18"/>
    </row>
    <row r="869" customFormat="false" ht="15" hidden="false" customHeight="false" outlineLevel="0" collapsed="false">
      <c r="A869" s="18"/>
      <c r="B869" s="16"/>
      <c r="C869" s="16"/>
      <c r="D869" s="51" t="str">
        <f aca="false">IF(C869="","",IFERROR(IF(LEFT(C869,1)="L",INDEX('Leads Pipeline'!$F$5:$F$1004,MATCH(C869,'Leads Pipeline'!$A$5:$A$1004,0)),INDEX('Active Clients'!$D$5:$D$504,MATCH(C869,'Active Clients'!$A$5:$A$504,0)))&amp;"","ID not found"))</f>
        <v/>
      </c>
      <c r="E869" s="51" t="str">
        <f aca="false">IF(C869="","",IFERROR(IF(LEFT(C869,1)="L",INDEX('Leads Pipeline'!$D$5:$D$1004,MATCH(C869,'Leads Pipeline'!$A$5:$A$1004,0)),INDEX('Active Clients'!$B$5:$B$504,MATCH(C869,'Active Clients'!$A$5:$A$504,0)))&amp;"","ID not found"))</f>
        <v/>
      </c>
      <c r="F869" s="51" t="str">
        <f aca="false">IF(C869="","",IFERROR(IF(LEFT(C869,1)="L",INDEX('Leads Pipeline'!$E$5:$E$1004,MATCH(C869,'Leads Pipeline'!$A$5:$A$1004,0)),INDEX('Active Clients'!$C$5:$C$504,MATCH(C869,'Active Clients'!$A$5:$A$504,0)))&amp;"","ID not found"))</f>
        <v/>
      </c>
      <c r="G869" s="16"/>
      <c r="H869" s="16"/>
      <c r="I869" s="16"/>
      <c r="J869" s="16"/>
      <c r="K869" s="16"/>
      <c r="L869" s="18"/>
    </row>
    <row r="870" customFormat="false" ht="15" hidden="false" customHeight="false" outlineLevel="0" collapsed="false">
      <c r="A870" s="18"/>
      <c r="B870" s="16"/>
      <c r="C870" s="16"/>
      <c r="D870" s="51" t="str">
        <f aca="false">IF(C870="","",IFERROR(IF(LEFT(C870,1)="L",INDEX('Leads Pipeline'!$F$5:$F$1004,MATCH(C870,'Leads Pipeline'!$A$5:$A$1004,0)),INDEX('Active Clients'!$D$5:$D$504,MATCH(C870,'Active Clients'!$A$5:$A$504,0)))&amp;"","ID not found"))</f>
        <v/>
      </c>
      <c r="E870" s="51" t="str">
        <f aca="false">IF(C870="","",IFERROR(IF(LEFT(C870,1)="L",INDEX('Leads Pipeline'!$D$5:$D$1004,MATCH(C870,'Leads Pipeline'!$A$5:$A$1004,0)),INDEX('Active Clients'!$B$5:$B$504,MATCH(C870,'Active Clients'!$A$5:$A$504,0)))&amp;"","ID not found"))</f>
        <v/>
      </c>
      <c r="F870" s="51" t="str">
        <f aca="false">IF(C870="","",IFERROR(IF(LEFT(C870,1)="L",INDEX('Leads Pipeline'!$E$5:$E$1004,MATCH(C870,'Leads Pipeline'!$A$5:$A$1004,0)),INDEX('Active Clients'!$C$5:$C$504,MATCH(C870,'Active Clients'!$A$5:$A$504,0)))&amp;"","ID not found"))</f>
        <v/>
      </c>
      <c r="G870" s="16"/>
      <c r="H870" s="16"/>
      <c r="I870" s="16"/>
      <c r="J870" s="16"/>
      <c r="K870" s="16"/>
      <c r="L870" s="18"/>
    </row>
    <row r="871" customFormat="false" ht="15" hidden="false" customHeight="false" outlineLevel="0" collapsed="false">
      <c r="A871" s="18"/>
      <c r="B871" s="16"/>
      <c r="C871" s="16"/>
      <c r="D871" s="51" t="str">
        <f aca="false">IF(C871="","",IFERROR(IF(LEFT(C871,1)="L",INDEX('Leads Pipeline'!$F$5:$F$1004,MATCH(C871,'Leads Pipeline'!$A$5:$A$1004,0)),INDEX('Active Clients'!$D$5:$D$504,MATCH(C871,'Active Clients'!$A$5:$A$504,0)))&amp;"","ID not found"))</f>
        <v/>
      </c>
      <c r="E871" s="51" t="str">
        <f aca="false">IF(C871="","",IFERROR(IF(LEFT(C871,1)="L",INDEX('Leads Pipeline'!$D$5:$D$1004,MATCH(C871,'Leads Pipeline'!$A$5:$A$1004,0)),INDEX('Active Clients'!$B$5:$B$504,MATCH(C871,'Active Clients'!$A$5:$A$504,0)))&amp;"","ID not found"))</f>
        <v/>
      </c>
      <c r="F871" s="51" t="str">
        <f aca="false">IF(C871="","",IFERROR(IF(LEFT(C871,1)="L",INDEX('Leads Pipeline'!$E$5:$E$1004,MATCH(C871,'Leads Pipeline'!$A$5:$A$1004,0)),INDEX('Active Clients'!$C$5:$C$504,MATCH(C871,'Active Clients'!$A$5:$A$504,0)))&amp;"","ID not found"))</f>
        <v/>
      </c>
      <c r="G871" s="16"/>
      <c r="H871" s="16"/>
      <c r="I871" s="16"/>
      <c r="J871" s="16"/>
      <c r="K871" s="16"/>
      <c r="L871" s="18"/>
    </row>
    <row r="872" customFormat="false" ht="15" hidden="false" customHeight="false" outlineLevel="0" collapsed="false">
      <c r="A872" s="18"/>
      <c r="B872" s="16"/>
      <c r="C872" s="16"/>
      <c r="D872" s="51" t="str">
        <f aca="false">IF(C872="","",IFERROR(IF(LEFT(C872,1)="L",INDEX('Leads Pipeline'!$F$5:$F$1004,MATCH(C872,'Leads Pipeline'!$A$5:$A$1004,0)),INDEX('Active Clients'!$D$5:$D$504,MATCH(C872,'Active Clients'!$A$5:$A$504,0)))&amp;"","ID not found"))</f>
        <v/>
      </c>
      <c r="E872" s="51" t="str">
        <f aca="false">IF(C872="","",IFERROR(IF(LEFT(C872,1)="L",INDEX('Leads Pipeline'!$D$5:$D$1004,MATCH(C872,'Leads Pipeline'!$A$5:$A$1004,0)),INDEX('Active Clients'!$B$5:$B$504,MATCH(C872,'Active Clients'!$A$5:$A$504,0)))&amp;"","ID not found"))</f>
        <v/>
      </c>
      <c r="F872" s="51" t="str">
        <f aca="false">IF(C872="","",IFERROR(IF(LEFT(C872,1)="L",INDEX('Leads Pipeline'!$E$5:$E$1004,MATCH(C872,'Leads Pipeline'!$A$5:$A$1004,0)),INDEX('Active Clients'!$C$5:$C$504,MATCH(C872,'Active Clients'!$A$5:$A$504,0)))&amp;"","ID not found"))</f>
        <v/>
      </c>
      <c r="G872" s="16"/>
      <c r="H872" s="16"/>
      <c r="I872" s="16"/>
      <c r="J872" s="16"/>
      <c r="K872" s="16"/>
      <c r="L872" s="18"/>
    </row>
    <row r="873" customFormat="false" ht="15" hidden="false" customHeight="false" outlineLevel="0" collapsed="false">
      <c r="A873" s="18"/>
      <c r="B873" s="16"/>
      <c r="C873" s="16"/>
      <c r="D873" s="51" t="str">
        <f aca="false">IF(C873="","",IFERROR(IF(LEFT(C873,1)="L",INDEX('Leads Pipeline'!$F$5:$F$1004,MATCH(C873,'Leads Pipeline'!$A$5:$A$1004,0)),INDEX('Active Clients'!$D$5:$D$504,MATCH(C873,'Active Clients'!$A$5:$A$504,0)))&amp;"","ID not found"))</f>
        <v/>
      </c>
      <c r="E873" s="51" t="str">
        <f aca="false">IF(C873="","",IFERROR(IF(LEFT(C873,1)="L",INDEX('Leads Pipeline'!$D$5:$D$1004,MATCH(C873,'Leads Pipeline'!$A$5:$A$1004,0)),INDEX('Active Clients'!$B$5:$B$504,MATCH(C873,'Active Clients'!$A$5:$A$504,0)))&amp;"","ID not found"))</f>
        <v/>
      </c>
      <c r="F873" s="51" t="str">
        <f aca="false">IF(C873="","",IFERROR(IF(LEFT(C873,1)="L",INDEX('Leads Pipeline'!$E$5:$E$1004,MATCH(C873,'Leads Pipeline'!$A$5:$A$1004,0)),INDEX('Active Clients'!$C$5:$C$504,MATCH(C873,'Active Clients'!$A$5:$A$504,0)))&amp;"","ID not found"))</f>
        <v/>
      </c>
      <c r="G873" s="16"/>
      <c r="H873" s="16"/>
      <c r="I873" s="16"/>
      <c r="J873" s="16"/>
      <c r="K873" s="16"/>
      <c r="L873" s="18"/>
    </row>
    <row r="874" customFormat="false" ht="15" hidden="false" customHeight="false" outlineLevel="0" collapsed="false">
      <c r="A874" s="18"/>
      <c r="B874" s="16"/>
      <c r="C874" s="16"/>
      <c r="D874" s="51" t="str">
        <f aca="false">IF(C874="","",IFERROR(IF(LEFT(C874,1)="L",INDEX('Leads Pipeline'!$F$5:$F$1004,MATCH(C874,'Leads Pipeline'!$A$5:$A$1004,0)),INDEX('Active Clients'!$D$5:$D$504,MATCH(C874,'Active Clients'!$A$5:$A$504,0)))&amp;"","ID not found"))</f>
        <v/>
      </c>
      <c r="E874" s="51" t="str">
        <f aca="false">IF(C874="","",IFERROR(IF(LEFT(C874,1)="L",INDEX('Leads Pipeline'!$D$5:$D$1004,MATCH(C874,'Leads Pipeline'!$A$5:$A$1004,0)),INDEX('Active Clients'!$B$5:$B$504,MATCH(C874,'Active Clients'!$A$5:$A$504,0)))&amp;"","ID not found"))</f>
        <v/>
      </c>
      <c r="F874" s="51" t="str">
        <f aca="false">IF(C874="","",IFERROR(IF(LEFT(C874,1)="L",INDEX('Leads Pipeline'!$E$5:$E$1004,MATCH(C874,'Leads Pipeline'!$A$5:$A$1004,0)),INDEX('Active Clients'!$C$5:$C$504,MATCH(C874,'Active Clients'!$A$5:$A$504,0)))&amp;"","ID not found"))</f>
        <v/>
      </c>
      <c r="G874" s="16"/>
      <c r="H874" s="16"/>
      <c r="I874" s="16"/>
      <c r="J874" s="16"/>
      <c r="K874" s="16"/>
      <c r="L874" s="18"/>
    </row>
    <row r="875" customFormat="false" ht="15" hidden="false" customHeight="false" outlineLevel="0" collapsed="false">
      <c r="A875" s="18"/>
      <c r="B875" s="16"/>
      <c r="C875" s="16"/>
      <c r="D875" s="51" t="str">
        <f aca="false">IF(C875="","",IFERROR(IF(LEFT(C875,1)="L",INDEX('Leads Pipeline'!$F$5:$F$1004,MATCH(C875,'Leads Pipeline'!$A$5:$A$1004,0)),INDEX('Active Clients'!$D$5:$D$504,MATCH(C875,'Active Clients'!$A$5:$A$504,0)))&amp;"","ID not found"))</f>
        <v/>
      </c>
      <c r="E875" s="51" t="str">
        <f aca="false">IF(C875="","",IFERROR(IF(LEFT(C875,1)="L",INDEX('Leads Pipeline'!$D$5:$D$1004,MATCH(C875,'Leads Pipeline'!$A$5:$A$1004,0)),INDEX('Active Clients'!$B$5:$B$504,MATCH(C875,'Active Clients'!$A$5:$A$504,0)))&amp;"","ID not found"))</f>
        <v/>
      </c>
      <c r="F875" s="51" t="str">
        <f aca="false">IF(C875="","",IFERROR(IF(LEFT(C875,1)="L",INDEX('Leads Pipeline'!$E$5:$E$1004,MATCH(C875,'Leads Pipeline'!$A$5:$A$1004,0)),INDEX('Active Clients'!$C$5:$C$504,MATCH(C875,'Active Clients'!$A$5:$A$504,0)))&amp;"","ID not found"))</f>
        <v/>
      </c>
      <c r="G875" s="16"/>
      <c r="H875" s="16"/>
      <c r="I875" s="16"/>
      <c r="J875" s="16"/>
      <c r="K875" s="16"/>
      <c r="L875" s="18"/>
    </row>
    <row r="876" customFormat="false" ht="15" hidden="false" customHeight="false" outlineLevel="0" collapsed="false">
      <c r="A876" s="18"/>
      <c r="B876" s="16"/>
      <c r="C876" s="16"/>
      <c r="D876" s="51" t="str">
        <f aca="false">IF(C876="","",IFERROR(IF(LEFT(C876,1)="L",INDEX('Leads Pipeline'!$F$5:$F$1004,MATCH(C876,'Leads Pipeline'!$A$5:$A$1004,0)),INDEX('Active Clients'!$D$5:$D$504,MATCH(C876,'Active Clients'!$A$5:$A$504,0)))&amp;"","ID not found"))</f>
        <v/>
      </c>
      <c r="E876" s="51" t="str">
        <f aca="false">IF(C876="","",IFERROR(IF(LEFT(C876,1)="L",INDEX('Leads Pipeline'!$D$5:$D$1004,MATCH(C876,'Leads Pipeline'!$A$5:$A$1004,0)),INDEX('Active Clients'!$B$5:$B$504,MATCH(C876,'Active Clients'!$A$5:$A$504,0)))&amp;"","ID not found"))</f>
        <v/>
      </c>
      <c r="F876" s="51" t="str">
        <f aca="false">IF(C876="","",IFERROR(IF(LEFT(C876,1)="L",INDEX('Leads Pipeline'!$E$5:$E$1004,MATCH(C876,'Leads Pipeline'!$A$5:$A$1004,0)),INDEX('Active Clients'!$C$5:$C$504,MATCH(C876,'Active Clients'!$A$5:$A$504,0)))&amp;"","ID not found"))</f>
        <v/>
      </c>
      <c r="G876" s="16"/>
      <c r="H876" s="16"/>
      <c r="I876" s="16"/>
      <c r="J876" s="16"/>
      <c r="K876" s="16"/>
      <c r="L876" s="18"/>
    </row>
    <row r="877" customFormat="false" ht="15" hidden="false" customHeight="false" outlineLevel="0" collapsed="false">
      <c r="A877" s="18"/>
      <c r="B877" s="16"/>
      <c r="C877" s="16"/>
      <c r="D877" s="51" t="str">
        <f aca="false">IF(C877="","",IFERROR(IF(LEFT(C877,1)="L",INDEX('Leads Pipeline'!$F$5:$F$1004,MATCH(C877,'Leads Pipeline'!$A$5:$A$1004,0)),INDEX('Active Clients'!$D$5:$D$504,MATCH(C877,'Active Clients'!$A$5:$A$504,0)))&amp;"","ID not found"))</f>
        <v/>
      </c>
      <c r="E877" s="51" t="str">
        <f aca="false">IF(C877="","",IFERROR(IF(LEFT(C877,1)="L",INDEX('Leads Pipeline'!$D$5:$D$1004,MATCH(C877,'Leads Pipeline'!$A$5:$A$1004,0)),INDEX('Active Clients'!$B$5:$B$504,MATCH(C877,'Active Clients'!$A$5:$A$504,0)))&amp;"","ID not found"))</f>
        <v/>
      </c>
      <c r="F877" s="51" t="str">
        <f aca="false">IF(C877="","",IFERROR(IF(LEFT(C877,1)="L",INDEX('Leads Pipeline'!$E$5:$E$1004,MATCH(C877,'Leads Pipeline'!$A$5:$A$1004,0)),INDEX('Active Clients'!$C$5:$C$504,MATCH(C877,'Active Clients'!$A$5:$A$504,0)))&amp;"","ID not found"))</f>
        <v/>
      </c>
      <c r="G877" s="16"/>
      <c r="H877" s="16"/>
      <c r="I877" s="16"/>
      <c r="J877" s="16"/>
      <c r="K877" s="16"/>
      <c r="L877" s="18"/>
    </row>
    <row r="878" customFormat="false" ht="15" hidden="false" customHeight="false" outlineLevel="0" collapsed="false">
      <c r="A878" s="18"/>
      <c r="B878" s="16"/>
      <c r="C878" s="16"/>
      <c r="D878" s="51" t="str">
        <f aca="false">IF(C878="","",IFERROR(IF(LEFT(C878,1)="L",INDEX('Leads Pipeline'!$F$5:$F$1004,MATCH(C878,'Leads Pipeline'!$A$5:$A$1004,0)),INDEX('Active Clients'!$D$5:$D$504,MATCH(C878,'Active Clients'!$A$5:$A$504,0)))&amp;"","ID not found"))</f>
        <v/>
      </c>
      <c r="E878" s="51" t="str">
        <f aca="false">IF(C878="","",IFERROR(IF(LEFT(C878,1)="L",INDEX('Leads Pipeline'!$D$5:$D$1004,MATCH(C878,'Leads Pipeline'!$A$5:$A$1004,0)),INDEX('Active Clients'!$B$5:$B$504,MATCH(C878,'Active Clients'!$A$5:$A$504,0)))&amp;"","ID not found"))</f>
        <v/>
      </c>
      <c r="F878" s="51" t="str">
        <f aca="false">IF(C878="","",IFERROR(IF(LEFT(C878,1)="L",INDEX('Leads Pipeline'!$E$5:$E$1004,MATCH(C878,'Leads Pipeline'!$A$5:$A$1004,0)),INDEX('Active Clients'!$C$5:$C$504,MATCH(C878,'Active Clients'!$A$5:$A$504,0)))&amp;"","ID not found"))</f>
        <v/>
      </c>
      <c r="G878" s="16"/>
      <c r="H878" s="16"/>
      <c r="I878" s="16"/>
      <c r="J878" s="16"/>
      <c r="K878" s="16"/>
      <c r="L878" s="18"/>
    </row>
    <row r="879" customFormat="false" ht="15" hidden="false" customHeight="false" outlineLevel="0" collapsed="false">
      <c r="A879" s="18"/>
      <c r="B879" s="16"/>
      <c r="C879" s="16"/>
      <c r="D879" s="51" t="str">
        <f aca="false">IF(C879="","",IFERROR(IF(LEFT(C879,1)="L",INDEX('Leads Pipeline'!$F$5:$F$1004,MATCH(C879,'Leads Pipeline'!$A$5:$A$1004,0)),INDEX('Active Clients'!$D$5:$D$504,MATCH(C879,'Active Clients'!$A$5:$A$504,0)))&amp;"","ID not found"))</f>
        <v/>
      </c>
      <c r="E879" s="51" t="str">
        <f aca="false">IF(C879="","",IFERROR(IF(LEFT(C879,1)="L",INDEX('Leads Pipeline'!$D$5:$D$1004,MATCH(C879,'Leads Pipeline'!$A$5:$A$1004,0)),INDEX('Active Clients'!$B$5:$B$504,MATCH(C879,'Active Clients'!$A$5:$A$504,0)))&amp;"","ID not found"))</f>
        <v/>
      </c>
      <c r="F879" s="51" t="str">
        <f aca="false">IF(C879="","",IFERROR(IF(LEFT(C879,1)="L",INDEX('Leads Pipeline'!$E$5:$E$1004,MATCH(C879,'Leads Pipeline'!$A$5:$A$1004,0)),INDEX('Active Clients'!$C$5:$C$504,MATCH(C879,'Active Clients'!$A$5:$A$504,0)))&amp;"","ID not found"))</f>
        <v/>
      </c>
      <c r="G879" s="16"/>
      <c r="H879" s="16"/>
      <c r="I879" s="16"/>
      <c r="J879" s="16"/>
      <c r="K879" s="16"/>
      <c r="L879" s="18"/>
    </row>
    <row r="880" customFormat="false" ht="15" hidden="false" customHeight="false" outlineLevel="0" collapsed="false">
      <c r="A880" s="18"/>
      <c r="B880" s="16"/>
      <c r="C880" s="16"/>
      <c r="D880" s="51" t="str">
        <f aca="false">IF(C880="","",IFERROR(IF(LEFT(C880,1)="L",INDEX('Leads Pipeline'!$F$5:$F$1004,MATCH(C880,'Leads Pipeline'!$A$5:$A$1004,0)),INDEX('Active Clients'!$D$5:$D$504,MATCH(C880,'Active Clients'!$A$5:$A$504,0)))&amp;"","ID not found"))</f>
        <v/>
      </c>
      <c r="E880" s="51" t="str">
        <f aca="false">IF(C880="","",IFERROR(IF(LEFT(C880,1)="L",INDEX('Leads Pipeline'!$D$5:$D$1004,MATCH(C880,'Leads Pipeline'!$A$5:$A$1004,0)),INDEX('Active Clients'!$B$5:$B$504,MATCH(C880,'Active Clients'!$A$5:$A$504,0)))&amp;"","ID not found"))</f>
        <v/>
      </c>
      <c r="F880" s="51" t="str">
        <f aca="false">IF(C880="","",IFERROR(IF(LEFT(C880,1)="L",INDEX('Leads Pipeline'!$E$5:$E$1004,MATCH(C880,'Leads Pipeline'!$A$5:$A$1004,0)),INDEX('Active Clients'!$C$5:$C$504,MATCH(C880,'Active Clients'!$A$5:$A$504,0)))&amp;"","ID not found"))</f>
        <v/>
      </c>
      <c r="G880" s="16"/>
      <c r="H880" s="16"/>
      <c r="I880" s="16"/>
      <c r="J880" s="16"/>
      <c r="K880" s="16"/>
      <c r="L880" s="18"/>
    </row>
    <row r="881" customFormat="false" ht="15" hidden="false" customHeight="false" outlineLevel="0" collapsed="false">
      <c r="A881" s="18"/>
      <c r="B881" s="16"/>
      <c r="C881" s="16"/>
      <c r="D881" s="51" t="str">
        <f aca="false">IF(C881="","",IFERROR(IF(LEFT(C881,1)="L",INDEX('Leads Pipeline'!$F$5:$F$1004,MATCH(C881,'Leads Pipeline'!$A$5:$A$1004,0)),INDEX('Active Clients'!$D$5:$D$504,MATCH(C881,'Active Clients'!$A$5:$A$504,0)))&amp;"","ID not found"))</f>
        <v/>
      </c>
      <c r="E881" s="51" t="str">
        <f aca="false">IF(C881="","",IFERROR(IF(LEFT(C881,1)="L",INDEX('Leads Pipeline'!$D$5:$D$1004,MATCH(C881,'Leads Pipeline'!$A$5:$A$1004,0)),INDEX('Active Clients'!$B$5:$B$504,MATCH(C881,'Active Clients'!$A$5:$A$504,0)))&amp;"","ID not found"))</f>
        <v/>
      </c>
      <c r="F881" s="51" t="str">
        <f aca="false">IF(C881="","",IFERROR(IF(LEFT(C881,1)="L",INDEX('Leads Pipeline'!$E$5:$E$1004,MATCH(C881,'Leads Pipeline'!$A$5:$A$1004,0)),INDEX('Active Clients'!$C$5:$C$504,MATCH(C881,'Active Clients'!$A$5:$A$504,0)))&amp;"","ID not found"))</f>
        <v/>
      </c>
      <c r="G881" s="16"/>
      <c r="H881" s="16"/>
      <c r="I881" s="16"/>
      <c r="J881" s="16"/>
      <c r="K881" s="16"/>
      <c r="L881" s="18"/>
    </row>
    <row r="882" customFormat="false" ht="15" hidden="false" customHeight="false" outlineLevel="0" collapsed="false">
      <c r="A882" s="18"/>
      <c r="B882" s="16"/>
      <c r="C882" s="16"/>
      <c r="D882" s="51" t="str">
        <f aca="false">IF(C882="","",IFERROR(IF(LEFT(C882,1)="L",INDEX('Leads Pipeline'!$F$5:$F$1004,MATCH(C882,'Leads Pipeline'!$A$5:$A$1004,0)),INDEX('Active Clients'!$D$5:$D$504,MATCH(C882,'Active Clients'!$A$5:$A$504,0)))&amp;"","ID not found"))</f>
        <v/>
      </c>
      <c r="E882" s="51" t="str">
        <f aca="false">IF(C882="","",IFERROR(IF(LEFT(C882,1)="L",INDEX('Leads Pipeline'!$D$5:$D$1004,MATCH(C882,'Leads Pipeline'!$A$5:$A$1004,0)),INDEX('Active Clients'!$B$5:$B$504,MATCH(C882,'Active Clients'!$A$5:$A$504,0)))&amp;"","ID not found"))</f>
        <v/>
      </c>
      <c r="F882" s="51" t="str">
        <f aca="false">IF(C882="","",IFERROR(IF(LEFT(C882,1)="L",INDEX('Leads Pipeline'!$E$5:$E$1004,MATCH(C882,'Leads Pipeline'!$A$5:$A$1004,0)),INDEX('Active Clients'!$C$5:$C$504,MATCH(C882,'Active Clients'!$A$5:$A$504,0)))&amp;"","ID not found"))</f>
        <v/>
      </c>
      <c r="G882" s="16"/>
      <c r="H882" s="16"/>
      <c r="I882" s="16"/>
      <c r="J882" s="16"/>
      <c r="K882" s="16"/>
      <c r="L882" s="18"/>
    </row>
    <row r="883" customFormat="false" ht="15" hidden="false" customHeight="false" outlineLevel="0" collapsed="false">
      <c r="A883" s="18"/>
      <c r="B883" s="16"/>
      <c r="C883" s="16"/>
      <c r="D883" s="51" t="str">
        <f aca="false">IF(C883="","",IFERROR(IF(LEFT(C883,1)="L",INDEX('Leads Pipeline'!$F$5:$F$1004,MATCH(C883,'Leads Pipeline'!$A$5:$A$1004,0)),INDEX('Active Clients'!$D$5:$D$504,MATCH(C883,'Active Clients'!$A$5:$A$504,0)))&amp;"","ID not found"))</f>
        <v/>
      </c>
      <c r="E883" s="51" t="str">
        <f aca="false">IF(C883="","",IFERROR(IF(LEFT(C883,1)="L",INDEX('Leads Pipeline'!$D$5:$D$1004,MATCH(C883,'Leads Pipeline'!$A$5:$A$1004,0)),INDEX('Active Clients'!$B$5:$B$504,MATCH(C883,'Active Clients'!$A$5:$A$504,0)))&amp;"","ID not found"))</f>
        <v/>
      </c>
      <c r="F883" s="51" t="str">
        <f aca="false">IF(C883="","",IFERROR(IF(LEFT(C883,1)="L",INDEX('Leads Pipeline'!$E$5:$E$1004,MATCH(C883,'Leads Pipeline'!$A$5:$A$1004,0)),INDEX('Active Clients'!$C$5:$C$504,MATCH(C883,'Active Clients'!$A$5:$A$504,0)))&amp;"","ID not found"))</f>
        <v/>
      </c>
      <c r="G883" s="16"/>
      <c r="H883" s="16"/>
      <c r="I883" s="16"/>
      <c r="J883" s="16"/>
      <c r="K883" s="16"/>
      <c r="L883" s="18"/>
    </row>
    <row r="884" customFormat="false" ht="15" hidden="false" customHeight="false" outlineLevel="0" collapsed="false">
      <c r="A884" s="18"/>
      <c r="B884" s="16"/>
      <c r="C884" s="16"/>
      <c r="D884" s="51" t="str">
        <f aca="false">IF(C884="","",IFERROR(IF(LEFT(C884,1)="L",INDEX('Leads Pipeline'!$F$5:$F$1004,MATCH(C884,'Leads Pipeline'!$A$5:$A$1004,0)),INDEX('Active Clients'!$D$5:$D$504,MATCH(C884,'Active Clients'!$A$5:$A$504,0)))&amp;"","ID not found"))</f>
        <v/>
      </c>
      <c r="E884" s="51" t="str">
        <f aca="false">IF(C884="","",IFERROR(IF(LEFT(C884,1)="L",INDEX('Leads Pipeline'!$D$5:$D$1004,MATCH(C884,'Leads Pipeline'!$A$5:$A$1004,0)),INDEX('Active Clients'!$B$5:$B$504,MATCH(C884,'Active Clients'!$A$5:$A$504,0)))&amp;"","ID not found"))</f>
        <v/>
      </c>
      <c r="F884" s="51" t="str">
        <f aca="false">IF(C884="","",IFERROR(IF(LEFT(C884,1)="L",INDEX('Leads Pipeline'!$E$5:$E$1004,MATCH(C884,'Leads Pipeline'!$A$5:$A$1004,0)),INDEX('Active Clients'!$C$5:$C$504,MATCH(C884,'Active Clients'!$A$5:$A$504,0)))&amp;"","ID not found"))</f>
        <v/>
      </c>
      <c r="G884" s="16"/>
      <c r="H884" s="16"/>
      <c r="I884" s="16"/>
      <c r="J884" s="16"/>
      <c r="K884" s="16"/>
      <c r="L884" s="18"/>
    </row>
    <row r="885" customFormat="false" ht="15" hidden="false" customHeight="false" outlineLevel="0" collapsed="false">
      <c r="A885" s="18"/>
      <c r="B885" s="16"/>
      <c r="C885" s="16"/>
      <c r="D885" s="51" t="str">
        <f aca="false">IF(C885="","",IFERROR(IF(LEFT(C885,1)="L",INDEX('Leads Pipeline'!$F$5:$F$1004,MATCH(C885,'Leads Pipeline'!$A$5:$A$1004,0)),INDEX('Active Clients'!$D$5:$D$504,MATCH(C885,'Active Clients'!$A$5:$A$504,0)))&amp;"","ID not found"))</f>
        <v/>
      </c>
      <c r="E885" s="51" t="str">
        <f aca="false">IF(C885="","",IFERROR(IF(LEFT(C885,1)="L",INDEX('Leads Pipeline'!$D$5:$D$1004,MATCH(C885,'Leads Pipeline'!$A$5:$A$1004,0)),INDEX('Active Clients'!$B$5:$B$504,MATCH(C885,'Active Clients'!$A$5:$A$504,0)))&amp;"","ID not found"))</f>
        <v/>
      </c>
      <c r="F885" s="51" t="str">
        <f aca="false">IF(C885="","",IFERROR(IF(LEFT(C885,1)="L",INDEX('Leads Pipeline'!$E$5:$E$1004,MATCH(C885,'Leads Pipeline'!$A$5:$A$1004,0)),INDEX('Active Clients'!$C$5:$C$504,MATCH(C885,'Active Clients'!$A$5:$A$504,0)))&amp;"","ID not found"))</f>
        <v/>
      </c>
      <c r="G885" s="16"/>
      <c r="H885" s="16"/>
      <c r="I885" s="16"/>
      <c r="J885" s="16"/>
      <c r="K885" s="16"/>
      <c r="L885" s="18"/>
    </row>
    <row r="886" customFormat="false" ht="15" hidden="false" customHeight="false" outlineLevel="0" collapsed="false">
      <c r="A886" s="18"/>
      <c r="B886" s="16"/>
      <c r="C886" s="16"/>
      <c r="D886" s="51" t="str">
        <f aca="false">IF(C886="","",IFERROR(IF(LEFT(C886,1)="L",INDEX('Leads Pipeline'!$F$5:$F$1004,MATCH(C886,'Leads Pipeline'!$A$5:$A$1004,0)),INDEX('Active Clients'!$D$5:$D$504,MATCH(C886,'Active Clients'!$A$5:$A$504,0)))&amp;"","ID not found"))</f>
        <v/>
      </c>
      <c r="E886" s="51" t="str">
        <f aca="false">IF(C886="","",IFERROR(IF(LEFT(C886,1)="L",INDEX('Leads Pipeline'!$D$5:$D$1004,MATCH(C886,'Leads Pipeline'!$A$5:$A$1004,0)),INDEX('Active Clients'!$B$5:$B$504,MATCH(C886,'Active Clients'!$A$5:$A$504,0)))&amp;"","ID not found"))</f>
        <v/>
      </c>
      <c r="F886" s="51" t="str">
        <f aca="false">IF(C886="","",IFERROR(IF(LEFT(C886,1)="L",INDEX('Leads Pipeline'!$E$5:$E$1004,MATCH(C886,'Leads Pipeline'!$A$5:$A$1004,0)),INDEX('Active Clients'!$C$5:$C$504,MATCH(C886,'Active Clients'!$A$5:$A$504,0)))&amp;"","ID not found"))</f>
        <v/>
      </c>
      <c r="G886" s="16"/>
      <c r="H886" s="16"/>
      <c r="I886" s="16"/>
      <c r="J886" s="16"/>
      <c r="K886" s="16"/>
      <c r="L886" s="18"/>
    </row>
    <row r="887" customFormat="false" ht="15" hidden="false" customHeight="false" outlineLevel="0" collapsed="false">
      <c r="A887" s="18"/>
      <c r="B887" s="16"/>
      <c r="C887" s="16"/>
      <c r="D887" s="51" t="str">
        <f aca="false">IF(C887="","",IFERROR(IF(LEFT(C887,1)="L",INDEX('Leads Pipeline'!$F$5:$F$1004,MATCH(C887,'Leads Pipeline'!$A$5:$A$1004,0)),INDEX('Active Clients'!$D$5:$D$504,MATCH(C887,'Active Clients'!$A$5:$A$504,0)))&amp;"","ID not found"))</f>
        <v/>
      </c>
      <c r="E887" s="51" t="str">
        <f aca="false">IF(C887="","",IFERROR(IF(LEFT(C887,1)="L",INDEX('Leads Pipeline'!$D$5:$D$1004,MATCH(C887,'Leads Pipeline'!$A$5:$A$1004,0)),INDEX('Active Clients'!$B$5:$B$504,MATCH(C887,'Active Clients'!$A$5:$A$504,0)))&amp;"","ID not found"))</f>
        <v/>
      </c>
      <c r="F887" s="51" t="str">
        <f aca="false">IF(C887="","",IFERROR(IF(LEFT(C887,1)="L",INDEX('Leads Pipeline'!$E$5:$E$1004,MATCH(C887,'Leads Pipeline'!$A$5:$A$1004,0)),INDEX('Active Clients'!$C$5:$C$504,MATCH(C887,'Active Clients'!$A$5:$A$504,0)))&amp;"","ID not found"))</f>
        <v/>
      </c>
      <c r="G887" s="16"/>
      <c r="H887" s="16"/>
      <c r="I887" s="16"/>
      <c r="J887" s="16"/>
      <c r="K887" s="16"/>
      <c r="L887" s="18"/>
    </row>
    <row r="888" customFormat="false" ht="15" hidden="false" customHeight="false" outlineLevel="0" collapsed="false">
      <c r="A888" s="18"/>
      <c r="B888" s="16"/>
      <c r="C888" s="16"/>
      <c r="D888" s="51" t="str">
        <f aca="false">IF(C888="","",IFERROR(IF(LEFT(C888,1)="L",INDEX('Leads Pipeline'!$F$5:$F$1004,MATCH(C888,'Leads Pipeline'!$A$5:$A$1004,0)),INDEX('Active Clients'!$D$5:$D$504,MATCH(C888,'Active Clients'!$A$5:$A$504,0)))&amp;"","ID not found"))</f>
        <v/>
      </c>
      <c r="E888" s="51" t="str">
        <f aca="false">IF(C888="","",IFERROR(IF(LEFT(C888,1)="L",INDEX('Leads Pipeline'!$D$5:$D$1004,MATCH(C888,'Leads Pipeline'!$A$5:$A$1004,0)),INDEX('Active Clients'!$B$5:$B$504,MATCH(C888,'Active Clients'!$A$5:$A$504,0)))&amp;"","ID not found"))</f>
        <v/>
      </c>
      <c r="F888" s="51" t="str">
        <f aca="false">IF(C888="","",IFERROR(IF(LEFT(C888,1)="L",INDEX('Leads Pipeline'!$E$5:$E$1004,MATCH(C888,'Leads Pipeline'!$A$5:$A$1004,0)),INDEX('Active Clients'!$C$5:$C$504,MATCH(C888,'Active Clients'!$A$5:$A$504,0)))&amp;"","ID not found"))</f>
        <v/>
      </c>
      <c r="G888" s="16"/>
      <c r="H888" s="16"/>
      <c r="I888" s="16"/>
      <c r="J888" s="16"/>
      <c r="K888" s="16"/>
      <c r="L888" s="18"/>
    </row>
    <row r="889" customFormat="false" ht="15" hidden="false" customHeight="false" outlineLevel="0" collapsed="false">
      <c r="A889" s="18"/>
      <c r="B889" s="16"/>
      <c r="C889" s="16"/>
      <c r="D889" s="51" t="str">
        <f aca="false">IF(C889="","",IFERROR(IF(LEFT(C889,1)="L",INDEX('Leads Pipeline'!$F$5:$F$1004,MATCH(C889,'Leads Pipeline'!$A$5:$A$1004,0)),INDEX('Active Clients'!$D$5:$D$504,MATCH(C889,'Active Clients'!$A$5:$A$504,0)))&amp;"","ID not found"))</f>
        <v/>
      </c>
      <c r="E889" s="51" t="str">
        <f aca="false">IF(C889="","",IFERROR(IF(LEFT(C889,1)="L",INDEX('Leads Pipeline'!$D$5:$D$1004,MATCH(C889,'Leads Pipeline'!$A$5:$A$1004,0)),INDEX('Active Clients'!$B$5:$B$504,MATCH(C889,'Active Clients'!$A$5:$A$504,0)))&amp;"","ID not found"))</f>
        <v/>
      </c>
      <c r="F889" s="51" t="str">
        <f aca="false">IF(C889="","",IFERROR(IF(LEFT(C889,1)="L",INDEX('Leads Pipeline'!$E$5:$E$1004,MATCH(C889,'Leads Pipeline'!$A$5:$A$1004,0)),INDEX('Active Clients'!$C$5:$C$504,MATCH(C889,'Active Clients'!$A$5:$A$504,0)))&amp;"","ID not found"))</f>
        <v/>
      </c>
      <c r="G889" s="16"/>
      <c r="H889" s="16"/>
      <c r="I889" s="16"/>
      <c r="J889" s="16"/>
      <c r="K889" s="16"/>
      <c r="L889" s="18"/>
    </row>
    <row r="890" customFormat="false" ht="15" hidden="false" customHeight="false" outlineLevel="0" collapsed="false">
      <c r="A890" s="18"/>
      <c r="B890" s="16"/>
      <c r="C890" s="16"/>
      <c r="D890" s="51" t="str">
        <f aca="false">IF(C890="","",IFERROR(IF(LEFT(C890,1)="L",INDEX('Leads Pipeline'!$F$5:$F$1004,MATCH(C890,'Leads Pipeline'!$A$5:$A$1004,0)),INDEX('Active Clients'!$D$5:$D$504,MATCH(C890,'Active Clients'!$A$5:$A$504,0)))&amp;"","ID not found"))</f>
        <v/>
      </c>
      <c r="E890" s="51" t="str">
        <f aca="false">IF(C890="","",IFERROR(IF(LEFT(C890,1)="L",INDEX('Leads Pipeline'!$D$5:$D$1004,MATCH(C890,'Leads Pipeline'!$A$5:$A$1004,0)),INDEX('Active Clients'!$B$5:$B$504,MATCH(C890,'Active Clients'!$A$5:$A$504,0)))&amp;"","ID not found"))</f>
        <v/>
      </c>
      <c r="F890" s="51" t="str">
        <f aca="false">IF(C890="","",IFERROR(IF(LEFT(C890,1)="L",INDEX('Leads Pipeline'!$E$5:$E$1004,MATCH(C890,'Leads Pipeline'!$A$5:$A$1004,0)),INDEX('Active Clients'!$C$5:$C$504,MATCH(C890,'Active Clients'!$A$5:$A$504,0)))&amp;"","ID not found"))</f>
        <v/>
      </c>
      <c r="G890" s="16"/>
      <c r="H890" s="16"/>
      <c r="I890" s="16"/>
      <c r="J890" s="16"/>
      <c r="K890" s="16"/>
      <c r="L890" s="18"/>
    </row>
    <row r="891" customFormat="false" ht="15" hidden="false" customHeight="false" outlineLevel="0" collapsed="false">
      <c r="A891" s="18"/>
      <c r="B891" s="16"/>
      <c r="C891" s="16"/>
      <c r="D891" s="51" t="str">
        <f aca="false">IF(C891="","",IFERROR(IF(LEFT(C891,1)="L",INDEX('Leads Pipeline'!$F$5:$F$1004,MATCH(C891,'Leads Pipeline'!$A$5:$A$1004,0)),INDEX('Active Clients'!$D$5:$D$504,MATCH(C891,'Active Clients'!$A$5:$A$504,0)))&amp;"","ID not found"))</f>
        <v/>
      </c>
      <c r="E891" s="51" t="str">
        <f aca="false">IF(C891="","",IFERROR(IF(LEFT(C891,1)="L",INDEX('Leads Pipeline'!$D$5:$D$1004,MATCH(C891,'Leads Pipeline'!$A$5:$A$1004,0)),INDEX('Active Clients'!$B$5:$B$504,MATCH(C891,'Active Clients'!$A$5:$A$504,0)))&amp;"","ID not found"))</f>
        <v/>
      </c>
      <c r="F891" s="51" t="str">
        <f aca="false">IF(C891="","",IFERROR(IF(LEFT(C891,1)="L",INDEX('Leads Pipeline'!$E$5:$E$1004,MATCH(C891,'Leads Pipeline'!$A$5:$A$1004,0)),INDEX('Active Clients'!$C$5:$C$504,MATCH(C891,'Active Clients'!$A$5:$A$504,0)))&amp;"","ID not found"))</f>
        <v/>
      </c>
      <c r="G891" s="16"/>
      <c r="H891" s="16"/>
      <c r="I891" s="16"/>
      <c r="J891" s="16"/>
      <c r="K891" s="16"/>
      <c r="L891" s="18"/>
    </row>
    <row r="892" customFormat="false" ht="15" hidden="false" customHeight="false" outlineLevel="0" collapsed="false">
      <c r="A892" s="18"/>
      <c r="B892" s="16"/>
      <c r="C892" s="16"/>
      <c r="D892" s="51" t="str">
        <f aca="false">IF(C892="","",IFERROR(IF(LEFT(C892,1)="L",INDEX('Leads Pipeline'!$F$5:$F$1004,MATCH(C892,'Leads Pipeline'!$A$5:$A$1004,0)),INDEX('Active Clients'!$D$5:$D$504,MATCH(C892,'Active Clients'!$A$5:$A$504,0)))&amp;"","ID not found"))</f>
        <v/>
      </c>
      <c r="E892" s="51" t="str">
        <f aca="false">IF(C892="","",IFERROR(IF(LEFT(C892,1)="L",INDEX('Leads Pipeline'!$D$5:$D$1004,MATCH(C892,'Leads Pipeline'!$A$5:$A$1004,0)),INDEX('Active Clients'!$B$5:$B$504,MATCH(C892,'Active Clients'!$A$5:$A$504,0)))&amp;"","ID not found"))</f>
        <v/>
      </c>
      <c r="F892" s="51" t="str">
        <f aca="false">IF(C892="","",IFERROR(IF(LEFT(C892,1)="L",INDEX('Leads Pipeline'!$E$5:$E$1004,MATCH(C892,'Leads Pipeline'!$A$5:$A$1004,0)),INDEX('Active Clients'!$C$5:$C$504,MATCH(C892,'Active Clients'!$A$5:$A$504,0)))&amp;"","ID not found"))</f>
        <v/>
      </c>
      <c r="G892" s="16"/>
      <c r="H892" s="16"/>
      <c r="I892" s="16"/>
      <c r="J892" s="16"/>
      <c r="K892" s="16"/>
      <c r="L892" s="18"/>
    </row>
    <row r="893" customFormat="false" ht="15" hidden="false" customHeight="false" outlineLevel="0" collapsed="false">
      <c r="A893" s="18"/>
      <c r="B893" s="16"/>
      <c r="C893" s="16"/>
      <c r="D893" s="51" t="str">
        <f aca="false">IF(C893="","",IFERROR(IF(LEFT(C893,1)="L",INDEX('Leads Pipeline'!$F$5:$F$1004,MATCH(C893,'Leads Pipeline'!$A$5:$A$1004,0)),INDEX('Active Clients'!$D$5:$D$504,MATCH(C893,'Active Clients'!$A$5:$A$504,0)))&amp;"","ID not found"))</f>
        <v/>
      </c>
      <c r="E893" s="51" t="str">
        <f aca="false">IF(C893="","",IFERROR(IF(LEFT(C893,1)="L",INDEX('Leads Pipeline'!$D$5:$D$1004,MATCH(C893,'Leads Pipeline'!$A$5:$A$1004,0)),INDEX('Active Clients'!$B$5:$B$504,MATCH(C893,'Active Clients'!$A$5:$A$504,0)))&amp;"","ID not found"))</f>
        <v/>
      </c>
      <c r="F893" s="51" t="str">
        <f aca="false">IF(C893="","",IFERROR(IF(LEFT(C893,1)="L",INDEX('Leads Pipeline'!$E$5:$E$1004,MATCH(C893,'Leads Pipeline'!$A$5:$A$1004,0)),INDEX('Active Clients'!$C$5:$C$504,MATCH(C893,'Active Clients'!$A$5:$A$504,0)))&amp;"","ID not found"))</f>
        <v/>
      </c>
      <c r="G893" s="16"/>
      <c r="H893" s="16"/>
      <c r="I893" s="16"/>
      <c r="J893" s="16"/>
      <c r="K893" s="16"/>
      <c r="L893" s="18"/>
    </row>
    <row r="894" customFormat="false" ht="15" hidden="false" customHeight="false" outlineLevel="0" collapsed="false">
      <c r="A894" s="18"/>
      <c r="B894" s="16"/>
      <c r="C894" s="16"/>
      <c r="D894" s="51" t="str">
        <f aca="false">IF(C894="","",IFERROR(IF(LEFT(C894,1)="L",INDEX('Leads Pipeline'!$F$5:$F$1004,MATCH(C894,'Leads Pipeline'!$A$5:$A$1004,0)),INDEX('Active Clients'!$D$5:$D$504,MATCH(C894,'Active Clients'!$A$5:$A$504,0)))&amp;"","ID not found"))</f>
        <v/>
      </c>
      <c r="E894" s="51" t="str">
        <f aca="false">IF(C894="","",IFERROR(IF(LEFT(C894,1)="L",INDEX('Leads Pipeline'!$D$5:$D$1004,MATCH(C894,'Leads Pipeline'!$A$5:$A$1004,0)),INDEX('Active Clients'!$B$5:$B$504,MATCH(C894,'Active Clients'!$A$5:$A$504,0)))&amp;"","ID not found"))</f>
        <v/>
      </c>
      <c r="F894" s="51" t="str">
        <f aca="false">IF(C894="","",IFERROR(IF(LEFT(C894,1)="L",INDEX('Leads Pipeline'!$E$5:$E$1004,MATCH(C894,'Leads Pipeline'!$A$5:$A$1004,0)),INDEX('Active Clients'!$C$5:$C$504,MATCH(C894,'Active Clients'!$A$5:$A$504,0)))&amp;"","ID not found"))</f>
        <v/>
      </c>
      <c r="G894" s="16"/>
      <c r="H894" s="16"/>
      <c r="I894" s="16"/>
      <c r="J894" s="16"/>
      <c r="K894" s="16"/>
      <c r="L894" s="18"/>
    </row>
    <row r="895" customFormat="false" ht="15" hidden="false" customHeight="false" outlineLevel="0" collapsed="false">
      <c r="A895" s="18"/>
      <c r="B895" s="16"/>
      <c r="C895" s="16"/>
      <c r="D895" s="51" t="str">
        <f aca="false">IF(C895="","",IFERROR(IF(LEFT(C895,1)="L",INDEX('Leads Pipeline'!$F$5:$F$1004,MATCH(C895,'Leads Pipeline'!$A$5:$A$1004,0)),INDEX('Active Clients'!$D$5:$D$504,MATCH(C895,'Active Clients'!$A$5:$A$504,0)))&amp;"","ID not found"))</f>
        <v/>
      </c>
      <c r="E895" s="51" t="str">
        <f aca="false">IF(C895="","",IFERROR(IF(LEFT(C895,1)="L",INDEX('Leads Pipeline'!$D$5:$D$1004,MATCH(C895,'Leads Pipeline'!$A$5:$A$1004,0)),INDEX('Active Clients'!$B$5:$B$504,MATCH(C895,'Active Clients'!$A$5:$A$504,0)))&amp;"","ID not found"))</f>
        <v/>
      </c>
      <c r="F895" s="51" t="str">
        <f aca="false">IF(C895="","",IFERROR(IF(LEFT(C895,1)="L",INDEX('Leads Pipeline'!$E$5:$E$1004,MATCH(C895,'Leads Pipeline'!$A$5:$A$1004,0)),INDEX('Active Clients'!$C$5:$C$504,MATCH(C895,'Active Clients'!$A$5:$A$504,0)))&amp;"","ID not found"))</f>
        <v/>
      </c>
      <c r="G895" s="16"/>
      <c r="H895" s="16"/>
      <c r="I895" s="16"/>
      <c r="J895" s="16"/>
      <c r="K895" s="16"/>
      <c r="L895" s="18"/>
    </row>
    <row r="896" customFormat="false" ht="15" hidden="false" customHeight="false" outlineLevel="0" collapsed="false">
      <c r="A896" s="18"/>
      <c r="B896" s="16"/>
      <c r="C896" s="16"/>
      <c r="D896" s="51" t="str">
        <f aca="false">IF(C896="","",IFERROR(IF(LEFT(C896,1)="L",INDEX('Leads Pipeline'!$F$5:$F$1004,MATCH(C896,'Leads Pipeline'!$A$5:$A$1004,0)),INDEX('Active Clients'!$D$5:$D$504,MATCH(C896,'Active Clients'!$A$5:$A$504,0)))&amp;"","ID not found"))</f>
        <v/>
      </c>
      <c r="E896" s="51" t="str">
        <f aca="false">IF(C896="","",IFERROR(IF(LEFT(C896,1)="L",INDEX('Leads Pipeline'!$D$5:$D$1004,MATCH(C896,'Leads Pipeline'!$A$5:$A$1004,0)),INDEX('Active Clients'!$B$5:$B$504,MATCH(C896,'Active Clients'!$A$5:$A$504,0)))&amp;"","ID not found"))</f>
        <v/>
      </c>
      <c r="F896" s="51" t="str">
        <f aca="false">IF(C896="","",IFERROR(IF(LEFT(C896,1)="L",INDEX('Leads Pipeline'!$E$5:$E$1004,MATCH(C896,'Leads Pipeline'!$A$5:$A$1004,0)),INDEX('Active Clients'!$C$5:$C$504,MATCH(C896,'Active Clients'!$A$5:$A$504,0)))&amp;"","ID not found"))</f>
        <v/>
      </c>
      <c r="G896" s="16"/>
      <c r="H896" s="16"/>
      <c r="I896" s="16"/>
      <c r="J896" s="16"/>
      <c r="K896" s="16"/>
      <c r="L896" s="18"/>
    </row>
    <row r="897" customFormat="false" ht="15" hidden="false" customHeight="false" outlineLevel="0" collapsed="false">
      <c r="A897" s="18"/>
      <c r="B897" s="16"/>
      <c r="C897" s="16"/>
      <c r="D897" s="51" t="str">
        <f aca="false">IF(C897="","",IFERROR(IF(LEFT(C897,1)="L",INDEX('Leads Pipeline'!$F$5:$F$1004,MATCH(C897,'Leads Pipeline'!$A$5:$A$1004,0)),INDEX('Active Clients'!$D$5:$D$504,MATCH(C897,'Active Clients'!$A$5:$A$504,0)))&amp;"","ID not found"))</f>
        <v/>
      </c>
      <c r="E897" s="51" t="str">
        <f aca="false">IF(C897="","",IFERROR(IF(LEFT(C897,1)="L",INDEX('Leads Pipeline'!$D$5:$D$1004,MATCH(C897,'Leads Pipeline'!$A$5:$A$1004,0)),INDEX('Active Clients'!$B$5:$B$504,MATCH(C897,'Active Clients'!$A$5:$A$504,0)))&amp;"","ID not found"))</f>
        <v/>
      </c>
      <c r="F897" s="51" t="str">
        <f aca="false">IF(C897="","",IFERROR(IF(LEFT(C897,1)="L",INDEX('Leads Pipeline'!$E$5:$E$1004,MATCH(C897,'Leads Pipeline'!$A$5:$A$1004,0)),INDEX('Active Clients'!$C$5:$C$504,MATCH(C897,'Active Clients'!$A$5:$A$504,0)))&amp;"","ID not found"))</f>
        <v/>
      </c>
      <c r="G897" s="16"/>
      <c r="H897" s="16"/>
      <c r="I897" s="16"/>
      <c r="J897" s="16"/>
      <c r="K897" s="16"/>
      <c r="L897" s="18"/>
    </row>
    <row r="898" customFormat="false" ht="15" hidden="false" customHeight="false" outlineLevel="0" collapsed="false">
      <c r="A898" s="18"/>
      <c r="B898" s="16"/>
      <c r="C898" s="16"/>
      <c r="D898" s="51" t="str">
        <f aca="false">IF(C898="","",IFERROR(IF(LEFT(C898,1)="L",INDEX('Leads Pipeline'!$F$5:$F$1004,MATCH(C898,'Leads Pipeline'!$A$5:$A$1004,0)),INDEX('Active Clients'!$D$5:$D$504,MATCH(C898,'Active Clients'!$A$5:$A$504,0)))&amp;"","ID not found"))</f>
        <v/>
      </c>
      <c r="E898" s="51" t="str">
        <f aca="false">IF(C898="","",IFERROR(IF(LEFT(C898,1)="L",INDEX('Leads Pipeline'!$D$5:$D$1004,MATCH(C898,'Leads Pipeline'!$A$5:$A$1004,0)),INDEX('Active Clients'!$B$5:$B$504,MATCH(C898,'Active Clients'!$A$5:$A$504,0)))&amp;"","ID not found"))</f>
        <v/>
      </c>
      <c r="F898" s="51" t="str">
        <f aca="false">IF(C898="","",IFERROR(IF(LEFT(C898,1)="L",INDEX('Leads Pipeline'!$E$5:$E$1004,MATCH(C898,'Leads Pipeline'!$A$5:$A$1004,0)),INDEX('Active Clients'!$C$5:$C$504,MATCH(C898,'Active Clients'!$A$5:$A$504,0)))&amp;"","ID not found"))</f>
        <v/>
      </c>
      <c r="G898" s="16"/>
      <c r="H898" s="16"/>
      <c r="I898" s="16"/>
      <c r="J898" s="16"/>
      <c r="K898" s="16"/>
      <c r="L898" s="18"/>
    </row>
    <row r="899" customFormat="false" ht="15" hidden="false" customHeight="false" outlineLevel="0" collapsed="false">
      <c r="A899" s="18"/>
      <c r="B899" s="16"/>
      <c r="C899" s="16"/>
      <c r="D899" s="51" t="str">
        <f aca="false">IF(C899="","",IFERROR(IF(LEFT(C899,1)="L",INDEX('Leads Pipeline'!$F$5:$F$1004,MATCH(C899,'Leads Pipeline'!$A$5:$A$1004,0)),INDEX('Active Clients'!$D$5:$D$504,MATCH(C899,'Active Clients'!$A$5:$A$504,0)))&amp;"","ID not found"))</f>
        <v/>
      </c>
      <c r="E899" s="51" t="str">
        <f aca="false">IF(C899="","",IFERROR(IF(LEFT(C899,1)="L",INDEX('Leads Pipeline'!$D$5:$D$1004,MATCH(C899,'Leads Pipeline'!$A$5:$A$1004,0)),INDEX('Active Clients'!$B$5:$B$504,MATCH(C899,'Active Clients'!$A$5:$A$504,0)))&amp;"","ID not found"))</f>
        <v/>
      </c>
      <c r="F899" s="51" t="str">
        <f aca="false">IF(C899="","",IFERROR(IF(LEFT(C899,1)="L",INDEX('Leads Pipeline'!$E$5:$E$1004,MATCH(C899,'Leads Pipeline'!$A$5:$A$1004,0)),INDEX('Active Clients'!$C$5:$C$504,MATCH(C899,'Active Clients'!$A$5:$A$504,0)))&amp;"","ID not found"))</f>
        <v/>
      </c>
      <c r="G899" s="16"/>
      <c r="H899" s="16"/>
      <c r="I899" s="16"/>
      <c r="J899" s="16"/>
      <c r="K899" s="16"/>
      <c r="L899" s="18"/>
    </row>
    <row r="900" customFormat="false" ht="15" hidden="false" customHeight="false" outlineLevel="0" collapsed="false">
      <c r="A900" s="18"/>
      <c r="B900" s="16"/>
      <c r="C900" s="16"/>
      <c r="D900" s="51" t="str">
        <f aca="false">IF(C900="","",IFERROR(IF(LEFT(C900,1)="L",INDEX('Leads Pipeline'!$F$5:$F$1004,MATCH(C900,'Leads Pipeline'!$A$5:$A$1004,0)),INDEX('Active Clients'!$D$5:$D$504,MATCH(C900,'Active Clients'!$A$5:$A$504,0)))&amp;"","ID not found"))</f>
        <v/>
      </c>
      <c r="E900" s="51" t="str">
        <f aca="false">IF(C900="","",IFERROR(IF(LEFT(C900,1)="L",INDEX('Leads Pipeline'!$D$5:$D$1004,MATCH(C900,'Leads Pipeline'!$A$5:$A$1004,0)),INDEX('Active Clients'!$B$5:$B$504,MATCH(C900,'Active Clients'!$A$5:$A$504,0)))&amp;"","ID not found"))</f>
        <v/>
      </c>
      <c r="F900" s="51" t="str">
        <f aca="false">IF(C900="","",IFERROR(IF(LEFT(C900,1)="L",INDEX('Leads Pipeline'!$E$5:$E$1004,MATCH(C900,'Leads Pipeline'!$A$5:$A$1004,0)),INDEX('Active Clients'!$C$5:$C$504,MATCH(C900,'Active Clients'!$A$5:$A$504,0)))&amp;"","ID not found"))</f>
        <v/>
      </c>
      <c r="G900" s="16"/>
      <c r="H900" s="16"/>
      <c r="I900" s="16"/>
      <c r="J900" s="16"/>
      <c r="K900" s="16"/>
      <c r="L900" s="18"/>
    </row>
    <row r="901" customFormat="false" ht="15" hidden="false" customHeight="false" outlineLevel="0" collapsed="false">
      <c r="A901" s="18"/>
      <c r="B901" s="16"/>
      <c r="C901" s="16"/>
      <c r="D901" s="51" t="str">
        <f aca="false">IF(C901="","",IFERROR(IF(LEFT(C901,1)="L",INDEX('Leads Pipeline'!$F$5:$F$1004,MATCH(C901,'Leads Pipeline'!$A$5:$A$1004,0)),INDEX('Active Clients'!$D$5:$D$504,MATCH(C901,'Active Clients'!$A$5:$A$504,0)))&amp;"","ID not found"))</f>
        <v/>
      </c>
      <c r="E901" s="51" t="str">
        <f aca="false">IF(C901="","",IFERROR(IF(LEFT(C901,1)="L",INDEX('Leads Pipeline'!$D$5:$D$1004,MATCH(C901,'Leads Pipeline'!$A$5:$A$1004,0)),INDEX('Active Clients'!$B$5:$B$504,MATCH(C901,'Active Clients'!$A$5:$A$504,0)))&amp;"","ID not found"))</f>
        <v/>
      </c>
      <c r="F901" s="51" t="str">
        <f aca="false">IF(C901="","",IFERROR(IF(LEFT(C901,1)="L",INDEX('Leads Pipeline'!$E$5:$E$1004,MATCH(C901,'Leads Pipeline'!$A$5:$A$1004,0)),INDEX('Active Clients'!$C$5:$C$504,MATCH(C901,'Active Clients'!$A$5:$A$504,0)))&amp;"","ID not found"))</f>
        <v/>
      </c>
      <c r="G901" s="16"/>
      <c r="H901" s="16"/>
      <c r="I901" s="16"/>
      <c r="J901" s="16"/>
      <c r="K901" s="16"/>
      <c r="L901" s="18"/>
    </row>
    <row r="902" customFormat="false" ht="15" hidden="false" customHeight="false" outlineLevel="0" collapsed="false">
      <c r="A902" s="18"/>
      <c r="B902" s="16"/>
      <c r="C902" s="16"/>
      <c r="D902" s="51" t="str">
        <f aca="false">IF(C902="","",IFERROR(IF(LEFT(C902,1)="L",INDEX('Leads Pipeline'!$F$5:$F$1004,MATCH(C902,'Leads Pipeline'!$A$5:$A$1004,0)),INDEX('Active Clients'!$D$5:$D$504,MATCH(C902,'Active Clients'!$A$5:$A$504,0)))&amp;"","ID not found"))</f>
        <v/>
      </c>
      <c r="E902" s="51" t="str">
        <f aca="false">IF(C902="","",IFERROR(IF(LEFT(C902,1)="L",INDEX('Leads Pipeline'!$D$5:$D$1004,MATCH(C902,'Leads Pipeline'!$A$5:$A$1004,0)),INDEX('Active Clients'!$B$5:$B$504,MATCH(C902,'Active Clients'!$A$5:$A$504,0)))&amp;"","ID not found"))</f>
        <v/>
      </c>
      <c r="F902" s="51" t="str">
        <f aca="false">IF(C902="","",IFERROR(IF(LEFT(C902,1)="L",INDEX('Leads Pipeline'!$E$5:$E$1004,MATCH(C902,'Leads Pipeline'!$A$5:$A$1004,0)),INDEX('Active Clients'!$C$5:$C$504,MATCH(C902,'Active Clients'!$A$5:$A$504,0)))&amp;"","ID not found"))</f>
        <v/>
      </c>
      <c r="G902" s="16"/>
      <c r="H902" s="16"/>
      <c r="I902" s="16"/>
      <c r="J902" s="16"/>
      <c r="K902" s="16"/>
      <c r="L902" s="18"/>
    </row>
    <row r="903" customFormat="false" ht="15" hidden="false" customHeight="false" outlineLevel="0" collapsed="false">
      <c r="A903" s="18"/>
      <c r="B903" s="16"/>
      <c r="C903" s="16"/>
      <c r="D903" s="51" t="str">
        <f aca="false">IF(C903="","",IFERROR(IF(LEFT(C903,1)="L",INDEX('Leads Pipeline'!$F$5:$F$1004,MATCH(C903,'Leads Pipeline'!$A$5:$A$1004,0)),INDEX('Active Clients'!$D$5:$D$504,MATCH(C903,'Active Clients'!$A$5:$A$504,0)))&amp;"","ID not found"))</f>
        <v/>
      </c>
      <c r="E903" s="51" t="str">
        <f aca="false">IF(C903="","",IFERROR(IF(LEFT(C903,1)="L",INDEX('Leads Pipeline'!$D$5:$D$1004,MATCH(C903,'Leads Pipeline'!$A$5:$A$1004,0)),INDEX('Active Clients'!$B$5:$B$504,MATCH(C903,'Active Clients'!$A$5:$A$504,0)))&amp;"","ID not found"))</f>
        <v/>
      </c>
      <c r="F903" s="51" t="str">
        <f aca="false">IF(C903="","",IFERROR(IF(LEFT(C903,1)="L",INDEX('Leads Pipeline'!$E$5:$E$1004,MATCH(C903,'Leads Pipeline'!$A$5:$A$1004,0)),INDEX('Active Clients'!$C$5:$C$504,MATCH(C903,'Active Clients'!$A$5:$A$504,0)))&amp;"","ID not found"))</f>
        <v/>
      </c>
      <c r="G903" s="16"/>
      <c r="H903" s="16"/>
      <c r="I903" s="16"/>
      <c r="J903" s="16"/>
      <c r="K903" s="16"/>
      <c r="L903" s="18"/>
    </row>
    <row r="904" customFormat="false" ht="15" hidden="false" customHeight="false" outlineLevel="0" collapsed="false">
      <c r="A904" s="18"/>
      <c r="B904" s="16"/>
      <c r="C904" s="16"/>
      <c r="D904" s="51" t="str">
        <f aca="false">IF(C904="","",IFERROR(IF(LEFT(C904,1)="L",INDEX('Leads Pipeline'!$F$5:$F$1004,MATCH(C904,'Leads Pipeline'!$A$5:$A$1004,0)),INDEX('Active Clients'!$D$5:$D$504,MATCH(C904,'Active Clients'!$A$5:$A$504,0)))&amp;"","ID not found"))</f>
        <v/>
      </c>
      <c r="E904" s="51" t="str">
        <f aca="false">IF(C904="","",IFERROR(IF(LEFT(C904,1)="L",INDEX('Leads Pipeline'!$D$5:$D$1004,MATCH(C904,'Leads Pipeline'!$A$5:$A$1004,0)),INDEX('Active Clients'!$B$5:$B$504,MATCH(C904,'Active Clients'!$A$5:$A$504,0)))&amp;"","ID not found"))</f>
        <v/>
      </c>
      <c r="F904" s="51" t="str">
        <f aca="false">IF(C904="","",IFERROR(IF(LEFT(C904,1)="L",INDEX('Leads Pipeline'!$E$5:$E$1004,MATCH(C904,'Leads Pipeline'!$A$5:$A$1004,0)),INDEX('Active Clients'!$C$5:$C$504,MATCH(C904,'Active Clients'!$A$5:$A$504,0)))&amp;"","ID not found"))</f>
        <v/>
      </c>
      <c r="G904" s="16"/>
      <c r="H904" s="16"/>
      <c r="I904" s="16"/>
      <c r="J904" s="16"/>
      <c r="K904" s="16"/>
      <c r="L904" s="18"/>
    </row>
    <row r="905" customFormat="false" ht="15" hidden="false" customHeight="false" outlineLevel="0" collapsed="false">
      <c r="A905" s="18"/>
      <c r="B905" s="16"/>
      <c r="C905" s="16"/>
      <c r="D905" s="51" t="str">
        <f aca="false">IF(C905="","",IFERROR(IF(LEFT(C905,1)="L",INDEX('Leads Pipeline'!$F$5:$F$1004,MATCH(C905,'Leads Pipeline'!$A$5:$A$1004,0)),INDEX('Active Clients'!$D$5:$D$504,MATCH(C905,'Active Clients'!$A$5:$A$504,0)))&amp;"","ID not found"))</f>
        <v/>
      </c>
      <c r="E905" s="51" t="str">
        <f aca="false">IF(C905="","",IFERROR(IF(LEFT(C905,1)="L",INDEX('Leads Pipeline'!$D$5:$D$1004,MATCH(C905,'Leads Pipeline'!$A$5:$A$1004,0)),INDEX('Active Clients'!$B$5:$B$504,MATCH(C905,'Active Clients'!$A$5:$A$504,0)))&amp;"","ID not found"))</f>
        <v/>
      </c>
      <c r="F905" s="51" t="str">
        <f aca="false">IF(C905="","",IFERROR(IF(LEFT(C905,1)="L",INDEX('Leads Pipeline'!$E$5:$E$1004,MATCH(C905,'Leads Pipeline'!$A$5:$A$1004,0)),INDEX('Active Clients'!$C$5:$C$504,MATCH(C905,'Active Clients'!$A$5:$A$504,0)))&amp;"","ID not found"))</f>
        <v/>
      </c>
      <c r="G905" s="16"/>
      <c r="H905" s="16"/>
      <c r="I905" s="16"/>
      <c r="J905" s="16"/>
      <c r="K905" s="16"/>
      <c r="L905" s="18"/>
    </row>
    <row r="906" customFormat="false" ht="15" hidden="false" customHeight="false" outlineLevel="0" collapsed="false">
      <c r="A906" s="18"/>
      <c r="B906" s="16"/>
      <c r="C906" s="16"/>
      <c r="D906" s="51" t="str">
        <f aca="false">IF(C906="","",IFERROR(IF(LEFT(C906,1)="L",INDEX('Leads Pipeline'!$F$5:$F$1004,MATCH(C906,'Leads Pipeline'!$A$5:$A$1004,0)),INDEX('Active Clients'!$D$5:$D$504,MATCH(C906,'Active Clients'!$A$5:$A$504,0)))&amp;"","ID not found"))</f>
        <v/>
      </c>
      <c r="E906" s="51" t="str">
        <f aca="false">IF(C906="","",IFERROR(IF(LEFT(C906,1)="L",INDEX('Leads Pipeline'!$D$5:$D$1004,MATCH(C906,'Leads Pipeline'!$A$5:$A$1004,0)),INDEX('Active Clients'!$B$5:$B$504,MATCH(C906,'Active Clients'!$A$5:$A$504,0)))&amp;"","ID not found"))</f>
        <v/>
      </c>
      <c r="F906" s="51" t="str">
        <f aca="false">IF(C906="","",IFERROR(IF(LEFT(C906,1)="L",INDEX('Leads Pipeline'!$E$5:$E$1004,MATCH(C906,'Leads Pipeline'!$A$5:$A$1004,0)),INDEX('Active Clients'!$C$5:$C$504,MATCH(C906,'Active Clients'!$A$5:$A$504,0)))&amp;"","ID not found"))</f>
        <v/>
      </c>
      <c r="G906" s="16"/>
      <c r="H906" s="16"/>
      <c r="I906" s="16"/>
      <c r="J906" s="16"/>
      <c r="K906" s="16"/>
      <c r="L906" s="18"/>
    </row>
    <row r="907" customFormat="false" ht="15" hidden="false" customHeight="false" outlineLevel="0" collapsed="false">
      <c r="A907" s="18"/>
      <c r="B907" s="16"/>
      <c r="C907" s="16"/>
      <c r="D907" s="51" t="str">
        <f aca="false">IF(C907="","",IFERROR(IF(LEFT(C907,1)="L",INDEX('Leads Pipeline'!$F$5:$F$1004,MATCH(C907,'Leads Pipeline'!$A$5:$A$1004,0)),INDEX('Active Clients'!$D$5:$D$504,MATCH(C907,'Active Clients'!$A$5:$A$504,0)))&amp;"","ID not found"))</f>
        <v/>
      </c>
      <c r="E907" s="51" t="str">
        <f aca="false">IF(C907="","",IFERROR(IF(LEFT(C907,1)="L",INDEX('Leads Pipeline'!$D$5:$D$1004,MATCH(C907,'Leads Pipeline'!$A$5:$A$1004,0)),INDEX('Active Clients'!$B$5:$B$504,MATCH(C907,'Active Clients'!$A$5:$A$504,0)))&amp;"","ID not found"))</f>
        <v/>
      </c>
      <c r="F907" s="51" t="str">
        <f aca="false">IF(C907="","",IFERROR(IF(LEFT(C907,1)="L",INDEX('Leads Pipeline'!$E$5:$E$1004,MATCH(C907,'Leads Pipeline'!$A$5:$A$1004,0)),INDEX('Active Clients'!$C$5:$C$504,MATCH(C907,'Active Clients'!$A$5:$A$504,0)))&amp;"","ID not found"))</f>
        <v/>
      </c>
      <c r="G907" s="16"/>
      <c r="H907" s="16"/>
      <c r="I907" s="16"/>
      <c r="J907" s="16"/>
      <c r="K907" s="16"/>
      <c r="L907" s="18"/>
    </row>
    <row r="908" customFormat="false" ht="15" hidden="false" customHeight="false" outlineLevel="0" collapsed="false">
      <c r="A908" s="18"/>
      <c r="B908" s="16"/>
      <c r="C908" s="16"/>
      <c r="D908" s="51" t="str">
        <f aca="false">IF(C908="","",IFERROR(IF(LEFT(C908,1)="L",INDEX('Leads Pipeline'!$F$5:$F$1004,MATCH(C908,'Leads Pipeline'!$A$5:$A$1004,0)),INDEX('Active Clients'!$D$5:$D$504,MATCH(C908,'Active Clients'!$A$5:$A$504,0)))&amp;"","ID not found"))</f>
        <v/>
      </c>
      <c r="E908" s="51" t="str">
        <f aca="false">IF(C908="","",IFERROR(IF(LEFT(C908,1)="L",INDEX('Leads Pipeline'!$D$5:$D$1004,MATCH(C908,'Leads Pipeline'!$A$5:$A$1004,0)),INDEX('Active Clients'!$B$5:$B$504,MATCH(C908,'Active Clients'!$A$5:$A$504,0)))&amp;"","ID not found"))</f>
        <v/>
      </c>
      <c r="F908" s="51" t="str">
        <f aca="false">IF(C908="","",IFERROR(IF(LEFT(C908,1)="L",INDEX('Leads Pipeline'!$E$5:$E$1004,MATCH(C908,'Leads Pipeline'!$A$5:$A$1004,0)),INDEX('Active Clients'!$C$5:$C$504,MATCH(C908,'Active Clients'!$A$5:$A$504,0)))&amp;"","ID not found"))</f>
        <v/>
      </c>
      <c r="G908" s="16"/>
      <c r="H908" s="16"/>
      <c r="I908" s="16"/>
      <c r="J908" s="16"/>
      <c r="K908" s="16"/>
      <c r="L908" s="18"/>
    </row>
    <row r="909" customFormat="false" ht="15" hidden="false" customHeight="false" outlineLevel="0" collapsed="false">
      <c r="A909" s="18"/>
      <c r="B909" s="16"/>
      <c r="C909" s="16"/>
      <c r="D909" s="51" t="str">
        <f aca="false">IF(C909="","",IFERROR(IF(LEFT(C909,1)="L",INDEX('Leads Pipeline'!$F$5:$F$1004,MATCH(C909,'Leads Pipeline'!$A$5:$A$1004,0)),INDEX('Active Clients'!$D$5:$D$504,MATCH(C909,'Active Clients'!$A$5:$A$504,0)))&amp;"","ID not found"))</f>
        <v/>
      </c>
      <c r="E909" s="51" t="str">
        <f aca="false">IF(C909="","",IFERROR(IF(LEFT(C909,1)="L",INDEX('Leads Pipeline'!$D$5:$D$1004,MATCH(C909,'Leads Pipeline'!$A$5:$A$1004,0)),INDEX('Active Clients'!$B$5:$B$504,MATCH(C909,'Active Clients'!$A$5:$A$504,0)))&amp;"","ID not found"))</f>
        <v/>
      </c>
      <c r="F909" s="51" t="str">
        <f aca="false">IF(C909="","",IFERROR(IF(LEFT(C909,1)="L",INDEX('Leads Pipeline'!$E$5:$E$1004,MATCH(C909,'Leads Pipeline'!$A$5:$A$1004,0)),INDEX('Active Clients'!$C$5:$C$504,MATCH(C909,'Active Clients'!$A$5:$A$504,0)))&amp;"","ID not found"))</f>
        <v/>
      </c>
      <c r="G909" s="16"/>
      <c r="H909" s="16"/>
      <c r="I909" s="16"/>
      <c r="J909" s="16"/>
      <c r="K909" s="16"/>
      <c r="L909" s="18"/>
    </row>
    <row r="910" customFormat="false" ht="15" hidden="false" customHeight="false" outlineLevel="0" collapsed="false">
      <c r="A910" s="18"/>
      <c r="B910" s="16"/>
      <c r="C910" s="16"/>
      <c r="D910" s="51" t="str">
        <f aca="false">IF(C910="","",IFERROR(IF(LEFT(C910,1)="L",INDEX('Leads Pipeline'!$F$5:$F$1004,MATCH(C910,'Leads Pipeline'!$A$5:$A$1004,0)),INDEX('Active Clients'!$D$5:$D$504,MATCH(C910,'Active Clients'!$A$5:$A$504,0)))&amp;"","ID not found"))</f>
        <v/>
      </c>
      <c r="E910" s="51" t="str">
        <f aca="false">IF(C910="","",IFERROR(IF(LEFT(C910,1)="L",INDEX('Leads Pipeline'!$D$5:$D$1004,MATCH(C910,'Leads Pipeline'!$A$5:$A$1004,0)),INDEX('Active Clients'!$B$5:$B$504,MATCH(C910,'Active Clients'!$A$5:$A$504,0)))&amp;"","ID not found"))</f>
        <v/>
      </c>
      <c r="F910" s="51" t="str">
        <f aca="false">IF(C910="","",IFERROR(IF(LEFT(C910,1)="L",INDEX('Leads Pipeline'!$E$5:$E$1004,MATCH(C910,'Leads Pipeline'!$A$5:$A$1004,0)),INDEX('Active Clients'!$C$5:$C$504,MATCH(C910,'Active Clients'!$A$5:$A$504,0)))&amp;"","ID not found"))</f>
        <v/>
      </c>
      <c r="G910" s="16"/>
      <c r="H910" s="16"/>
      <c r="I910" s="16"/>
      <c r="J910" s="16"/>
      <c r="K910" s="16"/>
      <c r="L910" s="18"/>
    </row>
    <row r="911" customFormat="false" ht="15" hidden="false" customHeight="false" outlineLevel="0" collapsed="false">
      <c r="A911" s="18"/>
      <c r="B911" s="16"/>
      <c r="C911" s="16"/>
      <c r="D911" s="51" t="str">
        <f aca="false">IF(C911="","",IFERROR(IF(LEFT(C911,1)="L",INDEX('Leads Pipeline'!$F$5:$F$1004,MATCH(C911,'Leads Pipeline'!$A$5:$A$1004,0)),INDEX('Active Clients'!$D$5:$D$504,MATCH(C911,'Active Clients'!$A$5:$A$504,0)))&amp;"","ID not found"))</f>
        <v/>
      </c>
      <c r="E911" s="51" t="str">
        <f aca="false">IF(C911="","",IFERROR(IF(LEFT(C911,1)="L",INDEX('Leads Pipeline'!$D$5:$D$1004,MATCH(C911,'Leads Pipeline'!$A$5:$A$1004,0)),INDEX('Active Clients'!$B$5:$B$504,MATCH(C911,'Active Clients'!$A$5:$A$504,0)))&amp;"","ID not found"))</f>
        <v/>
      </c>
      <c r="F911" s="51" t="str">
        <f aca="false">IF(C911="","",IFERROR(IF(LEFT(C911,1)="L",INDEX('Leads Pipeline'!$E$5:$E$1004,MATCH(C911,'Leads Pipeline'!$A$5:$A$1004,0)),INDEX('Active Clients'!$C$5:$C$504,MATCH(C911,'Active Clients'!$A$5:$A$504,0)))&amp;"","ID not found"))</f>
        <v/>
      </c>
      <c r="G911" s="16"/>
      <c r="H911" s="16"/>
      <c r="I911" s="16"/>
      <c r="J911" s="16"/>
      <c r="K911" s="16"/>
      <c r="L911" s="18"/>
    </row>
    <row r="912" customFormat="false" ht="15" hidden="false" customHeight="false" outlineLevel="0" collapsed="false">
      <c r="A912" s="18"/>
      <c r="B912" s="16"/>
      <c r="C912" s="16"/>
      <c r="D912" s="51" t="str">
        <f aca="false">IF(C912="","",IFERROR(IF(LEFT(C912,1)="L",INDEX('Leads Pipeline'!$F$5:$F$1004,MATCH(C912,'Leads Pipeline'!$A$5:$A$1004,0)),INDEX('Active Clients'!$D$5:$D$504,MATCH(C912,'Active Clients'!$A$5:$A$504,0)))&amp;"","ID not found"))</f>
        <v/>
      </c>
      <c r="E912" s="51" t="str">
        <f aca="false">IF(C912="","",IFERROR(IF(LEFT(C912,1)="L",INDEX('Leads Pipeline'!$D$5:$D$1004,MATCH(C912,'Leads Pipeline'!$A$5:$A$1004,0)),INDEX('Active Clients'!$B$5:$B$504,MATCH(C912,'Active Clients'!$A$5:$A$504,0)))&amp;"","ID not found"))</f>
        <v/>
      </c>
      <c r="F912" s="51" t="str">
        <f aca="false">IF(C912="","",IFERROR(IF(LEFT(C912,1)="L",INDEX('Leads Pipeline'!$E$5:$E$1004,MATCH(C912,'Leads Pipeline'!$A$5:$A$1004,0)),INDEX('Active Clients'!$C$5:$C$504,MATCH(C912,'Active Clients'!$A$5:$A$504,0)))&amp;"","ID not found"))</f>
        <v/>
      </c>
      <c r="G912" s="16"/>
      <c r="H912" s="16"/>
      <c r="I912" s="16"/>
      <c r="J912" s="16"/>
      <c r="K912" s="16"/>
      <c r="L912" s="18"/>
    </row>
    <row r="913" customFormat="false" ht="15" hidden="false" customHeight="false" outlineLevel="0" collapsed="false">
      <c r="A913" s="18"/>
      <c r="B913" s="16"/>
      <c r="C913" s="16"/>
      <c r="D913" s="51" t="str">
        <f aca="false">IF(C913="","",IFERROR(IF(LEFT(C913,1)="L",INDEX('Leads Pipeline'!$F$5:$F$1004,MATCH(C913,'Leads Pipeline'!$A$5:$A$1004,0)),INDEX('Active Clients'!$D$5:$D$504,MATCH(C913,'Active Clients'!$A$5:$A$504,0)))&amp;"","ID not found"))</f>
        <v/>
      </c>
      <c r="E913" s="51" t="str">
        <f aca="false">IF(C913="","",IFERROR(IF(LEFT(C913,1)="L",INDEX('Leads Pipeline'!$D$5:$D$1004,MATCH(C913,'Leads Pipeline'!$A$5:$A$1004,0)),INDEX('Active Clients'!$B$5:$B$504,MATCH(C913,'Active Clients'!$A$5:$A$504,0)))&amp;"","ID not found"))</f>
        <v/>
      </c>
      <c r="F913" s="51" t="str">
        <f aca="false">IF(C913="","",IFERROR(IF(LEFT(C913,1)="L",INDEX('Leads Pipeline'!$E$5:$E$1004,MATCH(C913,'Leads Pipeline'!$A$5:$A$1004,0)),INDEX('Active Clients'!$C$5:$C$504,MATCH(C913,'Active Clients'!$A$5:$A$504,0)))&amp;"","ID not found"))</f>
        <v/>
      </c>
      <c r="G913" s="16"/>
      <c r="H913" s="16"/>
      <c r="I913" s="16"/>
      <c r="J913" s="16"/>
      <c r="K913" s="16"/>
      <c r="L913" s="18"/>
    </row>
    <row r="914" customFormat="false" ht="15" hidden="false" customHeight="false" outlineLevel="0" collapsed="false">
      <c r="A914" s="18"/>
      <c r="B914" s="16"/>
      <c r="C914" s="16"/>
      <c r="D914" s="51" t="str">
        <f aca="false">IF(C914="","",IFERROR(IF(LEFT(C914,1)="L",INDEX('Leads Pipeline'!$F$5:$F$1004,MATCH(C914,'Leads Pipeline'!$A$5:$A$1004,0)),INDEX('Active Clients'!$D$5:$D$504,MATCH(C914,'Active Clients'!$A$5:$A$504,0)))&amp;"","ID not found"))</f>
        <v/>
      </c>
      <c r="E914" s="51" t="str">
        <f aca="false">IF(C914="","",IFERROR(IF(LEFT(C914,1)="L",INDEX('Leads Pipeline'!$D$5:$D$1004,MATCH(C914,'Leads Pipeline'!$A$5:$A$1004,0)),INDEX('Active Clients'!$B$5:$B$504,MATCH(C914,'Active Clients'!$A$5:$A$504,0)))&amp;"","ID not found"))</f>
        <v/>
      </c>
      <c r="F914" s="51" t="str">
        <f aca="false">IF(C914="","",IFERROR(IF(LEFT(C914,1)="L",INDEX('Leads Pipeline'!$E$5:$E$1004,MATCH(C914,'Leads Pipeline'!$A$5:$A$1004,0)),INDEX('Active Clients'!$C$5:$C$504,MATCH(C914,'Active Clients'!$A$5:$A$504,0)))&amp;"","ID not found"))</f>
        <v/>
      </c>
      <c r="G914" s="16"/>
      <c r="H914" s="16"/>
      <c r="I914" s="16"/>
      <c r="J914" s="16"/>
      <c r="K914" s="16"/>
      <c r="L914" s="18"/>
    </row>
    <row r="915" customFormat="false" ht="15" hidden="false" customHeight="false" outlineLevel="0" collapsed="false">
      <c r="A915" s="18"/>
      <c r="B915" s="16"/>
      <c r="C915" s="16"/>
      <c r="D915" s="51" t="str">
        <f aca="false">IF(C915="","",IFERROR(IF(LEFT(C915,1)="L",INDEX('Leads Pipeline'!$F$5:$F$1004,MATCH(C915,'Leads Pipeline'!$A$5:$A$1004,0)),INDEX('Active Clients'!$D$5:$D$504,MATCH(C915,'Active Clients'!$A$5:$A$504,0)))&amp;"","ID not found"))</f>
        <v/>
      </c>
      <c r="E915" s="51" t="str">
        <f aca="false">IF(C915="","",IFERROR(IF(LEFT(C915,1)="L",INDEX('Leads Pipeline'!$D$5:$D$1004,MATCH(C915,'Leads Pipeline'!$A$5:$A$1004,0)),INDEX('Active Clients'!$B$5:$B$504,MATCH(C915,'Active Clients'!$A$5:$A$504,0)))&amp;"","ID not found"))</f>
        <v/>
      </c>
      <c r="F915" s="51" t="str">
        <f aca="false">IF(C915="","",IFERROR(IF(LEFT(C915,1)="L",INDEX('Leads Pipeline'!$E$5:$E$1004,MATCH(C915,'Leads Pipeline'!$A$5:$A$1004,0)),INDEX('Active Clients'!$C$5:$C$504,MATCH(C915,'Active Clients'!$A$5:$A$504,0)))&amp;"","ID not found"))</f>
        <v/>
      </c>
      <c r="G915" s="16"/>
      <c r="H915" s="16"/>
      <c r="I915" s="16"/>
      <c r="J915" s="16"/>
      <c r="K915" s="16"/>
      <c r="L915" s="18"/>
    </row>
    <row r="916" customFormat="false" ht="15" hidden="false" customHeight="false" outlineLevel="0" collapsed="false">
      <c r="A916" s="18"/>
      <c r="B916" s="16"/>
      <c r="C916" s="16"/>
      <c r="D916" s="51" t="str">
        <f aca="false">IF(C916="","",IFERROR(IF(LEFT(C916,1)="L",INDEX('Leads Pipeline'!$F$5:$F$1004,MATCH(C916,'Leads Pipeline'!$A$5:$A$1004,0)),INDEX('Active Clients'!$D$5:$D$504,MATCH(C916,'Active Clients'!$A$5:$A$504,0)))&amp;"","ID not found"))</f>
        <v/>
      </c>
      <c r="E916" s="51" t="str">
        <f aca="false">IF(C916="","",IFERROR(IF(LEFT(C916,1)="L",INDEX('Leads Pipeline'!$D$5:$D$1004,MATCH(C916,'Leads Pipeline'!$A$5:$A$1004,0)),INDEX('Active Clients'!$B$5:$B$504,MATCH(C916,'Active Clients'!$A$5:$A$504,0)))&amp;"","ID not found"))</f>
        <v/>
      </c>
      <c r="F916" s="51" t="str">
        <f aca="false">IF(C916="","",IFERROR(IF(LEFT(C916,1)="L",INDEX('Leads Pipeline'!$E$5:$E$1004,MATCH(C916,'Leads Pipeline'!$A$5:$A$1004,0)),INDEX('Active Clients'!$C$5:$C$504,MATCH(C916,'Active Clients'!$A$5:$A$504,0)))&amp;"","ID not found"))</f>
        <v/>
      </c>
      <c r="G916" s="16"/>
      <c r="H916" s="16"/>
      <c r="I916" s="16"/>
      <c r="J916" s="16"/>
      <c r="K916" s="16"/>
      <c r="L916" s="18"/>
    </row>
    <row r="917" customFormat="false" ht="15" hidden="false" customHeight="false" outlineLevel="0" collapsed="false">
      <c r="A917" s="18"/>
      <c r="B917" s="16"/>
      <c r="C917" s="16"/>
      <c r="D917" s="51" t="str">
        <f aca="false">IF(C917="","",IFERROR(IF(LEFT(C917,1)="L",INDEX('Leads Pipeline'!$F$5:$F$1004,MATCH(C917,'Leads Pipeline'!$A$5:$A$1004,0)),INDEX('Active Clients'!$D$5:$D$504,MATCH(C917,'Active Clients'!$A$5:$A$504,0)))&amp;"","ID not found"))</f>
        <v/>
      </c>
      <c r="E917" s="51" t="str">
        <f aca="false">IF(C917="","",IFERROR(IF(LEFT(C917,1)="L",INDEX('Leads Pipeline'!$D$5:$D$1004,MATCH(C917,'Leads Pipeline'!$A$5:$A$1004,0)),INDEX('Active Clients'!$B$5:$B$504,MATCH(C917,'Active Clients'!$A$5:$A$504,0)))&amp;"","ID not found"))</f>
        <v/>
      </c>
      <c r="F917" s="51" t="str">
        <f aca="false">IF(C917="","",IFERROR(IF(LEFT(C917,1)="L",INDEX('Leads Pipeline'!$E$5:$E$1004,MATCH(C917,'Leads Pipeline'!$A$5:$A$1004,0)),INDEX('Active Clients'!$C$5:$C$504,MATCH(C917,'Active Clients'!$A$5:$A$504,0)))&amp;"","ID not found"))</f>
        <v/>
      </c>
      <c r="G917" s="16"/>
      <c r="H917" s="16"/>
      <c r="I917" s="16"/>
      <c r="J917" s="16"/>
      <c r="K917" s="16"/>
      <c r="L917" s="18"/>
    </row>
    <row r="918" customFormat="false" ht="15" hidden="false" customHeight="false" outlineLevel="0" collapsed="false">
      <c r="A918" s="18"/>
      <c r="B918" s="16"/>
      <c r="C918" s="16"/>
      <c r="D918" s="51" t="str">
        <f aca="false">IF(C918="","",IFERROR(IF(LEFT(C918,1)="L",INDEX('Leads Pipeline'!$F$5:$F$1004,MATCH(C918,'Leads Pipeline'!$A$5:$A$1004,0)),INDEX('Active Clients'!$D$5:$D$504,MATCH(C918,'Active Clients'!$A$5:$A$504,0)))&amp;"","ID not found"))</f>
        <v/>
      </c>
      <c r="E918" s="51" t="str">
        <f aca="false">IF(C918="","",IFERROR(IF(LEFT(C918,1)="L",INDEX('Leads Pipeline'!$D$5:$D$1004,MATCH(C918,'Leads Pipeline'!$A$5:$A$1004,0)),INDEX('Active Clients'!$B$5:$B$504,MATCH(C918,'Active Clients'!$A$5:$A$504,0)))&amp;"","ID not found"))</f>
        <v/>
      </c>
      <c r="F918" s="51" t="str">
        <f aca="false">IF(C918="","",IFERROR(IF(LEFT(C918,1)="L",INDEX('Leads Pipeline'!$E$5:$E$1004,MATCH(C918,'Leads Pipeline'!$A$5:$A$1004,0)),INDEX('Active Clients'!$C$5:$C$504,MATCH(C918,'Active Clients'!$A$5:$A$504,0)))&amp;"","ID not found"))</f>
        <v/>
      </c>
      <c r="G918" s="16"/>
      <c r="H918" s="16"/>
      <c r="I918" s="16"/>
      <c r="J918" s="16"/>
      <c r="K918" s="16"/>
      <c r="L918" s="18"/>
    </row>
    <row r="919" customFormat="false" ht="15" hidden="false" customHeight="false" outlineLevel="0" collapsed="false">
      <c r="A919" s="18"/>
      <c r="B919" s="16"/>
      <c r="C919" s="16"/>
      <c r="D919" s="51" t="str">
        <f aca="false">IF(C919="","",IFERROR(IF(LEFT(C919,1)="L",INDEX('Leads Pipeline'!$F$5:$F$1004,MATCH(C919,'Leads Pipeline'!$A$5:$A$1004,0)),INDEX('Active Clients'!$D$5:$D$504,MATCH(C919,'Active Clients'!$A$5:$A$504,0)))&amp;"","ID not found"))</f>
        <v/>
      </c>
      <c r="E919" s="51" t="str">
        <f aca="false">IF(C919="","",IFERROR(IF(LEFT(C919,1)="L",INDEX('Leads Pipeline'!$D$5:$D$1004,MATCH(C919,'Leads Pipeline'!$A$5:$A$1004,0)),INDEX('Active Clients'!$B$5:$B$504,MATCH(C919,'Active Clients'!$A$5:$A$504,0)))&amp;"","ID not found"))</f>
        <v/>
      </c>
      <c r="F919" s="51" t="str">
        <f aca="false">IF(C919="","",IFERROR(IF(LEFT(C919,1)="L",INDEX('Leads Pipeline'!$E$5:$E$1004,MATCH(C919,'Leads Pipeline'!$A$5:$A$1004,0)),INDEX('Active Clients'!$C$5:$C$504,MATCH(C919,'Active Clients'!$A$5:$A$504,0)))&amp;"","ID not found"))</f>
        <v/>
      </c>
      <c r="G919" s="16"/>
      <c r="H919" s="16"/>
      <c r="I919" s="16"/>
      <c r="J919" s="16"/>
      <c r="K919" s="16"/>
      <c r="L919" s="18"/>
    </row>
    <row r="920" customFormat="false" ht="15" hidden="false" customHeight="false" outlineLevel="0" collapsed="false">
      <c r="A920" s="18"/>
      <c r="B920" s="16"/>
      <c r="C920" s="16"/>
      <c r="D920" s="51" t="str">
        <f aca="false">IF(C920="","",IFERROR(IF(LEFT(C920,1)="L",INDEX('Leads Pipeline'!$F$5:$F$1004,MATCH(C920,'Leads Pipeline'!$A$5:$A$1004,0)),INDEX('Active Clients'!$D$5:$D$504,MATCH(C920,'Active Clients'!$A$5:$A$504,0)))&amp;"","ID not found"))</f>
        <v/>
      </c>
      <c r="E920" s="51" t="str">
        <f aca="false">IF(C920="","",IFERROR(IF(LEFT(C920,1)="L",INDEX('Leads Pipeline'!$D$5:$D$1004,MATCH(C920,'Leads Pipeline'!$A$5:$A$1004,0)),INDEX('Active Clients'!$B$5:$B$504,MATCH(C920,'Active Clients'!$A$5:$A$504,0)))&amp;"","ID not found"))</f>
        <v/>
      </c>
      <c r="F920" s="51" t="str">
        <f aca="false">IF(C920="","",IFERROR(IF(LEFT(C920,1)="L",INDEX('Leads Pipeline'!$E$5:$E$1004,MATCH(C920,'Leads Pipeline'!$A$5:$A$1004,0)),INDEX('Active Clients'!$C$5:$C$504,MATCH(C920,'Active Clients'!$A$5:$A$504,0)))&amp;"","ID not found"))</f>
        <v/>
      </c>
      <c r="G920" s="16"/>
      <c r="H920" s="16"/>
      <c r="I920" s="16"/>
      <c r="J920" s="16"/>
      <c r="K920" s="16"/>
      <c r="L920" s="18"/>
    </row>
    <row r="921" customFormat="false" ht="15" hidden="false" customHeight="false" outlineLevel="0" collapsed="false">
      <c r="A921" s="18"/>
      <c r="B921" s="16"/>
      <c r="C921" s="16"/>
      <c r="D921" s="51" t="str">
        <f aca="false">IF(C921="","",IFERROR(IF(LEFT(C921,1)="L",INDEX('Leads Pipeline'!$F$5:$F$1004,MATCH(C921,'Leads Pipeline'!$A$5:$A$1004,0)),INDEX('Active Clients'!$D$5:$D$504,MATCH(C921,'Active Clients'!$A$5:$A$504,0)))&amp;"","ID not found"))</f>
        <v/>
      </c>
      <c r="E921" s="51" t="str">
        <f aca="false">IF(C921="","",IFERROR(IF(LEFT(C921,1)="L",INDEX('Leads Pipeline'!$D$5:$D$1004,MATCH(C921,'Leads Pipeline'!$A$5:$A$1004,0)),INDEX('Active Clients'!$B$5:$B$504,MATCH(C921,'Active Clients'!$A$5:$A$504,0)))&amp;"","ID not found"))</f>
        <v/>
      </c>
      <c r="F921" s="51" t="str">
        <f aca="false">IF(C921="","",IFERROR(IF(LEFT(C921,1)="L",INDEX('Leads Pipeline'!$E$5:$E$1004,MATCH(C921,'Leads Pipeline'!$A$5:$A$1004,0)),INDEX('Active Clients'!$C$5:$C$504,MATCH(C921,'Active Clients'!$A$5:$A$504,0)))&amp;"","ID not found"))</f>
        <v/>
      </c>
      <c r="G921" s="16"/>
      <c r="H921" s="16"/>
      <c r="I921" s="16"/>
      <c r="J921" s="16"/>
      <c r="K921" s="16"/>
      <c r="L921" s="18"/>
    </row>
    <row r="922" customFormat="false" ht="15" hidden="false" customHeight="false" outlineLevel="0" collapsed="false">
      <c r="A922" s="18"/>
      <c r="B922" s="16"/>
      <c r="C922" s="16"/>
      <c r="D922" s="51" t="str">
        <f aca="false">IF(C922="","",IFERROR(IF(LEFT(C922,1)="L",INDEX('Leads Pipeline'!$F$5:$F$1004,MATCH(C922,'Leads Pipeline'!$A$5:$A$1004,0)),INDEX('Active Clients'!$D$5:$D$504,MATCH(C922,'Active Clients'!$A$5:$A$504,0)))&amp;"","ID not found"))</f>
        <v/>
      </c>
      <c r="E922" s="51" t="str">
        <f aca="false">IF(C922="","",IFERROR(IF(LEFT(C922,1)="L",INDEX('Leads Pipeline'!$D$5:$D$1004,MATCH(C922,'Leads Pipeline'!$A$5:$A$1004,0)),INDEX('Active Clients'!$B$5:$B$504,MATCH(C922,'Active Clients'!$A$5:$A$504,0)))&amp;"","ID not found"))</f>
        <v/>
      </c>
      <c r="F922" s="51" t="str">
        <f aca="false">IF(C922="","",IFERROR(IF(LEFT(C922,1)="L",INDEX('Leads Pipeline'!$E$5:$E$1004,MATCH(C922,'Leads Pipeline'!$A$5:$A$1004,0)),INDEX('Active Clients'!$C$5:$C$504,MATCH(C922,'Active Clients'!$A$5:$A$504,0)))&amp;"","ID not found"))</f>
        <v/>
      </c>
      <c r="G922" s="16"/>
      <c r="H922" s="16"/>
      <c r="I922" s="16"/>
      <c r="J922" s="16"/>
      <c r="K922" s="16"/>
      <c r="L922" s="18"/>
    </row>
    <row r="923" customFormat="false" ht="15" hidden="false" customHeight="false" outlineLevel="0" collapsed="false">
      <c r="A923" s="18"/>
      <c r="B923" s="16"/>
      <c r="C923" s="16"/>
      <c r="D923" s="51" t="str">
        <f aca="false">IF(C923="","",IFERROR(IF(LEFT(C923,1)="L",INDEX('Leads Pipeline'!$F$5:$F$1004,MATCH(C923,'Leads Pipeline'!$A$5:$A$1004,0)),INDEX('Active Clients'!$D$5:$D$504,MATCH(C923,'Active Clients'!$A$5:$A$504,0)))&amp;"","ID not found"))</f>
        <v/>
      </c>
      <c r="E923" s="51" t="str">
        <f aca="false">IF(C923="","",IFERROR(IF(LEFT(C923,1)="L",INDEX('Leads Pipeline'!$D$5:$D$1004,MATCH(C923,'Leads Pipeline'!$A$5:$A$1004,0)),INDEX('Active Clients'!$B$5:$B$504,MATCH(C923,'Active Clients'!$A$5:$A$504,0)))&amp;"","ID not found"))</f>
        <v/>
      </c>
      <c r="F923" s="51" t="str">
        <f aca="false">IF(C923="","",IFERROR(IF(LEFT(C923,1)="L",INDEX('Leads Pipeline'!$E$5:$E$1004,MATCH(C923,'Leads Pipeline'!$A$5:$A$1004,0)),INDEX('Active Clients'!$C$5:$C$504,MATCH(C923,'Active Clients'!$A$5:$A$504,0)))&amp;"","ID not found"))</f>
        <v/>
      </c>
      <c r="G923" s="16"/>
      <c r="H923" s="16"/>
      <c r="I923" s="16"/>
      <c r="J923" s="16"/>
      <c r="K923" s="16"/>
      <c r="L923" s="18"/>
    </row>
    <row r="924" customFormat="false" ht="15" hidden="false" customHeight="false" outlineLevel="0" collapsed="false">
      <c r="A924" s="18"/>
      <c r="B924" s="16"/>
      <c r="C924" s="16"/>
      <c r="D924" s="51" t="str">
        <f aca="false">IF(C924="","",IFERROR(IF(LEFT(C924,1)="L",INDEX('Leads Pipeline'!$F$5:$F$1004,MATCH(C924,'Leads Pipeline'!$A$5:$A$1004,0)),INDEX('Active Clients'!$D$5:$D$504,MATCH(C924,'Active Clients'!$A$5:$A$504,0)))&amp;"","ID not found"))</f>
        <v/>
      </c>
      <c r="E924" s="51" t="str">
        <f aca="false">IF(C924="","",IFERROR(IF(LEFT(C924,1)="L",INDEX('Leads Pipeline'!$D$5:$D$1004,MATCH(C924,'Leads Pipeline'!$A$5:$A$1004,0)),INDEX('Active Clients'!$B$5:$B$504,MATCH(C924,'Active Clients'!$A$5:$A$504,0)))&amp;"","ID not found"))</f>
        <v/>
      </c>
      <c r="F924" s="51" t="str">
        <f aca="false">IF(C924="","",IFERROR(IF(LEFT(C924,1)="L",INDEX('Leads Pipeline'!$E$5:$E$1004,MATCH(C924,'Leads Pipeline'!$A$5:$A$1004,0)),INDEX('Active Clients'!$C$5:$C$504,MATCH(C924,'Active Clients'!$A$5:$A$504,0)))&amp;"","ID not found"))</f>
        <v/>
      </c>
      <c r="G924" s="16"/>
      <c r="H924" s="16"/>
      <c r="I924" s="16"/>
      <c r="J924" s="16"/>
      <c r="K924" s="16"/>
      <c r="L924" s="18"/>
    </row>
    <row r="925" customFormat="false" ht="15" hidden="false" customHeight="false" outlineLevel="0" collapsed="false">
      <c r="A925" s="18"/>
      <c r="B925" s="16"/>
      <c r="C925" s="16"/>
      <c r="D925" s="51" t="str">
        <f aca="false">IF(C925="","",IFERROR(IF(LEFT(C925,1)="L",INDEX('Leads Pipeline'!$F$5:$F$1004,MATCH(C925,'Leads Pipeline'!$A$5:$A$1004,0)),INDEX('Active Clients'!$D$5:$D$504,MATCH(C925,'Active Clients'!$A$5:$A$504,0)))&amp;"","ID not found"))</f>
        <v/>
      </c>
      <c r="E925" s="51" t="str">
        <f aca="false">IF(C925="","",IFERROR(IF(LEFT(C925,1)="L",INDEX('Leads Pipeline'!$D$5:$D$1004,MATCH(C925,'Leads Pipeline'!$A$5:$A$1004,0)),INDEX('Active Clients'!$B$5:$B$504,MATCH(C925,'Active Clients'!$A$5:$A$504,0)))&amp;"","ID not found"))</f>
        <v/>
      </c>
      <c r="F925" s="51" t="str">
        <f aca="false">IF(C925="","",IFERROR(IF(LEFT(C925,1)="L",INDEX('Leads Pipeline'!$E$5:$E$1004,MATCH(C925,'Leads Pipeline'!$A$5:$A$1004,0)),INDEX('Active Clients'!$C$5:$C$504,MATCH(C925,'Active Clients'!$A$5:$A$504,0)))&amp;"","ID not found"))</f>
        <v/>
      </c>
      <c r="G925" s="16"/>
      <c r="H925" s="16"/>
      <c r="I925" s="16"/>
      <c r="J925" s="16"/>
      <c r="K925" s="16"/>
      <c r="L925" s="18"/>
    </row>
    <row r="926" customFormat="false" ht="15" hidden="false" customHeight="false" outlineLevel="0" collapsed="false">
      <c r="A926" s="18"/>
      <c r="B926" s="16"/>
      <c r="C926" s="16"/>
      <c r="D926" s="51" t="str">
        <f aca="false">IF(C926="","",IFERROR(IF(LEFT(C926,1)="L",INDEX('Leads Pipeline'!$F$5:$F$1004,MATCH(C926,'Leads Pipeline'!$A$5:$A$1004,0)),INDEX('Active Clients'!$D$5:$D$504,MATCH(C926,'Active Clients'!$A$5:$A$504,0)))&amp;"","ID not found"))</f>
        <v/>
      </c>
      <c r="E926" s="51" t="str">
        <f aca="false">IF(C926="","",IFERROR(IF(LEFT(C926,1)="L",INDEX('Leads Pipeline'!$D$5:$D$1004,MATCH(C926,'Leads Pipeline'!$A$5:$A$1004,0)),INDEX('Active Clients'!$B$5:$B$504,MATCH(C926,'Active Clients'!$A$5:$A$504,0)))&amp;"","ID not found"))</f>
        <v/>
      </c>
      <c r="F926" s="51" t="str">
        <f aca="false">IF(C926="","",IFERROR(IF(LEFT(C926,1)="L",INDEX('Leads Pipeline'!$E$5:$E$1004,MATCH(C926,'Leads Pipeline'!$A$5:$A$1004,0)),INDEX('Active Clients'!$C$5:$C$504,MATCH(C926,'Active Clients'!$A$5:$A$504,0)))&amp;"","ID not found"))</f>
        <v/>
      </c>
      <c r="G926" s="16"/>
      <c r="H926" s="16"/>
      <c r="I926" s="16"/>
      <c r="J926" s="16"/>
      <c r="K926" s="16"/>
      <c r="L926" s="18"/>
    </row>
    <row r="927" customFormat="false" ht="15" hidden="false" customHeight="false" outlineLevel="0" collapsed="false">
      <c r="A927" s="18"/>
      <c r="B927" s="16"/>
      <c r="C927" s="16"/>
      <c r="D927" s="51" t="str">
        <f aca="false">IF(C927="","",IFERROR(IF(LEFT(C927,1)="L",INDEX('Leads Pipeline'!$F$5:$F$1004,MATCH(C927,'Leads Pipeline'!$A$5:$A$1004,0)),INDEX('Active Clients'!$D$5:$D$504,MATCH(C927,'Active Clients'!$A$5:$A$504,0)))&amp;"","ID not found"))</f>
        <v/>
      </c>
      <c r="E927" s="51" t="str">
        <f aca="false">IF(C927="","",IFERROR(IF(LEFT(C927,1)="L",INDEX('Leads Pipeline'!$D$5:$D$1004,MATCH(C927,'Leads Pipeline'!$A$5:$A$1004,0)),INDEX('Active Clients'!$B$5:$B$504,MATCH(C927,'Active Clients'!$A$5:$A$504,0)))&amp;"","ID not found"))</f>
        <v/>
      </c>
      <c r="F927" s="51" t="str">
        <f aca="false">IF(C927="","",IFERROR(IF(LEFT(C927,1)="L",INDEX('Leads Pipeline'!$E$5:$E$1004,MATCH(C927,'Leads Pipeline'!$A$5:$A$1004,0)),INDEX('Active Clients'!$C$5:$C$504,MATCH(C927,'Active Clients'!$A$5:$A$504,0)))&amp;"","ID not found"))</f>
        <v/>
      </c>
      <c r="G927" s="16"/>
      <c r="H927" s="16"/>
      <c r="I927" s="16"/>
      <c r="J927" s="16"/>
      <c r="K927" s="16"/>
      <c r="L927" s="18"/>
    </row>
    <row r="928" customFormat="false" ht="15" hidden="false" customHeight="false" outlineLevel="0" collapsed="false">
      <c r="A928" s="18"/>
      <c r="B928" s="16"/>
      <c r="C928" s="16"/>
      <c r="D928" s="51" t="str">
        <f aca="false">IF(C928="","",IFERROR(IF(LEFT(C928,1)="L",INDEX('Leads Pipeline'!$F$5:$F$1004,MATCH(C928,'Leads Pipeline'!$A$5:$A$1004,0)),INDEX('Active Clients'!$D$5:$D$504,MATCH(C928,'Active Clients'!$A$5:$A$504,0)))&amp;"","ID not found"))</f>
        <v/>
      </c>
      <c r="E928" s="51" t="str">
        <f aca="false">IF(C928="","",IFERROR(IF(LEFT(C928,1)="L",INDEX('Leads Pipeline'!$D$5:$D$1004,MATCH(C928,'Leads Pipeline'!$A$5:$A$1004,0)),INDEX('Active Clients'!$B$5:$B$504,MATCH(C928,'Active Clients'!$A$5:$A$504,0)))&amp;"","ID not found"))</f>
        <v/>
      </c>
      <c r="F928" s="51" t="str">
        <f aca="false">IF(C928="","",IFERROR(IF(LEFT(C928,1)="L",INDEX('Leads Pipeline'!$E$5:$E$1004,MATCH(C928,'Leads Pipeline'!$A$5:$A$1004,0)),INDEX('Active Clients'!$C$5:$C$504,MATCH(C928,'Active Clients'!$A$5:$A$504,0)))&amp;"","ID not found"))</f>
        <v/>
      </c>
      <c r="G928" s="16"/>
      <c r="H928" s="16"/>
      <c r="I928" s="16"/>
      <c r="J928" s="16"/>
      <c r="K928" s="16"/>
      <c r="L928" s="18"/>
    </row>
    <row r="929" customFormat="false" ht="15" hidden="false" customHeight="false" outlineLevel="0" collapsed="false">
      <c r="A929" s="18"/>
      <c r="B929" s="16"/>
      <c r="C929" s="16"/>
      <c r="D929" s="51" t="str">
        <f aca="false">IF(C929="","",IFERROR(IF(LEFT(C929,1)="L",INDEX('Leads Pipeline'!$F$5:$F$1004,MATCH(C929,'Leads Pipeline'!$A$5:$A$1004,0)),INDEX('Active Clients'!$D$5:$D$504,MATCH(C929,'Active Clients'!$A$5:$A$504,0)))&amp;"","ID not found"))</f>
        <v/>
      </c>
      <c r="E929" s="51" t="str">
        <f aca="false">IF(C929="","",IFERROR(IF(LEFT(C929,1)="L",INDEX('Leads Pipeline'!$D$5:$D$1004,MATCH(C929,'Leads Pipeline'!$A$5:$A$1004,0)),INDEX('Active Clients'!$B$5:$B$504,MATCH(C929,'Active Clients'!$A$5:$A$504,0)))&amp;"","ID not found"))</f>
        <v/>
      </c>
      <c r="F929" s="51" t="str">
        <f aca="false">IF(C929="","",IFERROR(IF(LEFT(C929,1)="L",INDEX('Leads Pipeline'!$E$5:$E$1004,MATCH(C929,'Leads Pipeline'!$A$5:$A$1004,0)),INDEX('Active Clients'!$C$5:$C$504,MATCH(C929,'Active Clients'!$A$5:$A$504,0)))&amp;"","ID not found"))</f>
        <v/>
      </c>
      <c r="G929" s="16"/>
      <c r="H929" s="16"/>
      <c r="I929" s="16"/>
      <c r="J929" s="16"/>
      <c r="K929" s="16"/>
      <c r="L929" s="18"/>
    </row>
    <row r="930" customFormat="false" ht="15" hidden="false" customHeight="false" outlineLevel="0" collapsed="false">
      <c r="A930" s="18"/>
      <c r="B930" s="16"/>
      <c r="C930" s="16"/>
      <c r="D930" s="51" t="str">
        <f aca="false">IF(C930="","",IFERROR(IF(LEFT(C930,1)="L",INDEX('Leads Pipeline'!$F$5:$F$1004,MATCH(C930,'Leads Pipeline'!$A$5:$A$1004,0)),INDEX('Active Clients'!$D$5:$D$504,MATCH(C930,'Active Clients'!$A$5:$A$504,0)))&amp;"","ID not found"))</f>
        <v/>
      </c>
      <c r="E930" s="51" t="str">
        <f aca="false">IF(C930="","",IFERROR(IF(LEFT(C930,1)="L",INDEX('Leads Pipeline'!$D$5:$D$1004,MATCH(C930,'Leads Pipeline'!$A$5:$A$1004,0)),INDEX('Active Clients'!$B$5:$B$504,MATCH(C930,'Active Clients'!$A$5:$A$504,0)))&amp;"","ID not found"))</f>
        <v/>
      </c>
      <c r="F930" s="51" t="str">
        <f aca="false">IF(C930="","",IFERROR(IF(LEFT(C930,1)="L",INDEX('Leads Pipeline'!$E$5:$E$1004,MATCH(C930,'Leads Pipeline'!$A$5:$A$1004,0)),INDEX('Active Clients'!$C$5:$C$504,MATCH(C930,'Active Clients'!$A$5:$A$504,0)))&amp;"","ID not found"))</f>
        <v/>
      </c>
      <c r="G930" s="16"/>
      <c r="H930" s="16"/>
      <c r="I930" s="16"/>
      <c r="J930" s="16"/>
      <c r="K930" s="16"/>
      <c r="L930" s="18"/>
    </row>
    <row r="931" customFormat="false" ht="15" hidden="false" customHeight="false" outlineLevel="0" collapsed="false">
      <c r="A931" s="18"/>
      <c r="B931" s="16"/>
      <c r="C931" s="16"/>
      <c r="D931" s="51" t="str">
        <f aca="false">IF(C931="","",IFERROR(IF(LEFT(C931,1)="L",INDEX('Leads Pipeline'!$F$5:$F$1004,MATCH(C931,'Leads Pipeline'!$A$5:$A$1004,0)),INDEX('Active Clients'!$D$5:$D$504,MATCH(C931,'Active Clients'!$A$5:$A$504,0)))&amp;"","ID not found"))</f>
        <v/>
      </c>
      <c r="E931" s="51" t="str">
        <f aca="false">IF(C931="","",IFERROR(IF(LEFT(C931,1)="L",INDEX('Leads Pipeline'!$D$5:$D$1004,MATCH(C931,'Leads Pipeline'!$A$5:$A$1004,0)),INDEX('Active Clients'!$B$5:$B$504,MATCH(C931,'Active Clients'!$A$5:$A$504,0)))&amp;"","ID not found"))</f>
        <v/>
      </c>
      <c r="F931" s="51" t="str">
        <f aca="false">IF(C931="","",IFERROR(IF(LEFT(C931,1)="L",INDEX('Leads Pipeline'!$E$5:$E$1004,MATCH(C931,'Leads Pipeline'!$A$5:$A$1004,0)),INDEX('Active Clients'!$C$5:$C$504,MATCH(C931,'Active Clients'!$A$5:$A$504,0)))&amp;"","ID not found"))</f>
        <v/>
      </c>
      <c r="G931" s="16"/>
      <c r="H931" s="16"/>
      <c r="I931" s="16"/>
      <c r="J931" s="16"/>
      <c r="K931" s="16"/>
      <c r="L931" s="18"/>
    </row>
    <row r="932" customFormat="false" ht="15" hidden="false" customHeight="false" outlineLevel="0" collapsed="false">
      <c r="A932" s="18"/>
      <c r="B932" s="16"/>
      <c r="C932" s="16"/>
      <c r="D932" s="51" t="str">
        <f aca="false">IF(C932="","",IFERROR(IF(LEFT(C932,1)="L",INDEX('Leads Pipeline'!$F$5:$F$1004,MATCH(C932,'Leads Pipeline'!$A$5:$A$1004,0)),INDEX('Active Clients'!$D$5:$D$504,MATCH(C932,'Active Clients'!$A$5:$A$504,0)))&amp;"","ID not found"))</f>
        <v/>
      </c>
      <c r="E932" s="51" t="str">
        <f aca="false">IF(C932="","",IFERROR(IF(LEFT(C932,1)="L",INDEX('Leads Pipeline'!$D$5:$D$1004,MATCH(C932,'Leads Pipeline'!$A$5:$A$1004,0)),INDEX('Active Clients'!$B$5:$B$504,MATCH(C932,'Active Clients'!$A$5:$A$504,0)))&amp;"","ID not found"))</f>
        <v/>
      </c>
      <c r="F932" s="51" t="str">
        <f aca="false">IF(C932="","",IFERROR(IF(LEFT(C932,1)="L",INDEX('Leads Pipeline'!$E$5:$E$1004,MATCH(C932,'Leads Pipeline'!$A$5:$A$1004,0)),INDEX('Active Clients'!$C$5:$C$504,MATCH(C932,'Active Clients'!$A$5:$A$504,0)))&amp;"","ID not found"))</f>
        <v/>
      </c>
      <c r="G932" s="16"/>
      <c r="H932" s="16"/>
      <c r="I932" s="16"/>
      <c r="J932" s="16"/>
      <c r="K932" s="16"/>
      <c r="L932" s="18"/>
    </row>
    <row r="933" customFormat="false" ht="15" hidden="false" customHeight="false" outlineLevel="0" collapsed="false">
      <c r="A933" s="18"/>
      <c r="B933" s="16"/>
      <c r="C933" s="16"/>
      <c r="D933" s="51" t="str">
        <f aca="false">IF(C933="","",IFERROR(IF(LEFT(C933,1)="L",INDEX('Leads Pipeline'!$F$5:$F$1004,MATCH(C933,'Leads Pipeline'!$A$5:$A$1004,0)),INDEX('Active Clients'!$D$5:$D$504,MATCH(C933,'Active Clients'!$A$5:$A$504,0)))&amp;"","ID not found"))</f>
        <v/>
      </c>
      <c r="E933" s="51" t="str">
        <f aca="false">IF(C933="","",IFERROR(IF(LEFT(C933,1)="L",INDEX('Leads Pipeline'!$D$5:$D$1004,MATCH(C933,'Leads Pipeline'!$A$5:$A$1004,0)),INDEX('Active Clients'!$B$5:$B$504,MATCH(C933,'Active Clients'!$A$5:$A$504,0)))&amp;"","ID not found"))</f>
        <v/>
      </c>
      <c r="F933" s="51" t="str">
        <f aca="false">IF(C933="","",IFERROR(IF(LEFT(C933,1)="L",INDEX('Leads Pipeline'!$E$5:$E$1004,MATCH(C933,'Leads Pipeline'!$A$5:$A$1004,0)),INDEX('Active Clients'!$C$5:$C$504,MATCH(C933,'Active Clients'!$A$5:$A$504,0)))&amp;"","ID not found"))</f>
        <v/>
      </c>
      <c r="G933" s="16"/>
      <c r="H933" s="16"/>
      <c r="I933" s="16"/>
      <c r="J933" s="16"/>
      <c r="K933" s="16"/>
      <c r="L933" s="18"/>
    </row>
    <row r="934" customFormat="false" ht="15" hidden="false" customHeight="false" outlineLevel="0" collapsed="false">
      <c r="A934" s="18"/>
      <c r="B934" s="16"/>
      <c r="C934" s="16"/>
      <c r="D934" s="51" t="str">
        <f aca="false">IF(C934="","",IFERROR(IF(LEFT(C934,1)="L",INDEX('Leads Pipeline'!$F$5:$F$1004,MATCH(C934,'Leads Pipeline'!$A$5:$A$1004,0)),INDEX('Active Clients'!$D$5:$D$504,MATCH(C934,'Active Clients'!$A$5:$A$504,0)))&amp;"","ID not found"))</f>
        <v/>
      </c>
      <c r="E934" s="51" t="str">
        <f aca="false">IF(C934="","",IFERROR(IF(LEFT(C934,1)="L",INDEX('Leads Pipeline'!$D$5:$D$1004,MATCH(C934,'Leads Pipeline'!$A$5:$A$1004,0)),INDEX('Active Clients'!$B$5:$B$504,MATCH(C934,'Active Clients'!$A$5:$A$504,0)))&amp;"","ID not found"))</f>
        <v/>
      </c>
      <c r="F934" s="51" t="str">
        <f aca="false">IF(C934="","",IFERROR(IF(LEFT(C934,1)="L",INDEX('Leads Pipeline'!$E$5:$E$1004,MATCH(C934,'Leads Pipeline'!$A$5:$A$1004,0)),INDEX('Active Clients'!$C$5:$C$504,MATCH(C934,'Active Clients'!$A$5:$A$504,0)))&amp;"","ID not found"))</f>
        <v/>
      </c>
      <c r="G934" s="16"/>
      <c r="H934" s="16"/>
      <c r="I934" s="16"/>
      <c r="J934" s="16"/>
      <c r="K934" s="16"/>
      <c r="L934" s="18"/>
    </row>
    <row r="935" customFormat="false" ht="15" hidden="false" customHeight="false" outlineLevel="0" collapsed="false">
      <c r="A935" s="18"/>
      <c r="B935" s="16"/>
      <c r="C935" s="16"/>
      <c r="D935" s="51" t="str">
        <f aca="false">IF(C935="","",IFERROR(IF(LEFT(C935,1)="L",INDEX('Leads Pipeline'!$F$5:$F$1004,MATCH(C935,'Leads Pipeline'!$A$5:$A$1004,0)),INDEX('Active Clients'!$D$5:$D$504,MATCH(C935,'Active Clients'!$A$5:$A$504,0)))&amp;"","ID not found"))</f>
        <v/>
      </c>
      <c r="E935" s="51" t="str">
        <f aca="false">IF(C935="","",IFERROR(IF(LEFT(C935,1)="L",INDEX('Leads Pipeline'!$D$5:$D$1004,MATCH(C935,'Leads Pipeline'!$A$5:$A$1004,0)),INDEX('Active Clients'!$B$5:$B$504,MATCH(C935,'Active Clients'!$A$5:$A$504,0)))&amp;"","ID not found"))</f>
        <v/>
      </c>
      <c r="F935" s="51" t="str">
        <f aca="false">IF(C935="","",IFERROR(IF(LEFT(C935,1)="L",INDEX('Leads Pipeline'!$E$5:$E$1004,MATCH(C935,'Leads Pipeline'!$A$5:$A$1004,0)),INDEX('Active Clients'!$C$5:$C$504,MATCH(C935,'Active Clients'!$A$5:$A$504,0)))&amp;"","ID not found"))</f>
        <v/>
      </c>
      <c r="G935" s="16"/>
      <c r="H935" s="16"/>
      <c r="I935" s="16"/>
      <c r="J935" s="16"/>
      <c r="K935" s="16"/>
      <c r="L935" s="18"/>
    </row>
    <row r="936" customFormat="false" ht="15" hidden="false" customHeight="false" outlineLevel="0" collapsed="false">
      <c r="A936" s="18"/>
      <c r="B936" s="16"/>
      <c r="C936" s="16"/>
      <c r="D936" s="51" t="str">
        <f aca="false">IF(C936="","",IFERROR(IF(LEFT(C936,1)="L",INDEX('Leads Pipeline'!$F$5:$F$1004,MATCH(C936,'Leads Pipeline'!$A$5:$A$1004,0)),INDEX('Active Clients'!$D$5:$D$504,MATCH(C936,'Active Clients'!$A$5:$A$504,0)))&amp;"","ID not found"))</f>
        <v/>
      </c>
      <c r="E936" s="51" t="str">
        <f aca="false">IF(C936="","",IFERROR(IF(LEFT(C936,1)="L",INDEX('Leads Pipeline'!$D$5:$D$1004,MATCH(C936,'Leads Pipeline'!$A$5:$A$1004,0)),INDEX('Active Clients'!$B$5:$B$504,MATCH(C936,'Active Clients'!$A$5:$A$504,0)))&amp;"","ID not found"))</f>
        <v/>
      </c>
      <c r="F936" s="51" t="str">
        <f aca="false">IF(C936="","",IFERROR(IF(LEFT(C936,1)="L",INDEX('Leads Pipeline'!$E$5:$E$1004,MATCH(C936,'Leads Pipeline'!$A$5:$A$1004,0)),INDEX('Active Clients'!$C$5:$C$504,MATCH(C936,'Active Clients'!$A$5:$A$504,0)))&amp;"","ID not found"))</f>
        <v/>
      </c>
      <c r="G936" s="16"/>
      <c r="H936" s="16"/>
      <c r="I936" s="16"/>
      <c r="J936" s="16"/>
      <c r="K936" s="16"/>
      <c r="L936" s="18"/>
    </row>
    <row r="937" customFormat="false" ht="15" hidden="false" customHeight="false" outlineLevel="0" collapsed="false">
      <c r="A937" s="18"/>
      <c r="B937" s="16"/>
      <c r="C937" s="16"/>
      <c r="D937" s="51" t="str">
        <f aca="false">IF(C937="","",IFERROR(IF(LEFT(C937,1)="L",INDEX('Leads Pipeline'!$F$5:$F$1004,MATCH(C937,'Leads Pipeline'!$A$5:$A$1004,0)),INDEX('Active Clients'!$D$5:$D$504,MATCH(C937,'Active Clients'!$A$5:$A$504,0)))&amp;"","ID not found"))</f>
        <v/>
      </c>
      <c r="E937" s="51" t="str">
        <f aca="false">IF(C937="","",IFERROR(IF(LEFT(C937,1)="L",INDEX('Leads Pipeline'!$D$5:$D$1004,MATCH(C937,'Leads Pipeline'!$A$5:$A$1004,0)),INDEX('Active Clients'!$B$5:$B$504,MATCH(C937,'Active Clients'!$A$5:$A$504,0)))&amp;"","ID not found"))</f>
        <v/>
      </c>
      <c r="F937" s="51" t="str">
        <f aca="false">IF(C937="","",IFERROR(IF(LEFT(C937,1)="L",INDEX('Leads Pipeline'!$E$5:$E$1004,MATCH(C937,'Leads Pipeline'!$A$5:$A$1004,0)),INDEX('Active Clients'!$C$5:$C$504,MATCH(C937,'Active Clients'!$A$5:$A$504,0)))&amp;"","ID not found"))</f>
        <v/>
      </c>
      <c r="G937" s="16"/>
      <c r="H937" s="16"/>
      <c r="I937" s="16"/>
      <c r="J937" s="16"/>
      <c r="K937" s="16"/>
      <c r="L937" s="18"/>
    </row>
    <row r="938" customFormat="false" ht="15" hidden="false" customHeight="false" outlineLevel="0" collapsed="false">
      <c r="A938" s="18"/>
      <c r="B938" s="16"/>
      <c r="C938" s="16"/>
      <c r="D938" s="51" t="str">
        <f aca="false">IF(C938="","",IFERROR(IF(LEFT(C938,1)="L",INDEX('Leads Pipeline'!$F$5:$F$1004,MATCH(C938,'Leads Pipeline'!$A$5:$A$1004,0)),INDEX('Active Clients'!$D$5:$D$504,MATCH(C938,'Active Clients'!$A$5:$A$504,0)))&amp;"","ID not found"))</f>
        <v/>
      </c>
      <c r="E938" s="51" t="str">
        <f aca="false">IF(C938="","",IFERROR(IF(LEFT(C938,1)="L",INDEX('Leads Pipeline'!$D$5:$D$1004,MATCH(C938,'Leads Pipeline'!$A$5:$A$1004,0)),INDEX('Active Clients'!$B$5:$B$504,MATCH(C938,'Active Clients'!$A$5:$A$504,0)))&amp;"","ID not found"))</f>
        <v/>
      </c>
      <c r="F938" s="51" t="str">
        <f aca="false">IF(C938="","",IFERROR(IF(LEFT(C938,1)="L",INDEX('Leads Pipeline'!$E$5:$E$1004,MATCH(C938,'Leads Pipeline'!$A$5:$A$1004,0)),INDEX('Active Clients'!$C$5:$C$504,MATCH(C938,'Active Clients'!$A$5:$A$504,0)))&amp;"","ID not found"))</f>
        <v/>
      </c>
      <c r="G938" s="16"/>
      <c r="H938" s="16"/>
      <c r="I938" s="16"/>
      <c r="J938" s="16"/>
      <c r="K938" s="16"/>
      <c r="L938" s="18"/>
    </row>
    <row r="939" customFormat="false" ht="15" hidden="false" customHeight="false" outlineLevel="0" collapsed="false">
      <c r="A939" s="18"/>
      <c r="B939" s="16"/>
      <c r="C939" s="16"/>
      <c r="D939" s="51" t="str">
        <f aca="false">IF(C939="","",IFERROR(IF(LEFT(C939,1)="L",INDEX('Leads Pipeline'!$F$5:$F$1004,MATCH(C939,'Leads Pipeline'!$A$5:$A$1004,0)),INDEX('Active Clients'!$D$5:$D$504,MATCH(C939,'Active Clients'!$A$5:$A$504,0)))&amp;"","ID not found"))</f>
        <v/>
      </c>
      <c r="E939" s="51" t="str">
        <f aca="false">IF(C939="","",IFERROR(IF(LEFT(C939,1)="L",INDEX('Leads Pipeline'!$D$5:$D$1004,MATCH(C939,'Leads Pipeline'!$A$5:$A$1004,0)),INDEX('Active Clients'!$B$5:$B$504,MATCH(C939,'Active Clients'!$A$5:$A$504,0)))&amp;"","ID not found"))</f>
        <v/>
      </c>
      <c r="F939" s="51" t="str">
        <f aca="false">IF(C939="","",IFERROR(IF(LEFT(C939,1)="L",INDEX('Leads Pipeline'!$E$5:$E$1004,MATCH(C939,'Leads Pipeline'!$A$5:$A$1004,0)),INDEX('Active Clients'!$C$5:$C$504,MATCH(C939,'Active Clients'!$A$5:$A$504,0)))&amp;"","ID not found"))</f>
        <v/>
      </c>
      <c r="G939" s="16"/>
      <c r="H939" s="16"/>
      <c r="I939" s="16"/>
      <c r="J939" s="16"/>
      <c r="K939" s="16"/>
      <c r="L939" s="18"/>
    </row>
    <row r="940" customFormat="false" ht="15" hidden="false" customHeight="false" outlineLevel="0" collapsed="false">
      <c r="A940" s="18"/>
      <c r="B940" s="16"/>
      <c r="C940" s="16"/>
      <c r="D940" s="51" t="str">
        <f aca="false">IF(C940="","",IFERROR(IF(LEFT(C940,1)="L",INDEX('Leads Pipeline'!$F$5:$F$1004,MATCH(C940,'Leads Pipeline'!$A$5:$A$1004,0)),INDEX('Active Clients'!$D$5:$D$504,MATCH(C940,'Active Clients'!$A$5:$A$504,0)))&amp;"","ID not found"))</f>
        <v/>
      </c>
      <c r="E940" s="51" t="str">
        <f aca="false">IF(C940="","",IFERROR(IF(LEFT(C940,1)="L",INDEX('Leads Pipeline'!$D$5:$D$1004,MATCH(C940,'Leads Pipeline'!$A$5:$A$1004,0)),INDEX('Active Clients'!$B$5:$B$504,MATCH(C940,'Active Clients'!$A$5:$A$504,0)))&amp;"","ID not found"))</f>
        <v/>
      </c>
      <c r="F940" s="51" t="str">
        <f aca="false">IF(C940="","",IFERROR(IF(LEFT(C940,1)="L",INDEX('Leads Pipeline'!$E$5:$E$1004,MATCH(C940,'Leads Pipeline'!$A$5:$A$1004,0)),INDEX('Active Clients'!$C$5:$C$504,MATCH(C940,'Active Clients'!$A$5:$A$504,0)))&amp;"","ID not found"))</f>
        <v/>
      </c>
      <c r="G940" s="16"/>
      <c r="H940" s="16"/>
      <c r="I940" s="16"/>
      <c r="J940" s="16"/>
      <c r="K940" s="16"/>
      <c r="L940" s="18"/>
    </row>
    <row r="941" customFormat="false" ht="15" hidden="false" customHeight="false" outlineLevel="0" collapsed="false">
      <c r="A941" s="18"/>
      <c r="B941" s="16"/>
      <c r="C941" s="16"/>
      <c r="D941" s="51" t="str">
        <f aca="false">IF(C941="","",IFERROR(IF(LEFT(C941,1)="L",INDEX('Leads Pipeline'!$F$5:$F$1004,MATCH(C941,'Leads Pipeline'!$A$5:$A$1004,0)),INDEX('Active Clients'!$D$5:$D$504,MATCH(C941,'Active Clients'!$A$5:$A$504,0)))&amp;"","ID not found"))</f>
        <v/>
      </c>
      <c r="E941" s="51" t="str">
        <f aca="false">IF(C941="","",IFERROR(IF(LEFT(C941,1)="L",INDEX('Leads Pipeline'!$D$5:$D$1004,MATCH(C941,'Leads Pipeline'!$A$5:$A$1004,0)),INDEX('Active Clients'!$B$5:$B$504,MATCH(C941,'Active Clients'!$A$5:$A$504,0)))&amp;"","ID not found"))</f>
        <v/>
      </c>
      <c r="F941" s="51" t="str">
        <f aca="false">IF(C941="","",IFERROR(IF(LEFT(C941,1)="L",INDEX('Leads Pipeline'!$E$5:$E$1004,MATCH(C941,'Leads Pipeline'!$A$5:$A$1004,0)),INDEX('Active Clients'!$C$5:$C$504,MATCH(C941,'Active Clients'!$A$5:$A$504,0)))&amp;"","ID not found"))</f>
        <v/>
      </c>
      <c r="G941" s="16"/>
      <c r="H941" s="16"/>
      <c r="I941" s="16"/>
      <c r="J941" s="16"/>
      <c r="K941" s="16"/>
      <c r="L941" s="18"/>
    </row>
    <row r="942" customFormat="false" ht="15" hidden="false" customHeight="false" outlineLevel="0" collapsed="false">
      <c r="A942" s="18"/>
      <c r="B942" s="16"/>
      <c r="C942" s="16"/>
      <c r="D942" s="51" t="str">
        <f aca="false">IF(C942="","",IFERROR(IF(LEFT(C942,1)="L",INDEX('Leads Pipeline'!$F$5:$F$1004,MATCH(C942,'Leads Pipeline'!$A$5:$A$1004,0)),INDEX('Active Clients'!$D$5:$D$504,MATCH(C942,'Active Clients'!$A$5:$A$504,0)))&amp;"","ID not found"))</f>
        <v/>
      </c>
      <c r="E942" s="51" t="str">
        <f aca="false">IF(C942="","",IFERROR(IF(LEFT(C942,1)="L",INDEX('Leads Pipeline'!$D$5:$D$1004,MATCH(C942,'Leads Pipeline'!$A$5:$A$1004,0)),INDEX('Active Clients'!$B$5:$B$504,MATCH(C942,'Active Clients'!$A$5:$A$504,0)))&amp;"","ID not found"))</f>
        <v/>
      </c>
      <c r="F942" s="51" t="str">
        <f aca="false">IF(C942="","",IFERROR(IF(LEFT(C942,1)="L",INDEX('Leads Pipeline'!$E$5:$E$1004,MATCH(C942,'Leads Pipeline'!$A$5:$A$1004,0)),INDEX('Active Clients'!$C$5:$C$504,MATCH(C942,'Active Clients'!$A$5:$A$504,0)))&amp;"","ID not found"))</f>
        <v/>
      </c>
      <c r="G942" s="16"/>
      <c r="H942" s="16"/>
      <c r="I942" s="16"/>
      <c r="J942" s="16"/>
      <c r="K942" s="16"/>
      <c r="L942" s="18"/>
    </row>
    <row r="943" customFormat="false" ht="15" hidden="false" customHeight="false" outlineLevel="0" collapsed="false">
      <c r="A943" s="18"/>
      <c r="B943" s="16"/>
      <c r="C943" s="16"/>
      <c r="D943" s="51" t="str">
        <f aca="false">IF(C943="","",IFERROR(IF(LEFT(C943,1)="L",INDEX('Leads Pipeline'!$F$5:$F$1004,MATCH(C943,'Leads Pipeline'!$A$5:$A$1004,0)),INDEX('Active Clients'!$D$5:$D$504,MATCH(C943,'Active Clients'!$A$5:$A$504,0)))&amp;"","ID not found"))</f>
        <v/>
      </c>
      <c r="E943" s="51" t="str">
        <f aca="false">IF(C943="","",IFERROR(IF(LEFT(C943,1)="L",INDEX('Leads Pipeline'!$D$5:$D$1004,MATCH(C943,'Leads Pipeline'!$A$5:$A$1004,0)),INDEX('Active Clients'!$B$5:$B$504,MATCH(C943,'Active Clients'!$A$5:$A$504,0)))&amp;"","ID not found"))</f>
        <v/>
      </c>
      <c r="F943" s="51" t="str">
        <f aca="false">IF(C943="","",IFERROR(IF(LEFT(C943,1)="L",INDEX('Leads Pipeline'!$E$5:$E$1004,MATCH(C943,'Leads Pipeline'!$A$5:$A$1004,0)),INDEX('Active Clients'!$C$5:$C$504,MATCH(C943,'Active Clients'!$A$5:$A$504,0)))&amp;"","ID not found"))</f>
        <v/>
      </c>
      <c r="G943" s="16"/>
      <c r="H943" s="16"/>
      <c r="I943" s="16"/>
      <c r="J943" s="16"/>
      <c r="K943" s="16"/>
      <c r="L943" s="18"/>
    </row>
    <row r="944" customFormat="false" ht="15" hidden="false" customHeight="false" outlineLevel="0" collapsed="false">
      <c r="A944" s="18"/>
      <c r="B944" s="16"/>
      <c r="C944" s="16"/>
      <c r="D944" s="51" t="str">
        <f aca="false">IF(C944="","",IFERROR(IF(LEFT(C944,1)="L",INDEX('Leads Pipeline'!$F$5:$F$1004,MATCH(C944,'Leads Pipeline'!$A$5:$A$1004,0)),INDEX('Active Clients'!$D$5:$D$504,MATCH(C944,'Active Clients'!$A$5:$A$504,0)))&amp;"","ID not found"))</f>
        <v/>
      </c>
      <c r="E944" s="51" t="str">
        <f aca="false">IF(C944="","",IFERROR(IF(LEFT(C944,1)="L",INDEX('Leads Pipeline'!$D$5:$D$1004,MATCH(C944,'Leads Pipeline'!$A$5:$A$1004,0)),INDEX('Active Clients'!$B$5:$B$504,MATCH(C944,'Active Clients'!$A$5:$A$504,0)))&amp;"","ID not found"))</f>
        <v/>
      </c>
      <c r="F944" s="51" t="str">
        <f aca="false">IF(C944="","",IFERROR(IF(LEFT(C944,1)="L",INDEX('Leads Pipeline'!$E$5:$E$1004,MATCH(C944,'Leads Pipeline'!$A$5:$A$1004,0)),INDEX('Active Clients'!$C$5:$C$504,MATCH(C944,'Active Clients'!$A$5:$A$504,0)))&amp;"","ID not found"))</f>
        <v/>
      </c>
      <c r="G944" s="16"/>
      <c r="H944" s="16"/>
      <c r="I944" s="16"/>
      <c r="J944" s="16"/>
      <c r="K944" s="16"/>
      <c r="L944" s="18"/>
    </row>
    <row r="945" customFormat="false" ht="15" hidden="false" customHeight="false" outlineLevel="0" collapsed="false">
      <c r="A945" s="18"/>
      <c r="B945" s="16"/>
      <c r="C945" s="16"/>
      <c r="D945" s="51" t="str">
        <f aca="false">IF(C945="","",IFERROR(IF(LEFT(C945,1)="L",INDEX('Leads Pipeline'!$F$5:$F$1004,MATCH(C945,'Leads Pipeline'!$A$5:$A$1004,0)),INDEX('Active Clients'!$D$5:$D$504,MATCH(C945,'Active Clients'!$A$5:$A$504,0)))&amp;"","ID not found"))</f>
        <v/>
      </c>
      <c r="E945" s="51" t="str">
        <f aca="false">IF(C945="","",IFERROR(IF(LEFT(C945,1)="L",INDEX('Leads Pipeline'!$D$5:$D$1004,MATCH(C945,'Leads Pipeline'!$A$5:$A$1004,0)),INDEX('Active Clients'!$B$5:$B$504,MATCH(C945,'Active Clients'!$A$5:$A$504,0)))&amp;"","ID not found"))</f>
        <v/>
      </c>
      <c r="F945" s="51" t="str">
        <f aca="false">IF(C945="","",IFERROR(IF(LEFT(C945,1)="L",INDEX('Leads Pipeline'!$E$5:$E$1004,MATCH(C945,'Leads Pipeline'!$A$5:$A$1004,0)),INDEX('Active Clients'!$C$5:$C$504,MATCH(C945,'Active Clients'!$A$5:$A$504,0)))&amp;"","ID not found"))</f>
        <v/>
      </c>
      <c r="G945" s="16"/>
      <c r="H945" s="16"/>
      <c r="I945" s="16"/>
      <c r="J945" s="16"/>
      <c r="K945" s="16"/>
      <c r="L945" s="18"/>
    </row>
    <row r="946" customFormat="false" ht="15" hidden="false" customHeight="false" outlineLevel="0" collapsed="false">
      <c r="A946" s="18"/>
      <c r="B946" s="16"/>
      <c r="C946" s="16"/>
      <c r="D946" s="51" t="str">
        <f aca="false">IF(C946="","",IFERROR(IF(LEFT(C946,1)="L",INDEX('Leads Pipeline'!$F$5:$F$1004,MATCH(C946,'Leads Pipeline'!$A$5:$A$1004,0)),INDEX('Active Clients'!$D$5:$D$504,MATCH(C946,'Active Clients'!$A$5:$A$504,0)))&amp;"","ID not found"))</f>
        <v/>
      </c>
      <c r="E946" s="51" t="str">
        <f aca="false">IF(C946="","",IFERROR(IF(LEFT(C946,1)="L",INDEX('Leads Pipeline'!$D$5:$D$1004,MATCH(C946,'Leads Pipeline'!$A$5:$A$1004,0)),INDEX('Active Clients'!$B$5:$B$504,MATCH(C946,'Active Clients'!$A$5:$A$504,0)))&amp;"","ID not found"))</f>
        <v/>
      </c>
      <c r="F946" s="51" t="str">
        <f aca="false">IF(C946="","",IFERROR(IF(LEFT(C946,1)="L",INDEX('Leads Pipeline'!$E$5:$E$1004,MATCH(C946,'Leads Pipeline'!$A$5:$A$1004,0)),INDEX('Active Clients'!$C$5:$C$504,MATCH(C946,'Active Clients'!$A$5:$A$504,0)))&amp;"","ID not found"))</f>
        <v/>
      </c>
      <c r="G946" s="16"/>
      <c r="H946" s="16"/>
      <c r="I946" s="16"/>
      <c r="J946" s="16"/>
      <c r="K946" s="16"/>
      <c r="L946" s="18"/>
    </row>
    <row r="947" customFormat="false" ht="15" hidden="false" customHeight="false" outlineLevel="0" collapsed="false">
      <c r="A947" s="18"/>
      <c r="B947" s="16"/>
      <c r="C947" s="16"/>
      <c r="D947" s="51" t="str">
        <f aca="false">IF(C947="","",IFERROR(IF(LEFT(C947,1)="L",INDEX('Leads Pipeline'!$F$5:$F$1004,MATCH(C947,'Leads Pipeline'!$A$5:$A$1004,0)),INDEX('Active Clients'!$D$5:$D$504,MATCH(C947,'Active Clients'!$A$5:$A$504,0)))&amp;"","ID not found"))</f>
        <v/>
      </c>
      <c r="E947" s="51" t="str">
        <f aca="false">IF(C947="","",IFERROR(IF(LEFT(C947,1)="L",INDEX('Leads Pipeline'!$D$5:$D$1004,MATCH(C947,'Leads Pipeline'!$A$5:$A$1004,0)),INDEX('Active Clients'!$B$5:$B$504,MATCH(C947,'Active Clients'!$A$5:$A$504,0)))&amp;"","ID not found"))</f>
        <v/>
      </c>
      <c r="F947" s="51" t="str">
        <f aca="false">IF(C947="","",IFERROR(IF(LEFT(C947,1)="L",INDEX('Leads Pipeline'!$E$5:$E$1004,MATCH(C947,'Leads Pipeline'!$A$5:$A$1004,0)),INDEX('Active Clients'!$C$5:$C$504,MATCH(C947,'Active Clients'!$A$5:$A$504,0)))&amp;"","ID not found"))</f>
        <v/>
      </c>
      <c r="G947" s="16"/>
      <c r="H947" s="16"/>
      <c r="I947" s="16"/>
      <c r="J947" s="16"/>
      <c r="K947" s="16"/>
      <c r="L947" s="18"/>
    </row>
    <row r="948" customFormat="false" ht="15" hidden="false" customHeight="false" outlineLevel="0" collapsed="false">
      <c r="A948" s="18"/>
      <c r="B948" s="16"/>
      <c r="C948" s="16"/>
      <c r="D948" s="51" t="str">
        <f aca="false">IF(C948="","",IFERROR(IF(LEFT(C948,1)="L",INDEX('Leads Pipeline'!$F$5:$F$1004,MATCH(C948,'Leads Pipeline'!$A$5:$A$1004,0)),INDEX('Active Clients'!$D$5:$D$504,MATCH(C948,'Active Clients'!$A$5:$A$504,0)))&amp;"","ID not found"))</f>
        <v/>
      </c>
      <c r="E948" s="51" t="str">
        <f aca="false">IF(C948="","",IFERROR(IF(LEFT(C948,1)="L",INDEX('Leads Pipeline'!$D$5:$D$1004,MATCH(C948,'Leads Pipeline'!$A$5:$A$1004,0)),INDEX('Active Clients'!$B$5:$B$504,MATCH(C948,'Active Clients'!$A$5:$A$504,0)))&amp;"","ID not found"))</f>
        <v/>
      </c>
      <c r="F948" s="51" t="str">
        <f aca="false">IF(C948="","",IFERROR(IF(LEFT(C948,1)="L",INDEX('Leads Pipeline'!$E$5:$E$1004,MATCH(C948,'Leads Pipeline'!$A$5:$A$1004,0)),INDEX('Active Clients'!$C$5:$C$504,MATCH(C948,'Active Clients'!$A$5:$A$504,0)))&amp;"","ID not found"))</f>
        <v/>
      </c>
      <c r="G948" s="16"/>
      <c r="H948" s="16"/>
      <c r="I948" s="16"/>
      <c r="J948" s="16"/>
      <c r="K948" s="16"/>
      <c r="L948" s="18"/>
    </row>
    <row r="949" customFormat="false" ht="15" hidden="false" customHeight="false" outlineLevel="0" collapsed="false">
      <c r="A949" s="18"/>
      <c r="B949" s="16"/>
      <c r="C949" s="16"/>
      <c r="D949" s="51" t="str">
        <f aca="false">IF(C949="","",IFERROR(IF(LEFT(C949,1)="L",INDEX('Leads Pipeline'!$F$5:$F$1004,MATCH(C949,'Leads Pipeline'!$A$5:$A$1004,0)),INDEX('Active Clients'!$D$5:$D$504,MATCH(C949,'Active Clients'!$A$5:$A$504,0)))&amp;"","ID not found"))</f>
        <v/>
      </c>
      <c r="E949" s="51" t="str">
        <f aca="false">IF(C949="","",IFERROR(IF(LEFT(C949,1)="L",INDEX('Leads Pipeline'!$D$5:$D$1004,MATCH(C949,'Leads Pipeline'!$A$5:$A$1004,0)),INDEX('Active Clients'!$B$5:$B$504,MATCH(C949,'Active Clients'!$A$5:$A$504,0)))&amp;"","ID not found"))</f>
        <v/>
      </c>
      <c r="F949" s="51" t="str">
        <f aca="false">IF(C949="","",IFERROR(IF(LEFT(C949,1)="L",INDEX('Leads Pipeline'!$E$5:$E$1004,MATCH(C949,'Leads Pipeline'!$A$5:$A$1004,0)),INDEX('Active Clients'!$C$5:$C$504,MATCH(C949,'Active Clients'!$A$5:$A$504,0)))&amp;"","ID not found"))</f>
        <v/>
      </c>
      <c r="G949" s="16"/>
      <c r="H949" s="16"/>
      <c r="I949" s="16"/>
      <c r="J949" s="16"/>
      <c r="K949" s="16"/>
      <c r="L949" s="18"/>
    </row>
    <row r="950" customFormat="false" ht="15" hidden="false" customHeight="false" outlineLevel="0" collapsed="false">
      <c r="A950" s="18"/>
      <c r="B950" s="16"/>
      <c r="C950" s="16"/>
      <c r="D950" s="51" t="str">
        <f aca="false">IF(C950="","",IFERROR(IF(LEFT(C950,1)="L",INDEX('Leads Pipeline'!$F$5:$F$1004,MATCH(C950,'Leads Pipeline'!$A$5:$A$1004,0)),INDEX('Active Clients'!$D$5:$D$504,MATCH(C950,'Active Clients'!$A$5:$A$504,0)))&amp;"","ID not found"))</f>
        <v/>
      </c>
      <c r="E950" s="51" t="str">
        <f aca="false">IF(C950="","",IFERROR(IF(LEFT(C950,1)="L",INDEX('Leads Pipeline'!$D$5:$D$1004,MATCH(C950,'Leads Pipeline'!$A$5:$A$1004,0)),INDEX('Active Clients'!$B$5:$B$504,MATCH(C950,'Active Clients'!$A$5:$A$504,0)))&amp;"","ID not found"))</f>
        <v/>
      </c>
      <c r="F950" s="51" t="str">
        <f aca="false">IF(C950="","",IFERROR(IF(LEFT(C950,1)="L",INDEX('Leads Pipeline'!$E$5:$E$1004,MATCH(C950,'Leads Pipeline'!$A$5:$A$1004,0)),INDEX('Active Clients'!$C$5:$C$504,MATCH(C950,'Active Clients'!$A$5:$A$504,0)))&amp;"","ID not found"))</f>
        <v/>
      </c>
      <c r="G950" s="16"/>
      <c r="H950" s="16"/>
      <c r="I950" s="16"/>
      <c r="J950" s="16"/>
      <c r="K950" s="16"/>
      <c r="L950" s="18"/>
    </row>
    <row r="951" customFormat="false" ht="15" hidden="false" customHeight="false" outlineLevel="0" collapsed="false">
      <c r="A951" s="18"/>
      <c r="B951" s="16"/>
      <c r="C951" s="16"/>
      <c r="D951" s="51" t="str">
        <f aca="false">IF(C951="","",IFERROR(IF(LEFT(C951,1)="L",INDEX('Leads Pipeline'!$F$5:$F$1004,MATCH(C951,'Leads Pipeline'!$A$5:$A$1004,0)),INDEX('Active Clients'!$D$5:$D$504,MATCH(C951,'Active Clients'!$A$5:$A$504,0)))&amp;"","ID not found"))</f>
        <v/>
      </c>
      <c r="E951" s="51" t="str">
        <f aca="false">IF(C951="","",IFERROR(IF(LEFT(C951,1)="L",INDEX('Leads Pipeline'!$D$5:$D$1004,MATCH(C951,'Leads Pipeline'!$A$5:$A$1004,0)),INDEX('Active Clients'!$B$5:$B$504,MATCH(C951,'Active Clients'!$A$5:$A$504,0)))&amp;"","ID not found"))</f>
        <v/>
      </c>
      <c r="F951" s="51" t="str">
        <f aca="false">IF(C951="","",IFERROR(IF(LEFT(C951,1)="L",INDEX('Leads Pipeline'!$E$5:$E$1004,MATCH(C951,'Leads Pipeline'!$A$5:$A$1004,0)),INDEX('Active Clients'!$C$5:$C$504,MATCH(C951,'Active Clients'!$A$5:$A$504,0)))&amp;"","ID not found"))</f>
        <v/>
      </c>
      <c r="G951" s="16"/>
      <c r="H951" s="16"/>
      <c r="I951" s="16"/>
      <c r="J951" s="16"/>
      <c r="K951" s="16"/>
      <c r="L951" s="18"/>
    </row>
    <row r="952" customFormat="false" ht="15" hidden="false" customHeight="false" outlineLevel="0" collapsed="false">
      <c r="A952" s="18"/>
      <c r="B952" s="16"/>
      <c r="C952" s="16"/>
      <c r="D952" s="51" t="str">
        <f aca="false">IF(C952="","",IFERROR(IF(LEFT(C952,1)="L",INDEX('Leads Pipeline'!$F$5:$F$1004,MATCH(C952,'Leads Pipeline'!$A$5:$A$1004,0)),INDEX('Active Clients'!$D$5:$D$504,MATCH(C952,'Active Clients'!$A$5:$A$504,0)))&amp;"","ID not found"))</f>
        <v/>
      </c>
      <c r="E952" s="51" t="str">
        <f aca="false">IF(C952="","",IFERROR(IF(LEFT(C952,1)="L",INDEX('Leads Pipeline'!$D$5:$D$1004,MATCH(C952,'Leads Pipeline'!$A$5:$A$1004,0)),INDEX('Active Clients'!$B$5:$B$504,MATCH(C952,'Active Clients'!$A$5:$A$504,0)))&amp;"","ID not found"))</f>
        <v/>
      </c>
      <c r="F952" s="51" t="str">
        <f aca="false">IF(C952="","",IFERROR(IF(LEFT(C952,1)="L",INDEX('Leads Pipeline'!$E$5:$E$1004,MATCH(C952,'Leads Pipeline'!$A$5:$A$1004,0)),INDEX('Active Clients'!$C$5:$C$504,MATCH(C952,'Active Clients'!$A$5:$A$504,0)))&amp;"","ID not found"))</f>
        <v/>
      </c>
      <c r="G952" s="16"/>
      <c r="H952" s="16"/>
      <c r="I952" s="16"/>
      <c r="J952" s="16"/>
      <c r="K952" s="16"/>
      <c r="L952" s="18"/>
    </row>
    <row r="953" customFormat="false" ht="15" hidden="false" customHeight="false" outlineLevel="0" collapsed="false">
      <c r="A953" s="18"/>
      <c r="B953" s="16"/>
      <c r="C953" s="16"/>
      <c r="D953" s="51" t="str">
        <f aca="false">IF(C953="","",IFERROR(IF(LEFT(C953,1)="L",INDEX('Leads Pipeline'!$F$5:$F$1004,MATCH(C953,'Leads Pipeline'!$A$5:$A$1004,0)),INDEX('Active Clients'!$D$5:$D$504,MATCH(C953,'Active Clients'!$A$5:$A$504,0)))&amp;"","ID not found"))</f>
        <v/>
      </c>
      <c r="E953" s="51" t="str">
        <f aca="false">IF(C953="","",IFERROR(IF(LEFT(C953,1)="L",INDEX('Leads Pipeline'!$D$5:$D$1004,MATCH(C953,'Leads Pipeline'!$A$5:$A$1004,0)),INDEX('Active Clients'!$B$5:$B$504,MATCH(C953,'Active Clients'!$A$5:$A$504,0)))&amp;"","ID not found"))</f>
        <v/>
      </c>
      <c r="F953" s="51" t="str">
        <f aca="false">IF(C953="","",IFERROR(IF(LEFT(C953,1)="L",INDEX('Leads Pipeline'!$E$5:$E$1004,MATCH(C953,'Leads Pipeline'!$A$5:$A$1004,0)),INDEX('Active Clients'!$C$5:$C$504,MATCH(C953,'Active Clients'!$A$5:$A$504,0)))&amp;"","ID not found"))</f>
        <v/>
      </c>
      <c r="G953" s="16"/>
      <c r="H953" s="16"/>
      <c r="I953" s="16"/>
      <c r="J953" s="16"/>
      <c r="K953" s="16"/>
      <c r="L953" s="18"/>
    </row>
    <row r="954" customFormat="false" ht="15" hidden="false" customHeight="false" outlineLevel="0" collapsed="false">
      <c r="A954" s="18"/>
      <c r="B954" s="16"/>
      <c r="C954" s="16"/>
      <c r="D954" s="51" t="str">
        <f aca="false">IF(C954="","",IFERROR(IF(LEFT(C954,1)="L",INDEX('Leads Pipeline'!$F$5:$F$1004,MATCH(C954,'Leads Pipeline'!$A$5:$A$1004,0)),INDEX('Active Clients'!$D$5:$D$504,MATCH(C954,'Active Clients'!$A$5:$A$504,0)))&amp;"","ID not found"))</f>
        <v/>
      </c>
      <c r="E954" s="51" t="str">
        <f aca="false">IF(C954="","",IFERROR(IF(LEFT(C954,1)="L",INDEX('Leads Pipeline'!$D$5:$D$1004,MATCH(C954,'Leads Pipeline'!$A$5:$A$1004,0)),INDEX('Active Clients'!$B$5:$B$504,MATCH(C954,'Active Clients'!$A$5:$A$504,0)))&amp;"","ID not found"))</f>
        <v/>
      </c>
      <c r="F954" s="51" t="str">
        <f aca="false">IF(C954="","",IFERROR(IF(LEFT(C954,1)="L",INDEX('Leads Pipeline'!$E$5:$E$1004,MATCH(C954,'Leads Pipeline'!$A$5:$A$1004,0)),INDEX('Active Clients'!$C$5:$C$504,MATCH(C954,'Active Clients'!$A$5:$A$504,0)))&amp;"","ID not found"))</f>
        <v/>
      </c>
      <c r="G954" s="16"/>
      <c r="H954" s="16"/>
      <c r="I954" s="16"/>
      <c r="J954" s="16"/>
      <c r="K954" s="16"/>
      <c r="L954" s="18"/>
    </row>
    <row r="955" customFormat="false" ht="15" hidden="false" customHeight="false" outlineLevel="0" collapsed="false">
      <c r="A955" s="18"/>
      <c r="B955" s="16"/>
      <c r="C955" s="16"/>
      <c r="D955" s="51" t="str">
        <f aca="false">IF(C955="","",IFERROR(IF(LEFT(C955,1)="L",INDEX('Leads Pipeline'!$F$5:$F$1004,MATCH(C955,'Leads Pipeline'!$A$5:$A$1004,0)),INDEX('Active Clients'!$D$5:$D$504,MATCH(C955,'Active Clients'!$A$5:$A$504,0)))&amp;"","ID not found"))</f>
        <v/>
      </c>
      <c r="E955" s="51" t="str">
        <f aca="false">IF(C955="","",IFERROR(IF(LEFT(C955,1)="L",INDEX('Leads Pipeline'!$D$5:$D$1004,MATCH(C955,'Leads Pipeline'!$A$5:$A$1004,0)),INDEX('Active Clients'!$B$5:$B$504,MATCH(C955,'Active Clients'!$A$5:$A$504,0)))&amp;"","ID not found"))</f>
        <v/>
      </c>
      <c r="F955" s="51" t="str">
        <f aca="false">IF(C955="","",IFERROR(IF(LEFT(C955,1)="L",INDEX('Leads Pipeline'!$E$5:$E$1004,MATCH(C955,'Leads Pipeline'!$A$5:$A$1004,0)),INDEX('Active Clients'!$C$5:$C$504,MATCH(C955,'Active Clients'!$A$5:$A$504,0)))&amp;"","ID not found"))</f>
        <v/>
      </c>
      <c r="G955" s="16"/>
      <c r="H955" s="16"/>
      <c r="I955" s="16"/>
      <c r="J955" s="16"/>
      <c r="K955" s="16"/>
      <c r="L955" s="18"/>
    </row>
    <row r="956" customFormat="false" ht="15" hidden="false" customHeight="false" outlineLevel="0" collapsed="false">
      <c r="A956" s="18"/>
      <c r="B956" s="16"/>
      <c r="C956" s="16"/>
      <c r="D956" s="51" t="str">
        <f aca="false">IF(C956="","",IFERROR(IF(LEFT(C956,1)="L",INDEX('Leads Pipeline'!$F$5:$F$1004,MATCH(C956,'Leads Pipeline'!$A$5:$A$1004,0)),INDEX('Active Clients'!$D$5:$D$504,MATCH(C956,'Active Clients'!$A$5:$A$504,0)))&amp;"","ID not found"))</f>
        <v/>
      </c>
      <c r="E956" s="51" t="str">
        <f aca="false">IF(C956="","",IFERROR(IF(LEFT(C956,1)="L",INDEX('Leads Pipeline'!$D$5:$D$1004,MATCH(C956,'Leads Pipeline'!$A$5:$A$1004,0)),INDEX('Active Clients'!$B$5:$B$504,MATCH(C956,'Active Clients'!$A$5:$A$504,0)))&amp;"","ID not found"))</f>
        <v/>
      </c>
      <c r="F956" s="51" t="str">
        <f aca="false">IF(C956="","",IFERROR(IF(LEFT(C956,1)="L",INDEX('Leads Pipeline'!$E$5:$E$1004,MATCH(C956,'Leads Pipeline'!$A$5:$A$1004,0)),INDEX('Active Clients'!$C$5:$C$504,MATCH(C956,'Active Clients'!$A$5:$A$504,0)))&amp;"","ID not found"))</f>
        <v/>
      </c>
      <c r="G956" s="16"/>
      <c r="H956" s="16"/>
      <c r="I956" s="16"/>
      <c r="J956" s="16"/>
      <c r="K956" s="16"/>
      <c r="L956" s="18"/>
    </row>
    <row r="957" customFormat="false" ht="15" hidden="false" customHeight="false" outlineLevel="0" collapsed="false">
      <c r="A957" s="18"/>
      <c r="B957" s="16"/>
      <c r="C957" s="16"/>
      <c r="D957" s="51" t="str">
        <f aca="false">IF(C957="","",IFERROR(IF(LEFT(C957,1)="L",INDEX('Leads Pipeline'!$F$5:$F$1004,MATCH(C957,'Leads Pipeline'!$A$5:$A$1004,0)),INDEX('Active Clients'!$D$5:$D$504,MATCH(C957,'Active Clients'!$A$5:$A$504,0)))&amp;"","ID not found"))</f>
        <v/>
      </c>
      <c r="E957" s="51" t="str">
        <f aca="false">IF(C957="","",IFERROR(IF(LEFT(C957,1)="L",INDEX('Leads Pipeline'!$D$5:$D$1004,MATCH(C957,'Leads Pipeline'!$A$5:$A$1004,0)),INDEX('Active Clients'!$B$5:$B$504,MATCH(C957,'Active Clients'!$A$5:$A$504,0)))&amp;"","ID not found"))</f>
        <v/>
      </c>
      <c r="F957" s="51" t="str">
        <f aca="false">IF(C957="","",IFERROR(IF(LEFT(C957,1)="L",INDEX('Leads Pipeline'!$E$5:$E$1004,MATCH(C957,'Leads Pipeline'!$A$5:$A$1004,0)),INDEX('Active Clients'!$C$5:$C$504,MATCH(C957,'Active Clients'!$A$5:$A$504,0)))&amp;"","ID not found"))</f>
        <v/>
      </c>
      <c r="G957" s="16"/>
      <c r="H957" s="16"/>
      <c r="I957" s="16"/>
      <c r="J957" s="16"/>
      <c r="K957" s="16"/>
      <c r="L957" s="18"/>
    </row>
    <row r="958" customFormat="false" ht="15" hidden="false" customHeight="false" outlineLevel="0" collapsed="false">
      <c r="A958" s="18"/>
      <c r="B958" s="16"/>
      <c r="C958" s="16"/>
      <c r="D958" s="51" t="str">
        <f aca="false">IF(C958="","",IFERROR(IF(LEFT(C958,1)="L",INDEX('Leads Pipeline'!$F$5:$F$1004,MATCH(C958,'Leads Pipeline'!$A$5:$A$1004,0)),INDEX('Active Clients'!$D$5:$D$504,MATCH(C958,'Active Clients'!$A$5:$A$504,0)))&amp;"","ID not found"))</f>
        <v/>
      </c>
      <c r="E958" s="51" t="str">
        <f aca="false">IF(C958="","",IFERROR(IF(LEFT(C958,1)="L",INDEX('Leads Pipeline'!$D$5:$D$1004,MATCH(C958,'Leads Pipeline'!$A$5:$A$1004,0)),INDEX('Active Clients'!$B$5:$B$504,MATCH(C958,'Active Clients'!$A$5:$A$504,0)))&amp;"","ID not found"))</f>
        <v/>
      </c>
      <c r="F958" s="51" t="str">
        <f aca="false">IF(C958="","",IFERROR(IF(LEFT(C958,1)="L",INDEX('Leads Pipeline'!$E$5:$E$1004,MATCH(C958,'Leads Pipeline'!$A$5:$A$1004,0)),INDEX('Active Clients'!$C$5:$C$504,MATCH(C958,'Active Clients'!$A$5:$A$504,0)))&amp;"","ID not found"))</f>
        <v/>
      </c>
      <c r="G958" s="16"/>
      <c r="H958" s="16"/>
      <c r="I958" s="16"/>
      <c r="J958" s="16"/>
      <c r="K958" s="16"/>
      <c r="L958" s="18"/>
    </row>
    <row r="959" customFormat="false" ht="15" hidden="false" customHeight="false" outlineLevel="0" collapsed="false">
      <c r="A959" s="18"/>
      <c r="B959" s="16"/>
      <c r="C959" s="16"/>
      <c r="D959" s="51" t="str">
        <f aca="false">IF(C959="","",IFERROR(IF(LEFT(C959,1)="L",INDEX('Leads Pipeline'!$F$5:$F$1004,MATCH(C959,'Leads Pipeline'!$A$5:$A$1004,0)),INDEX('Active Clients'!$D$5:$D$504,MATCH(C959,'Active Clients'!$A$5:$A$504,0)))&amp;"","ID not found"))</f>
        <v/>
      </c>
      <c r="E959" s="51" t="str">
        <f aca="false">IF(C959="","",IFERROR(IF(LEFT(C959,1)="L",INDEX('Leads Pipeline'!$D$5:$D$1004,MATCH(C959,'Leads Pipeline'!$A$5:$A$1004,0)),INDEX('Active Clients'!$B$5:$B$504,MATCH(C959,'Active Clients'!$A$5:$A$504,0)))&amp;"","ID not found"))</f>
        <v/>
      </c>
      <c r="F959" s="51" t="str">
        <f aca="false">IF(C959="","",IFERROR(IF(LEFT(C959,1)="L",INDEX('Leads Pipeline'!$E$5:$E$1004,MATCH(C959,'Leads Pipeline'!$A$5:$A$1004,0)),INDEX('Active Clients'!$C$5:$C$504,MATCH(C959,'Active Clients'!$A$5:$A$504,0)))&amp;"","ID not found"))</f>
        <v/>
      </c>
      <c r="G959" s="16"/>
      <c r="H959" s="16"/>
      <c r="I959" s="16"/>
      <c r="J959" s="16"/>
      <c r="K959" s="16"/>
      <c r="L959" s="18"/>
    </row>
    <row r="960" customFormat="false" ht="15" hidden="false" customHeight="false" outlineLevel="0" collapsed="false">
      <c r="A960" s="18"/>
      <c r="B960" s="16"/>
      <c r="C960" s="16"/>
      <c r="D960" s="51" t="str">
        <f aca="false">IF(C960="","",IFERROR(IF(LEFT(C960,1)="L",INDEX('Leads Pipeline'!$F$5:$F$1004,MATCH(C960,'Leads Pipeline'!$A$5:$A$1004,0)),INDEX('Active Clients'!$D$5:$D$504,MATCH(C960,'Active Clients'!$A$5:$A$504,0)))&amp;"","ID not found"))</f>
        <v/>
      </c>
      <c r="E960" s="51" t="str">
        <f aca="false">IF(C960="","",IFERROR(IF(LEFT(C960,1)="L",INDEX('Leads Pipeline'!$D$5:$D$1004,MATCH(C960,'Leads Pipeline'!$A$5:$A$1004,0)),INDEX('Active Clients'!$B$5:$B$504,MATCH(C960,'Active Clients'!$A$5:$A$504,0)))&amp;"","ID not found"))</f>
        <v/>
      </c>
      <c r="F960" s="51" t="str">
        <f aca="false">IF(C960="","",IFERROR(IF(LEFT(C960,1)="L",INDEX('Leads Pipeline'!$E$5:$E$1004,MATCH(C960,'Leads Pipeline'!$A$5:$A$1004,0)),INDEX('Active Clients'!$C$5:$C$504,MATCH(C960,'Active Clients'!$A$5:$A$504,0)))&amp;"","ID not found"))</f>
        <v/>
      </c>
      <c r="G960" s="16"/>
      <c r="H960" s="16"/>
      <c r="I960" s="16"/>
      <c r="J960" s="16"/>
      <c r="K960" s="16"/>
      <c r="L960" s="18"/>
    </row>
    <row r="961" customFormat="false" ht="15" hidden="false" customHeight="false" outlineLevel="0" collapsed="false">
      <c r="A961" s="18"/>
      <c r="B961" s="16"/>
      <c r="C961" s="16"/>
      <c r="D961" s="51" t="str">
        <f aca="false">IF(C961="","",IFERROR(IF(LEFT(C961,1)="L",INDEX('Leads Pipeline'!$F$5:$F$1004,MATCH(C961,'Leads Pipeline'!$A$5:$A$1004,0)),INDEX('Active Clients'!$D$5:$D$504,MATCH(C961,'Active Clients'!$A$5:$A$504,0)))&amp;"","ID not found"))</f>
        <v/>
      </c>
      <c r="E961" s="51" t="str">
        <f aca="false">IF(C961="","",IFERROR(IF(LEFT(C961,1)="L",INDEX('Leads Pipeline'!$D$5:$D$1004,MATCH(C961,'Leads Pipeline'!$A$5:$A$1004,0)),INDEX('Active Clients'!$B$5:$B$504,MATCH(C961,'Active Clients'!$A$5:$A$504,0)))&amp;"","ID not found"))</f>
        <v/>
      </c>
      <c r="F961" s="51" t="str">
        <f aca="false">IF(C961="","",IFERROR(IF(LEFT(C961,1)="L",INDEX('Leads Pipeline'!$E$5:$E$1004,MATCH(C961,'Leads Pipeline'!$A$5:$A$1004,0)),INDEX('Active Clients'!$C$5:$C$504,MATCH(C961,'Active Clients'!$A$5:$A$504,0)))&amp;"","ID not found"))</f>
        <v/>
      </c>
      <c r="G961" s="16"/>
      <c r="H961" s="16"/>
      <c r="I961" s="16"/>
      <c r="J961" s="16"/>
      <c r="K961" s="16"/>
      <c r="L961" s="18"/>
    </row>
    <row r="962" customFormat="false" ht="15" hidden="false" customHeight="false" outlineLevel="0" collapsed="false">
      <c r="A962" s="18"/>
      <c r="B962" s="16"/>
      <c r="C962" s="16"/>
      <c r="D962" s="51" t="str">
        <f aca="false">IF(C962="","",IFERROR(IF(LEFT(C962,1)="L",INDEX('Leads Pipeline'!$F$5:$F$1004,MATCH(C962,'Leads Pipeline'!$A$5:$A$1004,0)),INDEX('Active Clients'!$D$5:$D$504,MATCH(C962,'Active Clients'!$A$5:$A$504,0)))&amp;"","ID not found"))</f>
        <v/>
      </c>
      <c r="E962" s="51" t="str">
        <f aca="false">IF(C962="","",IFERROR(IF(LEFT(C962,1)="L",INDEX('Leads Pipeline'!$D$5:$D$1004,MATCH(C962,'Leads Pipeline'!$A$5:$A$1004,0)),INDEX('Active Clients'!$B$5:$B$504,MATCH(C962,'Active Clients'!$A$5:$A$504,0)))&amp;"","ID not found"))</f>
        <v/>
      </c>
      <c r="F962" s="51" t="str">
        <f aca="false">IF(C962="","",IFERROR(IF(LEFT(C962,1)="L",INDEX('Leads Pipeline'!$E$5:$E$1004,MATCH(C962,'Leads Pipeline'!$A$5:$A$1004,0)),INDEX('Active Clients'!$C$5:$C$504,MATCH(C962,'Active Clients'!$A$5:$A$504,0)))&amp;"","ID not found"))</f>
        <v/>
      </c>
      <c r="G962" s="16"/>
      <c r="H962" s="16"/>
      <c r="I962" s="16"/>
      <c r="J962" s="16"/>
      <c r="K962" s="16"/>
      <c r="L962" s="18"/>
    </row>
    <row r="963" customFormat="false" ht="15" hidden="false" customHeight="false" outlineLevel="0" collapsed="false">
      <c r="A963" s="18"/>
      <c r="B963" s="16"/>
      <c r="C963" s="16"/>
      <c r="D963" s="51" t="str">
        <f aca="false">IF(C963="","",IFERROR(IF(LEFT(C963,1)="L",INDEX('Leads Pipeline'!$F$5:$F$1004,MATCH(C963,'Leads Pipeline'!$A$5:$A$1004,0)),INDEX('Active Clients'!$D$5:$D$504,MATCH(C963,'Active Clients'!$A$5:$A$504,0)))&amp;"","ID not found"))</f>
        <v/>
      </c>
      <c r="E963" s="51" t="str">
        <f aca="false">IF(C963="","",IFERROR(IF(LEFT(C963,1)="L",INDEX('Leads Pipeline'!$D$5:$D$1004,MATCH(C963,'Leads Pipeline'!$A$5:$A$1004,0)),INDEX('Active Clients'!$B$5:$B$504,MATCH(C963,'Active Clients'!$A$5:$A$504,0)))&amp;"","ID not found"))</f>
        <v/>
      </c>
      <c r="F963" s="51" t="str">
        <f aca="false">IF(C963="","",IFERROR(IF(LEFT(C963,1)="L",INDEX('Leads Pipeline'!$E$5:$E$1004,MATCH(C963,'Leads Pipeline'!$A$5:$A$1004,0)),INDEX('Active Clients'!$C$5:$C$504,MATCH(C963,'Active Clients'!$A$5:$A$504,0)))&amp;"","ID not found"))</f>
        <v/>
      </c>
      <c r="G963" s="16"/>
      <c r="H963" s="16"/>
      <c r="I963" s="16"/>
      <c r="J963" s="16"/>
      <c r="K963" s="16"/>
      <c r="L963" s="18"/>
    </row>
    <row r="964" customFormat="false" ht="15" hidden="false" customHeight="false" outlineLevel="0" collapsed="false">
      <c r="A964" s="18"/>
      <c r="B964" s="16"/>
      <c r="C964" s="16"/>
      <c r="D964" s="51" t="str">
        <f aca="false">IF(C964="","",IFERROR(IF(LEFT(C964,1)="L",INDEX('Leads Pipeline'!$F$5:$F$1004,MATCH(C964,'Leads Pipeline'!$A$5:$A$1004,0)),INDEX('Active Clients'!$D$5:$D$504,MATCH(C964,'Active Clients'!$A$5:$A$504,0)))&amp;"","ID not found"))</f>
        <v/>
      </c>
      <c r="E964" s="51" t="str">
        <f aca="false">IF(C964="","",IFERROR(IF(LEFT(C964,1)="L",INDEX('Leads Pipeline'!$D$5:$D$1004,MATCH(C964,'Leads Pipeline'!$A$5:$A$1004,0)),INDEX('Active Clients'!$B$5:$B$504,MATCH(C964,'Active Clients'!$A$5:$A$504,0)))&amp;"","ID not found"))</f>
        <v/>
      </c>
      <c r="F964" s="51" t="str">
        <f aca="false">IF(C964="","",IFERROR(IF(LEFT(C964,1)="L",INDEX('Leads Pipeline'!$E$5:$E$1004,MATCH(C964,'Leads Pipeline'!$A$5:$A$1004,0)),INDEX('Active Clients'!$C$5:$C$504,MATCH(C964,'Active Clients'!$A$5:$A$504,0)))&amp;"","ID not found"))</f>
        <v/>
      </c>
      <c r="G964" s="16"/>
      <c r="H964" s="16"/>
      <c r="I964" s="16"/>
      <c r="J964" s="16"/>
      <c r="K964" s="16"/>
      <c r="L964" s="18"/>
    </row>
    <row r="965" customFormat="false" ht="15" hidden="false" customHeight="false" outlineLevel="0" collapsed="false">
      <c r="A965" s="18"/>
      <c r="B965" s="16"/>
      <c r="C965" s="16"/>
      <c r="D965" s="51" t="str">
        <f aca="false">IF(C965="","",IFERROR(IF(LEFT(C965,1)="L",INDEX('Leads Pipeline'!$F$5:$F$1004,MATCH(C965,'Leads Pipeline'!$A$5:$A$1004,0)),INDEX('Active Clients'!$D$5:$D$504,MATCH(C965,'Active Clients'!$A$5:$A$504,0)))&amp;"","ID not found"))</f>
        <v/>
      </c>
      <c r="E965" s="51" t="str">
        <f aca="false">IF(C965="","",IFERROR(IF(LEFT(C965,1)="L",INDEX('Leads Pipeline'!$D$5:$D$1004,MATCH(C965,'Leads Pipeline'!$A$5:$A$1004,0)),INDEX('Active Clients'!$B$5:$B$504,MATCH(C965,'Active Clients'!$A$5:$A$504,0)))&amp;"","ID not found"))</f>
        <v/>
      </c>
      <c r="F965" s="51" t="str">
        <f aca="false">IF(C965="","",IFERROR(IF(LEFT(C965,1)="L",INDEX('Leads Pipeline'!$E$5:$E$1004,MATCH(C965,'Leads Pipeline'!$A$5:$A$1004,0)),INDEX('Active Clients'!$C$5:$C$504,MATCH(C965,'Active Clients'!$A$5:$A$504,0)))&amp;"","ID not found"))</f>
        <v/>
      </c>
      <c r="G965" s="16"/>
      <c r="H965" s="16"/>
      <c r="I965" s="16"/>
      <c r="J965" s="16"/>
      <c r="K965" s="16"/>
      <c r="L965" s="18"/>
    </row>
    <row r="966" customFormat="false" ht="15" hidden="false" customHeight="false" outlineLevel="0" collapsed="false">
      <c r="A966" s="18"/>
      <c r="B966" s="16"/>
      <c r="C966" s="16"/>
      <c r="D966" s="51" t="str">
        <f aca="false">IF(C966="","",IFERROR(IF(LEFT(C966,1)="L",INDEX('Leads Pipeline'!$F$5:$F$1004,MATCH(C966,'Leads Pipeline'!$A$5:$A$1004,0)),INDEX('Active Clients'!$D$5:$D$504,MATCH(C966,'Active Clients'!$A$5:$A$504,0)))&amp;"","ID not found"))</f>
        <v/>
      </c>
      <c r="E966" s="51" t="str">
        <f aca="false">IF(C966="","",IFERROR(IF(LEFT(C966,1)="L",INDEX('Leads Pipeline'!$D$5:$D$1004,MATCH(C966,'Leads Pipeline'!$A$5:$A$1004,0)),INDEX('Active Clients'!$B$5:$B$504,MATCH(C966,'Active Clients'!$A$5:$A$504,0)))&amp;"","ID not found"))</f>
        <v/>
      </c>
      <c r="F966" s="51" t="str">
        <f aca="false">IF(C966="","",IFERROR(IF(LEFT(C966,1)="L",INDEX('Leads Pipeline'!$E$5:$E$1004,MATCH(C966,'Leads Pipeline'!$A$5:$A$1004,0)),INDEX('Active Clients'!$C$5:$C$504,MATCH(C966,'Active Clients'!$A$5:$A$504,0)))&amp;"","ID not found"))</f>
        <v/>
      </c>
      <c r="G966" s="16"/>
      <c r="H966" s="16"/>
      <c r="I966" s="16"/>
      <c r="J966" s="16"/>
      <c r="K966" s="16"/>
      <c r="L966" s="18"/>
    </row>
    <row r="967" customFormat="false" ht="15" hidden="false" customHeight="false" outlineLevel="0" collapsed="false">
      <c r="A967" s="18"/>
      <c r="B967" s="16"/>
      <c r="C967" s="16"/>
      <c r="D967" s="51" t="str">
        <f aca="false">IF(C967="","",IFERROR(IF(LEFT(C967,1)="L",INDEX('Leads Pipeline'!$F$5:$F$1004,MATCH(C967,'Leads Pipeline'!$A$5:$A$1004,0)),INDEX('Active Clients'!$D$5:$D$504,MATCH(C967,'Active Clients'!$A$5:$A$504,0)))&amp;"","ID not found"))</f>
        <v/>
      </c>
      <c r="E967" s="51" t="str">
        <f aca="false">IF(C967="","",IFERROR(IF(LEFT(C967,1)="L",INDEX('Leads Pipeline'!$D$5:$D$1004,MATCH(C967,'Leads Pipeline'!$A$5:$A$1004,0)),INDEX('Active Clients'!$B$5:$B$504,MATCH(C967,'Active Clients'!$A$5:$A$504,0)))&amp;"","ID not found"))</f>
        <v/>
      </c>
      <c r="F967" s="51" t="str">
        <f aca="false">IF(C967="","",IFERROR(IF(LEFT(C967,1)="L",INDEX('Leads Pipeline'!$E$5:$E$1004,MATCH(C967,'Leads Pipeline'!$A$5:$A$1004,0)),INDEX('Active Clients'!$C$5:$C$504,MATCH(C967,'Active Clients'!$A$5:$A$504,0)))&amp;"","ID not found"))</f>
        <v/>
      </c>
      <c r="G967" s="16"/>
      <c r="H967" s="16"/>
      <c r="I967" s="16"/>
      <c r="J967" s="16"/>
      <c r="K967" s="16"/>
      <c r="L967" s="18"/>
    </row>
    <row r="968" customFormat="false" ht="15" hidden="false" customHeight="false" outlineLevel="0" collapsed="false">
      <c r="A968" s="18"/>
      <c r="B968" s="16"/>
      <c r="C968" s="16"/>
      <c r="D968" s="51" t="str">
        <f aca="false">IF(C968="","",IFERROR(IF(LEFT(C968,1)="L",INDEX('Leads Pipeline'!$F$5:$F$1004,MATCH(C968,'Leads Pipeline'!$A$5:$A$1004,0)),INDEX('Active Clients'!$D$5:$D$504,MATCH(C968,'Active Clients'!$A$5:$A$504,0)))&amp;"","ID not found"))</f>
        <v/>
      </c>
      <c r="E968" s="51" t="str">
        <f aca="false">IF(C968="","",IFERROR(IF(LEFT(C968,1)="L",INDEX('Leads Pipeline'!$D$5:$D$1004,MATCH(C968,'Leads Pipeline'!$A$5:$A$1004,0)),INDEX('Active Clients'!$B$5:$B$504,MATCH(C968,'Active Clients'!$A$5:$A$504,0)))&amp;"","ID not found"))</f>
        <v/>
      </c>
      <c r="F968" s="51" t="str">
        <f aca="false">IF(C968="","",IFERROR(IF(LEFT(C968,1)="L",INDEX('Leads Pipeline'!$E$5:$E$1004,MATCH(C968,'Leads Pipeline'!$A$5:$A$1004,0)),INDEX('Active Clients'!$C$5:$C$504,MATCH(C968,'Active Clients'!$A$5:$A$504,0)))&amp;"","ID not found"))</f>
        <v/>
      </c>
      <c r="G968" s="16"/>
      <c r="H968" s="16"/>
      <c r="I968" s="16"/>
      <c r="J968" s="16"/>
      <c r="K968" s="16"/>
      <c r="L968" s="18"/>
    </row>
    <row r="969" customFormat="false" ht="15" hidden="false" customHeight="false" outlineLevel="0" collapsed="false">
      <c r="A969" s="18"/>
      <c r="B969" s="16"/>
      <c r="C969" s="16"/>
      <c r="D969" s="51" t="str">
        <f aca="false">IF(C969="","",IFERROR(IF(LEFT(C969,1)="L",INDEX('Leads Pipeline'!$F$5:$F$1004,MATCH(C969,'Leads Pipeline'!$A$5:$A$1004,0)),INDEX('Active Clients'!$D$5:$D$504,MATCH(C969,'Active Clients'!$A$5:$A$504,0)))&amp;"","ID not found"))</f>
        <v/>
      </c>
      <c r="E969" s="51" t="str">
        <f aca="false">IF(C969="","",IFERROR(IF(LEFT(C969,1)="L",INDEX('Leads Pipeline'!$D$5:$D$1004,MATCH(C969,'Leads Pipeline'!$A$5:$A$1004,0)),INDEX('Active Clients'!$B$5:$B$504,MATCH(C969,'Active Clients'!$A$5:$A$504,0)))&amp;"","ID not found"))</f>
        <v/>
      </c>
      <c r="F969" s="51" t="str">
        <f aca="false">IF(C969="","",IFERROR(IF(LEFT(C969,1)="L",INDEX('Leads Pipeline'!$E$5:$E$1004,MATCH(C969,'Leads Pipeline'!$A$5:$A$1004,0)),INDEX('Active Clients'!$C$5:$C$504,MATCH(C969,'Active Clients'!$A$5:$A$504,0)))&amp;"","ID not found"))</f>
        <v/>
      </c>
      <c r="G969" s="16"/>
      <c r="H969" s="16"/>
      <c r="I969" s="16"/>
      <c r="J969" s="16"/>
      <c r="K969" s="16"/>
      <c r="L969" s="18"/>
    </row>
    <row r="970" customFormat="false" ht="15" hidden="false" customHeight="false" outlineLevel="0" collapsed="false">
      <c r="A970" s="18"/>
      <c r="B970" s="16"/>
      <c r="C970" s="16"/>
      <c r="D970" s="51" t="str">
        <f aca="false">IF(C970="","",IFERROR(IF(LEFT(C970,1)="L",INDEX('Leads Pipeline'!$F$5:$F$1004,MATCH(C970,'Leads Pipeline'!$A$5:$A$1004,0)),INDEX('Active Clients'!$D$5:$D$504,MATCH(C970,'Active Clients'!$A$5:$A$504,0)))&amp;"","ID not found"))</f>
        <v/>
      </c>
      <c r="E970" s="51" t="str">
        <f aca="false">IF(C970="","",IFERROR(IF(LEFT(C970,1)="L",INDEX('Leads Pipeline'!$D$5:$D$1004,MATCH(C970,'Leads Pipeline'!$A$5:$A$1004,0)),INDEX('Active Clients'!$B$5:$B$504,MATCH(C970,'Active Clients'!$A$5:$A$504,0)))&amp;"","ID not found"))</f>
        <v/>
      </c>
      <c r="F970" s="51" t="str">
        <f aca="false">IF(C970="","",IFERROR(IF(LEFT(C970,1)="L",INDEX('Leads Pipeline'!$E$5:$E$1004,MATCH(C970,'Leads Pipeline'!$A$5:$A$1004,0)),INDEX('Active Clients'!$C$5:$C$504,MATCH(C970,'Active Clients'!$A$5:$A$504,0)))&amp;"","ID not found"))</f>
        <v/>
      </c>
      <c r="G970" s="16"/>
      <c r="H970" s="16"/>
      <c r="I970" s="16"/>
      <c r="J970" s="16"/>
      <c r="K970" s="16"/>
      <c r="L970" s="18"/>
    </row>
    <row r="971" customFormat="false" ht="15" hidden="false" customHeight="false" outlineLevel="0" collapsed="false">
      <c r="A971" s="18"/>
      <c r="B971" s="16"/>
      <c r="C971" s="16"/>
      <c r="D971" s="51" t="str">
        <f aca="false">IF(C971="","",IFERROR(IF(LEFT(C971,1)="L",INDEX('Leads Pipeline'!$F$5:$F$1004,MATCH(C971,'Leads Pipeline'!$A$5:$A$1004,0)),INDEX('Active Clients'!$D$5:$D$504,MATCH(C971,'Active Clients'!$A$5:$A$504,0)))&amp;"","ID not found"))</f>
        <v/>
      </c>
      <c r="E971" s="51" t="str">
        <f aca="false">IF(C971="","",IFERROR(IF(LEFT(C971,1)="L",INDEX('Leads Pipeline'!$D$5:$D$1004,MATCH(C971,'Leads Pipeline'!$A$5:$A$1004,0)),INDEX('Active Clients'!$B$5:$B$504,MATCH(C971,'Active Clients'!$A$5:$A$504,0)))&amp;"","ID not found"))</f>
        <v/>
      </c>
      <c r="F971" s="51" t="str">
        <f aca="false">IF(C971="","",IFERROR(IF(LEFT(C971,1)="L",INDEX('Leads Pipeline'!$E$5:$E$1004,MATCH(C971,'Leads Pipeline'!$A$5:$A$1004,0)),INDEX('Active Clients'!$C$5:$C$504,MATCH(C971,'Active Clients'!$A$5:$A$504,0)))&amp;"","ID not found"))</f>
        <v/>
      </c>
      <c r="G971" s="16"/>
      <c r="H971" s="16"/>
      <c r="I971" s="16"/>
      <c r="J971" s="16"/>
      <c r="K971" s="16"/>
      <c r="L971" s="18"/>
    </row>
    <row r="972" customFormat="false" ht="15" hidden="false" customHeight="false" outlineLevel="0" collapsed="false">
      <c r="A972" s="18"/>
      <c r="B972" s="16"/>
      <c r="C972" s="16"/>
      <c r="D972" s="51" t="str">
        <f aca="false">IF(C972="","",IFERROR(IF(LEFT(C972,1)="L",INDEX('Leads Pipeline'!$F$5:$F$1004,MATCH(C972,'Leads Pipeline'!$A$5:$A$1004,0)),INDEX('Active Clients'!$D$5:$D$504,MATCH(C972,'Active Clients'!$A$5:$A$504,0)))&amp;"","ID not found"))</f>
        <v/>
      </c>
      <c r="E972" s="51" t="str">
        <f aca="false">IF(C972="","",IFERROR(IF(LEFT(C972,1)="L",INDEX('Leads Pipeline'!$D$5:$D$1004,MATCH(C972,'Leads Pipeline'!$A$5:$A$1004,0)),INDEX('Active Clients'!$B$5:$B$504,MATCH(C972,'Active Clients'!$A$5:$A$504,0)))&amp;"","ID not found"))</f>
        <v/>
      </c>
      <c r="F972" s="51" t="str">
        <f aca="false">IF(C972="","",IFERROR(IF(LEFT(C972,1)="L",INDEX('Leads Pipeline'!$E$5:$E$1004,MATCH(C972,'Leads Pipeline'!$A$5:$A$1004,0)),INDEX('Active Clients'!$C$5:$C$504,MATCH(C972,'Active Clients'!$A$5:$A$504,0)))&amp;"","ID not found"))</f>
        <v/>
      </c>
      <c r="G972" s="16"/>
      <c r="H972" s="16"/>
      <c r="I972" s="16"/>
      <c r="J972" s="16"/>
      <c r="K972" s="16"/>
      <c r="L972" s="18"/>
    </row>
    <row r="973" customFormat="false" ht="15" hidden="false" customHeight="false" outlineLevel="0" collapsed="false">
      <c r="A973" s="18"/>
      <c r="B973" s="16"/>
      <c r="C973" s="16"/>
      <c r="D973" s="51" t="str">
        <f aca="false">IF(C973="","",IFERROR(IF(LEFT(C973,1)="L",INDEX('Leads Pipeline'!$F$5:$F$1004,MATCH(C973,'Leads Pipeline'!$A$5:$A$1004,0)),INDEX('Active Clients'!$D$5:$D$504,MATCH(C973,'Active Clients'!$A$5:$A$504,0)))&amp;"","ID not found"))</f>
        <v/>
      </c>
      <c r="E973" s="51" t="str">
        <f aca="false">IF(C973="","",IFERROR(IF(LEFT(C973,1)="L",INDEX('Leads Pipeline'!$D$5:$D$1004,MATCH(C973,'Leads Pipeline'!$A$5:$A$1004,0)),INDEX('Active Clients'!$B$5:$B$504,MATCH(C973,'Active Clients'!$A$5:$A$504,0)))&amp;"","ID not found"))</f>
        <v/>
      </c>
      <c r="F973" s="51" t="str">
        <f aca="false">IF(C973="","",IFERROR(IF(LEFT(C973,1)="L",INDEX('Leads Pipeline'!$E$5:$E$1004,MATCH(C973,'Leads Pipeline'!$A$5:$A$1004,0)),INDEX('Active Clients'!$C$5:$C$504,MATCH(C973,'Active Clients'!$A$5:$A$504,0)))&amp;"","ID not found"))</f>
        <v/>
      </c>
      <c r="G973" s="16"/>
      <c r="H973" s="16"/>
      <c r="I973" s="16"/>
      <c r="J973" s="16"/>
      <c r="K973" s="16"/>
      <c r="L973" s="18"/>
    </row>
    <row r="974" customFormat="false" ht="15" hidden="false" customHeight="false" outlineLevel="0" collapsed="false">
      <c r="A974" s="18"/>
      <c r="B974" s="16"/>
      <c r="C974" s="16"/>
      <c r="D974" s="51" t="str">
        <f aca="false">IF(C974="","",IFERROR(IF(LEFT(C974,1)="L",INDEX('Leads Pipeline'!$F$5:$F$1004,MATCH(C974,'Leads Pipeline'!$A$5:$A$1004,0)),INDEX('Active Clients'!$D$5:$D$504,MATCH(C974,'Active Clients'!$A$5:$A$504,0)))&amp;"","ID not found"))</f>
        <v/>
      </c>
      <c r="E974" s="51" t="str">
        <f aca="false">IF(C974="","",IFERROR(IF(LEFT(C974,1)="L",INDEX('Leads Pipeline'!$D$5:$D$1004,MATCH(C974,'Leads Pipeline'!$A$5:$A$1004,0)),INDEX('Active Clients'!$B$5:$B$504,MATCH(C974,'Active Clients'!$A$5:$A$504,0)))&amp;"","ID not found"))</f>
        <v/>
      </c>
      <c r="F974" s="51" t="str">
        <f aca="false">IF(C974="","",IFERROR(IF(LEFT(C974,1)="L",INDEX('Leads Pipeline'!$E$5:$E$1004,MATCH(C974,'Leads Pipeline'!$A$5:$A$1004,0)),INDEX('Active Clients'!$C$5:$C$504,MATCH(C974,'Active Clients'!$A$5:$A$504,0)))&amp;"","ID not found"))</f>
        <v/>
      </c>
      <c r="G974" s="16"/>
      <c r="H974" s="16"/>
      <c r="I974" s="16"/>
      <c r="J974" s="16"/>
      <c r="K974" s="16"/>
      <c r="L974" s="18"/>
    </row>
    <row r="975" customFormat="false" ht="15" hidden="false" customHeight="false" outlineLevel="0" collapsed="false">
      <c r="A975" s="18"/>
      <c r="B975" s="16"/>
      <c r="C975" s="16"/>
      <c r="D975" s="51" t="str">
        <f aca="false">IF(C975="","",IFERROR(IF(LEFT(C975,1)="L",INDEX('Leads Pipeline'!$F$5:$F$1004,MATCH(C975,'Leads Pipeline'!$A$5:$A$1004,0)),INDEX('Active Clients'!$D$5:$D$504,MATCH(C975,'Active Clients'!$A$5:$A$504,0)))&amp;"","ID not found"))</f>
        <v/>
      </c>
      <c r="E975" s="51" t="str">
        <f aca="false">IF(C975="","",IFERROR(IF(LEFT(C975,1)="L",INDEX('Leads Pipeline'!$D$5:$D$1004,MATCH(C975,'Leads Pipeline'!$A$5:$A$1004,0)),INDEX('Active Clients'!$B$5:$B$504,MATCH(C975,'Active Clients'!$A$5:$A$504,0)))&amp;"","ID not found"))</f>
        <v/>
      </c>
      <c r="F975" s="51" t="str">
        <f aca="false">IF(C975="","",IFERROR(IF(LEFT(C975,1)="L",INDEX('Leads Pipeline'!$E$5:$E$1004,MATCH(C975,'Leads Pipeline'!$A$5:$A$1004,0)),INDEX('Active Clients'!$C$5:$C$504,MATCH(C975,'Active Clients'!$A$5:$A$504,0)))&amp;"","ID not found"))</f>
        <v/>
      </c>
      <c r="G975" s="16"/>
      <c r="H975" s="16"/>
      <c r="I975" s="16"/>
      <c r="J975" s="16"/>
      <c r="K975" s="16"/>
      <c r="L975" s="18"/>
    </row>
    <row r="976" customFormat="false" ht="15" hidden="false" customHeight="false" outlineLevel="0" collapsed="false">
      <c r="A976" s="18"/>
      <c r="B976" s="16"/>
      <c r="C976" s="16"/>
      <c r="D976" s="51" t="str">
        <f aca="false">IF(C976="","",IFERROR(IF(LEFT(C976,1)="L",INDEX('Leads Pipeline'!$F$5:$F$1004,MATCH(C976,'Leads Pipeline'!$A$5:$A$1004,0)),INDEX('Active Clients'!$D$5:$D$504,MATCH(C976,'Active Clients'!$A$5:$A$504,0)))&amp;"","ID not found"))</f>
        <v/>
      </c>
      <c r="E976" s="51" t="str">
        <f aca="false">IF(C976="","",IFERROR(IF(LEFT(C976,1)="L",INDEX('Leads Pipeline'!$D$5:$D$1004,MATCH(C976,'Leads Pipeline'!$A$5:$A$1004,0)),INDEX('Active Clients'!$B$5:$B$504,MATCH(C976,'Active Clients'!$A$5:$A$504,0)))&amp;"","ID not found"))</f>
        <v/>
      </c>
      <c r="F976" s="51" t="str">
        <f aca="false">IF(C976="","",IFERROR(IF(LEFT(C976,1)="L",INDEX('Leads Pipeline'!$E$5:$E$1004,MATCH(C976,'Leads Pipeline'!$A$5:$A$1004,0)),INDEX('Active Clients'!$C$5:$C$504,MATCH(C976,'Active Clients'!$A$5:$A$504,0)))&amp;"","ID not found"))</f>
        <v/>
      </c>
      <c r="G976" s="16"/>
      <c r="H976" s="16"/>
      <c r="I976" s="16"/>
      <c r="J976" s="16"/>
      <c r="K976" s="16"/>
      <c r="L976" s="18"/>
    </row>
    <row r="977" customFormat="false" ht="15" hidden="false" customHeight="false" outlineLevel="0" collapsed="false">
      <c r="A977" s="18"/>
      <c r="B977" s="16"/>
      <c r="C977" s="16"/>
      <c r="D977" s="51" t="str">
        <f aca="false">IF(C977="","",IFERROR(IF(LEFT(C977,1)="L",INDEX('Leads Pipeline'!$F$5:$F$1004,MATCH(C977,'Leads Pipeline'!$A$5:$A$1004,0)),INDEX('Active Clients'!$D$5:$D$504,MATCH(C977,'Active Clients'!$A$5:$A$504,0)))&amp;"","ID not found"))</f>
        <v/>
      </c>
      <c r="E977" s="51" t="str">
        <f aca="false">IF(C977="","",IFERROR(IF(LEFT(C977,1)="L",INDEX('Leads Pipeline'!$D$5:$D$1004,MATCH(C977,'Leads Pipeline'!$A$5:$A$1004,0)),INDEX('Active Clients'!$B$5:$B$504,MATCH(C977,'Active Clients'!$A$5:$A$504,0)))&amp;"","ID not found"))</f>
        <v/>
      </c>
      <c r="F977" s="51" t="str">
        <f aca="false">IF(C977="","",IFERROR(IF(LEFT(C977,1)="L",INDEX('Leads Pipeline'!$E$5:$E$1004,MATCH(C977,'Leads Pipeline'!$A$5:$A$1004,0)),INDEX('Active Clients'!$C$5:$C$504,MATCH(C977,'Active Clients'!$A$5:$A$504,0)))&amp;"","ID not found"))</f>
        <v/>
      </c>
      <c r="G977" s="16"/>
      <c r="H977" s="16"/>
      <c r="I977" s="16"/>
      <c r="J977" s="16"/>
      <c r="K977" s="16"/>
      <c r="L977" s="18"/>
    </row>
    <row r="978" customFormat="false" ht="15" hidden="false" customHeight="false" outlineLevel="0" collapsed="false">
      <c r="A978" s="18"/>
      <c r="B978" s="16"/>
      <c r="C978" s="16"/>
      <c r="D978" s="51" t="str">
        <f aca="false">IF(C978="","",IFERROR(IF(LEFT(C978,1)="L",INDEX('Leads Pipeline'!$F$5:$F$1004,MATCH(C978,'Leads Pipeline'!$A$5:$A$1004,0)),INDEX('Active Clients'!$D$5:$D$504,MATCH(C978,'Active Clients'!$A$5:$A$504,0)))&amp;"","ID not found"))</f>
        <v/>
      </c>
      <c r="E978" s="51" t="str">
        <f aca="false">IF(C978="","",IFERROR(IF(LEFT(C978,1)="L",INDEX('Leads Pipeline'!$D$5:$D$1004,MATCH(C978,'Leads Pipeline'!$A$5:$A$1004,0)),INDEX('Active Clients'!$B$5:$B$504,MATCH(C978,'Active Clients'!$A$5:$A$504,0)))&amp;"","ID not found"))</f>
        <v/>
      </c>
      <c r="F978" s="51" t="str">
        <f aca="false">IF(C978="","",IFERROR(IF(LEFT(C978,1)="L",INDEX('Leads Pipeline'!$E$5:$E$1004,MATCH(C978,'Leads Pipeline'!$A$5:$A$1004,0)),INDEX('Active Clients'!$C$5:$C$504,MATCH(C978,'Active Clients'!$A$5:$A$504,0)))&amp;"","ID not found"))</f>
        <v/>
      </c>
      <c r="G978" s="16"/>
      <c r="H978" s="16"/>
      <c r="I978" s="16"/>
      <c r="J978" s="16"/>
      <c r="K978" s="16"/>
      <c r="L978" s="18"/>
    </row>
    <row r="979" customFormat="false" ht="15" hidden="false" customHeight="false" outlineLevel="0" collapsed="false">
      <c r="A979" s="18"/>
      <c r="B979" s="16"/>
      <c r="C979" s="16"/>
      <c r="D979" s="51" t="str">
        <f aca="false">IF(C979="","",IFERROR(IF(LEFT(C979,1)="L",INDEX('Leads Pipeline'!$F$5:$F$1004,MATCH(C979,'Leads Pipeline'!$A$5:$A$1004,0)),INDEX('Active Clients'!$D$5:$D$504,MATCH(C979,'Active Clients'!$A$5:$A$504,0)))&amp;"","ID not found"))</f>
        <v/>
      </c>
      <c r="E979" s="51" t="str">
        <f aca="false">IF(C979="","",IFERROR(IF(LEFT(C979,1)="L",INDEX('Leads Pipeline'!$D$5:$D$1004,MATCH(C979,'Leads Pipeline'!$A$5:$A$1004,0)),INDEX('Active Clients'!$B$5:$B$504,MATCH(C979,'Active Clients'!$A$5:$A$504,0)))&amp;"","ID not found"))</f>
        <v/>
      </c>
      <c r="F979" s="51" t="str">
        <f aca="false">IF(C979="","",IFERROR(IF(LEFT(C979,1)="L",INDEX('Leads Pipeline'!$E$5:$E$1004,MATCH(C979,'Leads Pipeline'!$A$5:$A$1004,0)),INDEX('Active Clients'!$C$5:$C$504,MATCH(C979,'Active Clients'!$A$5:$A$504,0)))&amp;"","ID not found"))</f>
        <v/>
      </c>
      <c r="G979" s="16"/>
      <c r="H979" s="16"/>
      <c r="I979" s="16"/>
      <c r="J979" s="16"/>
      <c r="K979" s="16"/>
      <c r="L979" s="18"/>
    </row>
    <row r="980" customFormat="false" ht="15" hidden="false" customHeight="false" outlineLevel="0" collapsed="false">
      <c r="A980" s="18"/>
      <c r="B980" s="16"/>
      <c r="C980" s="16"/>
      <c r="D980" s="51" t="str">
        <f aca="false">IF(C980="","",IFERROR(IF(LEFT(C980,1)="L",INDEX('Leads Pipeline'!$F$5:$F$1004,MATCH(C980,'Leads Pipeline'!$A$5:$A$1004,0)),INDEX('Active Clients'!$D$5:$D$504,MATCH(C980,'Active Clients'!$A$5:$A$504,0)))&amp;"","ID not found"))</f>
        <v/>
      </c>
      <c r="E980" s="51" t="str">
        <f aca="false">IF(C980="","",IFERROR(IF(LEFT(C980,1)="L",INDEX('Leads Pipeline'!$D$5:$D$1004,MATCH(C980,'Leads Pipeline'!$A$5:$A$1004,0)),INDEX('Active Clients'!$B$5:$B$504,MATCH(C980,'Active Clients'!$A$5:$A$504,0)))&amp;"","ID not found"))</f>
        <v/>
      </c>
      <c r="F980" s="51" t="str">
        <f aca="false">IF(C980="","",IFERROR(IF(LEFT(C980,1)="L",INDEX('Leads Pipeline'!$E$5:$E$1004,MATCH(C980,'Leads Pipeline'!$A$5:$A$1004,0)),INDEX('Active Clients'!$C$5:$C$504,MATCH(C980,'Active Clients'!$A$5:$A$504,0)))&amp;"","ID not found"))</f>
        <v/>
      </c>
      <c r="G980" s="16"/>
      <c r="H980" s="16"/>
      <c r="I980" s="16"/>
      <c r="J980" s="16"/>
      <c r="K980" s="16"/>
      <c r="L980" s="18"/>
    </row>
    <row r="981" customFormat="false" ht="15" hidden="false" customHeight="false" outlineLevel="0" collapsed="false">
      <c r="A981" s="18"/>
      <c r="B981" s="16"/>
      <c r="C981" s="16"/>
      <c r="D981" s="51" t="str">
        <f aca="false">IF(C981="","",IFERROR(IF(LEFT(C981,1)="L",INDEX('Leads Pipeline'!$F$5:$F$1004,MATCH(C981,'Leads Pipeline'!$A$5:$A$1004,0)),INDEX('Active Clients'!$D$5:$D$504,MATCH(C981,'Active Clients'!$A$5:$A$504,0)))&amp;"","ID not found"))</f>
        <v/>
      </c>
      <c r="E981" s="51" t="str">
        <f aca="false">IF(C981="","",IFERROR(IF(LEFT(C981,1)="L",INDEX('Leads Pipeline'!$D$5:$D$1004,MATCH(C981,'Leads Pipeline'!$A$5:$A$1004,0)),INDEX('Active Clients'!$B$5:$B$504,MATCH(C981,'Active Clients'!$A$5:$A$504,0)))&amp;"","ID not found"))</f>
        <v/>
      </c>
      <c r="F981" s="51" t="str">
        <f aca="false">IF(C981="","",IFERROR(IF(LEFT(C981,1)="L",INDEX('Leads Pipeline'!$E$5:$E$1004,MATCH(C981,'Leads Pipeline'!$A$5:$A$1004,0)),INDEX('Active Clients'!$C$5:$C$504,MATCH(C981,'Active Clients'!$A$5:$A$504,0)))&amp;"","ID not found"))</f>
        <v/>
      </c>
      <c r="G981" s="16"/>
      <c r="H981" s="16"/>
      <c r="I981" s="16"/>
      <c r="J981" s="16"/>
      <c r="K981" s="16"/>
      <c r="L981" s="18"/>
    </row>
    <row r="982" customFormat="false" ht="15" hidden="false" customHeight="false" outlineLevel="0" collapsed="false">
      <c r="A982" s="18"/>
      <c r="B982" s="16"/>
      <c r="C982" s="16"/>
      <c r="D982" s="51" t="str">
        <f aca="false">IF(C982="","",IFERROR(IF(LEFT(C982,1)="L",INDEX('Leads Pipeline'!$F$5:$F$1004,MATCH(C982,'Leads Pipeline'!$A$5:$A$1004,0)),INDEX('Active Clients'!$D$5:$D$504,MATCH(C982,'Active Clients'!$A$5:$A$504,0)))&amp;"","ID not found"))</f>
        <v/>
      </c>
      <c r="E982" s="51" t="str">
        <f aca="false">IF(C982="","",IFERROR(IF(LEFT(C982,1)="L",INDEX('Leads Pipeline'!$D$5:$D$1004,MATCH(C982,'Leads Pipeline'!$A$5:$A$1004,0)),INDEX('Active Clients'!$B$5:$B$504,MATCH(C982,'Active Clients'!$A$5:$A$504,0)))&amp;"","ID not found"))</f>
        <v/>
      </c>
      <c r="F982" s="51" t="str">
        <f aca="false">IF(C982="","",IFERROR(IF(LEFT(C982,1)="L",INDEX('Leads Pipeline'!$E$5:$E$1004,MATCH(C982,'Leads Pipeline'!$A$5:$A$1004,0)),INDEX('Active Clients'!$C$5:$C$504,MATCH(C982,'Active Clients'!$A$5:$A$504,0)))&amp;"","ID not found"))</f>
        <v/>
      </c>
      <c r="G982" s="16"/>
      <c r="H982" s="16"/>
      <c r="I982" s="16"/>
      <c r="J982" s="16"/>
      <c r="K982" s="16"/>
      <c r="L982" s="18"/>
    </row>
    <row r="983" customFormat="false" ht="15" hidden="false" customHeight="false" outlineLevel="0" collapsed="false">
      <c r="A983" s="18"/>
      <c r="B983" s="16"/>
      <c r="C983" s="16"/>
      <c r="D983" s="51" t="str">
        <f aca="false">IF(C983="","",IFERROR(IF(LEFT(C983,1)="L",INDEX('Leads Pipeline'!$F$5:$F$1004,MATCH(C983,'Leads Pipeline'!$A$5:$A$1004,0)),INDEX('Active Clients'!$D$5:$D$504,MATCH(C983,'Active Clients'!$A$5:$A$504,0)))&amp;"","ID not found"))</f>
        <v/>
      </c>
      <c r="E983" s="51" t="str">
        <f aca="false">IF(C983="","",IFERROR(IF(LEFT(C983,1)="L",INDEX('Leads Pipeline'!$D$5:$D$1004,MATCH(C983,'Leads Pipeline'!$A$5:$A$1004,0)),INDEX('Active Clients'!$B$5:$B$504,MATCH(C983,'Active Clients'!$A$5:$A$504,0)))&amp;"","ID not found"))</f>
        <v/>
      </c>
      <c r="F983" s="51" t="str">
        <f aca="false">IF(C983="","",IFERROR(IF(LEFT(C983,1)="L",INDEX('Leads Pipeline'!$E$5:$E$1004,MATCH(C983,'Leads Pipeline'!$A$5:$A$1004,0)),INDEX('Active Clients'!$C$5:$C$504,MATCH(C983,'Active Clients'!$A$5:$A$504,0)))&amp;"","ID not found"))</f>
        <v/>
      </c>
      <c r="G983" s="16"/>
      <c r="H983" s="16"/>
      <c r="I983" s="16"/>
      <c r="J983" s="16"/>
      <c r="K983" s="16"/>
      <c r="L983" s="18"/>
    </row>
    <row r="984" customFormat="false" ht="15" hidden="false" customHeight="false" outlineLevel="0" collapsed="false">
      <c r="A984" s="18"/>
      <c r="B984" s="16"/>
      <c r="C984" s="16"/>
      <c r="D984" s="51" t="str">
        <f aca="false">IF(C984="","",IFERROR(IF(LEFT(C984,1)="L",INDEX('Leads Pipeline'!$F$5:$F$1004,MATCH(C984,'Leads Pipeline'!$A$5:$A$1004,0)),INDEX('Active Clients'!$D$5:$D$504,MATCH(C984,'Active Clients'!$A$5:$A$504,0)))&amp;"","ID not found"))</f>
        <v/>
      </c>
      <c r="E984" s="51" t="str">
        <f aca="false">IF(C984="","",IFERROR(IF(LEFT(C984,1)="L",INDEX('Leads Pipeline'!$D$5:$D$1004,MATCH(C984,'Leads Pipeline'!$A$5:$A$1004,0)),INDEX('Active Clients'!$B$5:$B$504,MATCH(C984,'Active Clients'!$A$5:$A$504,0)))&amp;"","ID not found"))</f>
        <v/>
      </c>
      <c r="F984" s="51" t="str">
        <f aca="false">IF(C984="","",IFERROR(IF(LEFT(C984,1)="L",INDEX('Leads Pipeline'!$E$5:$E$1004,MATCH(C984,'Leads Pipeline'!$A$5:$A$1004,0)),INDEX('Active Clients'!$C$5:$C$504,MATCH(C984,'Active Clients'!$A$5:$A$504,0)))&amp;"","ID not found"))</f>
        <v/>
      </c>
      <c r="G984" s="16"/>
      <c r="H984" s="16"/>
      <c r="I984" s="16"/>
      <c r="J984" s="16"/>
      <c r="K984" s="16"/>
      <c r="L984" s="18"/>
    </row>
    <row r="985" customFormat="false" ht="15" hidden="false" customHeight="false" outlineLevel="0" collapsed="false">
      <c r="A985" s="18"/>
      <c r="B985" s="16"/>
      <c r="C985" s="16"/>
      <c r="D985" s="51" t="str">
        <f aca="false">IF(C985="","",IFERROR(IF(LEFT(C985,1)="L",INDEX('Leads Pipeline'!$F$5:$F$1004,MATCH(C985,'Leads Pipeline'!$A$5:$A$1004,0)),INDEX('Active Clients'!$D$5:$D$504,MATCH(C985,'Active Clients'!$A$5:$A$504,0)))&amp;"","ID not found"))</f>
        <v/>
      </c>
      <c r="E985" s="51" t="str">
        <f aca="false">IF(C985="","",IFERROR(IF(LEFT(C985,1)="L",INDEX('Leads Pipeline'!$D$5:$D$1004,MATCH(C985,'Leads Pipeline'!$A$5:$A$1004,0)),INDEX('Active Clients'!$B$5:$B$504,MATCH(C985,'Active Clients'!$A$5:$A$504,0)))&amp;"","ID not found"))</f>
        <v/>
      </c>
      <c r="F985" s="51" t="str">
        <f aca="false">IF(C985="","",IFERROR(IF(LEFT(C985,1)="L",INDEX('Leads Pipeline'!$E$5:$E$1004,MATCH(C985,'Leads Pipeline'!$A$5:$A$1004,0)),INDEX('Active Clients'!$C$5:$C$504,MATCH(C985,'Active Clients'!$A$5:$A$504,0)))&amp;"","ID not found"))</f>
        <v/>
      </c>
      <c r="G985" s="16"/>
      <c r="H985" s="16"/>
      <c r="I985" s="16"/>
      <c r="J985" s="16"/>
      <c r="K985" s="16"/>
      <c r="L985" s="18"/>
    </row>
    <row r="986" customFormat="false" ht="15" hidden="false" customHeight="false" outlineLevel="0" collapsed="false">
      <c r="A986" s="18"/>
      <c r="B986" s="16"/>
      <c r="C986" s="16"/>
      <c r="D986" s="51" t="str">
        <f aca="false">IF(C986="","",IFERROR(IF(LEFT(C986,1)="L",INDEX('Leads Pipeline'!$F$5:$F$1004,MATCH(C986,'Leads Pipeline'!$A$5:$A$1004,0)),INDEX('Active Clients'!$D$5:$D$504,MATCH(C986,'Active Clients'!$A$5:$A$504,0)))&amp;"","ID not found"))</f>
        <v/>
      </c>
      <c r="E986" s="51" t="str">
        <f aca="false">IF(C986="","",IFERROR(IF(LEFT(C986,1)="L",INDEX('Leads Pipeline'!$D$5:$D$1004,MATCH(C986,'Leads Pipeline'!$A$5:$A$1004,0)),INDEX('Active Clients'!$B$5:$B$504,MATCH(C986,'Active Clients'!$A$5:$A$504,0)))&amp;"","ID not found"))</f>
        <v/>
      </c>
      <c r="F986" s="51" t="str">
        <f aca="false">IF(C986="","",IFERROR(IF(LEFT(C986,1)="L",INDEX('Leads Pipeline'!$E$5:$E$1004,MATCH(C986,'Leads Pipeline'!$A$5:$A$1004,0)),INDEX('Active Clients'!$C$5:$C$504,MATCH(C986,'Active Clients'!$A$5:$A$504,0)))&amp;"","ID not found"))</f>
        <v/>
      </c>
      <c r="G986" s="16"/>
      <c r="H986" s="16"/>
      <c r="I986" s="16"/>
      <c r="J986" s="16"/>
      <c r="K986" s="16"/>
      <c r="L986" s="18"/>
    </row>
    <row r="987" customFormat="false" ht="15" hidden="false" customHeight="false" outlineLevel="0" collapsed="false">
      <c r="A987" s="18"/>
      <c r="B987" s="16"/>
      <c r="C987" s="16"/>
      <c r="D987" s="51" t="str">
        <f aca="false">IF(C987="","",IFERROR(IF(LEFT(C987,1)="L",INDEX('Leads Pipeline'!$F$5:$F$1004,MATCH(C987,'Leads Pipeline'!$A$5:$A$1004,0)),INDEX('Active Clients'!$D$5:$D$504,MATCH(C987,'Active Clients'!$A$5:$A$504,0)))&amp;"","ID not found"))</f>
        <v/>
      </c>
      <c r="E987" s="51" t="str">
        <f aca="false">IF(C987="","",IFERROR(IF(LEFT(C987,1)="L",INDEX('Leads Pipeline'!$D$5:$D$1004,MATCH(C987,'Leads Pipeline'!$A$5:$A$1004,0)),INDEX('Active Clients'!$B$5:$B$504,MATCH(C987,'Active Clients'!$A$5:$A$504,0)))&amp;"","ID not found"))</f>
        <v/>
      </c>
      <c r="F987" s="51" t="str">
        <f aca="false">IF(C987="","",IFERROR(IF(LEFT(C987,1)="L",INDEX('Leads Pipeline'!$E$5:$E$1004,MATCH(C987,'Leads Pipeline'!$A$5:$A$1004,0)),INDEX('Active Clients'!$C$5:$C$504,MATCH(C987,'Active Clients'!$A$5:$A$504,0)))&amp;"","ID not found"))</f>
        <v/>
      </c>
      <c r="G987" s="16"/>
      <c r="H987" s="16"/>
      <c r="I987" s="16"/>
      <c r="J987" s="16"/>
      <c r="K987" s="16"/>
      <c r="L987" s="18"/>
    </row>
    <row r="988" customFormat="false" ht="15" hidden="false" customHeight="false" outlineLevel="0" collapsed="false">
      <c r="A988" s="18"/>
      <c r="B988" s="16"/>
      <c r="C988" s="16"/>
      <c r="D988" s="51" t="str">
        <f aca="false">IF(C988="","",IFERROR(IF(LEFT(C988,1)="L",INDEX('Leads Pipeline'!$F$5:$F$1004,MATCH(C988,'Leads Pipeline'!$A$5:$A$1004,0)),INDEX('Active Clients'!$D$5:$D$504,MATCH(C988,'Active Clients'!$A$5:$A$504,0)))&amp;"","ID not found"))</f>
        <v/>
      </c>
      <c r="E988" s="51" t="str">
        <f aca="false">IF(C988="","",IFERROR(IF(LEFT(C988,1)="L",INDEX('Leads Pipeline'!$D$5:$D$1004,MATCH(C988,'Leads Pipeline'!$A$5:$A$1004,0)),INDEX('Active Clients'!$B$5:$B$504,MATCH(C988,'Active Clients'!$A$5:$A$504,0)))&amp;"","ID not found"))</f>
        <v/>
      </c>
      <c r="F988" s="51" t="str">
        <f aca="false">IF(C988="","",IFERROR(IF(LEFT(C988,1)="L",INDEX('Leads Pipeline'!$E$5:$E$1004,MATCH(C988,'Leads Pipeline'!$A$5:$A$1004,0)),INDEX('Active Clients'!$C$5:$C$504,MATCH(C988,'Active Clients'!$A$5:$A$504,0)))&amp;"","ID not found"))</f>
        <v/>
      </c>
      <c r="G988" s="16"/>
      <c r="H988" s="16"/>
      <c r="I988" s="16"/>
      <c r="J988" s="16"/>
      <c r="K988" s="16"/>
      <c r="L988" s="18"/>
    </row>
    <row r="989" customFormat="false" ht="15" hidden="false" customHeight="false" outlineLevel="0" collapsed="false">
      <c r="A989" s="18"/>
      <c r="B989" s="16"/>
      <c r="C989" s="16"/>
      <c r="D989" s="51" t="str">
        <f aca="false">IF(C989="","",IFERROR(IF(LEFT(C989,1)="L",INDEX('Leads Pipeline'!$F$5:$F$1004,MATCH(C989,'Leads Pipeline'!$A$5:$A$1004,0)),INDEX('Active Clients'!$D$5:$D$504,MATCH(C989,'Active Clients'!$A$5:$A$504,0)))&amp;"","ID not found"))</f>
        <v/>
      </c>
      <c r="E989" s="51" t="str">
        <f aca="false">IF(C989="","",IFERROR(IF(LEFT(C989,1)="L",INDEX('Leads Pipeline'!$D$5:$D$1004,MATCH(C989,'Leads Pipeline'!$A$5:$A$1004,0)),INDEX('Active Clients'!$B$5:$B$504,MATCH(C989,'Active Clients'!$A$5:$A$504,0)))&amp;"","ID not found"))</f>
        <v/>
      </c>
      <c r="F989" s="51" t="str">
        <f aca="false">IF(C989="","",IFERROR(IF(LEFT(C989,1)="L",INDEX('Leads Pipeline'!$E$5:$E$1004,MATCH(C989,'Leads Pipeline'!$A$5:$A$1004,0)),INDEX('Active Clients'!$C$5:$C$504,MATCH(C989,'Active Clients'!$A$5:$A$504,0)))&amp;"","ID not found"))</f>
        <v/>
      </c>
      <c r="G989" s="16"/>
      <c r="H989" s="16"/>
      <c r="I989" s="16"/>
      <c r="J989" s="16"/>
      <c r="K989" s="16"/>
      <c r="L989" s="18"/>
    </row>
    <row r="990" customFormat="false" ht="15" hidden="false" customHeight="false" outlineLevel="0" collapsed="false">
      <c r="A990" s="18"/>
      <c r="B990" s="16"/>
      <c r="C990" s="16"/>
      <c r="D990" s="51" t="str">
        <f aca="false">IF(C990="","",IFERROR(IF(LEFT(C990,1)="L",INDEX('Leads Pipeline'!$F$5:$F$1004,MATCH(C990,'Leads Pipeline'!$A$5:$A$1004,0)),INDEX('Active Clients'!$D$5:$D$504,MATCH(C990,'Active Clients'!$A$5:$A$504,0)))&amp;"","ID not found"))</f>
        <v/>
      </c>
      <c r="E990" s="51" t="str">
        <f aca="false">IF(C990="","",IFERROR(IF(LEFT(C990,1)="L",INDEX('Leads Pipeline'!$D$5:$D$1004,MATCH(C990,'Leads Pipeline'!$A$5:$A$1004,0)),INDEX('Active Clients'!$B$5:$B$504,MATCH(C990,'Active Clients'!$A$5:$A$504,0)))&amp;"","ID not found"))</f>
        <v/>
      </c>
      <c r="F990" s="51" t="str">
        <f aca="false">IF(C990="","",IFERROR(IF(LEFT(C990,1)="L",INDEX('Leads Pipeline'!$E$5:$E$1004,MATCH(C990,'Leads Pipeline'!$A$5:$A$1004,0)),INDEX('Active Clients'!$C$5:$C$504,MATCH(C990,'Active Clients'!$A$5:$A$504,0)))&amp;"","ID not found"))</f>
        <v/>
      </c>
      <c r="G990" s="16"/>
      <c r="H990" s="16"/>
      <c r="I990" s="16"/>
      <c r="J990" s="16"/>
      <c r="K990" s="16"/>
      <c r="L990" s="18"/>
    </row>
    <row r="991" customFormat="false" ht="15" hidden="false" customHeight="false" outlineLevel="0" collapsed="false">
      <c r="A991" s="18"/>
      <c r="B991" s="16"/>
      <c r="C991" s="16"/>
      <c r="D991" s="51" t="str">
        <f aca="false">IF(C991="","",IFERROR(IF(LEFT(C991,1)="L",INDEX('Leads Pipeline'!$F$5:$F$1004,MATCH(C991,'Leads Pipeline'!$A$5:$A$1004,0)),INDEX('Active Clients'!$D$5:$D$504,MATCH(C991,'Active Clients'!$A$5:$A$504,0)))&amp;"","ID not found"))</f>
        <v/>
      </c>
      <c r="E991" s="51" t="str">
        <f aca="false">IF(C991="","",IFERROR(IF(LEFT(C991,1)="L",INDEX('Leads Pipeline'!$D$5:$D$1004,MATCH(C991,'Leads Pipeline'!$A$5:$A$1004,0)),INDEX('Active Clients'!$B$5:$B$504,MATCH(C991,'Active Clients'!$A$5:$A$504,0)))&amp;"","ID not found"))</f>
        <v/>
      </c>
      <c r="F991" s="51" t="str">
        <f aca="false">IF(C991="","",IFERROR(IF(LEFT(C991,1)="L",INDEX('Leads Pipeline'!$E$5:$E$1004,MATCH(C991,'Leads Pipeline'!$A$5:$A$1004,0)),INDEX('Active Clients'!$C$5:$C$504,MATCH(C991,'Active Clients'!$A$5:$A$504,0)))&amp;"","ID not found"))</f>
        <v/>
      </c>
      <c r="G991" s="16"/>
      <c r="H991" s="16"/>
      <c r="I991" s="16"/>
      <c r="J991" s="16"/>
      <c r="K991" s="16"/>
      <c r="L991" s="18"/>
    </row>
    <row r="992" customFormat="false" ht="15" hidden="false" customHeight="false" outlineLevel="0" collapsed="false">
      <c r="A992" s="18"/>
      <c r="B992" s="16"/>
      <c r="C992" s="16"/>
      <c r="D992" s="51" t="str">
        <f aca="false">IF(C992="","",IFERROR(IF(LEFT(C992,1)="L",INDEX('Leads Pipeline'!$F$5:$F$1004,MATCH(C992,'Leads Pipeline'!$A$5:$A$1004,0)),INDEX('Active Clients'!$D$5:$D$504,MATCH(C992,'Active Clients'!$A$5:$A$504,0)))&amp;"","ID not found"))</f>
        <v/>
      </c>
      <c r="E992" s="51" t="str">
        <f aca="false">IF(C992="","",IFERROR(IF(LEFT(C992,1)="L",INDEX('Leads Pipeline'!$D$5:$D$1004,MATCH(C992,'Leads Pipeline'!$A$5:$A$1004,0)),INDEX('Active Clients'!$B$5:$B$504,MATCH(C992,'Active Clients'!$A$5:$A$504,0)))&amp;"","ID not found"))</f>
        <v/>
      </c>
      <c r="F992" s="51" t="str">
        <f aca="false">IF(C992="","",IFERROR(IF(LEFT(C992,1)="L",INDEX('Leads Pipeline'!$E$5:$E$1004,MATCH(C992,'Leads Pipeline'!$A$5:$A$1004,0)),INDEX('Active Clients'!$C$5:$C$504,MATCH(C992,'Active Clients'!$A$5:$A$504,0)))&amp;"","ID not found"))</f>
        <v/>
      </c>
      <c r="G992" s="16"/>
      <c r="H992" s="16"/>
      <c r="I992" s="16"/>
      <c r="J992" s="16"/>
      <c r="K992" s="16"/>
      <c r="L992" s="18"/>
    </row>
    <row r="993" customFormat="false" ht="15" hidden="false" customHeight="false" outlineLevel="0" collapsed="false">
      <c r="A993" s="18"/>
      <c r="B993" s="16"/>
      <c r="C993" s="16"/>
      <c r="D993" s="51" t="str">
        <f aca="false">IF(C993="","",IFERROR(IF(LEFT(C993,1)="L",INDEX('Leads Pipeline'!$F$5:$F$1004,MATCH(C993,'Leads Pipeline'!$A$5:$A$1004,0)),INDEX('Active Clients'!$D$5:$D$504,MATCH(C993,'Active Clients'!$A$5:$A$504,0)))&amp;"","ID not found"))</f>
        <v/>
      </c>
      <c r="E993" s="51" t="str">
        <f aca="false">IF(C993="","",IFERROR(IF(LEFT(C993,1)="L",INDEX('Leads Pipeline'!$D$5:$D$1004,MATCH(C993,'Leads Pipeline'!$A$5:$A$1004,0)),INDEX('Active Clients'!$B$5:$B$504,MATCH(C993,'Active Clients'!$A$5:$A$504,0)))&amp;"","ID not found"))</f>
        <v/>
      </c>
      <c r="F993" s="51" t="str">
        <f aca="false">IF(C993="","",IFERROR(IF(LEFT(C993,1)="L",INDEX('Leads Pipeline'!$E$5:$E$1004,MATCH(C993,'Leads Pipeline'!$A$5:$A$1004,0)),INDEX('Active Clients'!$C$5:$C$504,MATCH(C993,'Active Clients'!$A$5:$A$504,0)))&amp;"","ID not found"))</f>
        <v/>
      </c>
      <c r="G993" s="16"/>
      <c r="H993" s="16"/>
      <c r="I993" s="16"/>
      <c r="J993" s="16"/>
      <c r="K993" s="16"/>
      <c r="L993" s="18"/>
    </row>
    <row r="994" customFormat="false" ht="15" hidden="false" customHeight="false" outlineLevel="0" collapsed="false">
      <c r="A994" s="18"/>
      <c r="B994" s="16"/>
      <c r="C994" s="16"/>
      <c r="D994" s="51" t="str">
        <f aca="false">IF(C994="","",IFERROR(IF(LEFT(C994,1)="L",INDEX('Leads Pipeline'!$F$5:$F$1004,MATCH(C994,'Leads Pipeline'!$A$5:$A$1004,0)),INDEX('Active Clients'!$D$5:$D$504,MATCH(C994,'Active Clients'!$A$5:$A$504,0)))&amp;"","ID not found"))</f>
        <v/>
      </c>
      <c r="E994" s="51" t="str">
        <f aca="false">IF(C994="","",IFERROR(IF(LEFT(C994,1)="L",INDEX('Leads Pipeline'!$D$5:$D$1004,MATCH(C994,'Leads Pipeline'!$A$5:$A$1004,0)),INDEX('Active Clients'!$B$5:$B$504,MATCH(C994,'Active Clients'!$A$5:$A$504,0)))&amp;"","ID not found"))</f>
        <v/>
      </c>
      <c r="F994" s="51" t="str">
        <f aca="false">IF(C994="","",IFERROR(IF(LEFT(C994,1)="L",INDEX('Leads Pipeline'!$E$5:$E$1004,MATCH(C994,'Leads Pipeline'!$A$5:$A$1004,0)),INDEX('Active Clients'!$C$5:$C$504,MATCH(C994,'Active Clients'!$A$5:$A$504,0)))&amp;"","ID not found"))</f>
        <v/>
      </c>
      <c r="G994" s="16"/>
      <c r="H994" s="16"/>
      <c r="I994" s="16"/>
      <c r="J994" s="16"/>
      <c r="K994" s="16"/>
      <c r="L994" s="18"/>
    </row>
    <row r="995" customFormat="false" ht="15" hidden="false" customHeight="false" outlineLevel="0" collapsed="false">
      <c r="A995" s="18"/>
      <c r="B995" s="16"/>
      <c r="C995" s="16"/>
      <c r="D995" s="51" t="str">
        <f aca="false">IF(C995="","",IFERROR(IF(LEFT(C995,1)="L",INDEX('Leads Pipeline'!$F$5:$F$1004,MATCH(C995,'Leads Pipeline'!$A$5:$A$1004,0)),INDEX('Active Clients'!$D$5:$D$504,MATCH(C995,'Active Clients'!$A$5:$A$504,0)))&amp;"","ID not found"))</f>
        <v/>
      </c>
      <c r="E995" s="51" t="str">
        <f aca="false">IF(C995="","",IFERROR(IF(LEFT(C995,1)="L",INDEX('Leads Pipeline'!$D$5:$D$1004,MATCH(C995,'Leads Pipeline'!$A$5:$A$1004,0)),INDEX('Active Clients'!$B$5:$B$504,MATCH(C995,'Active Clients'!$A$5:$A$504,0)))&amp;"","ID not found"))</f>
        <v/>
      </c>
      <c r="F995" s="51" t="str">
        <f aca="false">IF(C995="","",IFERROR(IF(LEFT(C995,1)="L",INDEX('Leads Pipeline'!$E$5:$E$1004,MATCH(C995,'Leads Pipeline'!$A$5:$A$1004,0)),INDEX('Active Clients'!$C$5:$C$504,MATCH(C995,'Active Clients'!$A$5:$A$504,0)))&amp;"","ID not found"))</f>
        <v/>
      </c>
      <c r="G995" s="16"/>
      <c r="H995" s="16"/>
      <c r="I995" s="16"/>
      <c r="J995" s="16"/>
      <c r="K995" s="16"/>
      <c r="L995" s="18"/>
    </row>
    <row r="996" customFormat="false" ht="15" hidden="false" customHeight="false" outlineLevel="0" collapsed="false">
      <c r="A996" s="18"/>
      <c r="B996" s="16"/>
      <c r="C996" s="16"/>
      <c r="D996" s="51" t="str">
        <f aca="false">IF(C996="","",IFERROR(IF(LEFT(C996,1)="L",INDEX('Leads Pipeline'!$F$5:$F$1004,MATCH(C996,'Leads Pipeline'!$A$5:$A$1004,0)),INDEX('Active Clients'!$D$5:$D$504,MATCH(C996,'Active Clients'!$A$5:$A$504,0)))&amp;"","ID not found"))</f>
        <v/>
      </c>
      <c r="E996" s="51" t="str">
        <f aca="false">IF(C996="","",IFERROR(IF(LEFT(C996,1)="L",INDEX('Leads Pipeline'!$D$5:$D$1004,MATCH(C996,'Leads Pipeline'!$A$5:$A$1004,0)),INDEX('Active Clients'!$B$5:$B$504,MATCH(C996,'Active Clients'!$A$5:$A$504,0)))&amp;"","ID not found"))</f>
        <v/>
      </c>
      <c r="F996" s="51" t="str">
        <f aca="false">IF(C996="","",IFERROR(IF(LEFT(C996,1)="L",INDEX('Leads Pipeline'!$E$5:$E$1004,MATCH(C996,'Leads Pipeline'!$A$5:$A$1004,0)),INDEX('Active Clients'!$C$5:$C$504,MATCH(C996,'Active Clients'!$A$5:$A$504,0)))&amp;"","ID not found"))</f>
        <v/>
      </c>
      <c r="G996" s="16"/>
      <c r="H996" s="16"/>
      <c r="I996" s="16"/>
      <c r="J996" s="16"/>
      <c r="K996" s="16"/>
      <c r="L996" s="18"/>
    </row>
    <row r="997" customFormat="false" ht="15" hidden="false" customHeight="false" outlineLevel="0" collapsed="false">
      <c r="A997" s="18"/>
      <c r="B997" s="16"/>
      <c r="C997" s="16"/>
      <c r="D997" s="51" t="str">
        <f aca="false">IF(C997="","",IFERROR(IF(LEFT(C997,1)="L",INDEX('Leads Pipeline'!$F$5:$F$1004,MATCH(C997,'Leads Pipeline'!$A$5:$A$1004,0)),INDEX('Active Clients'!$D$5:$D$504,MATCH(C997,'Active Clients'!$A$5:$A$504,0)))&amp;"","ID not found"))</f>
        <v/>
      </c>
      <c r="E997" s="51" t="str">
        <f aca="false">IF(C997="","",IFERROR(IF(LEFT(C997,1)="L",INDEX('Leads Pipeline'!$D$5:$D$1004,MATCH(C997,'Leads Pipeline'!$A$5:$A$1004,0)),INDEX('Active Clients'!$B$5:$B$504,MATCH(C997,'Active Clients'!$A$5:$A$504,0)))&amp;"","ID not found"))</f>
        <v/>
      </c>
      <c r="F997" s="51" t="str">
        <f aca="false">IF(C997="","",IFERROR(IF(LEFT(C997,1)="L",INDEX('Leads Pipeline'!$E$5:$E$1004,MATCH(C997,'Leads Pipeline'!$A$5:$A$1004,0)),INDEX('Active Clients'!$C$5:$C$504,MATCH(C997,'Active Clients'!$A$5:$A$504,0)))&amp;"","ID not found"))</f>
        <v/>
      </c>
      <c r="G997" s="16"/>
      <c r="H997" s="16"/>
      <c r="I997" s="16"/>
      <c r="J997" s="16"/>
      <c r="K997" s="16"/>
      <c r="L997" s="18"/>
    </row>
    <row r="998" customFormat="false" ht="15" hidden="false" customHeight="false" outlineLevel="0" collapsed="false">
      <c r="A998" s="18"/>
      <c r="B998" s="16"/>
      <c r="C998" s="16"/>
      <c r="D998" s="51" t="str">
        <f aca="false">IF(C998="","",IFERROR(IF(LEFT(C998,1)="L",INDEX('Leads Pipeline'!$F$5:$F$1004,MATCH(C998,'Leads Pipeline'!$A$5:$A$1004,0)),INDEX('Active Clients'!$D$5:$D$504,MATCH(C998,'Active Clients'!$A$5:$A$504,0)))&amp;"","ID not found"))</f>
        <v/>
      </c>
      <c r="E998" s="51" t="str">
        <f aca="false">IF(C998="","",IFERROR(IF(LEFT(C998,1)="L",INDEX('Leads Pipeline'!$D$5:$D$1004,MATCH(C998,'Leads Pipeline'!$A$5:$A$1004,0)),INDEX('Active Clients'!$B$5:$B$504,MATCH(C998,'Active Clients'!$A$5:$A$504,0)))&amp;"","ID not found"))</f>
        <v/>
      </c>
      <c r="F998" s="51" t="str">
        <f aca="false">IF(C998="","",IFERROR(IF(LEFT(C998,1)="L",INDEX('Leads Pipeline'!$E$5:$E$1004,MATCH(C998,'Leads Pipeline'!$A$5:$A$1004,0)),INDEX('Active Clients'!$C$5:$C$504,MATCH(C998,'Active Clients'!$A$5:$A$504,0)))&amp;"","ID not found"))</f>
        <v/>
      </c>
      <c r="G998" s="16"/>
      <c r="H998" s="16"/>
      <c r="I998" s="16"/>
      <c r="J998" s="16"/>
      <c r="K998" s="16"/>
      <c r="L998" s="18"/>
    </row>
    <row r="999" customFormat="false" ht="15" hidden="false" customHeight="false" outlineLevel="0" collapsed="false">
      <c r="A999" s="18"/>
      <c r="B999" s="16"/>
      <c r="C999" s="16"/>
      <c r="D999" s="51" t="str">
        <f aca="false">IF(C999="","",IFERROR(IF(LEFT(C999,1)="L",INDEX('Leads Pipeline'!$F$5:$F$1004,MATCH(C999,'Leads Pipeline'!$A$5:$A$1004,0)),INDEX('Active Clients'!$D$5:$D$504,MATCH(C999,'Active Clients'!$A$5:$A$504,0)))&amp;"","ID not found"))</f>
        <v/>
      </c>
      <c r="E999" s="51" t="str">
        <f aca="false">IF(C999="","",IFERROR(IF(LEFT(C999,1)="L",INDEX('Leads Pipeline'!$D$5:$D$1004,MATCH(C999,'Leads Pipeline'!$A$5:$A$1004,0)),INDEX('Active Clients'!$B$5:$B$504,MATCH(C999,'Active Clients'!$A$5:$A$504,0)))&amp;"","ID not found"))</f>
        <v/>
      </c>
      <c r="F999" s="51" t="str">
        <f aca="false">IF(C999="","",IFERROR(IF(LEFT(C999,1)="L",INDEX('Leads Pipeline'!$E$5:$E$1004,MATCH(C999,'Leads Pipeline'!$A$5:$A$1004,0)),INDEX('Active Clients'!$C$5:$C$504,MATCH(C999,'Active Clients'!$A$5:$A$504,0)))&amp;"","ID not found"))</f>
        <v/>
      </c>
      <c r="G999" s="16"/>
      <c r="H999" s="16"/>
      <c r="I999" s="16"/>
      <c r="J999" s="16"/>
      <c r="K999" s="16"/>
      <c r="L999" s="18"/>
    </row>
    <row r="1000" customFormat="false" ht="15" hidden="false" customHeight="false" outlineLevel="0" collapsed="false">
      <c r="A1000" s="18"/>
      <c r="B1000" s="16"/>
      <c r="C1000" s="16"/>
      <c r="D1000" s="51" t="str">
        <f aca="false">IF(C1000="","",IFERROR(IF(LEFT(C1000,1)="L",INDEX('Leads Pipeline'!$F$5:$F$1004,MATCH(C1000,'Leads Pipeline'!$A$5:$A$1004,0)),INDEX('Active Clients'!$D$5:$D$504,MATCH(C1000,'Active Clients'!$A$5:$A$504,0)))&amp;"","ID not found"))</f>
        <v/>
      </c>
      <c r="E1000" s="51" t="str">
        <f aca="false">IF(C1000="","",IFERROR(IF(LEFT(C1000,1)="L",INDEX('Leads Pipeline'!$D$5:$D$1004,MATCH(C1000,'Leads Pipeline'!$A$5:$A$1004,0)),INDEX('Active Clients'!$B$5:$B$504,MATCH(C1000,'Active Clients'!$A$5:$A$504,0)))&amp;"","ID not found"))</f>
        <v/>
      </c>
      <c r="F1000" s="51" t="str">
        <f aca="false">IF(C1000="","",IFERROR(IF(LEFT(C1000,1)="L",INDEX('Leads Pipeline'!$E$5:$E$1004,MATCH(C1000,'Leads Pipeline'!$A$5:$A$1004,0)),INDEX('Active Clients'!$C$5:$C$504,MATCH(C1000,'Active Clients'!$A$5:$A$504,0)))&amp;"","ID not found"))</f>
        <v/>
      </c>
      <c r="G1000" s="16"/>
      <c r="H1000" s="16"/>
      <c r="I1000" s="16"/>
      <c r="J1000" s="16"/>
      <c r="K1000" s="16"/>
      <c r="L1000" s="18"/>
    </row>
    <row r="1001" customFormat="false" ht="15" hidden="false" customHeight="false" outlineLevel="0" collapsed="false">
      <c r="A1001" s="18"/>
      <c r="B1001" s="16"/>
      <c r="C1001" s="16"/>
      <c r="D1001" s="51" t="str">
        <f aca="false">IF(C1001="","",IFERROR(IF(LEFT(C1001,1)="L",INDEX('Leads Pipeline'!$F$5:$F$1004,MATCH(C1001,'Leads Pipeline'!$A$5:$A$1004,0)),INDEX('Active Clients'!$D$5:$D$504,MATCH(C1001,'Active Clients'!$A$5:$A$504,0)))&amp;"","ID not found"))</f>
        <v/>
      </c>
      <c r="E1001" s="51" t="str">
        <f aca="false">IF(C1001="","",IFERROR(IF(LEFT(C1001,1)="L",INDEX('Leads Pipeline'!$D$5:$D$1004,MATCH(C1001,'Leads Pipeline'!$A$5:$A$1004,0)),INDEX('Active Clients'!$B$5:$B$504,MATCH(C1001,'Active Clients'!$A$5:$A$504,0)))&amp;"","ID not found"))</f>
        <v/>
      </c>
      <c r="F1001" s="51" t="str">
        <f aca="false">IF(C1001="","",IFERROR(IF(LEFT(C1001,1)="L",INDEX('Leads Pipeline'!$E$5:$E$1004,MATCH(C1001,'Leads Pipeline'!$A$5:$A$1004,0)),INDEX('Active Clients'!$C$5:$C$504,MATCH(C1001,'Active Clients'!$A$5:$A$504,0)))&amp;"","ID not found"))</f>
        <v/>
      </c>
      <c r="G1001" s="16"/>
      <c r="H1001" s="16"/>
      <c r="I1001" s="16"/>
      <c r="J1001" s="16"/>
      <c r="K1001" s="16"/>
      <c r="L1001" s="18"/>
    </row>
    <row r="1002" customFormat="false" ht="15" hidden="false" customHeight="false" outlineLevel="0" collapsed="false">
      <c r="A1002" s="18"/>
      <c r="B1002" s="16"/>
      <c r="C1002" s="16"/>
      <c r="D1002" s="51" t="str">
        <f aca="false">IF(C1002="","",IFERROR(IF(LEFT(C1002,1)="L",INDEX('Leads Pipeline'!$F$5:$F$1004,MATCH(C1002,'Leads Pipeline'!$A$5:$A$1004,0)),INDEX('Active Clients'!$D$5:$D$504,MATCH(C1002,'Active Clients'!$A$5:$A$504,0)))&amp;"","ID not found"))</f>
        <v/>
      </c>
      <c r="E1002" s="51" t="str">
        <f aca="false">IF(C1002="","",IFERROR(IF(LEFT(C1002,1)="L",INDEX('Leads Pipeline'!$D$5:$D$1004,MATCH(C1002,'Leads Pipeline'!$A$5:$A$1004,0)),INDEX('Active Clients'!$B$5:$B$504,MATCH(C1002,'Active Clients'!$A$5:$A$504,0)))&amp;"","ID not found"))</f>
        <v/>
      </c>
      <c r="F1002" s="51" t="str">
        <f aca="false">IF(C1002="","",IFERROR(IF(LEFT(C1002,1)="L",INDEX('Leads Pipeline'!$E$5:$E$1004,MATCH(C1002,'Leads Pipeline'!$A$5:$A$1004,0)),INDEX('Active Clients'!$C$5:$C$504,MATCH(C1002,'Active Clients'!$A$5:$A$504,0)))&amp;"","ID not found"))</f>
        <v/>
      </c>
      <c r="G1002" s="16"/>
      <c r="H1002" s="16"/>
      <c r="I1002" s="16"/>
      <c r="J1002" s="16"/>
      <c r="K1002" s="16"/>
      <c r="L1002" s="18"/>
    </row>
    <row r="1003" customFormat="false" ht="15" hidden="false" customHeight="false" outlineLevel="0" collapsed="false">
      <c r="A1003" s="18"/>
      <c r="B1003" s="16"/>
      <c r="C1003" s="16"/>
      <c r="D1003" s="51" t="str">
        <f aca="false">IF(C1003="","",IFERROR(IF(LEFT(C1003,1)="L",INDEX('Leads Pipeline'!$F$5:$F$1004,MATCH(C1003,'Leads Pipeline'!$A$5:$A$1004,0)),INDEX('Active Clients'!$D$5:$D$504,MATCH(C1003,'Active Clients'!$A$5:$A$504,0)))&amp;"","ID not found"))</f>
        <v/>
      </c>
      <c r="E1003" s="51" t="str">
        <f aca="false">IF(C1003="","",IFERROR(IF(LEFT(C1003,1)="L",INDEX('Leads Pipeline'!$D$5:$D$1004,MATCH(C1003,'Leads Pipeline'!$A$5:$A$1004,0)),INDEX('Active Clients'!$B$5:$B$504,MATCH(C1003,'Active Clients'!$A$5:$A$504,0)))&amp;"","ID not found"))</f>
        <v/>
      </c>
      <c r="F1003" s="51" t="str">
        <f aca="false">IF(C1003="","",IFERROR(IF(LEFT(C1003,1)="L",INDEX('Leads Pipeline'!$E$5:$E$1004,MATCH(C1003,'Leads Pipeline'!$A$5:$A$1004,0)),INDEX('Active Clients'!$C$5:$C$504,MATCH(C1003,'Active Clients'!$A$5:$A$504,0)))&amp;"","ID not found"))</f>
        <v/>
      </c>
      <c r="G1003" s="16"/>
      <c r="H1003" s="16"/>
      <c r="I1003" s="16"/>
      <c r="J1003" s="16"/>
      <c r="K1003" s="16"/>
      <c r="L1003" s="18"/>
    </row>
    <row r="1004" customFormat="false" ht="15" hidden="false" customHeight="false" outlineLevel="0" collapsed="false">
      <c r="A1004" s="18"/>
      <c r="B1004" s="16"/>
      <c r="C1004" s="16"/>
      <c r="D1004" s="51" t="str">
        <f aca="false">IF(C1004="","",IFERROR(IF(LEFT(C1004,1)="L",INDEX('Leads Pipeline'!$F$5:$F$1004,MATCH(C1004,'Leads Pipeline'!$A$5:$A$1004,0)),INDEX('Active Clients'!$D$5:$D$504,MATCH(C1004,'Active Clients'!$A$5:$A$504,0)))&amp;"","ID not found"))</f>
        <v/>
      </c>
      <c r="E1004" s="51" t="str">
        <f aca="false">IF(C1004="","",IFERROR(IF(LEFT(C1004,1)="L",INDEX('Leads Pipeline'!$D$5:$D$1004,MATCH(C1004,'Leads Pipeline'!$A$5:$A$1004,0)),INDEX('Active Clients'!$B$5:$B$504,MATCH(C1004,'Active Clients'!$A$5:$A$504,0)))&amp;"","ID not found"))</f>
        <v/>
      </c>
      <c r="F1004" s="51" t="str">
        <f aca="false">IF(C1004="","",IFERROR(IF(LEFT(C1004,1)="L",INDEX('Leads Pipeline'!$E$5:$E$1004,MATCH(C1004,'Leads Pipeline'!$A$5:$A$1004,0)),INDEX('Active Clients'!$C$5:$C$504,MATCH(C1004,'Active Clients'!$A$5:$A$504,0)))&amp;"","ID not found"))</f>
        <v/>
      </c>
      <c r="G1004" s="16"/>
      <c r="H1004" s="16"/>
      <c r="I1004" s="16"/>
      <c r="J1004" s="16"/>
      <c r="K1004" s="16"/>
      <c r="L1004" s="18"/>
    </row>
    <row r="1005" customFormat="false" ht="15" hidden="false" customHeight="false" outlineLevel="0" collapsed="false">
      <c r="A1005" s="18"/>
      <c r="B1005" s="16"/>
      <c r="C1005" s="16"/>
      <c r="D1005" s="51" t="str">
        <f aca="false">IF(C1005="","",IFERROR(IF(LEFT(C1005,1)="L",INDEX('Leads Pipeline'!$F$5:$F$1004,MATCH(C1005,'Leads Pipeline'!$A$5:$A$1004,0)),INDEX('Active Clients'!$D$5:$D$504,MATCH(C1005,'Active Clients'!$A$5:$A$504,0)))&amp;"","ID not found"))</f>
        <v/>
      </c>
      <c r="E1005" s="51" t="str">
        <f aca="false">IF(C1005="","",IFERROR(IF(LEFT(C1005,1)="L",INDEX('Leads Pipeline'!$D$5:$D$1004,MATCH(C1005,'Leads Pipeline'!$A$5:$A$1004,0)),INDEX('Active Clients'!$B$5:$B$504,MATCH(C1005,'Active Clients'!$A$5:$A$504,0)))&amp;"","ID not found"))</f>
        <v/>
      </c>
      <c r="F1005" s="51" t="str">
        <f aca="false">IF(C1005="","",IFERROR(IF(LEFT(C1005,1)="L",INDEX('Leads Pipeline'!$E$5:$E$1004,MATCH(C1005,'Leads Pipeline'!$A$5:$A$1004,0)),INDEX('Active Clients'!$C$5:$C$504,MATCH(C1005,'Active Clients'!$A$5:$A$504,0)))&amp;"","ID not found"))</f>
        <v/>
      </c>
      <c r="G1005" s="16"/>
      <c r="H1005" s="16"/>
      <c r="I1005" s="16"/>
      <c r="J1005" s="16"/>
      <c r="K1005" s="16"/>
      <c r="L1005" s="18"/>
    </row>
    <row r="1006" customFormat="false" ht="15" hidden="false" customHeight="false" outlineLevel="0" collapsed="false">
      <c r="A1006" s="18"/>
      <c r="B1006" s="16"/>
      <c r="C1006" s="16"/>
      <c r="D1006" s="51" t="str">
        <f aca="false">IF(C1006="","",IFERROR(IF(LEFT(C1006,1)="L",INDEX('Leads Pipeline'!$F$5:$F$1004,MATCH(C1006,'Leads Pipeline'!$A$5:$A$1004,0)),INDEX('Active Clients'!$D$5:$D$504,MATCH(C1006,'Active Clients'!$A$5:$A$504,0)))&amp;"","ID not found"))</f>
        <v/>
      </c>
      <c r="E1006" s="51" t="str">
        <f aca="false">IF(C1006="","",IFERROR(IF(LEFT(C1006,1)="L",INDEX('Leads Pipeline'!$D$5:$D$1004,MATCH(C1006,'Leads Pipeline'!$A$5:$A$1004,0)),INDEX('Active Clients'!$B$5:$B$504,MATCH(C1006,'Active Clients'!$A$5:$A$504,0)))&amp;"","ID not found"))</f>
        <v/>
      </c>
      <c r="F1006" s="51" t="str">
        <f aca="false">IF(C1006="","",IFERROR(IF(LEFT(C1006,1)="L",INDEX('Leads Pipeline'!$E$5:$E$1004,MATCH(C1006,'Leads Pipeline'!$A$5:$A$1004,0)),INDEX('Active Clients'!$C$5:$C$504,MATCH(C1006,'Active Clients'!$A$5:$A$504,0)))&amp;"","ID not found"))</f>
        <v/>
      </c>
      <c r="G1006" s="16"/>
      <c r="H1006" s="16"/>
      <c r="I1006" s="16"/>
      <c r="J1006" s="16"/>
      <c r="K1006" s="16"/>
      <c r="L1006" s="18"/>
    </row>
    <row r="1007" customFormat="false" ht="15" hidden="false" customHeight="false" outlineLevel="0" collapsed="false">
      <c r="A1007" s="18"/>
      <c r="B1007" s="16"/>
      <c r="C1007" s="16"/>
      <c r="D1007" s="51" t="str">
        <f aca="false">IF(C1007="","",IFERROR(IF(LEFT(C1007,1)="L",INDEX('Leads Pipeline'!$F$5:$F$1004,MATCH(C1007,'Leads Pipeline'!$A$5:$A$1004,0)),INDEX('Active Clients'!$D$5:$D$504,MATCH(C1007,'Active Clients'!$A$5:$A$504,0)))&amp;"","ID not found"))</f>
        <v/>
      </c>
      <c r="E1007" s="51" t="str">
        <f aca="false">IF(C1007="","",IFERROR(IF(LEFT(C1007,1)="L",INDEX('Leads Pipeline'!$D$5:$D$1004,MATCH(C1007,'Leads Pipeline'!$A$5:$A$1004,0)),INDEX('Active Clients'!$B$5:$B$504,MATCH(C1007,'Active Clients'!$A$5:$A$504,0)))&amp;"","ID not found"))</f>
        <v/>
      </c>
      <c r="F1007" s="51" t="str">
        <f aca="false">IF(C1007="","",IFERROR(IF(LEFT(C1007,1)="L",INDEX('Leads Pipeline'!$E$5:$E$1004,MATCH(C1007,'Leads Pipeline'!$A$5:$A$1004,0)),INDEX('Active Clients'!$C$5:$C$504,MATCH(C1007,'Active Clients'!$A$5:$A$504,0)))&amp;"","ID not found"))</f>
        <v/>
      </c>
      <c r="G1007" s="16"/>
      <c r="H1007" s="16"/>
      <c r="I1007" s="16"/>
      <c r="J1007" s="16"/>
      <c r="K1007" s="16"/>
      <c r="L1007" s="18"/>
    </row>
    <row r="1008" customFormat="false" ht="15" hidden="false" customHeight="false" outlineLevel="0" collapsed="false">
      <c r="A1008" s="18"/>
      <c r="B1008" s="16"/>
      <c r="C1008" s="16"/>
      <c r="D1008" s="51" t="str">
        <f aca="false">IF(C1008="","",IFERROR(IF(LEFT(C1008,1)="L",INDEX('Leads Pipeline'!$F$5:$F$1004,MATCH(C1008,'Leads Pipeline'!$A$5:$A$1004,0)),INDEX('Active Clients'!$D$5:$D$504,MATCH(C1008,'Active Clients'!$A$5:$A$504,0)))&amp;"","ID not found"))</f>
        <v/>
      </c>
      <c r="E1008" s="51" t="str">
        <f aca="false">IF(C1008="","",IFERROR(IF(LEFT(C1008,1)="L",INDEX('Leads Pipeline'!$D$5:$D$1004,MATCH(C1008,'Leads Pipeline'!$A$5:$A$1004,0)),INDEX('Active Clients'!$B$5:$B$504,MATCH(C1008,'Active Clients'!$A$5:$A$504,0)))&amp;"","ID not found"))</f>
        <v/>
      </c>
      <c r="F1008" s="51" t="str">
        <f aca="false">IF(C1008="","",IFERROR(IF(LEFT(C1008,1)="L",INDEX('Leads Pipeline'!$E$5:$E$1004,MATCH(C1008,'Leads Pipeline'!$A$5:$A$1004,0)),INDEX('Active Clients'!$C$5:$C$504,MATCH(C1008,'Active Clients'!$A$5:$A$504,0)))&amp;"","ID not found"))</f>
        <v/>
      </c>
      <c r="G1008" s="16"/>
      <c r="H1008" s="16"/>
      <c r="I1008" s="16"/>
      <c r="J1008" s="16"/>
      <c r="K1008" s="16"/>
      <c r="L1008" s="18"/>
    </row>
    <row r="1009" customFormat="false" ht="15" hidden="false" customHeight="false" outlineLevel="0" collapsed="false">
      <c r="A1009" s="18"/>
      <c r="B1009" s="16"/>
      <c r="C1009" s="16"/>
      <c r="D1009" s="51" t="str">
        <f aca="false">IF(C1009="","",IFERROR(IF(LEFT(C1009,1)="L",INDEX('Leads Pipeline'!$F$5:$F$1004,MATCH(C1009,'Leads Pipeline'!$A$5:$A$1004,0)),INDEX('Active Clients'!$D$5:$D$504,MATCH(C1009,'Active Clients'!$A$5:$A$504,0)))&amp;"","ID not found"))</f>
        <v/>
      </c>
      <c r="E1009" s="51" t="str">
        <f aca="false">IF(C1009="","",IFERROR(IF(LEFT(C1009,1)="L",INDEX('Leads Pipeline'!$D$5:$D$1004,MATCH(C1009,'Leads Pipeline'!$A$5:$A$1004,0)),INDEX('Active Clients'!$B$5:$B$504,MATCH(C1009,'Active Clients'!$A$5:$A$504,0)))&amp;"","ID not found"))</f>
        <v/>
      </c>
      <c r="F1009" s="51" t="str">
        <f aca="false">IF(C1009="","",IFERROR(IF(LEFT(C1009,1)="L",INDEX('Leads Pipeline'!$E$5:$E$1004,MATCH(C1009,'Leads Pipeline'!$A$5:$A$1004,0)),INDEX('Active Clients'!$C$5:$C$504,MATCH(C1009,'Active Clients'!$A$5:$A$504,0)))&amp;"","ID not found"))</f>
        <v/>
      </c>
      <c r="G1009" s="16"/>
      <c r="H1009" s="16"/>
      <c r="I1009" s="16"/>
      <c r="J1009" s="16"/>
      <c r="K1009" s="16"/>
      <c r="L1009" s="18"/>
    </row>
    <row r="1010" customFormat="false" ht="15" hidden="false" customHeight="false" outlineLevel="0" collapsed="false">
      <c r="A1010" s="18"/>
      <c r="B1010" s="16"/>
      <c r="C1010" s="16"/>
      <c r="D1010" s="51" t="str">
        <f aca="false">IF(C1010="","",IFERROR(IF(LEFT(C1010,1)="L",INDEX('Leads Pipeline'!$F$5:$F$1004,MATCH(C1010,'Leads Pipeline'!$A$5:$A$1004,0)),INDEX('Active Clients'!$D$5:$D$504,MATCH(C1010,'Active Clients'!$A$5:$A$504,0)))&amp;"","ID not found"))</f>
        <v/>
      </c>
      <c r="E1010" s="51" t="str">
        <f aca="false">IF(C1010="","",IFERROR(IF(LEFT(C1010,1)="L",INDEX('Leads Pipeline'!$D$5:$D$1004,MATCH(C1010,'Leads Pipeline'!$A$5:$A$1004,0)),INDEX('Active Clients'!$B$5:$B$504,MATCH(C1010,'Active Clients'!$A$5:$A$504,0)))&amp;"","ID not found"))</f>
        <v/>
      </c>
      <c r="F1010" s="51" t="str">
        <f aca="false">IF(C1010="","",IFERROR(IF(LEFT(C1010,1)="L",INDEX('Leads Pipeline'!$E$5:$E$1004,MATCH(C1010,'Leads Pipeline'!$A$5:$A$1004,0)),INDEX('Active Clients'!$C$5:$C$504,MATCH(C1010,'Active Clients'!$A$5:$A$504,0)))&amp;"","ID not found"))</f>
        <v/>
      </c>
      <c r="G1010" s="16"/>
      <c r="H1010" s="16"/>
      <c r="I1010" s="16"/>
      <c r="J1010" s="16"/>
      <c r="K1010" s="16"/>
      <c r="L1010" s="18"/>
    </row>
    <row r="1011" customFormat="false" ht="15" hidden="false" customHeight="false" outlineLevel="0" collapsed="false">
      <c r="A1011" s="18"/>
      <c r="B1011" s="16"/>
      <c r="C1011" s="16"/>
      <c r="D1011" s="51" t="str">
        <f aca="false">IF(C1011="","",IFERROR(IF(LEFT(C1011,1)="L",INDEX('Leads Pipeline'!$F$5:$F$1004,MATCH(C1011,'Leads Pipeline'!$A$5:$A$1004,0)),INDEX('Active Clients'!$D$5:$D$504,MATCH(C1011,'Active Clients'!$A$5:$A$504,0)))&amp;"","ID not found"))</f>
        <v/>
      </c>
      <c r="E1011" s="51" t="str">
        <f aca="false">IF(C1011="","",IFERROR(IF(LEFT(C1011,1)="L",INDEX('Leads Pipeline'!$D$5:$D$1004,MATCH(C1011,'Leads Pipeline'!$A$5:$A$1004,0)),INDEX('Active Clients'!$B$5:$B$504,MATCH(C1011,'Active Clients'!$A$5:$A$504,0)))&amp;"","ID not found"))</f>
        <v/>
      </c>
      <c r="F1011" s="51" t="str">
        <f aca="false">IF(C1011="","",IFERROR(IF(LEFT(C1011,1)="L",INDEX('Leads Pipeline'!$E$5:$E$1004,MATCH(C1011,'Leads Pipeline'!$A$5:$A$1004,0)),INDEX('Active Clients'!$C$5:$C$504,MATCH(C1011,'Active Clients'!$A$5:$A$504,0)))&amp;"","ID not found"))</f>
        <v/>
      </c>
      <c r="G1011" s="16"/>
      <c r="H1011" s="16"/>
      <c r="I1011" s="16"/>
      <c r="J1011" s="16"/>
      <c r="K1011" s="16"/>
      <c r="L1011" s="18"/>
    </row>
    <row r="1012" customFormat="false" ht="15" hidden="false" customHeight="false" outlineLevel="0" collapsed="false">
      <c r="A1012" s="18"/>
      <c r="B1012" s="16"/>
      <c r="C1012" s="16"/>
      <c r="D1012" s="51" t="str">
        <f aca="false">IF(C1012="","",IFERROR(IF(LEFT(C1012,1)="L",INDEX('Leads Pipeline'!$F$5:$F$1004,MATCH(C1012,'Leads Pipeline'!$A$5:$A$1004,0)),INDEX('Active Clients'!$D$5:$D$504,MATCH(C1012,'Active Clients'!$A$5:$A$504,0)))&amp;"","ID not found"))</f>
        <v/>
      </c>
      <c r="E1012" s="51" t="str">
        <f aca="false">IF(C1012="","",IFERROR(IF(LEFT(C1012,1)="L",INDEX('Leads Pipeline'!$D$5:$D$1004,MATCH(C1012,'Leads Pipeline'!$A$5:$A$1004,0)),INDEX('Active Clients'!$B$5:$B$504,MATCH(C1012,'Active Clients'!$A$5:$A$504,0)))&amp;"","ID not found"))</f>
        <v/>
      </c>
      <c r="F1012" s="51" t="str">
        <f aca="false">IF(C1012="","",IFERROR(IF(LEFT(C1012,1)="L",INDEX('Leads Pipeline'!$E$5:$E$1004,MATCH(C1012,'Leads Pipeline'!$A$5:$A$1004,0)),INDEX('Active Clients'!$C$5:$C$504,MATCH(C1012,'Active Clients'!$A$5:$A$504,0)))&amp;"","ID not found"))</f>
        <v/>
      </c>
      <c r="G1012" s="16"/>
      <c r="H1012" s="16"/>
      <c r="I1012" s="16"/>
      <c r="J1012" s="16"/>
      <c r="K1012" s="16"/>
      <c r="L1012" s="18"/>
    </row>
    <row r="1013" customFormat="false" ht="15" hidden="false" customHeight="false" outlineLevel="0" collapsed="false">
      <c r="A1013" s="18"/>
      <c r="B1013" s="16"/>
      <c r="C1013" s="16"/>
      <c r="D1013" s="51" t="str">
        <f aca="false">IF(C1013="","",IFERROR(IF(LEFT(C1013,1)="L",INDEX('Leads Pipeline'!$F$5:$F$1004,MATCH(C1013,'Leads Pipeline'!$A$5:$A$1004,0)),INDEX('Active Clients'!$D$5:$D$504,MATCH(C1013,'Active Clients'!$A$5:$A$504,0)))&amp;"","ID not found"))</f>
        <v/>
      </c>
      <c r="E1013" s="51" t="str">
        <f aca="false">IF(C1013="","",IFERROR(IF(LEFT(C1013,1)="L",INDEX('Leads Pipeline'!$D$5:$D$1004,MATCH(C1013,'Leads Pipeline'!$A$5:$A$1004,0)),INDEX('Active Clients'!$B$5:$B$504,MATCH(C1013,'Active Clients'!$A$5:$A$504,0)))&amp;"","ID not found"))</f>
        <v/>
      </c>
      <c r="F1013" s="51" t="str">
        <f aca="false">IF(C1013="","",IFERROR(IF(LEFT(C1013,1)="L",INDEX('Leads Pipeline'!$E$5:$E$1004,MATCH(C1013,'Leads Pipeline'!$A$5:$A$1004,0)),INDEX('Active Clients'!$C$5:$C$504,MATCH(C1013,'Active Clients'!$A$5:$A$504,0)))&amp;"","ID not found"))</f>
        <v/>
      </c>
      <c r="G1013" s="16"/>
      <c r="H1013" s="16"/>
      <c r="I1013" s="16"/>
      <c r="J1013" s="16"/>
      <c r="K1013" s="16"/>
      <c r="L1013" s="18"/>
    </row>
    <row r="1014" customFormat="false" ht="15" hidden="false" customHeight="false" outlineLevel="0" collapsed="false">
      <c r="A1014" s="18"/>
      <c r="B1014" s="16"/>
      <c r="C1014" s="16"/>
      <c r="D1014" s="51" t="str">
        <f aca="false">IF(C1014="","",IFERROR(IF(LEFT(C1014,1)="L",INDEX('Leads Pipeline'!$F$5:$F$1004,MATCH(C1014,'Leads Pipeline'!$A$5:$A$1004,0)),INDEX('Active Clients'!$D$5:$D$504,MATCH(C1014,'Active Clients'!$A$5:$A$504,0)))&amp;"","ID not found"))</f>
        <v/>
      </c>
      <c r="E1014" s="51" t="str">
        <f aca="false">IF(C1014="","",IFERROR(IF(LEFT(C1014,1)="L",INDEX('Leads Pipeline'!$D$5:$D$1004,MATCH(C1014,'Leads Pipeline'!$A$5:$A$1004,0)),INDEX('Active Clients'!$B$5:$B$504,MATCH(C1014,'Active Clients'!$A$5:$A$504,0)))&amp;"","ID not found"))</f>
        <v/>
      </c>
      <c r="F1014" s="51" t="str">
        <f aca="false">IF(C1014="","",IFERROR(IF(LEFT(C1014,1)="L",INDEX('Leads Pipeline'!$E$5:$E$1004,MATCH(C1014,'Leads Pipeline'!$A$5:$A$1004,0)),INDEX('Active Clients'!$C$5:$C$504,MATCH(C1014,'Active Clients'!$A$5:$A$504,0)))&amp;"","ID not found"))</f>
        <v/>
      </c>
      <c r="G1014" s="16"/>
      <c r="H1014" s="16"/>
      <c r="I1014" s="16"/>
      <c r="J1014" s="16"/>
      <c r="K1014" s="16"/>
      <c r="L1014" s="18"/>
    </row>
    <row r="1015" customFormat="false" ht="15" hidden="false" customHeight="false" outlineLevel="0" collapsed="false">
      <c r="A1015" s="18"/>
      <c r="B1015" s="16"/>
      <c r="C1015" s="16"/>
      <c r="D1015" s="51" t="str">
        <f aca="false">IF(C1015="","",IFERROR(IF(LEFT(C1015,1)="L",INDEX('Leads Pipeline'!$F$5:$F$1004,MATCH(C1015,'Leads Pipeline'!$A$5:$A$1004,0)),INDEX('Active Clients'!$D$5:$D$504,MATCH(C1015,'Active Clients'!$A$5:$A$504,0)))&amp;"","ID not found"))</f>
        <v/>
      </c>
      <c r="E1015" s="51" t="str">
        <f aca="false">IF(C1015="","",IFERROR(IF(LEFT(C1015,1)="L",INDEX('Leads Pipeline'!$D$5:$D$1004,MATCH(C1015,'Leads Pipeline'!$A$5:$A$1004,0)),INDEX('Active Clients'!$B$5:$B$504,MATCH(C1015,'Active Clients'!$A$5:$A$504,0)))&amp;"","ID not found"))</f>
        <v/>
      </c>
      <c r="F1015" s="51" t="str">
        <f aca="false">IF(C1015="","",IFERROR(IF(LEFT(C1015,1)="L",INDEX('Leads Pipeline'!$E$5:$E$1004,MATCH(C1015,'Leads Pipeline'!$A$5:$A$1004,0)),INDEX('Active Clients'!$C$5:$C$504,MATCH(C1015,'Active Clients'!$A$5:$A$504,0)))&amp;"","ID not found"))</f>
        <v/>
      </c>
      <c r="G1015" s="16"/>
      <c r="H1015" s="16"/>
      <c r="I1015" s="16"/>
      <c r="J1015" s="16"/>
      <c r="K1015" s="16"/>
      <c r="L1015" s="18"/>
    </row>
    <row r="1016" customFormat="false" ht="15" hidden="false" customHeight="false" outlineLevel="0" collapsed="false">
      <c r="A1016" s="18"/>
      <c r="B1016" s="16"/>
      <c r="C1016" s="16"/>
      <c r="D1016" s="51" t="str">
        <f aca="false">IF(C1016="","",IFERROR(IF(LEFT(C1016,1)="L",INDEX('Leads Pipeline'!$F$5:$F$1004,MATCH(C1016,'Leads Pipeline'!$A$5:$A$1004,0)),INDEX('Active Clients'!$D$5:$D$504,MATCH(C1016,'Active Clients'!$A$5:$A$504,0)))&amp;"","ID not found"))</f>
        <v/>
      </c>
      <c r="E1016" s="51" t="str">
        <f aca="false">IF(C1016="","",IFERROR(IF(LEFT(C1016,1)="L",INDEX('Leads Pipeline'!$D$5:$D$1004,MATCH(C1016,'Leads Pipeline'!$A$5:$A$1004,0)),INDEX('Active Clients'!$B$5:$B$504,MATCH(C1016,'Active Clients'!$A$5:$A$504,0)))&amp;"","ID not found"))</f>
        <v/>
      </c>
      <c r="F1016" s="51" t="str">
        <f aca="false">IF(C1016="","",IFERROR(IF(LEFT(C1016,1)="L",INDEX('Leads Pipeline'!$E$5:$E$1004,MATCH(C1016,'Leads Pipeline'!$A$5:$A$1004,0)),INDEX('Active Clients'!$C$5:$C$504,MATCH(C1016,'Active Clients'!$A$5:$A$504,0)))&amp;"","ID not found"))</f>
        <v/>
      </c>
      <c r="G1016" s="16"/>
      <c r="H1016" s="16"/>
      <c r="I1016" s="16"/>
      <c r="J1016" s="16"/>
      <c r="K1016" s="16"/>
      <c r="L1016" s="18"/>
    </row>
    <row r="1017" customFormat="false" ht="15" hidden="false" customHeight="false" outlineLevel="0" collapsed="false">
      <c r="A1017" s="18"/>
      <c r="B1017" s="16"/>
      <c r="C1017" s="16"/>
      <c r="D1017" s="51" t="str">
        <f aca="false">IF(C1017="","",IFERROR(IF(LEFT(C1017,1)="L",INDEX('Leads Pipeline'!$F$5:$F$1004,MATCH(C1017,'Leads Pipeline'!$A$5:$A$1004,0)),INDEX('Active Clients'!$D$5:$D$504,MATCH(C1017,'Active Clients'!$A$5:$A$504,0)))&amp;"","ID not found"))</f>
        <v/>
      </c>
      <c r="E1017" s="51" t="str">
        <f aca="false">IF(C1017="","",IFERROR(IF(LEFT(C1017,1)="L",INDEX('Leads Pipeline'!$D$5:$D$1004,MATCH(C1017,'Leads Pipeline'!$A$5:$A$1004,0)),INDEX('Active Clients'!$B$5:$B$504,MATCH(C1017,'Active Clients'!$A$5:$A$504,0)))&amp;"","ID not found"))</f>
        <v/>
      </c>
      <c r="F1017" s="51" t="str">
        <f aca="false">IF(C1017="","",IFERROR(IF(LEFT(C1017,1)="L",INDEX('Leads Pipeline'!$E$5:$E$1004,MATCH(C1017,'Leads Pipeline'!$A$5:$A$1004,0)),INDEX('Active Clients'!$C$5:$C$504,MATCH(C1017,'Active Clients'!$A$5:$A$504,0)))&amp;"","ID not found"))</f>
        <v/>
      </c>
      <c r="G1017" s="16"/>
      <c r="H1017" s="16"/>
      <c r="I1017" s="16"/>
      <c r="J1017" s="16"/>
      <c r="K1017" s="16"/>
      <c r="L1017" s="18"/>
    </row>
    <row r="1018" customFormat="false" ht="15" hidden="false" customHeight="false" outlineLevel="0" collapsed="false">
      <c r="A1018" s="18"/>
      <c r="B1018" s="16"/>
      <c r="C1018" s="16"/>
      <c r="D1018" s="51" t="str">
        <f aca="false">IF(C1018="","",IFERROR(IF(LEFT(C1018,1)="L",INDEX('Leads Pipeline'!$F$5:$F$1004,MATCH(C1018,'Leads Pipeline'!$A$5:$A$1004,0)),INDEX('Active Clients'!$D$5:$D$504,MATCH(C1018,'Active Clients'!$A$5:$A$504,0)))&amp;"","ID not found"))</f>
        <v/>
      </c>
      <c r="E1018" s="51" t="str">
        <f aca="false">IF(C1018="","",IFERROR(IF(LEFT(C1018,1)="L",INDEX('Leads Pipeline'!$D$5:$D$1004,MATCH(C1018,'Leads Pipeline'!$A$5:$A$1004,0)),INDEX('Active Clients'!$B$5:$B$504,MATCH(C1018,'Active Clients'!$A$5:$A$504,0)))&amp;"","ID not found"))</f>
        <v/>
      </c>
      <c r="F1018" s="51" t="str">
        <f aca="false">IF(C1018="","",IFERROR(IF(LEFT(C1018,1)="L",INDEX('Leads Pipeline'!$E$5:$E$1004,MATCH(C1018,'Leads Pipeline'!$A$5:$A$1004,0)),INDEX('Active Clients'!$C$5:$C$504,MATCH(C1018,'Active Clients'!$A$5:$A$504,0)))&amp;"","ID not found"))</f>
        <v/>
      </c>
      <c r="G1018" s="16"/>
      <c r="H1018" s="16"/>
      <c r="I1018" s="16"/>
      <c r="J1018" s="16"/>
      <c r="K1018" s="16"/>
      <c r="L1018" s="18"/>
    </row>
    <row r="1019" customFormat="false" ht="15" hidden="false" customHeight="false" outlineLevel="0" collapsed="false">
      <c r="A1019" s="18"/>
      <c r="B1019" s="16"/>
      <c r="C1019" s="16"/>
      <c r="D1019" s="51" t="str">
        <f aca="false">IF(C1019="","",IFERROR(IF(LEFT(C1019,1)="L",INDEX('Leads Pipeline'!$F$5:$F$1004,MATCH(C1019,'Leads Pipeline'!$A$5:$A$1004,0)),INDEX('Active Clients'!$D$5:$D$504,MATCH(C1019,'Active Clients'!$A$5:$A$504,0)))&amp;"","ID not found"))</f>
        <v/>
      </c>
      <c r="E1019" s="51" t="str">
        <f aca="false">IF(C1019="","",IFERROR(IF(LEFT(C1019,1)="L",INDEX('Leads Pipeline'!$D$5:$D$1004,MATCH(C1019,'Leads Pipeline'!$A$5:$A$1004,0)),INDEX('Active Clients'!$B$5:$B$504,MATCH(C1019,'Active Clients'!$A$5:$A$504,0)))&amp;"","ID not found"))</f>
        <v/>
      </c>
      <c r="F1019" s="51" t="str">
        <f aca="false">IF(C1019="","",IFERROR(IF(LEFT(C1019,1)="L",INDEX('Leads Pipeline'!$E$5:$E$1004,MATCH(C1019,'Leads Pipeline'!$A$5:$A$1004,0)),INDEX('Active Clients'!$C$5:$C$504,MATCH(C1019,'Active Clients'!$A$5:$A$504,0)))&amp;"","ID not found"))</f>
        <v/>
      </c>
      <c r="G1019" s="16"/>
      <c r="H1019" s="16"/>
      <c r="I1019" s="16"/>
      <c r="J1019" s="16"/>
      <c r="K1019" s="16"/>
      <c r="L1019" s="18"/>
    </row>
    <row r="1020" customFormat="false" ht="15" hidden="false" customHeight="false" outlineLevel="0" collapsed="false">
      <c r="A1020" s="18"/>
      <c r="B1020" s="16"/>
      <c r="C1020" s="16"/>
      <c r="D1020" s="51" t="str">
        <f aca="false">IF(C1020="","",IFERROR(IF(LEFT(C1020,1)="L",INDEX('Leads Pipeline'!$F$5:$F$1004,MATCH(C1020,'Leads Pipeline'!$A$5:$A$1004,0)),INDEX('Active Clients'!$D$5:$D$504,MATCH(C1020,'Active Clients'!$A$5:$A$504,0)))&amp;"","ID not found"))</f>
        <v/>
      </c>
      <c r="E1020" s="51" t="str">
        <f aca="false">IF(C1020="","",IFERROR(IF(LEFT(C1020,1)="L",INDEX('Leads Pipeline'!$D$5:$D$1004,MATCH(C1020,'Leads Pipeline'!$A$5:$A$1004,0)),INDEX('Active Clients'!$B$5:$B$504,MATCH(C1020,'Active Clients'!$A$5:$A$504,0)))&amp;"","ID not found"))</f>
        <v/>
      </c>
      <c r="F1020" s="51" t="str">
        <f aca="false">IF(C1020="","",IFERROR(IF(LEFT(C1020,1)="L",INDEX('Leads Pipeline'!$E$5:$E$1004,MATCH(C1020,'Leads Pipeline'!$A$5:$A$1004,0)),INDEX('Active Clients'!$C$5:$C$504,MATCH(C1020,'Active Clients'!$A$5:$A$504,0)))&amp;"","ID not found"))</f>
        <v/>
      </c>
      <c r="G1020" s="16"/>
      <c r="H1020" s="16"/>
      <c r="I1020" s="16"/>
      <c r="J1020" s="16"/>
      <c r="K1020" s="16"/>
      <c r="L1020" s="18"/>
    </row>
    <row r="1021" customFormat="false" ht="15" hidden="false" customHeight="false" outlineLevel="0" collapsed="false">
      <c r="A1021" s="18"/>
      <c r="B1021" s="16"/>
      <c r="C1021" s="16"/>
      <c r="D1021" s="51" t="str">
        <f aca="false">IF(C1021="","",IFERROR(IF(LEFT(C1021,1)="L",INDEX('Leads Pipeline'!$F$5:$F$1004,MATCH(C1021,'Leads Pipeline'!$A$5:$A$1004,0)),INDEX('Active Clients'!$D$5:$D$504,MATCH(C1021,'Active Clients'!$A$5:$A$504,0)))&amp;"","ID not found"))</f>
        <v/>
      </c>
      <c r="E1021" s="51" t="str">
        <f aca="false">IF(C1021="","",IFERROR(IF(LEFT(C1021,1)="L",INDEX('Leads Pipeline'!$D$5:$D$1004,MATCH(C1021,'Leads Pipeline'!$A$5:$A$1004,0)),INDEX('Active Clients'!$B$5:$B$504,MATCH(C1021,'Active Clients'!$A$5:$A$504,0)))&amp;"","ID not found"))</f>
        <v/>
      </c>
      <c r="F1021" s="51" t="str">
        <f aca="false">IF(C1021="","",IFERROR(IF(LEFT(C1021,1)="L",INDEX('Leads Pipeline'!$E$5:$E$1004,MATCH(C1021,'Leads Pipeline'!$A$5:$A$1004,0)),INDEX('Active Clients'!$C$5:$C$504,MATCH(C1021,'Active Clients'!$A$5:$A$504,0)))&amp;"","ID not found"))</f>
        <v/>
      </c>
      <c r="G1021" s="16"/>
      <c r="H1021" s="16"/>
      <c r="I1021" s="16"/>
      <c r="J1021" s="16"/>
      <c r="K1021" s="16"/>
      <c r="L1021" s="18"/>
    </row>
    <row r="1022" customFormat="false" ht="15" hidden="false" customHeight="false" outlineLevel="0" collapsed="false">
      <c r="A1022" s="18"/>
      <c r="B1022" s="16"/>
      <c r="C1022" s="16"/>
      <c r="D1022" s="51" t="str">
        <f aca="false">IF(C1022="","",IFERROR(IF(LEFT(C1022,1)="L",INDEX('Leads Pipeline'!$F$5:$F$1004,MATCH(C1022,'Leads Pipeline'!$A$5:$A$1004,0)),INDEX('Active Clients'!$D$5:$D$504,MATCH(C1022,'Active Clients'!$A$5:$A$504,0)))&amp;"","ID not found"))</f>
        <v/>
      </c>
      <c r="E1022" s="51" t="str">
        <f aca="false">IF(C1022="","",IFERROR(IF(LEFT(C1022,1)="L",INDEX('Leads Pipeline'!$D$5:$D$1004,MATCH(C1022,'Leads Pipeline'!$A$5:$A$1004,0)),INDEX('Active Clients'!$B$5:$B$504,MATCH(C1022,'Active Clients'!$A$5:$A$504,0)))&amp;"","ID not found"))</f>
        <v/>
      </c>
      <c r="F1022" s="51" t="str">
        <f aca="false">IF(C1022="","",IFERROR(IF(LEFT(C1022,1)="L",INDEX('Leads Pipeline'!$E$5:$E$1004,MATCH(C1022,'Leads Pipeline'!$A$5:$A$1004,0)),INDEX('Active Clients'!$C$5:$C$504,MATCH(C1022,'Active Clients'!$A$5:$A$504,0)))&amp;"","ID not found"))</f>
        <v/>
      </c>
      <c r="G1022" s="16"/>
      <c r="H1022" s="16"/>
      <c r="I1022" s="16"/>
      <c r="J1022" s="16"/>
      <c r="K1022" s="16"/>
      <c r="L1022" s="18"/>
    </row>
    <row r="1023" customFormat="false" ht="15" hidden="false" customHeight="false" outlineLevel="0" collapsed="false">
      <c r="A1023" s="18"/>
      <c r="B1023" s="16"/>
      <c r="C1023" s="16"/>
      <c r="D1023" s="51" t="str">
        <f aca="false">IF(C1023="","",IFERROR(IF(LEFT(C1023,1)="L",INDEX('Leads Pipeline'!$F$5:$F$1004,MATCH(C1023,'Leads Pipeline'!$A$5:$A$1004,0)),INDEX('Active Clients'!$D$5:$D$504,MATCH(C1023,'Active Clients'!$A$5:$A$504,0)))&amp;"","ID not found"))</f>
        <v/>
      </c>
      <c r="E1023" s="51" t="str">
        <f aca="false">IF(C1023="","",IFERROR(IF(LEFT(C1023,1)="L",INDEX('Leads Pipeline'!$D$5:$D$1004,MATCH(C1023,'Leads Pipeline'!$A$5:$A$1004,0)),INDEX('Active Clients'!$B$5:$B$504,MATCH(C1023,'Active Clients'!$A$5:$A$504,0)))&amp;"","ID not found"))</f>
        <v/>
      </c>
      <c r="F1023" s="51" t="str">
        <f aca="false">IF(C1023="","",IFERROR(IF(LEFT(C1023,1)="L",INDEX('Leads Pipeline'!$E$5:$E$1004,MATCH(C1023,'Leads Pipeline'!$A$5:$A$1004,0)),INDEX('Active Clients'!$C$5:$C$504,MATCH(C1023,'Active Clients'!$A$5:$A$504,0)))&amp;"","ID not found"))</f>
        <v/>
      </c>
      <c r="G1023" s="16"/>
      <c r="H1023" s="16"/>
      <c r="I1023" s="16"/>
      <c r="J1023" s="16"/>
      <c r="K1023" s="16"/>
      <c r="L1023" s="18"/>
    </row>
    <row r="1024" customFormat="false" ht="15" hidden="false" customHeight="false" outlineLevel="0" collapsed="false">
      <c r="A1024" s="18"/>
      <c r="B1024" s="16"/>
      <c r="C1024" s="16"/>
      <c r="D1024" s="51" t="str">
        <f aca="false">IF(C1024="","",IFERROR(IF(LEFT(C1024,1)="L",INDEX('Leads Pipeline'!$F$5:$F$1004,MATCH(C1024,'Leads Pipeline'!$A$5:$A$1004,0)),INDEX('Active Clients'!$D$5:$D$504,MATCH(C1024,'Active Clients'!$A$5:$A$504,0)))&amp;"","ID not found"))</f>
        <v/>
      </c>
      <c r="E1024" s="51" t="str">
        <f aca="false">IF(C1024="","",IFERROR(IF(LEFT(C1024,1)="L",INDEX('Leads Pipeline'!$D$5:$D$1004,MATCH(C1024,'Leads Pipeline'!$A$5:$A$1004,0)),INDEX('Active Clients'!$B$5:$B$504,MATCH(C1024,'Active Clients'!$A$5:$A$504,0)))&amp;"","ID not found"))</f>
        <v/>
      </c>
      <c r="F1024" s="51" t="str">
        <f aca="false">IF(C1024="","",IFERROR(IF(LEFT(C1024,1)="L",INDEX('Leads Pipeline'!$E$5:$E$1004,MATCH(C1024,'Leads Pipeline'!$A$5:$A$1004,0)),INDEX('Active Clients'!$C$5:$C$504,MATCH(C1024,'Active Clients'!$A$5:$A$504,0)))&amp;"","ID not found"))</f>
        <v/>
      </c>
      <c r="G1024" s="16"/>
      <c r="H1024" s="16"/>
      <c r="I1024" s="16"/>
      <c r="J1024" s="16"/>
      <c r="K1024" s="16"/>
      <c r="L1024" s="18"/>
    </row>
    <row r="1025" customFormat="false" ht="15" hidden="false" customHeight="false" outlineLevel="0" collapsed="false">
      <c r="A1025" s="18"/>
      <c r="B1025" s="16"/>
      <c r="C1025" s="16"/>
      <c r="D1025" s="51" t="str">
        <f aca="false">IF(C1025="","",IFERROR(IF(LEFT(C1025,1)="L",INDEX('Leads Pipeline'!$F$5:$F$1004,MATCH(C1025,'Leads Pipeline'!$A$5:$A$1004,0)),INDEX('Active Clients'!$D$5:$D$504,MATCH(C1025,'Active Clients'!$A$5:$A$504,0)))&amp;"","ID not found"))</f>
        <v/>
      </c>
      <c r="E1025" s="51" t="str">
        <f aca="false">IF(C1025="","",IFERROR(IF(LEFT(C1025,1)="L",INDEX('Leads Pipeline'!$D$5:$D$1004,MATCH(C1025,'Leads Pipeline'!$A$5:$A$1004,0)),INDEX('Active Clients'!$B$5:$B$504,MATCH(C1025,'Active Clients'!$A$5:$A$504,0)))&amp;"","ID not found"))</f>
        <v/>
      </c>
      <c r="F1025" s="51" t="str">
        <f aca="false">IF(C1025="","",IFERROR(IF(LEFT(C1025,1)="L",INDEX('Leads Pipeline'!$E$5:$E$1004,MATCH(C1025,'Leads Pipeline'!$A$5:$A$1004,0)),INDEX('Active Clients'!$C$5:$C$504,MATCH(C1025,'Active Clients'!$A$5:$A$504,0)))&amp;"","ID not found"))</f>
        <v/>
      </c>
      <c r="G1025" s="16"/>
      <c r="H1025" s="16"/>
      <c r="I1025" s="16"/>
      <c r="J1025" s="16"/>
      <c r="K1025" s="16"/>
      <c r="L1025" s="18"/>
    </row>
    <row r="1026" customFormat="false" ht="15" hidden="false" customHeight="false" outlineLevel="0" collapsed="false">
      <c r="A1026" s="18"/>
      <c r="B1026" s="16"/>
      <c r="C1026" s="16"/>
      <c r="D1026" s="51" t="str">
        <f aca="false">IF(C1026="","",IFERROR(IF(LEFT(C1026,1)="L",INDEX('Leads Pipeline'!$F$5:$F$1004,MATCH(C1026,'Leads Pipeline'!$A$5:$A$1004,0)),INDEX('Active Clients'!$D$5:$D$504,MATCH(C1026,'Active Clients'!$A$5:$A$504,0)))&amp;"","ID not found"))</f>
        <v/>
      </c>
      <c r="E1026" s="51" t="str">
        <f aca="false">IF(C1026="","",IFERROR(IF(LEFT(C1026,1)="L",INDEX('Leads Pipeline'!$D$5:$D$1004,MATCH(C1026,'Leads Pipeline'!$A$5:$A$1004,0)),INDEX('Active Clients'!$B$5:$B$504,MATCH(C1026,'Active Clients'!$A$5:$A$504,0)))&amp;"","ID not found"))</f>
        <v/>
      </c>
      <c r="F1026" s="51" t="str">
        <f aca="false">IF(C1026="","",IFERROR(IF(LEFT(C1026,1)="L",INDEX('Leads Pipeline'!$E$5:$E$1004,MATCH(C1026,'Leads Pipeline'!$A$5:$A$1004,0)),INDEX('Active Clients'!$C$5:$C$504,MATCH(C1026,'Active Clients'!$A$5:$A$504,0)))&amp;"","ID not found"))</f>
        <v/>
      </c>
      <c r="G1026" s="16"/>
      <c r="H1026" s="16"/>
      <c r="I1026" s="16"/>
      <c r="J1026" s="16"/>
      <c r="K1026" s="16"/>
      <c r="L1026" s="18"/>
    </row>
    <row r="1027" customFormat="false" ht="15" hidden="false" customHeight="false" outlineLevel="0" collapsed="false">
      <c r="A1027" s="18"/>
      <c r="B1027" s="16"/>
      <c r="C1027" s="16"/>
      <c r="D1027" s="51" t="str">
        <f aca="false">IF(C1027="","",IFERROR(IF(LEFT(C1027,1)="L",INDEX('Leads Pipeline'!$F$5:$F$1004,MATCH(C1027,'Leads Pipeline'!$A$5:$A$1004,0)),INDEX('Active Clients'!$D$5:$D$504,MATCH(C1027,'Active Clients'!$A$5:$A$504,0)))&amp;"","ID not found"))</f>
        <v/>
      </c>
      <c r="E1027" s="51" t="str">
        <f aca="false">IF(C1027="","",IFERROR(IF(LEFT(C1027,1)="L",INDEX('Leads Pipeline'!$D$5:$D$1004,MATCH(C1027,'Leads Pipeline'!$A$5:$A$1004,0)),INDEX('Active Clients'!$B$5:$B$504,MATCH(C1027,'Active Clients'!$A$5:$A$504,0)))&amp;"","ID not found"))</f>
        <v/>
      </c>
      <c r="F1027" s="51" t="str">
        <f aca="false">IF(C1027="","",IFERROR(IF(LEFT(C1027,1)="L",INDEX('Leads Pipeline'!$E$5:$E$1004,MATCH(C1027,'Leads Pipeline'!$A$5:$A$1004,0)),INDEX('Active Clients'!$C$5:$C$504,MATCH(C1027,'Active Clients'!$A$5:$A$504,0)))&amp;"","ID not found"))</f>
        <v/>
      </c>
      <c r="G1027" s="16"/>
      <c r="H1027" s="16"/>
      <c r="I1027" s="16"/>
      <c r="J1027" s="16"/>
      <c r="K1027" s="16"/>
      <c r="L1027" s="18"/>
    </row>
    <row r="1028" customFormat="false" ht="15" hidden="false" customHeight="false" outlineLevel="0" collapsed="false">
      <c r="A1028" s="18"/>
      <c r="B1028" s="16"/>
      <c r="C1028" s="16"/>
      <c r="D1028" s="51" t="str">
        <f aca="false">IF(C1028="","",IFERROR(IF(LEFT(C1028,1)="L",INDEX('Leads Pipeline'!$F$5:$F$1004,MATCH(C1028,'Leads Pipeline'!$A$5:$A$1004,0)),INDEX('Active Clients'!$D$5:$D$504,MATCH(C1028,'Active Clients'!$A$5:$A$504,0)))&amp;"","ID not found"))</f>
        <v/>
      </c>
      <c r="E1028" s="51" t="str">
        <f aca="false">IF(C1028="","",IFERROR(IF(LEFT(C1028,1)="L",INDEX('Leads Pipeline'!$D$5:$D$1004,MATCH(C1028,'Leads Pipeline'!$A$5:$A$1004,0)),INDEX('Active Clients'!$B$5:$B$504,MATCH(C1028,'Active Clients'!$A$5:$A$504,0)))&amp;"","ID not found"))</f>
        <v/>
      </c>
      <c r="F1028" s="51" t="str">
        <f aca="false">IF(C1028="","",IFERROR(IF(LEFT(C1028,1)="L",INDEX('Leads Pipeline'!$E$5:$E$1004,MATCH(C1028,'Leads Pipeline'!$A$5:$A$1004,0)),INDEX('Active Clients'!$C$5:$C$504,MATCH(C1028,'Active Clients'!$A$5:$A$504,0)))&amp;"","ID not found"))</f>
        <v/>
      </c>
      <c r="G1028" s="16"/>
      <c r="H1028" s="16"/>
      <c r="I1028" s="16"/>
      <c r="J1028" s="16"/>
      <c r="K1028" s="16"/>
      <c r="L1028" s="18"/>
    </row>
    <row r="1029" customFormat="false" ht="15" hidden="false" customHeight="false" outlineLevel="0" collapsed="false">
      <c r="A1029" s="18"/>
      <c r="B1029" s="16"/>
      <c r="C1029" s="16"/>
      <c r="D1029" s="51" t="str">
        <f aca="false">IF(C1029="","",IFERROR(IF(LEFT(C1029,1)="L",INDEX('Leads Pipeline'!$F$5:$F$1004,MATCH(C1029,'Leads Pipeline'!$A$5:$A$1004,0)),INDEX('Active Clients'!$D$5:$D$504,MATCH(C1029,'Active Clients'!$A$5:$A$504,0)))&amp;"","ID not found"))</f>
        <v/>
      </c>
      <c r="E1029" s="51" t="str">
        <f aca="false">IF(C1029="","",IFERROR(IF(LEFT(C1029,1)="L",INDEX('Leads Pipeline'!$D$5:$D$1004,MATCH(C1029,'Leads Pipeline'!$A$5:$A$1004,0)),INDEX('Active Clients'!$B$5:$B$504,MATCH(C1029,'Active Clients'!$A$5:$A$504,0)))&amp;"","ID not found"))</f>
        <v/>
      </c>
      <c r="F1029" s="51" t="str">
        <f aca="false">IF(C1029="","",IFERROR(IF(LEFT(C1029,1)="L",INDEX('Leads Pipeline'!$E$5:$E$1004,MATCH(C1029,'Leads Pipeline'!$A$5:$A$1004,0)),INDEX('Active Clients'!$C$5:$C$504,MATCH(C1029,'Active Clients'!$A$5:$A$504,0)))&amp;"","ID not found"))</f>
        <v/>
      </c>
      <c r="G1029" s="16"/>
      <c r="H1029" s="16"/>
      <c r="I1029" s="16"/>
      <c r="J1029" s="16"/>
      <c r="K1029" s="16"/>
      <c r="L1029" s="18"/>
    </row>
    <row r="1030" customFormat="false" ht="15" hidden="false" customHeight="false" outlineLevel="0" collapsed="false">
      <c r="A1030" s="18"/>
      <c r="B1030" s="16"/>
      <c r="C1030" s="16"/>
      <c r="D1030" s="51" t="str">
        <f aca="false">IF(C1030="","",IFERROR(IF(LEFT(C1030,1)="L",INDEX('Leads Pipeline'!$F$5:$F$1004,MATCH(C1030,'Leads Pipeline'!$A$5:$A$1004,0)),INDEX('Active Clients'!$D$5:$D$504,MATCH(C1030,'Active Clients'!$A$5:$A$504,0)))&amp;"","ID not found"))</f>
        <v/>
      </c>
      <c r="E1030" s="51" t="str">
        <f aca="false">IF(C1030="","",IFERROR(IF(LEFT(C1030,1)="L",INDEX('Leads Pipeline'!$D$5:$D$1004,MATCH(C1030,'Leads Pipeline'!$A$5:$A$1004,0)),INDEX('Active Clients'!$B$5:$B$504,MATCH(C1030,'Active Clients'!$A$5:$A$504,0)))&amp;"","ID not found"))</f>
        <v/>
      </c>
      <c r="F1030" s="51" t="str">
        <f aca="false">IF(C1030="","",IFERROR(IF(LEFT(C1030,1)="L",INDEX('Leads Pipeline'!$E$5:$E$1004,MATCH(C1030,'Leads Pipeline'!$A$5:$A$1004,0)),INDEX('Active Clients'!$C$5:$C$504,MATCH(C1030,'Active Clients'!$A$5:$A$504,0)))&amp;"","ID not found"))</f>
        <v/>
      </c>
      <c r="G1030" s="16"/>
      <c r="H1030" s="16"/>
      <c r="I1030" s="16"/>
      <c r="J1030" s="16"/>
      <c r="K1030" s="16"/>
      <c r="L1030" s="18"/>
    </row>
    <row r="1031" customFormat="false" ht="15" hidden="false" customHeight="false" outlineLevel="0" collapsed="false">
      <c r="A1031" s="18"/>
      <c r="B1031" s="16"/>
      <c r="C1031" s="16"/>
      <c r="D1031" s="51" t="str">
        <f aca="false">IF(C1031="","",IFERROR(IF(LEFT(C1031,1)="L",INDEX('Leads Pipeline'!$F$5:$F$1004,MATCH(C1031,'Leads Pipeline'!$A$5:$A$1004,0)),INDEX('Active Clients'!$D$5:$D$504,MATCH(C1031,'Active Clients'!$A$5:$A$504,0)))&amp;"","ID not found"))</f>
        <v/>
      </c>
      <c r="E1031" s="51" t="str">
        <f aca="false">IF(C1031="","",IFERROR(IF(LEFT(C1031,1)="L",INDEX('Leads Pipeline'!$D$5:$D$1004,MATCH(C1031,'Leads Pipeline'!$A$5:$A$1004,0)),INDEX('Active Clients'!$B$5:$B$504,MATCH(C1031,'Active Clients'!$A$5:$A$504,0)))&amp;"","ID not found"))</f>
        <v/>
      </c>
      <c r="F1031" s="51" t="str">
        <f aca="false">IF(C1031="","",IFERROR(IF(LEFT(C1031,1)="L",INDEX('Leads Pipeline'!$E$5:$E$1004,MATCH(C1031,'Leads Pipeline'!$A$5:$A$1004,0)),INDEX('Active Clients'!$C$5:$C$504,MATCH(C1031,'Active Clients'!$A$5:$A$504,0)))&amp;"","ID not found"))</f>
        <v/>
      </c>
      <c r="G1031" s="16"/>
      <c r="H1031" s="16"/>
      <c r="I1031" s="16"/>
      <c r="J1031" s="16"/>
      <c r="K1031" s="16"/>
      <c r="L1031" s="18"/>
    </row>
    <row r="1032" customFormat="false" ht="15" hidden="false" customHeight="false" outlineLevel="0" collapsed="false">
      <c r="A1032" s="18"/>
      <c r="B1032" s="16"/>
      <c r="C1032" s="16"/>
      <c r="D1032" s="51" t="str">
        <f aca="false">IF(C1032="","",IFERROR(IF(LEFT(C1032,1)="L",INDEX('Leads Pipeline'!$F$5:$F$1004,MATCH(C1032,'Leads Pipeline'!$A$5:$A$1004,0)),INDEX('Active Clients'!$D$5:$D$504,MATCH(C1032,'Active Clients'!$A$5:$A$504,0)))&amp;"","ID not found"))</f>
        <v/>
      </c>
      <c r="E1032" s="51" t="str">
        <f aca="false">IF(C1032="","",IFERROR(IF(LEFT(C1032,1)="L",INDEX('Leads Pipeline'!$D$5:$D$1004,MATCH(C1032,'Leads Pipeline'!$A$5:$A$1004,0)),INDEX('Active Clients'!$B$5:$B$504,MATCH(C1032,'Active Clients'!$A$5:$A$504,0)))&amp;"","ID not found"))</f>
        <v/>
      </c>
      <c r="F1032" s="51" t="str">
        <f aca="false">IF(C1032="","",IFERROR(IF(LEFT(C1032,1)="L",INDEX('Leads Pipeline'!$E$5:$E$1004,MATCH(C1032,'Leads Pipeline'!$A$5:$A$1004,0)),INDEX('Active Clients'!$C$5:$C$504,MATCH(C1032,'Active Clients'!$A$5:$A$504,0)))&amp;"","ID not found"))</f>
        <v/>
      </c>
      <c r="G1032" s="16"/>
      <c r="H1032" s="16"/>
      <c r="I1032" s="16"/>
      <c r="J1032" s="16"/>
      <c r="K1032" s="16"/>
      <c r="L1032" s="18"/>
    </row>
    <row r="1033" customFormat="false" ht="15" hidden="false" customHeight="false" outlineLevel="0" collapsed="false">
      <c r="A1033" s="18"/>
      <c r="B1033" s="16"/>
      <c r="C1033" s="16"/>
      <c r="D1033" s="51" t="str">
        <f aca="false">IF(C1033="","",IFERROR(IF(LEFT(C1033,1)="L",INDEX('Leads Pipeline'!$F$5:$F$1004,MATCH(C1033,'Leads Pipeline'!$A$5:$A$1004,0)),INDEX('Active Clients'!$D$5:$D$504,MATCH(C1033,'Active Clients'!$A$5:$A$504,0)))&amp;"","ID not found"))</f>
        <v/>
      </c>
      <c r="E1033" s="51" t="str">
        <f aca="false">IF(C1033="","",IFERROR(IF(LEFT(C1033,1)="L",INDEX('Leads Pipeline'!$D$5:$D$1004,MATCH(C1033,'Leads Pipeline'!$A$5:$A$1004,0)),INDEX('Active Clients'!$B$5:$B$504,MATCH(C1033,'Active Clients'!$A$5:$A$504,0)))&amp;"","ID not found"))</f>
        <v/>
      </c>
      <c r="F1033" s="51" t="str">
        <f aca="false">IF(C1033="","",IFERROR(IF(LEFT(C1033,1)="L",INDEX('Leads Pipeline'!$E$5:$E$1004,MATCH(C1033,'Leads Pipeline'!$A$5:$A$1004,0)),INDEX('Active Clients'!$C$5:$C$504,MATCH(C1033,'Active Clients'!$A$5:$A$504,0)))&amp;"","ID not found"))</f>
        <v/>
      </c>
      <c r="G1033" s="16"/>
      <c r="H1033" s="16"/>
      <c r="I1033" s="16"/>
      <c r="J1033" s="16"/>
      <c r="K1033" s="16"/>
      <c r="L1033" s="18"/>
    </row>
    <row r="1034" customFormat="false" ht="15" hidden="false" customHeight="false" outlineLevel="0" collapsed="false">
      <c r="A1034" s="18"/>
      <c r="B1034" s="16"/>
      <c r="C1034" s="16"/>
      <c r="D1034" s="51" t="str">
        <f aca="false">IF(C1034="","",IFERROR(IF(LEFT(C1034,1)="L",INDEX('Leads Pipeline'!$F$5:$F$1004,MATCH(C1034,'Leads Pipeline'!$A$5:$A$1004,0)),INDEX('Active Clients'!$D$5:$D$504,MATCH(C1034,'Active Clients'!$A$5:$A$504,0)))&amp;"","ID not found"))</f>
        <v/>
      </c>
      <c r="E1034" s="51" t="str">
        <f aca="false">IF(C1034="","",IFERROR(IF(LEFT(C1034,1)="L",INDEX('Leads Pipeline'!$D$5:$D$1004,MATCH(C1034,'Leads Pipeline'!$A$5:$A$1004,0)),INDEX('Active Clients'!$B$5:$B$504,MATCH(C1034,'Active Clients'!$A$5:$A$504,0)))&amp;"","ID not found"))</f>
        <v/>
      </c>
      <c r="F1034" s="51" t="str">
        <f aca="false">IF(C1034="","",IFERROR(IF(LEFT(C1034,1)="L",INDEX('Leads Pipeline'!$E$5:$E$1004,MATCH(C1034,'Leads Pipeline'!$A$5:$A$1004,0)),INDEX('Active Clients'!$C$5:$C$504,MATCH(C1034,'Active Clients'!$A$5:$A$504,0)))&amp;"","ID not found"))</f>
        <v/>
      </c>
      <c r="G1034" s="16"/>
      <c r="H1034" s="16"/>
      <c r="I1034" s="16"/>
      <c r="J1034" s="16"/>
      <c r="K1034" s="16"/>
      <c r="L1034" s="18"/>
    </row>
    <row r="1035" customFormat="false" ht="15" hidden="false" customHeight="false" outlineLevel="0" collapsed="false">
      <c r="A1035" s="18"/>
      <c r="B1035" s="16"/>
      <c r="C1035" s="16"/>
      <c r="D1035" s="51" t="str">
        <f aca="false">IF(C1035="","",IFERROR(IF(LEFT(C1035,1)="L",INDEX('Leads Pipeline'!$F$5:$F$1004,MATCH(C1035,'Leads Pipeline'!$A$5:$A$1004,0)),INDEX('Active Clients'!$D$5:$D$504,MATCH(C1035,'Active Clients'!$A$5:$A$504,0)))&amp;"","ID not found"))</f>
        <v/>
      </c>
      <c r="E1035" s="51" t="str">
        <f aca="false">IF(C1035="","",IFERROR(IF(LEFT(C1035,1)="L",INDEX('Leads Pipeline'!$D$5:$D$1004,MATCH(C1035,'Leads Pipeline'!$A$5:$A$1004,0)),INDEX('Active Clients'!$B$5:$B$504,MATCH(C1035,'Active Clients'!$A$5:$A$504,0)))&amp;"","ID not found"))</f>
        <v/>
      </c>
      <c r="F1035" s="51" t="str">
        <f aca="false">IF(C1035="","",IFERROR(IF(LEFT(C1035,1)="L",INDEX('Leads Pipeline'!$E$5:$E$1004,MATCH(C1035,'Leads Pipeline'!$A$5:$A$1004,0)),INDEX('Active Clients'!$C$5:$C$504,MATCH(C1035,'Active Clients'!$A$5:$A$504,0)))&amp;"","ID not found"))</f>
        <v/>
      </c>
      <c r="G1035" s="16"/>
      <c r="H1035" s="16"/>
      <c r="I1035" s="16"/>
      <c r="J1035" s="16"/>
      <c r="K1035" s="16"/>
      <c r="L1035" s="18"/>
    </row>
    <row r="1036" customFormat="false" ht="15" hidden="false" customHeight="false" outlineLevel="0" collapsed="false">
      <c r="A1036" s="18"/>
      <c r="B1036" s="16"/>
      <c r="C1036" s="16"/>
      <c r="D1036" s="51" t="str">
        <f aca="false">IF(C1036="","",IFERROR(IF(LEFT(C1036,1)="L",INDEX('Leads Pipeline'!$F$5:$F$1004,MATCH(C1036,'Leads Pipeline'!$A$5:$A$1004,0)),INDEX('Active Clients'!$D$5:$D$504,MATCH(C1036,'Active Clients'!$A$5:$A$504,0)))&amp;"","ID not found"))</f>
        <v/>
      </c>
      <c r="E1036" s="51" t="str">
        <f aca="false">IF(C1036="","",IFERROR(IF(LEFT(C1036,1)="L",INDEX('Leads Pipeline'!$D$5:$D$1004,MATCH(C1036,'Leads Pipeline'!$A$5:$A$1004,0)),INDEX('Active Clients'!$B$5:$B$504,MATCH(C1036,'Active Clients'!$A$5:$A$504,0)))&amp;"","ID not found"))</f>
        <v/>
      </c>
      <c r="F1036" s="51" t="str">
        <f aca="false">IF(C1036="","",IFERROR(IF(LEFT(C1036,1)="L",INDEX('Leads Pipeline'!$E$5:$E$1004,MATCH(C1036,'Leads Pipeline'!$A$5:$A$1004,0)),INDEX('Active Clients'!$C$5:$C$504,MATCH(C1036,'Active Clients'!$A$5:$A$504,0)))&amp;"","ID not found"))</f>
        <v/>
      </c>
      <c r="G1036" s="16"/>
      <c r="H1036" s="16"/>
      <c r="I1036" s="16"/>
      <c r="J1036" s="16"/>
      <c r="K1036" s="16"/>
      <c r="L1036" s="18"/>
    </row>
    <row r="1037" customFormat="false" ht="15" hidden="false" customHeight="false" outlineLevel="0" collapsed="false">
      <c r="A1037" s="18"/>
      <c r="B1037" s="16"/>
      <c r="C1037" s="16"/>
      <c r="D1037" s="51" t="str">
        <f aca="false">IF(C1037="","",IFERROR(IF(LEFT(C1037,1)="L",INDEX('Leads Pipeline'!$F$5:$F$1004,MATCH(C1037,'Leads Pipeline'!$A$5:$A$1004,0)),INDEX('Active Clients'!$D$5:$D$504,MATCH(C1037,'Active Clients'!$A$5:$A$504,0)))&amp;"","ID not found"))</f>
        <v/>
      </c>
      <c r="E1037" s="51" t="str">
        <f aca="false">IF(C1037="","",IFERROR(IF(LEFT(C1037,1)="L",INDEX('Leads Pipeline'!$D$5:$D$1004,MATCH(C1037,'Leads Pipeline'!$A$5:$A$1004,0)),INDEX('Active Clients'!$B$5:$B$504,MATCH(C1037,'Active Clients'!$A$5:$A$504,0)))&amp;"","ID not found"))</f>
        <v/>
      </c>
      <c r="F1037" s="51" t="str">
        <f aca="false">IF(C1037="","",IFERROR(IF(LEFT(C1037,1)="L",INDEX('Leads Pipeline'!$E$5:$E$1004,MATCH(C1037,'Leads Pipeline'!$A$5:$A$1004,0)),INDEX('Active Clients'!$C$5:$C$504,MATCH(C1037,'Active Clients'!$A$5:$A$504,0)))&amp;"","ID not found"))</f>
        <v/>
      </c>
      <c r="G1037" s="16"/>
      <c r="H1037" s="16"/>
      <c r="I1037" s="16"/>
      <c r="J1037" s="16"/>
      <c r="K1037" s="16"/>
      <c r="L1037" s="18"/>
    </row>
    <row r="1038" customFormat="false" ht="15" hidden="false" customHeight="false" outlineLevel="0" collapsed="false">
      <c r="A1038" s="18"/>
      <c r="B1038" s="16"/>
      <c r="C1038" s="16"/>
      <c r="D1038" s="51" t="str">
        <f aca="false">IF(C1038="","",IFERROR(IF(LEFT(C1038,1)="L",INDEX('Leads Pipeline'!$F$5:$F$1004,MATCH(C1038,'Leads Pipeline'!$A$5:$A$1004,0)),INDEX('Active Clients'!$D$5:$D$504,MATCH(C1038,'Active Clients'!$A$5:$A$504,0)))&amp;"","ID not found"))</f>
        <v/>
      </c>
      <c r="E1038" s="51" t="str">
        <f aca="false">IF(C1038="","",IFERROR(IF(LEFT(C1038,1)="L",INDEX('Leads Pipeline'!$D$5:$D$1004,MATCH(C1038,'Leads Pipeline'!$A$5:$A$1004,0)),INDEX('Active Clients'!$B$5:$B$504,MATCH(C1038,'Active Clients'!$A$5:$A$504,0)))&amp;"","ID not found"))</f>
        <v/>
      </c>
      <c r="F1038" s="51" t="str">
        <f aca="false">IF(C1038="","",IFERROR(IF(LEFT(C1038,1)="L",INDEX('Leads Pipeline'!$E$5:$E$1004,MATCH(C1038,'Leads Pipeline'!$A$5:$A$1004,0)),INDEX('Active Clients'!$C$5:$C$504,MATCH(C1038,'Active Clients'!$A$5:$A$504,0)))&amp;"","ID not found"))</f>
        <v/>
      </c>
      <c r="G1038" s="16"/>
      <c r="H1038" s="16"/>
      <c r="I1038" s="16"/>
      <c r="J1038" s="16"/>
      <c r="K1038" s="16"/>
      <c r="L1038" s="18"/>
    </row>
    <row r="1039" customFormat="false" ht="15" hidden="false" customHeight="false" outlineLevel="0" collapsed="false">
      <c r="A1039" s="18"/>
      <c r="B1039" s="16"/>
      <c r="C1039" s="16"/>
      <c r="D1039" s="51" t="str">
        <f aca="false">IF(C1039="","",IFERROR(IF(LEFT(C1039,1)="L",INDEX('Leads Pipeline'!$F$5:$F$1004,MATCH(C1039,'Leads Pipeline'!$A$5:$A$1004,0)),INDEX('Active Clients'!$D$5:$D$504,MATCH(C1039,'Active Clients'!$A$5:$A$504,0)))&amp;"","ID not found"))</f>
        <v/>
      </c>
      <c r="E1039" s="51" t="str">
        <f aca="false">IF(C1039="","",IFERROR(IF(LEFT(C1039,1)="L",INDEX('Leads Pipeline'!$D$5:$D$1004,MATCH(C1039,'Leads Pipeline'!$A$5:$A$1004,0)),INDEX('Active Clients'!$B$5:$B$504,MATCH(C1039,'Active Clients'!$A$5:$A$504,0)))&amp;"","ID not found"))</f>
        <v/>
      </c>
      <c r="F1039" s="51" t="str">
        <f aca="false">IF(C1039="","",IFERROR(IF(LEFT(C1039,1)="L",INDEX('Leads Pipeline'!$E$5:$E$1004,MATCH(C1039,'Leads Pipeline'!$A$5:$A$1004,0)),INDEX('Active Clients'!$C$5:$C$504,MATCH(C1039,'Active Clients'!$A$5:$A$504,0)))&amp;"","ID not found"))</f>
        <v/>
      </c>
      <c r="G1039" s="16"/>
      <c r="H1039" s="16"/>
      <c r="I1039" s="16"/>
      <c r="J1039" s="16"/>
      <c r="K1039" s="16"/>
      <c r="L1039" s="18"/>
    </row>
    <row r="1040" customFormat="false" ht="15" hidden="false" customHeight="false" outlineLevel="0" collapsed="false">
      <c r="A1040" s="18"/>
      <c r="B1040" s="16"/>
      <c r="C1040" s="16"/>
      <c r="D1040" s="51" t="str">
        <f aca="false">IF(C1040="","",IFERROR(IF(LEFT(C1040,1)="L",INDEX('Leads Pipeline'!$F$5:$F$1004,MATCH(C1040,'Leads Pipeline'!$A$5:$A$1004,0)),INDEX('Active Clients'!$D$5:$D$504,MATCH(C1040,'Active Clients'!$A$5:$A$504,0)))&amp;"","ID not found"))</f>
        <v/>
      </c>
      <c r="E1040" s="51" t="str">
        <f aca="false">IF(C1040="","",IFERROR(IF(LEFT(C1040,1)="L",INDEX('Leads Pipeline'!$D$5:$D$1004,MATCH(C1040,'Leads Pipeline'!$A$5:$A$1004,0)),INDEX('Active Clients'!$B$5:$B$504,MATCH(C1040,'Active Clients'!$A$5:$A$504,0)))&amp;"","ID not found"))</f>
        <v/>
      </c>
      <c r="F1040" s="51" t="str">
        <f aca="false">IF(C1040="","",IFERROR(IF(LEFT(C1040,1)="L",INDEX('Leads Pipeline'!$E$5:$E$1004,MATCH(C1040,'Leads Pipeline'!$A$5:$A$1004,0)),INDEX('Active Clients'!$C$5:$C$504,MATCH(C1040,'Active Clients'!$A$5:$A$504,0)))&amp;"","ID not found"))</f>
        <v/>
      </c>
      <c r="G1040" s="16"/>
      <c r="H1040" s="16"/>
      <c r="I1040" s="16"/>
      <c r="J1040" s="16"/>
      <c r="K1040" s="16"/>
      <c r="L1040" s="18"/>
    </row>
    <row r="1041" customFormat="false" ht="15" hidden="false" customHeight="false" outlineLevel="0" collapsed="false">
      <c r="A1041" s="18"/>
      <c r="B1041" s="16"/>
      <c r="C1041" s="16"/>
      <c r="D1041" s="51" t="str">
        <f aca="false">IF(C1041="","",IFERROR(IF(LEFT(C1041,1)="L",INDEX('Leads Pipeline'!$F$5:$F$1004,MATCH(C1041,'Leads Pipeline'!$A$5:$A$1004,0)),INDEX('Active Clients'!$D$5:$D$504,MATCH(C1041,'Active Clients'!$A$5:$A$504,0)))&amp;"","ID not found"))</f>
        <v/>
      </c>
      <c r="E1041" s="51" t="str">
        <f aca="false">IF(C1041="","",IFERROR(IF(LEFT(C1041,1)="L",INDEX('Leads Pipeline'!$D$5:$D$1004,MATCH(C1041,'Leads Pipeline'!$A$5:$A$1004,0)),INDEX('Active Clients'!$B$5:$B$504,MATCH(C1041,'Active Clients'!$A$5:$A$504,0)))&amp;"","ID not found"))</f>
        <v/>
      </c>
      <c r="F1041" s="51" t="str">
        <f aca="false">IF(C1041="","",IFERROR(IF(LEFT(C1041,1)="L",INDEX('Leads Pipeline'!$E$5:$E$1004,MATCH(C1041,'Leads Pipeline'!$A$5:$A$1004,0)),INDEX('Active Clients'!$C$5:$C$504,MATCH(C1041,'Active Clients'!$A$5:$A$504,0)))&amp;"","ID not found"))</f>
        <v/>
      </c>
      <c r="G1041" s="16"/>
      <c r="H1041" s="16"/>
      <c r="I1041" s="16"/>
      <c r="J1041" s="16"/>
      <c r="K1041" s="16"/>
      <c r="L1041" s="18"/>
    </row>
    <row r="1042" customFormat="false" ht="15" hidden="false" customHeight="false" outlineLevel="0" collapsed="false">
      <c r="A1042" s="18"/>
      <c r="B1042" s="16"/>
      <c r="C1042" s="16"/>
      <c r="D1042" s="51" t="str">
        <f aca="false">IF(C1042="","",IFERROR(IF(LEFT(C1042,1)="L",INDEX('Leads Pipeline'!$F$5:$F$1004,MATCH(C1042,'Leads Pipeline'!$A$5:$A$1004,0)),INDEX('Active Clients'!$D$5:$D$504,MATCH(C1042,'Active Clients'!$A$5:$A$504,0)))&amp;"","ID not found"))</f>
        <v/>
      </c>
      <c r="E1042" s="51" t="str">
        <f aca="false">IF(C1042="","",IFERROR(IF(LEFT(C1042,1)="L",INDEX('Leads Pipeline'!$D$5:$D$1004,MATCH(C1042,'Leads Pipeline'!$A$5:$A$1004,0)),INDEX('Active Clients'!$B$5:$B$504,MATCH(C1042,'Active Clients'!$A$5:$A$504,0)))&amp;"","ID not found"))</f>
        <v/>
      </c>
      <c r="F1042" s="51" t="str">
        <f aca="false">IF(C1042="","",IFERROR(IF(LEFT(C1042,1)="L",INDEX('Leads Pipeline'!$E$5:$E$1004,MATCH(C1042,'Leads Pipeline'!$A$5:$A$1004,0)),INDEX('Active Clients'!$C$5:$C$504,MATCH(C1042,'Active Clients'!$A$5:$A$504,0)))&amp;"","ID not found"))</f>
        <v/>
      </c>
      <c r="G1042" s="16"/>
      <c r="H1042" s="16"/>
      <c r="I1042" s="16"/>
      <c r="J1042" s="16"/>
      <c r="K1042" s="16"/>
      <c r="L1042" s="18"/>
    </row>
    <row r="1043" customFormat="false" ht="15" hidden="false" customHeight="false" outlineLevel="0" collapsed="false">
      <c r="A1043" s="18"/>
      <c r="B1043" s="16"/>
      <c r="C1043" s="16"/>
      <c r="D1043" s="51" t="str">
        <f aca="false">IF(C1043="","",IFERROR(IF(LEFT(C1043,1)="L",INDEX('Leads Pipeline'!$F$5:$F$1004,MATCH(C1043,'Leads Pipeline'!$A$5:$A$1004,0)),INDEX('Active Clients'!$D$5:$D$504,MATCH(C1043,'Active Clients'!$A$5:$A$504,0)))&amp;"","ID not found"))</f>
        <v/>
      </c>
      <c r="E1043" s="51" t="str">
        <f aca="false">IF(C1043="","",IFERROR(IF(LEFT(C1043,1)="L",INDEX('Leads Pipeline'!$D$5:$D$1004,MATCH(C1043,'Leads Pipeline'!$A$5:$A$1004,0)),INDEX('Active Clients'!$B$5:$B$504,MATCH(C1043,'Active Clients'!$A$5:$A$504,0)))&amp;"","ID not found"))</f>
        <v/>
      </c>
      <c r="F1043" s="51" t="str">
        <f aca="false">IF(C1043="","",IFERROR(IF(LEFT(C1043,1)="L",INDEX('Leads Pipeline'!$E$5:$E$1004,MATCH(C1043,'Leads Pipeline'!$A$5:$A$1004,0)),INDEX('Active Clients'!$C$5:$C$504,MATCH(C1043,'Active Clients'!$A$5:$A$504,0)))&amp;"","ID not found"))</f>
        <v/>
      </c>
      <c r="G1043" s="16"/>
      <c r="H1043" s="16"/>
      <c r="I1043" s="16"/>
      <c r="J1043" s="16"/>
      <c r="K1043" s="16"/>
      <c r="L1043" s="18"/>
    </row>
    <row r="1044" customFormat="false" ht="15" hidden="false" customHeight="false" outlineLevel="0" collapsed="false">
      <c r="A1044" s="18"/>
      <c r="B1044" s="16"/>
      <c r="C1044" s="16"/>
      <c r="D1044" s="51" t="str">
        <f aca="false">IF(C1044="","",IFERROR(IF(LEFT(C1044,1)="L",INDEX('Leads Pipeline'!$F$5:$F$1004,MATCH(C1044,'Leads Pipeline'!$A$5:$A$1004,0)),INDEX('Active Clients'!$D$5:$D$504,MATCH(C1044,'Active Clients'!$A$5:$A$504,0)))&amp;"","ID not found"))</f>
        <v/>
      </c>
      <c r="E1044" s="51" t="str">
        <f aca="false">IF(C1044="","",IFERROR(IF(LEFT(C1044,1)="L",INDEX('Leads Pipeline'!$D$5:$D$1004,MATCH(C1044,'Leads Pipeline'!$A$5:$A$1004,0)),INDEX('Active Clients'!$B$5:$B$504,MATCH(C1044,'Active Clients'!$A$5:$A$504,0)))&amp;"","ID not found"))</f>
        <v/>
      </c>
      <c r="F1044" s="51" t="str">
        <f aca="false">IF(C1044="","",IFERROR(IF(LEFT(C1044,1)="L",INDEX('Leads Pipeline'!$E$5:$E$1004,MATCH(C1044,'Leads Pipeline'!$A$5:$A$1004,0)),INDEX('Active Clients'!$C$5:$C$504,MATCH(C1044,'Active Clients'!$A$5:$A$504,0)))&amp;"","ID not found"))</f>
        <v/>
      </c>
      <c r="G1044" s="16"/>
      <c r="H1044" s="16"/>
      <c r="I1044" s="16"/>
      <c r="J1044" s="16"/>
      <c r="K1044" s="16"/>
      <c r="L1044" s="18"/>
    </row>
    <row r="1045" customFormat="false" ht="15" hidden="false" customHeight="false" outlineLevel="0" collapsed="false">
      <c r="A1045" s="18"/>
      <c r="B1045" s="16"/>
      <c r="C1045" s="16"/>
      <c r="D1045" s="51" t="str">
        <f aca="false">IF(C1045="","",IFERROR(IF(LEFT(C1045,1)="L",INDEX('Leads Pipeline'!$F$5:$F$1004,MATCH(C1045,'Leads Pipeline'!$A$5:$A$1004,0)),INDEX('Active Clients'!$D$5:$D$504,MATCH(C1045,'Active Clients'!$A$5:$A$504,0)))&amp;"","ID not found"))</f>
        <v/>
      </c>
      <c r="E1045" s="51" t="str">
        <f aca="false">IF(C1045="","",IFERROR(IF(LEFT(C1045,1)="L",INDEX('Leads Pipeline'!$D$5:$D$1004,MATCH(C1045,'Leads Pipeline'!$A$5:$A$1004,0)),INDEX('Active Clients'!$B$5:$B$504,MATCH(C1045,'Active Clients'!$A$5:$A$504,0)))&amp;"","ID not found"))</f>
        <v/>
      </c>
      <c r="F1045" s="51" t="str">
        <f aca="false">IF(C1045="","",IFERROR(IF(LEFT(C1045,1)="L",INDEX('Leads Pipeline'!$E$5:$E$1004,MATCH(C1045,'Leads Pipeline'!$A$5:$A$1004,0)),INDEX('Active Clients'!$C$5:$C$504,MATCH(C1045,'Active Clients'!$A$5:$A$504,0)))&amp;"","ID not found"))</f>
        <v/>
      </c>
      <c r="G1045" s="16"/>
      <c r="H1045" s="16"/>
      <c r="I1045" s="16"/>
      <c r="J1045" s="16"/>
      <c r="K1045" s="16"/>
      <c r="L1045" s="18"/>
    </row>
    <row r="1046" customFormat="false" ht="15" hidden="false" customHeight="false" outlineLevel="0" collapsed="false">
      <c r="A1046" s="18"/>
      <c r="B1046" s="16"/>
      <c r="C1046" s="16"/>
      <c r="D1046" s="51" t="str">
        <f aca="false">IF(C1046="","",IFERROR(IF(LEFT(C1046,1)="L",INDEX('Leads Pipeline'!$F$5:$F$1004,MATCH(C1046,'Leads Pipeline'!$A$5:$A$1004,0)),INDEX('Active Clients'!$D$5:$D$504,MATCH(C1046,'Active Clients'!$A$5:$A$504,0)))&amp;"","ID not found"))</f>
        <v/>
      </c>
      <c r="E1046" s="51" t="str">
        <f aca="false">IF(C1046="","",IFERROR(IF(LEFT(C1046,1)="L",INDEX('Leads Pipeline'!$D$5:$D$1004,MATCH(C1046,'Leads Pipeline'!$A$5:$A$1004,0)),INDEX('Active Clients'!$B$5:$B$504,MATCH(C1046,'Active Clients'!$A$5:$A$504,0)))&amp;"","ID not found"))</f>
        <v/>
      </c>
      <c r="F1046" s="51" t="str">
        <f aca="false">IF(C1046="","",IFERROR(IF(LEFT(C1046,1)="L",INDEX('Leads Pipeline'!$E$5:$E$1004,MATCH(C1046,'Leads Pipeline'!$A$5:$A$1004,0)),INDEX('Active Clients'!$C$5:$C$504,MATCH(C1046,'Active Clients'!$A$5:$A$504,0)))&amp;"","ID not found"))</f>
        <v/>
      </c>
      <c r="G1046" s="16"/>
      <c r="H1046" s="16"/>
      <c r="I1046" s="16"/>
      <c r="J1046" s="16"/>
      <c r="K1046" s="16"/>
      <c r="L1046" s="18"/>
    </row>
    <row r="1047" customFormat="false" ht="15" hidden="false" customHeight="false" outlineLevel="0" collapsed="false">
      <c r="A1047" s="18"/>
      <c r="B1047" s="16"/>
      <c r="C1047" s="16"/>
      <c r="D1047" s="51" t="str">
        <f aca="false">IF(C1047="","",IFERROR(IF(LEFT(C1047,1)="L",INDEX('Leads Pipeline'!$F$5:$F$1004,MATCH(C1047,'Leads Pipeline'!$A$5:$A$1004,0)),INDEX('Active Clients'!$D$5:$D$504,MATCH(C1047,'Active Clients'!$A$5:$A$504,0)))&amp;"","ID not found"))</f>
        <v/>
      </c>
      <c r="E1047" s="51" t="str">
        <f aca="false">IF(C1047="","",IFERROR(IF(LEFT(C1047,1)="L",INDEX('Leads Pipeline'!$D$5:$D$1004,MATCH(C1047,'Leads Pipeline'!$A$5:$A$1004,0)),INDEX('Active Clients'!$B$5:$B$504,MATCH(C1047,'Active Clients'!$A$5:$A$504,0)))&amp;"","ID not found"))</f>
        <v/>
      </c>
      <c r="F1047" s="51" t="str">
        <f aca="false">IF(C1047="","",IFERROR(IF(LEFT(C1047,1)="L",INDEX('Leads Pipeline'!$E$5:$E$1004,MATCH(C1047,'Leads Pipeline'!$A$5:$A$1004,0)),INDEX('Active Clients'!$C$5:$C$504,MATCH(C1047,'Active Clients'!$A$5:$A$504,0)))&amp;"","ID not found"))</f>
        <v/>
      </c>
      <c r="G1047" s="16"/>
      <c r="H1047" s="16"/>
      <c r="I1047" s="16"/>
      <c r="J1047" s="16"/>
      <c r="K1047" s="16"/>
      <c r="L1047" s="18"/>
    </row>
    <row r="1048" customFormat="false" ht="15" hidden="false" customHeight="false" outlineLevel="0" collapsed="false">
      <c r="A1048" s="18"/>
      <c r="B1048" s="16"/>
      <c r="C1048" s="16"/>
      <c r="D1048" s="51" t="str">
        <f aca="false">IF(C1048="","",IFERROR(IF(LEFT(C1048,1)="L",INDEX('Leads Pipeline'!$F$5:$F$1004,MATCH(C1048,'Leads Pipeline'!$A$5:$A$1004,0)),INDEX('Active Clients'!$D$5:$D$504,MATCH(C1048,'Active Clients'!$A$5:$A$504,0)))&amp;"","ID not found"))</f>
        <v/>
      </c>
      <c r="E1048" s="51" t="str">
        <f aca="false">IF(C1048="","",IFERROR(IF(LEFT(C1048,1)="L",INDEX('Leads Pipeline'!$D$5:$D$1004,MATCH(C1048,'Leads Pipeline'!$A$5:$A$1004,0)),INDEX('Active Clients'!$B$5:$B$504,MATCH(C1048,'Active Clients'!$A$5:$A$504,0)))&amp;"","ID not found"))</f>
        <v/>
      </c>
      <c r="F1048" s="51" t="str">
        <f aca="false">IF(C1048="","",IFERROR(IF(LEFT(C1048,1)="L",INDEX('Leads Pipeline'!$E$5:$E$1004,MATCH(C1048,'Leads Pipeline'!$A$5:$A$1004,0)),INDEX('Active Clients'!$C$5:$C$504,MATCH(C1048,'Active Clients'!$A$5:$A$504,0)))&amp;"","ID not found"))</f>
        <v/>
      </c>
      <c r="G1048" s="16"/>
      <c r="H1048" s="16"/>
      <c r="I1048" s="16"/>
      <c r="J1048" s="16"/>
      <c r="K1048" s="16"/>
      <c r="L1048" s="18"/>
    </row>
    <row r="1049" customFormat="false" ht="15" hidden="false" customHeight="false" outlineLevel="0" collapsed="false">
      <c r="A1049" s="18"/>
      <c r="B1049" s="16"/>
      <c r="C1049" s="16"/>
      <c r="D1049" s="51" t="str">
        <f aca="false">IF(C1049="","",IFERROR(IF(LEFT(C1049,1)="L",INDEX('Leads Pipeline'!$F$5:$F$1004,MATCH(C1049,'Leads Pipeline'!$A$5:$A$1004,0)),INDEX('Active Clients'!$D$5:$D$504,MATCH(C1049,'Active Clients'!$A$5:$A$504,0)))&amp;"","ID not found"))</f>
        <v/>
      </c>
      <c r="E1049" s="51" t="str">
        <f aca="false">IF(C1049="","",IFERROR(IF(LEFT(C1049,1)="L",INDEX('Leads Pipeline'!$D$5:$D$1004,MATCH(C1049,'Leads Pipeline'!$A$5:$A$1004,0)),INDEX('Active Clients'!$B$5:$B$504,MATCH(C1049,'Active Clients'!$A$5:$A$504,0)))&amp;"","ID not found"))</f>
        <v/>
      </c>
      <c r="F1049" s="51" t="str">
        <f aca="false">IF(C1049="","",IFERROR(IF(LEFT(C1049,1)="L",INDEX('Leads Pipeline'!$E$5:$E$1004,MATCH(C1049,'Leads Pipeline'!$A$5:$A$1004,0)),INDEX('Active Clients'!$C$5:$C$504,MATCH(C1049,'Active Clients'!$A$5:$A$504,0)))&amp;"","ID not found"))</f>
        <v/>
      </c>
      <c r="G1049" s="16"/>
      <c r="H1049" s="16"/>
      <c r="I1049" s="16"/>
      <c r="J1049" s="16"/>
      <c r="K1049" s="16"/>
      <c r="L1049" s="18"/>
    </row>
    <row r="1050" customFormat="false" ht="15" hidden="false" customHeight="false" outlineLevel="0" collapsed="false">
      <c r="A1050" s="18"/>
      <c r="B1050" s="16"/>
      <c r="C1050" s="16"/>
      <c r="D1050" s="51" t="str">
        <f aca="false">IF(C1050="","",IFERROR(IF(LEFT(C1050,1)="L",INDEX('Leads Pipeline'!$F$5:$F$1004,MATCH(C1050,'Leads Pipeline'!$A$5:$A$1004,0)),INDEX('Active Clients'!$D$5:$D$504,MATCH(C1050,'Active Clients'!$A$5:$A$504,0)))&amp;"","ID not found"))</f>
        <v/>
      </c>
      <c r="E1050" s="51" t="str">
        <f aca="false">IF(C1050="","",IFERROR(IF(LEFT(C1050,1)="L",INDEX('Leads Pipeline'!$D$5:$D$1004,MATCH(C1050,'Leads Pipeline'!$A$5:$A$1004,0)),INDEX('Active Clients'!$B$5:$B$504,MATCH(C1050,'Active Clients'!$A$5:$A$504,0)))&amp;"","ID not found"))</f>
        <v/>
      </c>
      <c r="F1050" s="51" t="str">
        <f aca="false">IF(C1050="","",IFERROR(IF(LEFT(C1050,1)="L",INDEX('Leads Pipeline'!$E$5:$E$1004,MATCH(C1050,'Leads Pipeline'!$A$5:$A$1004,0)),INDEX('Active Clients'!$C$5:$C$504,MATCH(C1050,'Active Clients'!$A$5:$A$504,0)))&amp;"","ID not found"))</f>
        <v/>
      </c>
      <c r="G1050" s="16"/>
      <c r="H1050" s="16"/>
      <c r="I1050" s="16"/>
      <c r="J1050" s="16"/>
      <c r="K1050" s="16"/>
      <c r="L1050" s="18"/>
    </row>
    <row r="1051" customFormat="false" ht="15" hidden="false" customHeight="false" outlineLevel="0" collapsed="false">
      <c r="A1051" s="18"/>
      <c r="B1051" s="16"/>
      <c r="C1051" s="16"/>
      <c r="D1051" s="51" t="str">
        <f aca="false">IF(C1051="","",IFERROR(IF(LEFT(C1051,1)="L",INDEX('Leads Pipeline'!$F$5:$F$1004,MATCH(C1051,'Leads Pipeline'!$A$5:$A$1004,0)),INDEX('Active Clients'!$D$5:$D$504,MATCH(C1051,'Active Clients'!$A$5:$A$504,0)))&amp;"","ID not found"))</f>
        <v/>
      </c>
      <c r="E1051" s="51" t="str">
        <f aca="false">IF(C1051="","",IFERROR(IF(LEFT(C1051,1)="L",INDEX('Leads Pipeline'!$D$5:$D$1004,MATCH(C1051,'Leads Pipeline'!$A$5:$A$1004,0)),INDEX('Active Clients'!$B$5:$B$504,MATCH(C1051,'Active Clients'!$A$5:$A$504,0)))&amp;"","ID not found"))</f>
        <v/>
      </c>
      <c r="F1051" s="51" t="str">
        <f aca="false">IF(C1051="","",IFERROR(IF(LEFT(C1051,1)="L",INDEX('Leads Pipeline'!$E$5:$E$1004,MATCH(C1051,'Leads Pipeline'!$A$5:$A$1004,0)),INDEX('Active Clients'!$C$5:$C$504,MATCH(C1051,'Active Clients'!$A$5:$A$504,0)))&amp;"","ID not found"))</f>
        <v/>
      </c>
      <c r="G1051" s="16"/>
      <c r="H1051" s="16"/>
      <c r="I1051" s="16"/>
      <c r="J1051" s="16"/>
      <c r="K1051" s="16"/>
      <c r="L1051" s="18"/>
    </row>
    <row r="1052" customFormat="false" ht="15" hidden="false" customHeight="false" outlineLevel="0" collapsed="false">
      <c r="A1052" s="18"/>
      <c r="B1052" s="16"/>
      <c r="C1052" s="16"/>
      <c r="D1052" s="51" t="str">
        <f aca="false">IF(C1052="","",IFERROR(IF(LEFT(C1052,1)="L",INDEX('Leads Pipeline'!$F$5:$F$1004,MATCH(C1052,'Leads Pipeline'!$A$5:$A$1004,0)),INDEX('Active Clients'!$D$5:$D$504,MATCH(C1052,'Active Clients'!$A$5:$A$504,0)))&amp;"","ID not found"))</f>
        <v/>
      </c>
      <c r="E1052" s="51" t="str">
        <f aca="false">IF(C1052="","",IFERROR(IF(LEFT(C1052,1)="L",INDEX('Leads Pipeline'!$D$5:$D$1004,MATCH(C1052,'Leads Pipeline'!$A$5:$A$1004,0)),INDEX('Active Clients'!$B$5:$B$504,MATCH(C1052,'Active Clients'!$A$5:$A$504,0)))&amp;"","ID not found"))</f>
        <v/>
      </c>
      <c r="F1052" s="51" t="str">
        <f aca="false">IF(C1052="","",IFERROR(IF(LEFT(C1052,1)="L",INDEX('Leads Pipeline'!$E$5:$E$1004,MATCH(C1052,'Leads Pipeline'!$A$5:$A$1004,0)),INDEX('Active Clients'!$C$5:$C$504,MATCH(C1052,'Active Clients'!$A$5:$A$504,0)))&amp;"","ID not found"))</f>
        <v/>
      </c>
      <c r="G1052" s="16"/>
      <c r="H1052" s="16"/>
      <c r="I1052" s="16"/>
      <c r="J1052" s="16"/>
      <c r="K1052" s="16"/>
      <c r="L1052" s="18"/>
    </row>
    <row r="1053" customFormat="false" ht="15" hidden="false" customHeight="false" outlineLevel="0" collapsed="false">
      <c r="A1053" s="18"/>
      <c r="B1053" s="16"/>
      <c r="C1053" s="16"/>
      <c r="D1053" s="51" t="str">
        <f aca="false">IF(C1053="","",IFERROR(IF(LEFT(C1053,1)="L",INDEX('Leads Pipeline'!$F$5:$F$1004,MATCH(C1053,'Leads Pipeline'!$A$5:$A$1004,0)),INDEX('Active Clients'!$D$5:$D$504,MATCH(C1053,'Active Clients'!$A$5:$A$504,0)))&amp;"","ID not found"))</f>
        <v/>
      </c>
      <c r="E1053" s="51" t="str">
        <f aca="false">IF(C1053="","",IFERROR(IF(LEFT(C1053,1)="L",INDEX('Leads Pipeline'!$D$5:$D$1004,MATCH(C1053,'Leads Pipeline'!$A$5:$A$1004,0)),INDEX('Active Clients'!$B$5:$B$504,MATCH(C1053,'Active Clients'!$A$5:$A$504,0)))&amp;"","ID not found"))</f>
        <v/>
      </c>
      <c r="F1053" s="51" t="str">
        <f aca="false">IF(C1053="","",IFERROR(IF(LEFT(C1053,1)="L",INDEX('Leads Pipeline'!$E$5:$E$1004,MATCH(C1053,'Leads Pipeline'!$A$5:$A$1004,0)),INDEX('Active Clients'!$C$5:$C$504,MATCH(C1053,'Active Clients'!$A$5:$A$504,0)))&amp;"","ID not found"))</f>
        <v/>
      </c>
      <c r="G1053" s="16"/>
      <c r="H1053" s="16"/>
      <c r="I1053" s="16"/>
      <c r="J1053" s="16"/>
      <c r="K1053" s="16"/>
      <c r="L1053" s="18"/>
    </row>
    <row r="1054" customFormat="false" ht="15" hidden="false" customHeight="false" outlineLevel="0" collapsed="false">
      <c r="A1054" s="18"/>
      <c r="B1054" s="16"/>
      <c r="C1054" s="16"/>
      <c r="D1054" s="51" t="str">
        <f aca="false">IF(C1054="","",IFERROR(IF(LEFT(C1054,1)="L",INDEX('Leads Pipeline'!$F$5:$F$1004,MATCH(C1054,'Leads Pipeline'!$A$5:$A$1004,0)),INDEX('Active Clients'!$D$5:$D$504,MATCH(C1054,'Active Clients'!$A$5:$A$504,0)))&amp;"","ID not found"))</f>
        <v/>
      </c>
      <c r="E1054" s="51" t="str">
        <f aca="false">IF(C1054="","",IFERROR(IF(LEFT(C1054,1)="L",INDEX('Leads Pipeline'!$D$5:$D$1004,MATCH(C1054,'Leads Pipeline'!$A$5:$A$1004,0)),INDEX('Active Clients'!$B$5:$B$504,MATCH(C1054,'Active Clients'!$A$5:$A$504,0)))&amp;"","ID not found"))</f>
        <v/>
      </c>
      <c r="F1054" s="51" t="str">
        <f aca="false">IF(C1054="","",IFERROR(IF(LEFT(C1054,1)="L",INDEX('Leads Pipeline'!$E$5:$E$1004,MATCH(C1054,'Leads Pipeline'!$A$5:$A$1004,0)),INDEX('Active Clients'!$C$5:$C$504,MATCH(C1054,'Active Clients'!$A$5:$A$504,0)))&amp;"","ID not found"))</f>
        <v/>
      </c>
      <c r="G1054" s="16"/>
      <c r="H1054" s="16"/>
      <c r="I1054" s="16"/>
      <c r="J1054" s="16"/>
      <c r="K1054" s="16"/>
      <c r="L1054" s="18"/>
    </row>
    <row r="1055" customFormat="false" ht="15" hidden="false" customHeight="false" outlineLevel="0" collapsed="false">
      <c r="A1055" s="18"/>
      <c r="B1055" s="16"/>
      <c r="C1055" s="16"/>
      <c r="D1055" s="51" t="str">
        <f aca="false">IF(C1055="","",IFERROR(IF(LEFT(C1055,1)="L",INDEX('Leads Pipeline'!$F$5:$F$1004,MATCH(C1055,'Leads Pipeline'!$A$5:$A$1004,0)),INDEX('Active Clients'!$D$5:$D$504,MATCH(C1055,'Active Clients'!$A$5:$A$504,0)))&amp;"","ID not found"))</f>
        <v/>
      </c>
      <c r="E1055" s="51" t="str">
        <f aca="false">IF(C1055="","",IFERROR(IF(LEFT(C1055,1)="L",INDEX('Leads Pipeline'!$D$5:$D$1004,MATCH(C1055,'Leads Pipeline'!$A$5:$A$1004,0)),INDEX('Active Clients'!$B$5:$B$504,MATCH(C1055,'Active Clients'!$A$5:$A$504,0)))&amp;"","ID not found"))</f>
        <v/>
      </c>
      <c r="F1055" s="51" t="str">
        <f aca="false">IF(C1055="","",IFERROR(IF(LEFT(C1055,1)="L",INDEX('Leads Pipeline'!$E$5:$E$1004,MATCH(C1055,'Leads Pipeline'!$A$5:$A$1004,0)),INDEX('Active Clients'!$C$5:$C$504,MATCH(C1055,'Active Clients'!$A$5:$A$504,0)))&amp;"","ID not found"))</f>
        <v/>
      </c>
      <c r="G1055" s="16"/>
      <c r="H1055" s="16"/>
      <c r="I1055" s="16"/>
      <c r="J1055" s="16"/>
      <c r="K1055" s="16"/>
      <c r="L1055" s="18"/>
    </row>
    <row r="1056" customFormat="false" ht="15" hidden="false" customHeight="false" outlineLevel="0" collapsed="false">
      <c r="A1056" s="18"/>
      <c r="B1056" s="16"/>
      <c r="C1056" s="16"/>
      <c r="D1056" s="51" t="str">
        <f aca="false">IF(C1056="","",IFERROR(IF(LEFT(C1056,1)="L",INDEX('Leads Pipeline'!$F$5:$F$1004,MATCH(C1056,'Leads Pipeline'!$A$5:$A$1004,0)),INDEX('Active Clients'!$D$5:$D$504,MATCH(C1056,'Active Clients'!$A$5:$A$504,0)))&amp;"","ID not found"))</f>
        <v/>
      </c>
      <c r="E1056" s="51" t="str">
        <f aca="false">IF(C1056="","",IFERROR(IF(LEFT(C1056,1)="L",INDEX('Leads Pipeline'!$D$5:$D$1004,MATCH(C1056,'Leads Pipeline'!$A$5:$A$1004,0)),INDEX('Active Clients'!$B$5:$B$504,MATCH(C1056,'Active Clients'!$A$5:$A$504,0)))&amp;"","ID not found"))</f>
        <v/>
      </c>
      <c r="F1056" s="51" t="str">
        <f aca="false">IF(C1056="","",IFERROR(IF(LEFT(C1056,1)="L",INDEX('Leads Pipeline'!$E$5:$E$1004,MATCH(C1056,'Leads Pipeline'!$A$5:$A$1004,0)),INDEX('Active Clients'!$C$5:$C$504,MATCH(C1056,'Active Clients'!$A$5:$A$504,0)))&amp;"","ID not found"))</f>
        <v/>
      </c>
      <c r="G1056" s="16"/>
      <c r="H1056" s="16"/>
      <c r="I1056" s="16"/>
      <c r="J1056" s="16"/>
      <c r="K1056" s="16"/>
      <c r="L1056" s="18"/>
    </row>
    <row r="1057" customFormat="false" ht="15" hidden="false" customHeight="false" outlineLevel="0" collapsed="false">
      <c r="A1057" s="18"/>
      <c r="B1057" s="16"/>
      <c r="C1057" s="16"/>
      <c r="D1057" s="51" t="str">
        <f aca="false">IF(C1057="","",IFERROR(IF(LEFT(C1057,1)="L",INDEX('Leads Pipeline'!$F$5:$F$1004,MATCH(C1057,'Leads Pipeline'!$A$5:$A$1004,0)),INDEX('Active Clients'!$D$5:$D$504,MATCH(C1057,'Active Clients'!$A$5:$A$504,0)))&amp;"","ID not found"))</f>
        <v/>
      </c>
      <c r="E1057" s="51" t="str">
        <f aca="false">IF(C1057="","",IFERROR(IF(LEFT(C1057,1)="L",INDEX('Leads Pipeline'!$D$5:$D$1004,MATCH(C1057,'Leads Pipeline'!$A$5:$A$1004,0)),INDEX('Active Clients'!$B$5:$B$504,MATCH(C1057,'Active Clients'!$A$5:$A$504,0)))&amp;"","ID not found"))</f>
        <v/>
      </c>
      <c r="F1057" s="51" t="str">
        <f aca="false">IF(C1057="","",IFERROR(IF(LEFT(C1057,1)="L",INDEX('Leads Pipeline'!$E$5:$E$1004,MATCH(C1057,'Leads Pipeline'!$A$5:$A$1004,0)),INDEX('Active Clients'!$C$5:$C$504,MATCH(C1057,'Active Clients'!$A$5:$A$504,0)))&amp;"","ID not found"))</f>
        <v/>
      </c>
      <c r="G1057" s="16"/>
      <c r="H1057" s="16"/>
      <c r="I1057" s="16"/>
      <c r="J1057" s="16"/>
      <c r="K1057" s="16"/>
      <c r="L1057" s="18"/>
    </row>
    <row r="1058" customFormat="false" ht="15" hidden="false" customHeight="false" outlineLevel="0" collapsed="false">
      <c r="A1058" s="18"/>
      <c r="B1058" s="16"/>
      <c r="C1058" s="16"/>
      <c r="D1058" s="51" t="str">
        <f aca="false">IF(C1058="","",IFERROR(IF(LEFT(C1058,1)="L",INDEX('Leads Pipeline'!$F$5:$F$1004,MATCH(C1058,'Leads Pipeline'!$A$5:$A$1004,0)),INDEX('Active Clients'!$D$5:$D$504,MATCH(C1058,'Active Clients'!$A$5:$A$504,0)))&amp;"","ID not found"))</f>
        <v/>
      </c>
      <c r="E1058" s="51" t="str">
        <f aca="false">IF(C1058="","",IFERROR(IF(LEFT(C1058,1)="L",INDEX('Leads Pipeline'!$D$5:$D$1004,MATCH(C1058,'Leads Pipeline'!$A$5:$A$1004,0)),INDEX('Active Clients'!$B$5:$B$504,MATCH(C1058,'Active Clients'!$A$5:$A$504,0)))&amp;"","ID not found"))</f>
        <v/>
      </c>
      <c r="F1058" s="51" t="str">
        <f aca="false">IF(C1058="","",IFERROR(IF(LEFT(C1058,1)="L",INDEX('Leads Pipeline'!$E$5:$E$1004,MATCH(C1058,'Leads Pipeline'!$A$5:$A$1004,0)),INDEX('Active Clients'!$C$5:$C$504,MATCH(C1058,'Active Clients'!$A$5:$A$504,0)))&amp;"","ID not found"))</f>
        <v/>
      </c>
      <c r="G1058" s="16"/>
      <c r="H1058" s="16"/>
      <c r="I1058" s="16"/>
      <c r="J1058" s="16"/>
      <c r="K1058" s="16"/>
      <c r="L1058" s="18"/>
    </row>
    <row r="1059" customFormat="false" ht="15" hidden="false" customHeight="false" outlineLevel="0" collapsed="false">
      <c r="A1059" s="18"/>
      <c r="B1059" s="16"/>
      <c r="C1059" s="16"/>
      <c r="D1059" s="51" t="str">
        <f aca="false">IF(C1059="","",IFERROR(IF(LEFT(C1059,1)="L",INDEX('Leads Pipeline'!$F$5:$F$1004,MATCH(C1059,'Leads Pipeline'!$A$5:$A$1004,0)),INDEX('Active Clients'!$D$5:$D$504,MATCH(C1059,'Active Clients'!$A$5:$A$504,0)))&amp;"","ID not found"))</f>
        <v/>
      </c>
      <c r="E1059" s="51" t="str">
        <f aca="false">IF(C1059="","",IFERROR(IF(LEFT(C1059,1)="L",INDEX('Leads Pipeline'!$D$5:$D$1004,MATCH(C1059,'Leads Pipeline'!$A$5:$A$1004,0)),INDEX('Active Clients'!$B$5:$B$504,MATCH(C1059,'Active Clients'!$A$5:$A$504,0)))&amp;"","ID not found"))</f>
        <v/>
      </c>
      <c r="F1059" s="51" t="str">
        <f aca="false">IF(C1059="","",IFERROR(IF(LEFT(C1059,1)="L",INDEX('Leads Pipeline'!$E$5:$E$1004,MATCH(C1059,'Leads Pipeline'!$A$5:$A$1004,0)),INDEX('Active Clients'!$C$5:$C$504,MATCH(C1059,'Active Clients'!$A$5:$A$504,0)))&amp;"","ID not found"))</f>
        <v/>
      </c>
      <c r="G1059" s="16"/>
      <c r="H1059" s="16"/>
      <c r="I1059" s="16"/>
      <c r="J1059" s="16"/>
      <c r="K1059" s="16"/>
      <c r="L1059" s="18"/>
    </row>
    <row r="1060" customFormat="false" ht="15" hidden="false" customHeight="false" outlineLevel="0" collapsed="false">
      <c r="A1060" s="18"/>
      <c r="B1060" s="16"/>
      <c r="C1060" s="16"/>
      <c r="D1060" s="51" t="str">
        <f aca="false">IF(C1060="","",IFERROR(IF(LEFT(C1060,1)="L",INDEX('Leads Pipeline'!$F$5:$F$1004,MATCH(C1060,'Leads Pipeline'!$A$5:$A$1004,0)),INDEX('Active Clients'!$D$5:$D$504,MATCH(C1060,'Active Clients'!$A$5:$A$504,0)))&amp;"","ID not found"))</f>
        <v/>
      </c>
      <c r="E1060" s="51" t="str">
        <f aca="false">IF(C1060="","",IFERROR(IF(LEFT(C1060,1)="L",INDEX('Leads Pipeline'!$D$5:$D$1004,MATCH(C1060,'Leads Pipeline'!$A$5:$A$1004,0)),INDEX('Active Clients'!$B$5:$B$504,MATCH(C1060,'Active Clients'!$A$5:$A$504,0)))&amp;"","ID not found"))</f>
        <v/>
      </c>
      <c r="F1060" s="51" t="str">
        <f aca="false">IF(C1060="","",IFERROR(IF(LEFT(C1060,1)="L",INDEX('Leads Pipeline'!$E$5:$E$1004,MATCH(C1060,'Leads Pipeline'!$A$5:$A$1004,0)),INDEX('Active Clients'!$C$5:$C$504,MATCH(C1060,'Active Clients'!$A$5:$A$504,0)))&amp;"","ID not found"))</f>
        <v/>
      </c>
      <c r="G1060" s="16"/>
      <c r="H1060" s="16"/>
      <c r="I1060" s="16"/>
      <c r="J1060" s="16"/>
      <c r="K1060" s="16"/>
      <c r="L1060" s="18"/>
    </row>
    <row r="1061" customFormat="false" ht="15" hidden="false" customHeight="false" outlineLevel="0" collapsed="false">
      <c r="A1061" s="18"/>
      <c r="B1061" s="16"/>
      <c r="C1061" s="16"/>
      <c r="D1061" s="51" t="str">
        <f aca="false">IF(C1061="","",IFERROR(IF(LEFT(C1061,1)="L",INDEX('Leads Pipeline'!$F$5:$F$1004,MATCH(C1061,'Leads Pipeline'!$A$5:$A$1004,0)),INDEX('Active Clients'!$D$5:$D$504,MATCH(C1061,'Active Clients'!$A$5:$A$504,0)))&amp;"","ID not found"))</f>
        <v/>
      </c>
      <c r="E1061" s="51" t="str">
        <f aca="false">IF(C1061="","",IFERROR(IF(LEFT(C1061,1)="L",INDEX('Leads Pipeline'!$D$5:$D$1004,MATCH(C1061,'Leads Pipeline'!$A$5:$A$1004,0)),INDEX('Active Clients'!$B$5:$B$504,MATCH(C1061,'Active Clients'!$A$5:$A$504,0)))&amp;"","ID not found"))</f>
        <v/>
      </c>
      <c r="F1061" s="51" t="str">
        <f aca="false">IF(C1061="","",IFERROR(IF(LEFT(C1061,1)="L",INDEX('Leads Pipeline'!$E$5:$E$1004,MATCH(C1061,'Leads Pipeline'!$A$5:$A$1004,0)),INDEX('Active Clients'!$C$5:$C$504,MATCH(C1061,'Active Clients'!$A$5:$A$504,0)))&amp;"","ID not found"))</f>
        <v/>
      </c>
      <c r="G1061" s="16"/>
      <c r="H1061" s="16"/>
      <c r="I1061" s="16"/>
      <c r="J1061" s="16"/>
      <c r="K1061" s="16"/>
      <c r="L1061" s="18"/>
    </row>
    <row r="1062" customFormat="false" ht="15" hidden="false" customHeight="false" outlineLevel="0" collapsed="false">
      <c r="A1062" s="18"/>
      <c r="B1062" s="16"/>
      <c r="C1062" s="16"/>
      <c r="D1062" s="51" t="str">
        <f aca="false">IF(C1062="","",IFERROR(IF(LEFT(C1062,1)="L",INDEX('Leads Pipeline'!$F$5:$F$1004,MATCH(C1062,'Leads Pipeline'!$A$5:$A$1004,0)),INDEX('Active Clients'!$D$5:$D$504,MATCH(C1062,'Active Clients'!$A$5:$A$504,0)))&amp;"","ID not found"))</f>
        <v/>
      </c>
      <c r="E1062" s="51" t="str">
        <f aca="false">IF(C1062="","",IFERROR(IF(LEFT(C1062,1)="L",INDEX('Leads Pipeline'!$D$5:$D$1004,MATCH(C1062,'Leads Pipeline'!$A$5:$A$1004,0)),INDEX('Active Clients'!$B$5:$B$504,MATCH(C1062,'Active Clients'!$A$5:$A$504,0)))&amp;"","ID not found"))</f>
        <v/>
      </c>
      <c r="F1062" s="51" t="str">
        <f aca="false">IF(C1062="","",IFERROR(IF(LEFT(C1062,1)="L",INDEX('Leads Pipeline'!$E$5:$E$1004,MATCH(C1062,'Leads Pipeline'!$A$5:$A$1004,0)),INDEX('Active Clients'!$C$5:$C$504,MATCH(C1062,'Active Clients'!$A$5:$A$504,0)))&amp;"","ID not found"))</f>
        <v/>
      </c>
      <c r="G1062" s="16"/>
      <c r="H1062" s="16"/>
      <c r="I1062" s="16"/>
      <c r="J1062" s="16"/>
      <c r="K1062" s="16"/>
      <c r="L1062" s="18"/>
    </row>
    <row r="1063" customFormat="false" ht="15" hidden="false" customHeight="false" outlineLevel="0" collapsed="false">
      <c r="A1063" s="18"/>
      <c r="B1063" s="16"/>
      <c r="C1063" s="16"/>
      <c r="D1063" s="51" t="str">
        <f aca="false">IF(C1063="","",IFERROR(IF(LEFT(C1063,1)="L",INDEX('Leads Pipeline'!$F$5:$F$1004,MATCH(C1063,'Leads Pipeline'!$A$5:$A$1004,0)),INDEX('Active Clients'!$D$5:$D$504,MATCH(C1063,'Active Clients'!$A$5:$A$504,0)))&amp;"","ID not found"))</f>
        <v/>
      </c>
      <c r="E1063" s="51" t="str">
        <f aca="false">IF(C1063="","",IFERROR(IF(LEFT(C1063,1)="L",INDEX('Leads Pipeline'!$D$5:$D$1004,MATCH(C1063,'Leads Pipeline'!$A$5:$A$1004,0)),INDEX('Active Clients'!$B$5:$B$504,MATCH(C1063,'Active Clients'!$A$5:$A$504,0)))&amp;"","ID not found"))</f>
        <v/>
      </c>
      <c r="F1063" s="51" t="str">
        <f aca="false">IF(C1063="","",IFERROR(IF(LEFT(C1063,1)="L",INDEX('Leads Pipeline'!$E$5:$E$1004,MATCH(C1063,'Leads Pipeline'!$A$5:$A$1004,0)),INDEX('Active Clients'!$C$5:$C$504,MATCH(C1063,'Active Clients'!$A$5:$A$504,0)))&amp;"","ID not found"))</f>
        <v/>
      </c>
      <c r="G1063" s="16"/>
      <c r="H1063" s="16"/>
      <c r="I1063" s="16"/>
      <c r="J1063" s="16"/>
      <c r="K1063" s="16"/>
      <c r="L1063" s="18"/>
    </row>
    <row r="1064" customFormat="false" ht="15" hidden="false" customHeight="false" outlineLevel="0" collapsed="false">
      <c r="A1064" s="18"/>
      <c r="B1064" s="16"/>
      <c r="C1064" s="16"/>
      <c r="D1064" s="51" t="str">
        <f aca="false">IF(C1064="","",IFERROR(IF(LEFT(C1064,1)="L",INDEX('Leads Pipeline'!$F$5:$F$1004,MATCH(C1064,'Leads Pipeline'!$A$5:$A$1004,0)),INDEX('Active Clients'!$D$5:$D$504,MATCH(C1064,'Active Clients'!$A$5:$A$504,0)))&amp;"","ID not found"))</f>
        <v/>
      </c>
      <c r="E1064" s="51" t="str">
        <f aca="false">IF(C1064="","",IFERROR(IF(LEFT(C1064,1)="L",INDEX('Leads Pipeline'!$D$5:$D$1004,MATCH(C1064,'Leads Pipeline'!$A$5:$A$1004,0)),INDEX('Active Clients'!$B$5:$B$504,MATCH(C1064,'Active Clients'!$A$5:$A$504,0)))&amp;"","ID not found"))</f>
        <v/>
      </c>
      <c r="F1064" s="51" t="str">
        <f aca="false">IF(C1064="","",IFERROR(IF(LEFT(C1064,1)="L",INDEX('Leads Pipeline'!$E$5:$E$1004,MATCH(C1064,'Leads Pipeline'!$A$5:$A$1004,0)),INDEX('Active Clients'!$C$5:$C$504,MATCH(C1064,'Active Clients'!$A$5:$A$504,0)))&amp;"","ID not found"))</f>
        <v/>
      </c>
      <c r="G1064" s="16"/>
      <c r="H1064" s="16"/>
      <c r="I1064" s="16"/>
      <c r="J1064" s="16"/>
      <c r="K1064" s="16"/>
      <c r="L1064" s="18"/>
    </row>
    <row r="1065" customFormat="false" ht="15" hidden="false" customHeight="false" outlineLevel="0" collapsed="false">
      <c r="A1065" s="18"/>
      <c r="B1065" s="16"/>
      <c r="C1065" s="16"/>
      <c r="D1065" s="51" t="str">
        <f aca="false">IF(C1065="","",IFERROR(IF(LEFT(C1065,1)="L",INDEX('Leads Pipeline'!$F$5:$F$1004,MATCH(C1065,'Leads Pipeline'!$A$5:$A$1004,0)),INDEX('Active Clients'!$D$5:$D$504,MATCH(C1065,'Active Clients'!$A$5:$A$504,0)))&amp;"","ID not found"))</f>
        <v/>
      </c>
      <c r="E1065" s="51" t="str">
        <f aca="false">IF(C1065="","",IFERROR(IF(LEFT(C1065,1)="L",INDEX('Leads Pipeline'!$D$5:$D$1004,MATCH(C1065,'Leads Pipeline'!$A$5:$A$1004,0)),INDEX('Active Clients'!$B$5:$B$504,MATCH(C1065,'Active Clients'!$A$5:$A$504,0)))&amp;"","ID not found"))</f>
        <v/>
      </c>
      <c r="F1065" s="51" t="str">
        <f aca="false">IF(C1065="","",IFERROR(IF(LEFT(C1065,1)="L",INDEX('Leads Pipeline'!$E$5:$E$1004,MATCH(C1065,'Leads Pipeline'!$A$5:$A$1004,0)),INDEX('Active Clients'!$C$5:$C$504,MATCH(C1065,'Active Clients'!$A$5:$A$504,0)))&amp;"","ID not found"))</f>
        <v/>
      </c>
      <c r="G1065" s="16"/>
      <c r="H1065" s="16"/>
      <c r="I1065" s="16"/>
      <c r="J1065" s="16"/>
      <c r="K1065" s="16"/>
      <c r="L1065" s="18"/>
    </row>
    <row r="1066" customFormat="false" ht="15" hidden="false" customHeight="false" outlineLevel="0" collapsed="false">
      <c r="A1066" s="18"/>
      <c r="B1066" s="16"/>
      <c r="C1066" s="16"/>
      <c r="D1066" s="51" t="str">
        <f aca="false">IF(C1066="","",IFERROR(IF(LEFT(C1066,1)="L",INDEX('Leads Pipeline'!$F$5:$F$1004,MATCH(C1066,'Leads Pipeline'!$A$5:$A$1004,0)),INDEX('Active Clients'!$D$5:$D$504,MATCH(C1066,'Active Clients'!$A$5:$A$504,0)))&amp;"","ID not found"))</f>
        <v/>
      </c>
      <c r="E1066" s="51" t="str">
        <f aca="false">IF(C1066="","",IFERROR(IF(LEFT(C1066,1)="L",INDEX('Leads Pipeline'!$D$5:$D$1004,MATCH(C1066,'Leads Pipeline'!$A$5:$A$1004,0)),INDEX('Active Clients'!$B$5:$B$504,MATCH(C1066,'Active Clients'!$A$5:$A$504,0)))&amp;"","ID not found"))</f>
        <v/>
      </c>
      <c r="F1066" s="51" t="str">
        <f aca="false">IF(C1066="","",IFERROR(IF(LEFT(C1066,1)="L",INDEX('Leads Pipeline'!$E$5:$E$1004,MATCH(C1066,'Leads Pipeline'!$A$5:$A$1004,0)),INDEX('Active Clients'!$C$5:$C$504,MATCH(C1066,'Active Clients'!$A$5:$A$504,0)))&amp;"","ID not found"))</f>
        <v/>
      </c>
      <c r="G1066" s="16"/>
      <c r="H1066" s="16"/>
      <c r="I1066" s="16"/>
      <c r="J1066" s="16"/>
      <c r="K1066" s="16"/>
      <c r="L1066" s="18"/>
    </row>
    <row r="1067" customFormat="false" ht="15" hidden="false" customHeight="false" outlineLevel="0" collapsed="false">
      <c r="A1067" s="18"/>
      <c r="B1067" s="16"/>
      <c r="C1067" s="16"/>
      <c r="D1067" s="51" t="str">
        <f aca="false">IF(C1067="","",IFERROR(IF(LEFT(C1067,1)="L",INDEX('Leads Pipeline'!$F$5:$F$1004,MATCH(C1067,'Leads Pipeline'!$A$5:$A$1004,0)),INDEX('Active Clients'!$D$5:$D$504,MATCH(C1067,'Active Clients'!$A$5:$A$504,0)))&amp;"","ID not found"))</f>
        <v/>
      </c>
      <c r="E1067" s="51" t="str">
        <f aca="false">IF(C1067="","",IFERROR(IF(LEFT(C1067,1)="L",INDEX('Leads Pipeline'!$D$5:$D$1004,MATCH(C1067,'Leads Pipeline'!$A$5:$A$1004,0)),INDEX('Active Clients'!$B$5:$B$504,MATCH(C1067,'Active Clients'!$A$5:$A$504,0)))&amp;"","ID not found"))</f>
        <v/>
      </c>
      <c r="F1067" s="51" t="str">
        <f aca="false">IF(C1067="","",IFERROR(IF(LEFT(C1067,1)="L",INDEX('Leads Pipeline'!$E$5:$E$1004,MATCH(C1067,'Leads Pipeline'!$A$5:$A$1004,0)),INDEX('Active Clients'!$C$5:$C$504,MATCH(C1067,'Active Clients'!$A$5:$A$504,0)))&amp;"","ID not found"))</f>
        <v/>
      </c>
      <c r="G1067" s="16"/>
      <c r="H1067" s="16"/>
      <c r="I1067" s="16"/>
      <c r="J1067" s="16"/>
      <c r="K1067" s="16"/>
      <c r="L1067" s="18"/>
    </row>
    <row r="1068" customFormat="false" ht="15" hidden="false" customHeight="false" outlineLevel="0" collapsed="false">
      <c r="A1068" s="18"/>
      <c r="B1068" s="16"/>
      <c r="C1068" s="16"/>
      <c r="D1068" s="51" t="str">
        <f aca="false">IF(C1068="","",IFERROR(IF(LEFT(C1068,1)="L",INDEX('Leads Pipeline'!$F$5:$F$1004,MATCH(C1068,'Leads Pipeline'!$A$5:$A$1004,0)),INDEX('Active Clients'!$D$5:$D$504,MATCH(C1068,'Active Clients'!$A$5:$A$504,0)))&amp;"","ID not found"))</f>
        <v/>
      </c>
      <c r="E1068" s="51" t="str">
        <f aca="false">IF(C1068="","",IFERROR(IF(LEFT(C1068,1)="L",INDEX('Leads Pipeline'!$D$5:$D$1004,MATCH(C1068,'Leads Pipeline'!$A$5:$A$1004,0)),INDEX('Active Clients'!$B$5:$B$504,MATCH(C1068,'Active Clients'!$A$5:$A$504,0)))&amp;"","ID not found"))</f>
        <v/>
      </c>
      <c r="F1068" s="51" t="str">
        <f aca="false">IF(C1068="","",IFERROR(IF(LEFT(C1068,1)="L",INDEX('Leads Pipeline'!$E$5:$E$1004,MATCH(C1068,'Leads Pipeline'!$A$5:$A$1004,0)),INDEX('Active Clients'!$C$5:$C$504,MATCH(C1068,'Active Clients'!$A$5:$A$504,0)))&amp;"","ID not found"))</f>
        <v/>
      </c>
      <c r="G1068" s="16"/>
      <c r="H1068" s="16"/>
      <c r="I1068" s="16"/>
      <c r="J1068" s="16"/>
      <c r="K1068" s="16"/>
      <c r="L1068" s="18"/>
    </row>
    <row r="1069" customFormat="false" ht="15" hidden="false" customHeight="false" outlineLevel="0" collapsed="false">
      <c r="A1069" s="18"/>
      <c r="B1069" s="16"/>
      <c r="C1069" s="16"/>
      <c r="D1069" s="51" t="str">
        <f aca="false">IF(C1069="","",IFERROR(IF(LEFT(C1069,1)="L",INDEX('Leads Pipeline'!$F$5:$F$1004,MATCH(C1069,'Leads Pipeline'!$A$5:$A$1004,0)),INDEX('Active Clients'!$D$5:$D$504,MATCH(C1069,'Active Clients'!$A$5:$A$504,0)))&amp;"","ID not found"))</f>
        <v/>
      </c>
      <c r="E1069" s="51" t="str">
        <f aca="false">IF(C1069="","",IFERROR(IF(LEFT(C1069,1)="L",INDEX('Leads Pipeline'!$D$5:$D$1004,MATCH(C1069,'Leads Pipeline'!$A$5:$A$1004,0)),INDEX('Active Clients'!$B$5:$B$504,MATCH(C1069,'Active Clients'!$A$5:$A$504,0)))&amp;"","ID not found"))</f>
        <v/>
      </c>
      <c r="F1069" s="51" t="str">
        <f aca="false">IF(C1069="","",IFERROR(IF(LEFT(C1069,1)="L",INDEX('Leads Pipeline'!$E$5:$E$1004,MATCH(C1069,'Leads Pipeline'!$A$5:$A$1004,0)),INDEX('Active Clients'!$C$5:$C$504,MATCH(C1069,'Active Clients'!$A$5:$A$504,0)))&amp;"","ID not found"))</f>
        <v/>
      </c>
      <c r="G1069" s="16"/>
      <c r="H1069" s="16"/>
      <c r="I1069" s="16"/>
      <c r="J1069" s="16"/>
      <c r="K1069" s="16"/>
      <c r="L1069" s="18"/>
    </row>
    <row r="1070" customFormat="false" ht="15" hidden="false" customHeight="false" outlineLevel="0" collapsed="false">
      <c r="A1070" s="18"/>
      <c r="B1070" s="16"/>
      <c r="C1070" s="16"/>
      <c r="D1070" s="51" t="str">
        <f aca="false">IF(C1070="","",IFERROR(IF(LEFT(C1070,1)="L",INDEX('Leads Pipeline'!$F$5:$F$1004,MATCH(C1070,'Leads Pipeline'!$A$5:$A$1004,0)),INDEX('Active Clients'!$D$5:$D$504,MATCH(C1070,'Active Clients'!$A$5:$A$504,0)))&amp;"","ID not found"))</f>
        <v/>
      </c>
      <c r="E1070" s="51" t="str">
        <f aca="false">IF(C1070="","",IFERROR(IF(LEFT(C1070,1)="L",INDEX('Leads Pipeline'!$D$5:$D$1004,MATCH(C1070,'Leads Pipeline'!$A$5:$A$1004,0)),INDEX('Active Clients'!$B$5:$B$504,MATCH(C1070,'Active Clients'!$A$5:$A$504,0)))&amp;"","ID not found"))</f>
        <v/>
      </c>
      <c r="F1070" s="51" t="str">
        <f aca="false">IF(C1070="","",IFERROR(IF(LEFT(C1070,1)="L",INDEX('Leads Pipeline'!$E$5:$E$1004,MATCH(C1070,'Leads Pipeline'!$A$5:$A$1004,0)),INDEX('Active Clients'!$C$5:$C$504,MATCH(C1070,'Active Clients'!$A$5:$A$504,0)))&amp;"","ID not found"))</f>
        <v/>
      </c>
      <c r="G1070" s="16"/>
      <c r="H1070" s="16"/>
      <c r="I1070" s="16"/>
      <c r="J1070" s="16"/>
      <c r="K1070" s="16"/>
      <c r="L1070" s="18"/>
    </row>
    <row r="1071" customFormat="false" ht="15" hidden="false" customHeight="false" outlineLevel="0" collapsed="false">
      <c r="A1071" s="18"/>
      <c r="B1071" s="16"/>
      <c r="C1071" s="16"/>
      <c r="D1071" s="51" t="str">
        <f aca="false">IF(C1071="","",IFERROR(IF(LEFT(C1071,1)="L",INDEX('Leads Pipeline'!$F$5:$F$1004,MATCH(C1071,'Leads Pipeline'!$A$5:$A$1004,0)),INDEX('Active Clients'!$D$5:$D$504,MATCH(C1071,'Active Clients'!$A$5:$A$504,0)))&amp;"","ID not found"))</f>
        <v/>
      </c>
      <c r="E1071" s="51" t="str">
        <f aca="false">IF(C1071="","",IFERROR(IF(LEFT(C1071,1)="L",INDEX('Leads Pipeline'!$D$5:$D$1004,MATCH(C1071,'Leads Pipeline'!$A$5:$A$1004,0)),INDEX('Active Clients'!$B$5:$B$504,MATCH(C1071,'Active Clients'!$A$5:$A$504,0)))&amp;"","ID not found"))</f>
        <v/>
      </c>
      <c r="F1071" s="51" t="str">
        <f aca="false">IF(C1071="","",IFERROR(IF(LEFT(C1071,1)="L",INDEX('Leads Pipeline'!$E$5:$E$1004,MATCH(C1071,'Leads Pipeline'!$A$5:$A$1004,0)),INDEX('Active Clients'!$C$5:$C$504,MATCH(C1071,'Active Clients'!$A$5:$A$504,0)))&amp;"","ID not found"))</f>
        <v/>
      </c>
      <c r="G1071" s="16"/>
      <c r="H1071" s="16"/>
      <c r="I1071" s="16"/>
      <c r="J1071" s="16"/>
      <c r="K1071" s="16"/>
      <c r="L1071" s="18"/>
    </row>
    <row r="1072" customFormat="false" ht="15" hidden="false" customHeight="false" outlineLevel="0" collapsed="false">
      <c r="A1072" s="18"/>
      <c r="B1072" s="16"/>
      <c r="C1072" s="16"/>
      <c r="D1072" s="51" t="str">
        <f aca="false">IF(C1072="","",IFERROR(IF(LEFT(C1072,1)="L",INDEX('Leads Pipeline'!$F$5:$F$1004,MATCH(C1072,'Leads Pipeline'!$A$5:$A$1004,0)),INDEX('Active Clients'!$D$5:$D$504,MATCH(C1072,'Active Clients'!$A$5:$A$504,0)))&amp;"","ID not found"))</f>
        <v/>
      </c>
      <c r="E1072" s="51" t="str">
        <f aca="false">IF(C1072="","",IFERROR(IF(LEFT(C1072,1)="L",INDEX('Leads Pipeline'!$D$5:$D$1004,MATCH(C1072,'Leads Pipeline'!$A$5:$A$1004,0)),INDEX('Active Clients'!$B$5:$B$504,MATCH(C1072,'Active Clients'!$A$5:$A$504,0)))&amp;"","ID not found"))</f>
        <v/>
      </c>
      <c r="F1072" s="51" t="str">
        <f aca="false">IF(C1072="","",IFERROR(IF(LEFT(C1072,1)="L",INDEX('Leads Pipeline'!$E$5:$E$1004,MATCH(C1072,'Leads Pipeline'!$A$5:$A$1004,0)),INDEX('Active Clients'!$C$5:$C$504,MATCH(C1072,'Active Clients'!$A$5:$A$504,0)))&amp;"","ID not found"))</f>
        <v/>
      </c>
      <c r="G1072" s="16"/>
      <c r="H1072" s="16"/>
      <c r="I1072" s="16"/>
      <c r="J1072" s="16"/>
      <c r="K1072" s="16"/>
      <c r="L1072" s="18"/>
    </row>
    <row r="1073" customFormat="false" ht="15" hidden="false" customHeight="false" outlineLevel="0" collapsed="false">
      <c r="A1073" s="18"/>
      <c r="B1073" s="16"/>
      <c r="C1073" s="16"/>
      <c r="D1073" s="51" t="str">
        <f aca="false">IF(C1073="","",IFERROR(IF(LEFT(C1073,1)="L",INDEX('Leads Pipeline'!$F$5:$F$1004,MATCH(C1073,'Leads Pipeline'!$A$5:$A$1004,0)),INDEX('Active Clients'!$D$5:$D$504,MATCH(C1073,'Active Clients'!$A$5:$A$504,0)))&amp;"","ID not found"))</f>
        <v/>
      </c>
      <c r="E1073" s="51" t="str">
        <f aca="false">IF(C1073="","",IFERROR(IF(LEFT(C1073,1)="L",INDEX('Leads Pipeline'!$D$5:$D$1004,MATCH(C1073,'Leads Pipeline'!$A$5:$A$1004,0)),INDEX('Active Clients'!$B$5:$B$504,MATCH(C1073,'Active Clients'!$A$5:$A$504,0)))&amp;"","ID not found"))</f>
        <v/>
      </c>
      <c r="F1073" s="51" t="str">
        <f aca="false">IF(C1073="","",IFERROR(IF(LEFT(C1073,1)="L",INDEX('Leads Pipeline'!$E$5:$E$1004,MATCH(C1073,'Leads Pipeline'!$A$5:$A$1004,0)),INDEX('Active Clients'!$C$5:$C$504,MATCH(C1073,'Active Clients'!$A$5:$A$504,0)))&amp;"","ID not found"))</f>
        <v/>
      </c>
      <c r="G1073" s="16"/>
      <c r="H1073" s="16"/>
      <c r="I1073" s="16"/>
      <c r="J1073" s="16"/>
      <c r="K1073" s="16"/>
      <c r="L1073" s="18"/>
    </row>
    <row r="1074" customFormat="false" ht="15" hidden="false" customHeight="false" outlineLevel="0" collapsed="false">
      <c r="A1074" s="18"/>
      <c r="B1074" s="16"/>
      <c r="C1074" s="16"/>
      <c r="D1074" s="51" t="str">
        <f aca="false">IF(C1074="","",IFERROR(IF(LEFT(C1074,1)="L",INDEX('Leads Pipeline'!$F$5:$F$1004,MATCH(C1074,'Leads Pipeline'!$A$5:$A$1004,0)),INDEX('Active Clients'!$D$5:$D$504,MATCH(C1074,'Active Clients'!$A$5:$A$504,0)))&amp;"","ID not found"))</f>
        <v/>
      </c>
      <c r="E1074" s="51" t="str">
        <f aca="false">IF(C1074="","",IFERROR(IF(LEFT(C1074,1)="L",INDEX('Leads Pipeline'!$D$5:$D$1004,MATCH(C1074,'Leads Pipeline'!$A$5:$A$1004,0)),INDEX('Active Clients'!$B$5:$B$504,MATCH(C1074,'Active Clients'!$A$5:$A$504,0)))&amp;"","ID not found"))</f>
        <v/>
      </c>
      <c r="F1074" s="51" t="str">
        <f aca="false">IF(C1074="","",IFERROR(IF(LEFT(C1074,1)="L",INDEX('Leads Pipeline'!$E$5:$E$1004,MATCH(C1074,'Leads Pipeline'!$A$5:$A$1004,0)),INDEX('Active Clients'!$C$5:$C$504,MATCH(C1074,'Active Clients'!$A$5:$A$504,0)))&amp;"","ID not found"))</f>
        <v/>
      </c>
      <c r="G1074" s="16"/>
      <c r="H1074" s="16"/>
      <c r="I1074" s="16"/>
      <c r="J1074" s="16"/>
      <c r="K1074" s="16"/>
      <c r="L1074" s="18"/>
    </row>
    <row r="1075" customFormat="false" ht="15" hidden="false" customHeight="false" outlineLevel="0" collapsed="false">
      <c r="A1075" s="18"/>
      <c r="B1075" s="16"/>
      <c r="C1075" s="16"/>
      <c r="D1075" s="51" t="str">
        <f aca="false">IF(C1075="","",IFERROR(IF(LEFT(C1075,1)="L",INDEX('Leads Pipeline'!$F$5:$F$1004,MATCH(C1075,'Leads Pipeline'!$A$5:$A$1004,0)),INDEX('Active Clients'!$D$5:$D$504,MATCH(C1075,'Active Clients'!$A$5:$A$504,0)))&amp;"","ID not found"))</f>
        <v/>
      </c>
      <c r="E1075" s="51" t="str">
        <f aca="false">IF(C1075="","",IFERROR(IF(LEFT(C1075,1)="L",INDEX('Leads Pipeline'!$D$5:$D$1004,MATCH(C1075,'Leads Pipeline'!$A$5:$A$1004,0)),INDEX('Active Clients'!$B$5:$B$504,MATCH(C1075,'Active Clients'!$A$5:$A$504,0)))&amp;"","ID not found"))</f>
        <v/>
      </c>
      <c r="F1075" s="51" t="str">
        <f aca="false">IF(C1075="","",IFERROR(IF(LEFT(C1075,1)="L",INDEX('Leads Pipeline'!$E$5:$E$1004,MATCH(C1075,'Leads Pipeline'!$A$5:$A$1004,0)),INDEX('Active Clients'!$C$5:$C$504,MATCH(C1075,'Active Clients'!$A$5:$A$504,0)))&amp;"","ID not found"))</f>
        <v/>
      </c>
      <c r="G1075" s="16"/>
      <c r="H1075" s="16"/>
      <c r="I1075" s="16"/>
      <c r="J1075" s="16"/>
      <c r="K1075" s="16"/>
      <c r="L1075" s="18"/>
    </row>
    <row r="1076" customFormat="false" ht="15" hidden="false" customHeight="false" outlineLevel="0" collapsed="false">
      <c r="A1076" s="18"/>
      <c r="B1076" s="16"/>
      <c r="C1076" s="16"/>
      <c r="D1076" s="51" t="str">
        <f aca="false">IF(C1076="","",IFERROR(IF(LEFT(C1076,1)="L",INDEX('Leads Pipeline'!$F$5:$F$1004,MATCH(C1076,'Leads Pipeline'!$A$5:$A$1004,0)),INDEX('Active Clients'!$D$5:$D$504,MATCH(C1076,'Active Clients'!$A$5:$A$504,0)))&amp;"","ID not found"))</f>
        <v/>
      </c>
      <c r="E1076" s="51" t="str">
        <f aca="false">IF(C1076="","",IFERROR(IF(LEFT(C1076,1)="L",INDEX('Leads Pipeline'!$D$5:$D$1004,MATCH(C1076,'Leads Pipeline'!$A$5:$A$1004,0)),INDEX('Active Clients'!$B$5:$B$504,MATCH(C1076,'Active Clients'!$A$5:$A$504,0)))&amp;"","ID not found"))</f>
        <v/>
      </c>
      <c r="F1076" s="51" t="str">
        <f aca="false">IF(C1076="","",IFERROR(IF(LEFT(C1076,1)="L",INDEX('Leads Pipeline'!$E$5:$E$1004,MATCH(C1076,'Leads Pipeline'!$A$5:$A$1004,0)),INDEX('Active Clients'!$C$5:$C$504,MATCH(C1076,'Active Clients'!$A$5:$A$504,0)))&amp;"","ID not found"))</f>
        <v/>
      </c>
      <c r="G1076" s="16"/>
      <c r="H1076" s="16"/>
      <c r="I1076" s="16"/>
      <c r="J1076" s="16"/>
      <c r="K1076" s="16"/>
      <c r="L1076" s="18"/>
    </row>
    <row r="1077" customFormat="false" ht="15" hidden="false" customHeight="false" outlineLevel="0" collapsed="false">
      <c r="A1077" s="18"/>
      <c r="B1077" s="16"/>
      <c r="C1077" s="16"/>
      <c r="D1077" s="51" t="str">
        <f aca="false">IF(C1077="","",IFERROR(IF(LEFT(C1077,1)="L",INDEX('Leads Pipeline'!$F$5:$F$1004,MATCH(C1077,'Leads Pipeline'!$A$5:$A$1004,0)),INDEX('Active Clients'!$D$5:$D$504,MATCH(C1077,'Active Clients'!$A$5:$A$504,0)))&amp;"","ID not found"))</f>
        <v/>
      </c>
      <c r="E1077" s="51" t="str">
        <f aca="false">IF(C1077="","",IFERROR(IF(LEFT(C1077,1)="L",INDEX('Leads Pipeline'!$D$5:$D$1004,MATCH(C1077,'Leads Pipeline'!$A$5:$A$1004,0)),INDEX('Active Clients'!$B$5:$B$504,MATCH(C1077,'Active Clients'!$A$5:$A$504,0)))&amp;"","ID not found"))</f>
        <v/>
      </c>
      <c r="F1077" s="51" t="str">
        <f aca="false">IF(C1077="","",IFERROR(IF(LEFT(C1077,1)="L",INDEX('Leads Pipeline'!$E$5:$E$1004,MATCH(C1077,'Leads Pipeline'!$A$5:$A$1004,0)),INDEX('Active Clients'!$C$5:$C$504,MATCH(C1077,'Active Clients'!$A$5:$A$504,0)))&amp;"","ID not found"))</f>
        <v/>
      </c>
      <c r="G1077" s="16"/>
      <c r="H1077" s="16"/>
      <c r="I1077" s="16"/>
      <c r="J1077" s="16"/>
      <c r="K1077" s="16"/>
      <c r="L1077" s="18"/>
    </row>
    <row r="1078" customFormat="false" ht="15" hidden="false" customHeight="false" outlineLevel="0" collapsed="false">
      <c r="A1078" s="18"/>
      <c r="B1078" s="16"/>
      <c r="C1078" s="16"/>
      <c r="D1078" s="51" t="str">
        <f aca="false">IF(C1078="","",IFERROR(IF(LEFT(C1078,1)="L",INDEX('Leads Pipeline'!$F$5:$F$1004,MATCH(C1078,'Leads Pipeline'!$A$5:$A$1004,0)),INDEX('Active Clients'!$D$5:$D$504,MATCH(C1078,'Active Clients'!$A$5:$A$504,0)))&amp;"","ID not found"))</f>
        <v/>
      </c>
      <c r="E1078" s="51" t="str">
        <f aca="false">IF(C1078="","",IFERROR(IF(LEFT(C1078,1)="L",INDEX('Leads Pipeline'!$D$5:$D$1004,MATCH(C1078,'Leads Pipeline'!$A$5:$A$1004,0)),INDEX('Active Clients'!$B$5:$B$504,MATCH(C1078,'Active Clients'!$A$5:$A$504,0)))&amp;"","ID not found"))</f>
        <v/>
      </c>
      <c r="F1078" s="51" t="str">
        <f aca="false">IF(C1078="","",IFERROR(IF(LEFT(C1078,1)="L",INDEX('Leads Pipeline'!$E$5:$E$1004,MATCH(C1078,'Leads Pipeline'!$A$5:$A$1004,0)),INDEX('Active Clients'!$C$5:$C$504,MATCH(C1078,'Active Clients'!$A$5:$A$504,0)))&amp;"","ID not found"))</f>
        <v/>
      </c>
      <c r="G1078" s="16"/>
      <c r="H1078" s="16"/>
      <c r="I1078" s="16"/>
      <c r="J1078" s="16"/>
      <c r="K1078" s="16"/>
      <c r="L1078" s="18"/>
    </row>
    <row r="1079" customFormat="false" ht="15" hidden="false" customHeight="false" outlineLevel="0" collapsed="false">
      <c r="A1079" s="18"/>
      <c r="B1079" s="16"/>
      <c r="C1079" s="16"/>
      <c r="D1079" s="51" t="str">
        <f aca="false">IF(C1079="","",IFERROR(IF(LEFT(C1079,1)="L",INDEX('Leads Pipeline'!$F$5:$F$1004,MATCH(C1079,'Leads Pipeline'!$A$5:$A$1004,0)),INDEX('Active Clients'!$D$5:$D$504,MATCH(C1079,'Active Clients'!$A$5:$A$504,0)))&amp;"","ID not found"))</f>
        <v/>
      </c>
      <c r="E1079" s="51" t="str">
        <f aca="false">IF(C1079="","",IFERROR(IF(LEFT(C1079,1)="L",INDEX('Leads Pipeline'!$D$5:$D$1004,MATCH(C1079,'Leads Pipeline'!$A$5:$A$1004,0)),INDEX('Active Clients'!$B$5:$B$504,MATCH(C1079,'Active Clients'!$A$5:$A$504,0)))&amp;"","ID not found"))</f>
        <v/>
      </c>
      <c r="F1079" s="51" t="str">
        <f aca="false">IF(C1079="","",IFERROR(IF(LEFT(C1079,1)="L",INDEX('Leads Pipeline'!$E$5:$E$1004,MATCH(C1079,'Leads Pipeline'!$A$5:$A$1004,0)),INDEX('Active Clients'!$C$5:$C$504,MATCH(C1079,'Active Clients'!$A$5:$A$504,0)))&amp;"","ID not found"))</f>
        <v/>
      </c>
      <c r="G1079" s="16"/>
      <c r="H1079" s="16"/>
      <c r="I1079" s="16"/>
      <c r="J1079" s="16"/>
      <c r="K1079" s="16"/>
      <c r="L1079" s="18"/>
    </row>
    <row r="1080" customFormat="false" ht="15" hidden="false" customHeight="false" outlineLevel="0" collapsed="false">
      <c r="A1080" s="18"/>
      <c r="B1080" s="16"/>
      <c r="C1080" s="16"/>
      <c r="D1080" s="51" t="str">
        <f aca="false">IF(C1080="","",IFERROR(IF(LEFT(C1080,1)="L",INDEX('Leads Pipeline'!$F$5:$F$1004,MATCH(C1080,'Leads Pipeline'!$A$5:$A$1004,0)),INDEX('Active Clients'!$D$5:$D$504,MATCH(C1080,'Active Clients'!$A$5:$A$504,0)))&amp;"","ID not found"))</f>
        <v/>
      </c>
      <c r="E1080" s="51" t="str">
        <f aca="false">IF(C1080="","",IFERROR(IF(LEFT(C1080,1)="L",INDEX('Leads Pipeline'!$D$5:$D$1004,MATCH(C1080,'Leads Pipeline'!$A$5:$A$1004,0)),INDEX('Active Clients'!$B$5:$B$504,MATCH(C1080,'Active Clients'!$A$5:$A$504,0)))&amp;"","ID not found"))</f>
        <v/>
      </c>
      <c r="F1080" s="51" t="str">
        <f aca="false">IF(C1080="","",IFERROR(IF(LEFT(C1080,1)="L",INDEX('Leads Pipeline'!$E$5:$E$1004,MATCH(C1080,'Leads Pipeline'!$A$5:$A$1004,0)),INDEX('Active Clients'!$C$5:$C$504,MATCH(C1080,'Active Clients'!$A$5:$A$504,0)))&amp;"","ID not found"))</f>
        <v/>
      </c>
      <c r="G1080" s="16"/>
      <c r="H1080" s="16"/>
      <c r="I1080" s="16"/>
      <c r="J1080" s="16"/>
      <c r="K1080" s="16"/>
      <c r="L1080" s="18"/>
    </row>
    <row r="1081" customFormat="false" ht="15" hidden="false" customHeight="false" outlineLevel="0" collapsed="false">
      <c r="A1081" s="18"/>
      <c r="B1081" s="16"/>
      <c r="C1081" s="16"/>
      <c r="D1081" s="51" t="str">
        <f aca="false">IF(C1081="","",IFERROR(IF(LEFT(C1081,1)="L",INDEX('Leads Pipeline'!$F$5:$F$1004,MATCH(C1081,'Leads Pipeline'!$A$5:$A$1004,0)),INDEX('Active Clients'!$D$5:$D$504,MATCH(C1081,'Active Clients'!$A$5:$A$504,0)))&amp;"","ID not found"))</f>
        <v/>
      </c>
      <c r="E1081" s="51" t="str">
        <f aca="false">IF(C1081="","",IFERROR(IF(LEFT(C1081,1)="L",INDEX('Leads Pipeline'!$D$5:$D$1004,MATCH(C1081,'Leads Pipeline'!$A$5:$A$1004,0)),INDEX('Active Clients'!$B$5:$B$504,MATCH(C1081,'Active Clients'!$A$5:$A$504,0)))&amp;"","ID not found"))</f>
        <v/>
      </c>
      <c r="F1081" s="51" t="str">
        <f aca="false">IF(C1081="","",IFERROR(IF(LEFT(C1081,1)="L",INDEX('Leads Pipeline'!$E$5:$E$1004,MATCH(C1081,'Leads Pipeline'!$A$5:$A$1004,0)),INDEX('Active Clients'!$C$5:$C$504,MATCH(C1081,'Active Clients'!$A$5:$A$504,0)))&amp;"","ID not found"))</f>
        <v/>
      </c>
      <c r="G1081" s="16"/>
      <c r="H1081" s="16"/>
      <c r="I1081" s="16"/>
      <c r="J1081" s="16"/>
      <c r="K1081" s="16"/>
      <c r="L1081" s="18"/>
    </row>
    <row r="1082" customFormat="false" ht="15" hidden="false" customHeight="false" outlineLevel="0" collapsed="false">
      <c r="A1082" s="18"/>
      <c r="B1082" s="16"/>
      <c r="C1082" s="16"/>
      <c r="D1082" s="51" t="str">
        <f aca="false">IF(C1082="","",IFERROR(IF(LEFT(C1082,1)="L",INDEX('Leads Pipeline'!$F$5:$F$1004,MATCH(C1082,'Leads Pipeline'!$A$5:$A$1004,0)),INDEX('Active Clients'!$D$5:$D$504,MATCH(C1082,'Active Clients'!$A$5:$A$504,0)))&amp;"","ID not found"))</f>
        <v/>
      </c>
      <c r="E1082" s="51" t="str">
        <f aca="false">IF(C1082="","",IFERROR(IF(LEFT(C1082,1)="L",INDEX('Leads Pipeline'!$D$5:$D$1004,MATCH(C1082,'Leads Pipeline'!$A$5:$A$1004,0)),INDEX('Active Clients'!$B$5:$B$504,MATCH(C1082,'Active Clients'!$A$5:$A$504,0)))&amp;"","ID not found"))</f>
        <v/>
      </c>
      <c r="F1082" s="51" t="str">
        <f aca="false">IF(C1082="","",IFERROR(IF(LEFT(C1082,1)="L",INDEX('Leads Pipeline'!$E$5:$E$1004,MATCH(C1082,'Leads Pipeline'!$A$5:$A$1004,0)),INDEX('Active Clients'!$C$5:$C$504,MATCH(C1082,'Active Clients'!$A$5:$A$504,0)))&amp;"","ID not found"))</f>
        <v/>
      </c>
      <c r="G1082" s="16"/>
      <c r="H1082" s="16"/>
      <c r="I1082" s="16"/>
      <c r="J1082" s="16"/>
      <c r="K1082" s="16"/>
      <c r="L1082" s="18"/>
    </row>
    <row r="1083" customFormat="false" ht="15" hidden="false" customHeight="false" outlineLevel="0" collapsed="false">
      <c r="A1083" s="18"/>
      <c r="B1083" s="16"/>
      <c r="C1083" s="16"/>
      <c r="D1083" s="51" t="str">
        <f aca="false">IF(C1083="","",IFERROR(IF(LEFT(C1083,1)="L",INDEX('Leads Pipeline'!$F$5:$F$1004,MATCH(C1083,'Leads Pipeline'!$A$5:$A$1004,0)),INDEX('Active Clients'!$D$5:$D$504,MATCH(C1083,'Active Clients'!$A$5:$A$504,0)))&amp;"","ID not found"))</f>
        <v/>
      </c>
      <c r="E1083" s="51" t="str">
        <f aca="false">IF(C1083="","",IFERROR(IF(LEFT(C1083,1)="L",INDEX('Leads Pipeline'!$D$5:$D$1004,MATCH(C1083,'Leads Pipeline'!$A$5:$A$1004,0)),INDEX('Active Clients'!$B$5:$B$504,MATCH(C1083,'Active Clients'!$A$5:$A$504,0)))&amp;"","ID not found"))</f>
        <v/>
      </c>
      <c r="F1083" s="51" t="str">
        <f aca="false">IF(C1083="","",IFERROR(IF(LEFT(C1083,1)="L",INDEX('Leads Pipeline'!$E$5:$E$1004,MATCH(C1083,'Leads Pipeline'!$A$5:$A$1004,0)),INDEX('Active Clients'!$C$5:$C$504,MATCH(C1083,'Active Clients'!$A$5:$A$504,0)))&amp;"","ID not found"))</f>
        <v/>
      </c>
      <c r="G1083" s="16"/>
      <c r="H1083" s="16"/>
      <c r="I1083" s="16"/>
      <c r="J1083" s="16"/>
      <c r="K1083" s="16"/>
      <c r="L1083" s="18"/>
    </row>
    <row r="1084" customFormat="false" ht="15" hidden="false" customHeight="false" outlineLevel="0" collapsed="false">
      <c r="A1084" s="18"/>
      <c r="B1084" s="16"/>
      <c r="C1084" s="16"/>
      <c r="D1084" s="51" t="str">
        <f aca="false">IF(C1084="","",IFERROR(IF(LEFT(C1084,1)="L",INDEX('Leads Pipeline'!$F$5:$F$1004,MATCH(C1084,'Leads Pipeline'!$A$5:$A$1004,0)),INDEX('Active Clients'!$D$5:$D$504,MATCH(C1084,'Active Clients'!$A$5:$A$504,0)))&amp;"","ID not found"))</f>
        <v/>
      </c>
      <c r="E1084" s="51" t="str">
        <f aca="false">IF(C1084="","",IFERROR(IF(LEFT(C1084,1)="L",INDEX('Leads Pipeline'!$D$5:$D$1004,MATCH(C1084,'Leads Pipeline'!$A$5:$A$1004,0)),INDEX('Active Clients'!$B$5:$B$504,MATCH(C1084,'Active Clients'!$A$5:$A$504,0)))&amp;"","ID not found"))</f>
        <v/>
      </c>
      <c r="F1084" s="51" t="str">
        <f aca="false">IF(C1084="","",IFERROR(IF(LEFT(C1084,1)="L",INDEX('Leads Pipeline'!$E$5:$E$1004,MATCH(C1084,'Leads Pipeline'!$A$5:$A$1004,0)),INDEX('Active Clients'!$C$5:$C$504,MATCH(C1084,'Active Clients'!$A$5:$A$504,0)))&amp;"","ID not found"))</f>
        <v/>
      </c>
      <c r="G1084" s="16"/>
      <c r="H1084" s="16"/>
      <c r="I1084" s="16"/>
      <c r="J1084" s="16"/>
      <c r="K1084" s="16"/>
      <c r="L1084" s="18"/>
    </row>
    <row r="1085" customFormat="false" ht="15" hidden="false" customHeight="false" outlineLevel="0" collapsed="false">
      <c r="A1085" s="18"/>
      <c r="B1085" s="16"/>
      <c r="C1085" s="16"/>
      <c r="D1085" s="51" t="str">
        <f aca="false">IF(C1085="","",IFERROR(IF(LEFT(C1085,1)="L",INDEX('Leads Pipeline'!$F$5:$F$1004,MATCH(C1085,'Leads Pipeline'!$A$5:$A$1004,0)),INDEX('Active Clients'!$D$5:$D$504,MATCH(C1085,'Active Clients'!$A$5:$A$504,0)))&amp;"","ID not found"))</f>
        <v/>
      </c>
      <c r="E1085" s="51" t="str">
        <f aca="false">IF(C1085="","",IFERROR(IF(LEFT(C1085,1)="L",INDEX('Leads Pipeline'!$D$5:$D$1004,MATCH(C1085,'Leads Pipeline'!$A$5:$A$1004,0)),INDEX('Active Clients'!$B$5:$B$504,MATCH(C1085,'Active Clients'!$A$5:$A$504,0)))&amp;"","ID not found"))</f>
        <v/>
      </c>
      <c r="F1085" s="51" t="str">
        <f aca="false">IF(C1085="","",IFERROR(IF(LEFT(C1085,1)="L",INDEX('Leads Pipeline'!$E$5:$E$1004,MATCH(C1085,'Leads Pipeline'!$A$5:$A$1004,0)),INDEX('Active Clients'!$C$5:$C$504,MATCH(C1085,'Active Clients'!$A$5:$A$504,0)))&amp;"","ID not found"))</f>
        <v/>
      </c>
      <c r="G1085" s="16"/>
      <c r="H1085" s="16"/>
      <c r="I1085" s="16"/>
      <c r="J1085" s="16"/>
      <c r="K1085" s="16"/>
      <c r="L1085" s="18"/>
    </row>
    <row r="1086" customFormat="false" ht="15" hidden="false" customHeight="false" outlineLevel="0" collapsed="false">
      <c r="A1086" s="18"/>
      <c r="B1086" s="16"/>
      <c r="C1086" s="16"/>
      <c r="D1086" s="51" t="str">
        <f aca="false">IF(C1086="","",IFERROR(IF(LEFT(C1086,1)="L",INDEX('Leads Pipeline'!$F$5:$F$1004,MATCH(C1086,'Leads Pipeline'!$A$5:$A$1004,0)),INDEX('Active Clients'!$D$5:$D$504,MATCH(C1086,'Active Clients'!$A$5:$A$504,0)))&amp;"","ID not found"))</f>
        <v/>
      </c>
      <c r="E1086" s="51" t="str">
        <f aca="false">IF(C1086="","",IFERROR(IF(LEFT(C1086,1)="L",INDEX('Leads Pipeline'!$D$5:$D$1004,MATCH(C1086,'Leads Pipeline'!$A$5:$A$1004,0)),INDEX('Active Clients'!$B$5:$B$504,MATCH(C1086,'Active Clients'!$A$5:$A$504,0)))&amp;"","ID not found"))</f>
        <v/>
      </c>
      <c r="F1086" s="51" t="str">
        <f aca="false">IF(C1086="","",IFERROR(IF(LEFT(C1086,1)="L",INDEX('Leads Pipeline'!$E$5:$E$1004,MATCH(C1086,'Leads Pipeline'!$A$5:$A$1004,0)),INDEX('Active Clients'!$C$5:$C$504,MATCH(C1086,'Active Clients'!$A$5:$A$504,0)))&amp;"","ID not found"))</f>
        <v/>
      </c>
      <c r="G1086" s="16"/>
      <c r="H1086" s="16"/>
      <c r="I1086" s="16"/>
      <c r="J1086" s="16"/>
      <c r="K1086" s="16"/>
      <c r="L1086" s="18"/>
    </row>
    <row r="1087" customFormat="false" ht="15" hidden="false" customHeight="false" outlineLevel="0" collapsed="false">
      <c r="A1087" s="18"/>
      <c r="B1087" s="16"/>
      <c r="C1087" s="16"/>
      <c r="D1087" s="51" t="str">
        <f aca="false">IF(C1087="","",IFERROR(IF(LEFT(C1087,1)="L",INDEX('Leads Pipeline'!$F$5:$F$1004,MATCH(C1087,'Leads Pipeline'!$A$5:$A$1004,0)),INDEX('Active Clients'!$D$5:$D$504,MATCH(C1087,'Active Clients'!$A$5:$A$504,0)))&amp;"","ID not found"))</f>
        <v/>
      </c>
      <c r="E1087" s="51" t="str">
        <f aca="false">IF(C1087="","",IFERROR(IF(LEFT(C1087,1)="L",INDEX('Leads Pipeline'!$D$5:$D$1004,MATCH(C1087,'Leads Pipeline'!$A$5:$A$1004,0)),INDEX('Active Clients'!$B$5:$B$504,MATCH(C1087,'Active Clients'!$A$5:$A$504,0)))&amp;"","ID not found"))</f>
        <v/>
      </c>
      <c r="F1087" s="51" t="str">
        <f aca="false">IF(C1087="","",IFERROR(IF(LEFT(C1087,1)="L",INDEX('Leads Pipeline'!$E$5:$E$1004,MATCH(C1087,'Leads Pipeline'!$A$5:$A$1004,0)),INDEX('Active Clients'!$C$5:$C$504,MATCH(C1087,'Active Clients'!$A$5:$A$504,0)))&amp;"","ID not found"))</f>
        <v/>
      </c>
      <c r="G1087" s="16"/>
      <c r="H1087" s="16"/>
      <c r="I1087" s="16"/>
      <c r="J1087" s="16"/>
      <c r="K1087" s="16"/>
      <c r="L1087" s="18"/>
    </row>
    <row r="1088" customFormat="false" ht="15" hidden="false" customHeight="false" outlineLevel="0" collapsed="false">
      <c r="A1088" s="18"/>
      <c r="B1088" s="16"/>
      <c r="C1088" s="16"/>
      <c r="D1088" s="51" t="str">
        <f aca="false">IF(C1088="","",IFERROR(IF(LEFT(C1088,1)="L",INDEX('Leads Pipeline'!$F$5:$F$1004,MATCH(C1088,'Leads Pipeline'!$A$5:$A$1004,0)),INDEX('Active Clients'!$D$5:$D$504,MATCH(C1088,'Active Clients'!$A$5:$A$504,0)))&amp;"","ID not found"))</f>
        <v/>
      </c>
      <c r="E1088" s="51" t="str">
        <f aca="false">IF(C1088="","",IFERROR(IF(LEFT(C1088,1)="L",INDEX('Leads Pipeline'!$D$5:$D$1004,MATCH(C1088,'Leads Pipeline'!$A$5:$A$1004,0)),INDEX('Active Clients'!$B$5:$B$504,MATCH(C1088,'Active Clients'!$A$5:$A$504,0)))&amp;"","ID not found"))</f>
        <v/>
      </c>
      <c r="F1088" s="51" t="str">
        <f aca="false">IF(C1088="","",IFERROR(IF(LEFT(C1088,1)="L",INDEX('Leads Pipeline'!$E$5:$E$1004,MATCH(C1088,'Leads Pipeline'!$A$5:$A$1004,0)),INDEX('Active Clients'!$C$5:$C$504,MATCH(C1088,'Active Clients'!$A$5:$A$504,0)))&amp;"","ID not found"))</f>
        <v/>
      </c>
      <c r="G1088" s="16"/>
      <c r="H1088" s="16"/>
      <c r="I1088" s="16"/>
      <c r="J1088" s="16"/>
      <c r="K1088" s="16"/>
      <c r="L1088" s="18"/>
    </row>
    <row r="1089" customFormat="false" ht="15" hidden="false" customHeight="false" outlineLevel="0" collapsed="false">
      <c r="A1089" s="18"/>
      <c r="B1089" s="16"/>
      <c r="C1089" s="16"/>
      <c r="D1089" s="51" t="str">
        <f aca="false">IF(C1089="","",IFERROR(IF(LEFT(C1089,1)="L",INDEX('Leads Pipeline'!$F$5:$F$1004,MATCH(C1089,'Leads Pipeline'!$A$5:$A$1004,0)),INDEX('Active Clients'!$D$5:$D$504,MATCH(C1089,'Active Clients'!$A$5:$A$504,0)))&amp;"","ID not found"))</f>
        <v/>
      </c>
      <c r="E1089" s="51" t="str">
        <f aca="false">IF(C1089="","",IFERROR(IF(LEFT(C1089,1)="L",INDEX('Leads Pipeline'!$D$5:$D$1004,MATCH(C1089,'Leads Pipeline'!$A$5:$A$1004,0)),INDEX('Active Clients'!$B$5:$B$504,MATCH(C1089,'Active Clients'!$A$5:$A$504,0)))&amp;"","ID not found"))</f>
        <v/>
      </c>
      <c r="F1089" s="51" t="str">
        <f aca="false">IF(C1089="","",IFERROR(IF(LEFT(C1089,1)="L",INDEX('Leads Pipeline'!$E$5:$E$1004,MATCH(C1089,'Leads Pipeline'!$A$5:$A$1004,0)),INDEX('Active Clients'!$C$5:$C$504,MATCH(C1089,'Active Clients'!$A$5:$A$504,0)))&amp;"","ID not found"))</f>
        <v/>
      </c>
      <c r="G1089" s="16"/>
      <c r="H1089" s="16"/>
      <c r="I1089" s="16"/>
      <c r="J1089" s="16"/>
      <c r="K1089" s="16"/>
      <c r="L1089" s="18"/>
    </row>
    <row r="1090" customFormat="false" ht="15" hidden="false" customHeight="false" outlineLevel="0" collapsed="false">
      <c r="A1090" s="18"/>
      <c r="B1090" s="16"/>
      <c r="C1090" s="16"/>
      <c r="D1090" s="51" t="str">
        <f aca="false">IF(C1090="","",IFERROR(IF(LEFT(C1090,1)="L",INDEX('Leads Pipeline'!$F$5:$F$1004,MATCH(C1090,'Leads Pipeline'!$A$5:$A$1004,0)),INDEX('Active Clients'!$D$5:$D$504,MATCH(C1090,'Active Clients'!$A$5:$A$504,0)))&amp;"","ID not found"))</f>
        <v/>
      </c>
      <c r="E1090" s="51" t="str">
        <f aca="false">IF(C1090="","",IFERROR(IF(LEFT(C1090,1)="L",INDEX('Leads Pipeline'!$D$5:$D$1004,MATCH(C1090,'Leads Pipeline'!$A$5:$A$1004,0)),INDEX('Active Clients'!$B$5:$B$504,MATCH(C1090,'Active Clients'!$A$5:$A$504,0)))&amp;"","ID not found"))</f>
        <v/>
      </c>
      <c r="F1090" s="51" t="str">
        <f aca="false">IF(C1090="","",IFERROR(IF(LEFT(C1090,1)="L",INDEX('Leads Pipeline'!$E$5:$E$1004,MATCH(C1090,'Leads Pipeline'!$A$5:$A$1004,0)),INDEX('Active Clients'!$C$5:$C$504,MATCH(C1090,'Active Clients'!$A$5:$A$504,0)))&amp;"","ID not found"))</f>
        <v/>
      </c>
      <c r="G1090" s="16"/>
      <c r="H1090" s="16"/>
      <c r="I1090" s="16"/>
      <c r="J1090" s="16"/>
      <c r="K1090" s="16"/>
      <c r="L1090" s="18"/>
    </row>
    <row r="1091" customFormat="false" ht="15" hidden="false" customHeight="false" outlineLevel="0" collapsed="false">
      <c r="A1091" s="18"/>
      <c r="B1091" s="16"/>
      <c r="C1091" s="16"/>
      <c r="D1091" s="51" t="str">
        <f aca="false">IF(C1091="","",IFERROR(IF(LEFT(C1091,1)="L",INDEX('Leads Pipeline'!$F$5:$F$1004,MATCH(C1091,'Leads Pipeline'!$A$5:$A$1004,0)),INDEX('Active Clients'!$D$5:$D$504,MATCH(C1091,'Active Clients'!$A$5:$A$504,0)))&amp;"","ID not found"))</f>
        <v/>
      </c>
      <c r="E1091" s="51" t="str">
        <f aca="false">IF(C1091="","",IFERROR(IF(LEFT(C1091,1)="L",INDEX('Leads Pipeline'!$D$5:$D$1004,MATCH(C1091,'Leads Pipeline'!$A$5:$A$1004,0)),INDEX('Active Clients'!$B$5:$B$504,MATCH(C1091,'Active Clients'!$A$5:$A$504,0)))&amp;"","ID not found"))</f>
        <v/>
      </c>
      <c r="F1091" s="51" t="str">
        <f aca="false">IF(C1091="","",IFERROR(IF(LEFT(C1091,1)="L",INDEX('Leads Pipeline'!$E$5:$E$1004,MATCH(C1091,'Leads Pipeline'!$A$5:$A$1004,0)),INDEX('Active Clients'!$C$5:$C$504,MATCH(C1091,'Active Clients'!$A$5:$A$504,0)))&amp;"","ID not found"))</f>
        <v/>
      </c>
      <c r="G1091" s="16"/>
      <c r="H1091" s="16"/>
      <c r="I1091" s="16"/>
      <c r="J1091" s="16"/>
      <c r="K1091" s="16"/>
      <c r="L1091" s="18"/>
    </row>
    <row r="1092" customFormat="false" ht="15" hidden="false" customHeight="false" outlineLevel="0" collapsed="false">
      <c r="A1092" s="18"/>
      <c r="B1092" s="16"/>
      <c r="C1092" s="16"/>
      <c r="D1092" s="51" t="str">
        <f aca="false">IF(C1092="","",IFERROR(IF(LEFT(C1092,1)="L",INDEX('Leads Pipeline'!$F$5:$F$1004,MATCH(C1092,'Leads Pipeline'!$A$5:$A$1004,0)),INDEX('Active Clients'!$D$5:$D$504,MATCH(C1092,'Active Clients'!$A$5:$A$504,0)))&amp;"","ID not found"))</f>
        <v/>
      </c>
      <c r="E1092" s="51" t="str">
        <f aca="false">IF(C1092="","",IFERROR(IF(LEFT(C1092,1)="L",INDEX('Leads Pipeline'!$D$5:$D$1004,MATCH(C1092,'Leads Pipeline'!$A$5:$A$1004,0)),INDEX('Active Clients'!$B$5:$B$504,MATCH(C1092,'Active Clients'!$A$5:$A$504,0)))&amp;"","ID not found"))</f>
        <v/>
      </c>
      <c r="F1092" s="51" t="str">
        <f aca="false">IF(C1092="","",IFERROR(IF(LEFT(C1092,1)="L",INDEX('Leads Pipeline'!$E$5:$E$1004,MATCH(C1092,'Leads Pipeline'!$A$5:$A$1004,0)),INDEX('Active Clients'!$C$5:$C$504,MATCH(C1092,'Active Clients'!$A$5:$A$504,0)))&amp;"","ID not found"))</f>
        <v/>
      </c>
      <c r="G1092" s="16"/>
      <c r="H1092" s="16"/>
      <c r="I1092" s="16"/>
      <c r="J1092" s="16"/>
      <c r="K1092" s="16"/>
      <c r="L1092" s="18"/>
    </row>
    <row r="1093" customFormat="false" ht="15" hidden="false" customHeight="false" outlineLevel="0" collapsed="false">
      <c r="A1093" s="18"/>
      <c r="B1093" s="16"/>
      <c r="C1093" s="16"/>
      <c r="D1093" s="51" t="str">
        <f aca="false">IF(C1093="","",IFERROR(IF(LEFT(C1093,1)="L",INDEX('Leads Pipeline'!$F$5:$F$1004,MATCH(C1093,'Leads Pipeline'!$A$5:$A$1004,0)),INDEX('Active Clients'!$D$5:$D$504,MATCH(C1093,'Active Clients'!$A$5:$A$504,0)))&amp;"","ID not found"))</f>
        <v/>
      </c>
      <c r="E1093" s="51" t="str">
        <f aca="false">IF(C1093="","",IFERROR(IF(LEFT(C1093,1)="L",INDEX('Leads Pipeline'!$D$5:$D$1004,MATCH(C1093,'Leads Pipeline'!$A$5:$A$1004,0)),INDEX('Active Clients'!$B$5:$B$504,MATCH(C1093,'Active Clients'!$A$5:$A$504,0)))&amp;"","ID not found"))</f>
        <v/>
      </c>
      <c r="F1093" s="51" t="str">
        <f aca="false">IF(C1093="","",IFERROR(IF(LEFT(C1093,1)="L",INDEX('Leads Pipeline'!$E$5:$E$1004,MATCH(C1093,'Leads Pipeline'!$A$5:$A$1004,0)),INDEX('Active Clients'!$C$5:$C$504,MATCH(C1093,'Active Clients'!$A$5:$A$504,0)))&amp;"","ID not found"))</f>
        <v/>
      </c>
      <c r="G1093" s="16"/>
      <c r="H1093" s="16"/>
      <c r="I1093" s="16"/>
      <c r="J1093" s="16"/>
      <c r="K1093" s="16"/>
      <c r="L1093" s="18"/>
    </row>
    <row r="1094" customFormat="false" ht="15" hidden="false" customHeight="false" outlineLevel="0" collapsed="false">
      <c r="A1094" s="18"/>
      <c r="B1094" s="16"/>
      <c r="C1094" s="16"/>
      <c r="D1094" s="51" t="str">
        <f aca="false">IF(C1094="","",IFERROR(IF(LEFT(C1094,1)="L",INDEX('Leads Pipeline'!$F$5:$F$1004,MATCH(C1094,'Leads Pipeline'!$A$5:$A$1004,0)),INDEX('Active Clients'!$D$5:$D$504,MATCH(C1094,'Active Clients'!$A$5:$A$504,0)))&amp;"","ID not found"))</f>
        <v/>
      </c>
      <c r="E1094" s="51" t="str">
        <f aca="false">IF(C1094="","",IFERROR(IF(LEFT(C1094,1)="L",INDEX('Leads Pipeline'!$D$5:$D$1004,MATCH(C1094,'Leads Pipeline'!$A$5:$A$1004,0)),INDEX('Active Clients'!$B$5:$B$504,MATCH(C1094,'Active Clients'!$A$5:$A$504,0)))&amp;"","ID not found"))</f>
        <v/>
      </c>
      <c r="F1094" s="51" t="str">
        <f aca="false">IF(C1094="","",IFERROR(IF(LEFT(C1094,1)="L",INDEX('Leads Pipeline'!$E$5:$E$1004,MATCH(C1094,'Leads Pipeline'!$A$5:$A$1004,0)),INDEX('Active Clients'!$C$5:$C$504,MATCH(C1094,'Active Clients'!$A$5:$A$504,0)))&amp;"","ID not found"))</f>
        <v/>
      </c>
      <c r="G1094" s="16"/>
      <c r="H1094" s="16"/>
      <c r="I1094" s="16"/>
      <c r="J1094" s="16"/>
      <c r="K1094" s="16"/>
      <c r="L1094" s="18"/>
    </row>
    <row r="1095" customFormat="false" ht="15" hidden="false" customHeight="false" outlineLevel="0" collapsed="false">
      <c r="A1095" s="18"/>
      <c r="B1095" s="16"/>
      <c r="C1095" s="16"/>
      <c r="D1095" s="51" t="str">
        <f aca="false">IF(C1095="","",IFERROR(IF(LEFT(C1095,1)="L",INDEX('Leads Pipeline'!$F$5:$F$1004,MATCH(C1095,'Leads Pipeline'!$A$5:$A$1004,0)),INDEX('Active Clients'!$D$5:$D$504,MATCH(C1095,'Active Clients'!$A$5:$A$504,0)))&amp;"","ID not found"))</f>
        <v/>
      </c>
      <c r="E1095" s="51" t="str">
        <f aca="false">IF(C1095="","",IFERROR(IF(LEFT(C1095,1)="L",INDEX('Leads Pipeline'!$D$5:$D$1004,MATCH(C1095,'Leads Pipeline'!$A$5:$A$1004,0)),INDEX('Active Clients'!$B$5:$B$504,MATCH(C1095,'Active Clients'!$A$5:$A$504,0)))&amp;"","ID not found"))</f>
        <v/>
      </c>
      <c r="F1095" s="51" t="str">
        <f aca="false">IF(C1095="","",IFERROR(IF(LEFT(C1095,1)="L",INDEX('Leads Pipeline'!$E$5:$E$1004,MATCH(C1095,'Leads Pipeline'!$A$5:$A$1004,0)),INDEX('Active Clients'!$C$5:$C$504,MATCH(C1095,'Active Clients'!$A$5:$A$504,0)))&amp;"","ID not found"))</f>
        <v/>
      </c>
      <c r="G1095" s="16"/>
      <c r="H1095" s="16"/>
      <c r="I1095" s="16"/>
      <c r="J1095" s="16"/>
      <c r="K1095" s="16"/>
      <c r="L1095" s="18"/>
    </row>
    <row r="1096" customFormat="false" ht="15" hidden="false" customHeight="false" outlineLevel="0" collapsed="false">
      <c r="A1096" s="18"/>
      <c r="B1096" s="16"/>
      <c r="C1096" s="16"/>
      <c r="D1096" s="51" t="str">
        <f aca="false">IF(C1096="","",IFERROR(IF(LEFT(C1096,1)="L",INDEX('Leads Pipeline'!$F$5:$F$1004,MATCH(C1096,'Leads Pipeline'!$A$5:$A$1004,0)),INDEX('Active Clients'!$D$5:$D$504,MATCH(C1096,'Active Clients'!$A$5:$A$504,0)))&amp;"","ID not found"))</f>
        <v/>
      </c>
      <c r="E1096" s="51" t="str">
        <f aca="false">IF(C1096="","",IFERROR(IF(LEFT(C1096,1)="L",INDEX('Leads Pipeline'!$D$5:$D$1004,MATCH(C1096,'Leads Pipeline'!$A$5:$A$1004,0)),INDEX('Active Clients'!$B$5:$B$504,MATCH(C1096,'Active Clients'!$A$5:$A$504,0)))&amp;"","ID not found"))</f>
        <v/>
      </c>
      <c r="F1096" s="51" t="str">
        <f aca="false">IF(C1096="","",IFERROR(IF(LEFT(C1096,1)="L",INDEX('Leads Pipeline'!$E$5:$E$1004,MATCH(C1096,'Leads Pipeline'!$A$5:$A$1004,0)),INDEX('Active Clients'!$C$5:$C$504,MATCH(C1096,'Active Clients'!$A$5:$A$504,0)))&amp;"","ID not found"))</f>
        <v/>
      </c>
      <c r="G1096" s="16"/>
      <c r="H1096" s="16"/>
      <c r="I1096" s="16"/>
      <c r="J1096" s="16"/>
      <c r="K1096" s="16"/>
      <c r="L1096" s="18"/>
    </row>
    <row r="1097" customFormat="false" ht="15" hidden="false" customHeight="false" outlineLevel="0" collapsed="false">
      <c r="A1097" s="18"/>
      <c r="B1097" s="16"/>
      <c r="C1097" s="16"/>
      <c r="D1097" s="51" t="str">
        <f aca="false">IF(C1097="","",IFERROR(IF(LEFT(C1097,1)="L",INDEX('Leads Pipeline'!$F$5:$F$1004,MATCH(C1097,'Leads Pipeline'!$A$5:$A$1004,0)),INDEX('Active Clients'!$D$5:$D$504,MATCH(C1097,'Active Clients'!$A$5:$A$504,0)))&amp;"","ID not found"))</f>
        <v/>
      </c>
      <c r="E1097" s="51" t="str">
        <f aca="false">IF(C1097="","",IFERROR(IF(LEFT(C1097,1)="L",INDEX('Leads Pipeline'!$D$5:$D$1004,MATCH(C1097,'Leads Pipeline'!$A$5:$A$1004,0)),INDEX('Active Clients'!$B$5:$B$504,MATCH(C1097,'Active Clients'!$A$5:$A$504,0)))&amp;"","ID not found"))</f>
        <v/>
      </c>
      <c r="F1097" s="51" t="str">
        <f aca="false">IF(C1097="","",IFERROR(IF(LEFT(C1097,1)="L",INDEX('Leads Pipeline'!$E$5:$E$1004,MATCH(C1097,'Leads Pipeline'!$A$5:$A$1004,0)),INDEX('Active Clients'!$C$5:$C$504,MATCH(C1097,'Active Clients'!$A$5:$A$504,0)))&amp;"","ID not found"))</f>
        <v/>
      </c>
      <c r="G1097" s="16"/>
      <c r="H1097" s="16"/>
      <c r="I1097" s="16"/>
      <c r="J1097" s="16"/>
      <c r="K1097" s="16"/>
      <c r="L1097" s="18"/>
    </row>
    <row r="1098" customFormat="false" ht="15" hidden="false" customHeight="false" outlineLevel="0" collapsed="false">
      <c r="A1098" s="18"/>
      <c r="B1098" s="16"/>
      <c r="C1098" s="16"/>
      <c r="D1098" s="51" t="str">
        <f aca="false">IF(C1098="","",IFERROR(IF(LEFT(C1098,1)="L",INDEX('Leads Pipeline'!$F$5:$F$1004,MATCH(C1098,'Leads Pipeline'!$A$5:$A$1004,0)),INDEX('Active Clients'!$D$5:$D$504,MATCH(C1098,'Active Clients'!$A$5:$A$504,0)))&amp;"","ID not found"))</f>
        <v/>
      </c>
      <c r="E1098" s="51" t="str">
        <f aca="false">IF(C1098="","",IFERROR(IF(LEFT(C1098,1)="L",INDEX('Leads Pipeline'!$D$5:$D$1004,MATCH(C1098,'Leads Pipeline'!$A$5:$A$1004,0)),INDEX('Active Clients'!$B$5:$B$504,MATCH(C1098,'Active Clients'!$A$5:$A$504,0)))&amp;"","ID not found"))</f>
        <v/>
      </c>
      <c r="F1098" s="51" t="str">
        <f aca="false">IF(C1098="","",IFERROR(IF(LEFT(C1098,1)="L",INDEX('Leads Pipeline'!$E$5:$E$1004,MATCH(C1098,'Leads Pipeline'!$A$5:$A$1004,0)),INDEX('Active Clients'!$C$5:$C$504,MATCH(C1098,'Active Clients'!$A$5:$A$504,0)))&amp;"","ID not found"))</f>
        <v/>
      </c>
      <c r="G1098" s="16"/>
      <c r="H1098" s="16"/>
      <c r="I1098" s="16"/>
      <c r="J1098" s="16"/>
      <c r="K1098" s="16"/>
      <c r="L1098" s="18"/>
    </row>
    <row r="1099" customFormat="false" ht="15" hidden="false" customHeight="false" outlineLevel="0" collapsed="false">
      <c r="A1099" s="18"/>
      <c r="B1099" s="16"/>
      <c r="C1099" s="16"/>
      <c r="D1099" s="51" t="str">
        <f aca="false">IF(C1099="","",IFERROR(IF(LEFT(C1099,1)="L",INDEX('Leads Pipeline'!$F$5:$F$1004,MATCH(C1099,'Leads Pipeline'!$A$5:$A$1004,0)),INDEX('Active Clients'!$D$5:$D$504,MATCH(C1099,'Active Clients'!$A$5:$A$504,0)))&amp;"","ID not found"))</f>
        <v/>
      </c>
      <c r="E1099" s="51" t="str">
        <f aca="false">IF(C1099="","",IFERROR(IF(LEFT(C1099,1)="L",INDEX('Leads Pipeline'!$D$5:$D$1004,MATCH(C1099,'Leads Pipeline'!$A$5:$A$1004,0)),INDEX('Active Clients'!$B$5:$B$504,MATCH(C1099,'Active Clients'!$A$5:$A$504,0)))&amp;"","ID not found"))</f>
        <v/>
      </c>
      <c r="F1099" s="51" t="str">
        <f aca="false">IF(C1099="","",IFERROR(IF(LEFT(C1099,1)="L",INDEX('Leads Pipeline'!$E$5:$E$1004,MATCH(C1099,'Leads Pipeline'!$A$5:$A$1004,0)),INDEX('Active Clients'!$C$5:$C$504,MATCH(C1099,'Active Clients'!$A$5:$A$504,0)))&amp;"","ID not found"))</f>
        <v/>
      </c>
      <c r="G1099" s="16"/>
      <c r="H1099" s="16"/>
      <c r="I1099" s="16"/>
      <c r="J1099" s="16"/>
      <c r="K1099" s="16"/>
      <c r="L1099" s="18"/>
    </row>
    <row r="1100" customFormat="false" ht="15" hidden="false" customHeight="false" outlineLevel="0" collapsed="false">
      <c r="A1100" s="18"/>
      <c r="B1100" s="16"/>
      <c r="C1100" s="16"/>
      <c r="D1100" s="51" t="str">
        <f aca="false">IF(C1100="","",IFERROR(IF(LEFT(C1100,1)="L",INDEX('Leads Pipeline'!$F$5:$F$1004,MATCH(C1100,'Leads Pipeline'!$A$5:$A$1004,0)),INDEX('Active Clients'!$D$5:$D$504,MATCH(C1100,'Active Clients'!$A$5:$A$504,0)))&amp;"","ID not found"))</f>
        <v/>
      </c>
      <c r="E1100" s="51" t="str">
        <f aca="false">IF(C1100="","",IFERROR(IF(LEFT(C1100,1)="L",INDEX('Leads Pipeline'!$D$5:$D$1004,MATCH(C1100,'Leads Pipeline'!$A$5:$A$1004,0)),INDEX('Active Clients'!$B$5:$B$504,MATCH(C1100,'Active Clients'!$A$5:$A$504,0)))&amp;"","ID not found"))</f>
        <v/>
      </c>
      <c r="F1100" s="51" t="str">
        <f aca="false">IF(C1100="","",IFERROR(IF(LEFT(C1100,1)="L",INDEX('Leads Pipeline'!$E$5:$E$1004,MATCH(C1100,'Leads Pipeline'!$A$5:$A$1004,0)),INDEX('Active Clients'!$C$5:$C$504,MATCH(C1100,'Active Clients'!$A$5:$A$504,0)))&amp;"","ID not found"))</f>
        <v/>
      </c>
      <c r="G1100" s="16"/>
      <c r="H1100" s="16"/>
      <c r="I1100" s="16"/>
      <c r="J1100" s="16"/>
      <c r="K1100" s="16"/>
      <c r="L1100" s="18"/>
    </row>
    <row r="1101" customFormat="false" ht="15" hidden="false" customHeight="false" outlineLevel="0" collapsed="false">
      <c r="A1101" s="18"/>
      <c r="B1101" s="16"/>
      <c r="C1101" s="16"/>
      <c r="D1101" s="51" t="str">
        <f aca="false">IF(C1101="","",IFERROR(IF(LEFT(C1101,1)="L",INDEX('Leads Pipeline'!$F$5:$F$1004,MATCH(C1101,'Leads Pipeline'!$A$5:$A$1004,0)),INDEX('Active Clients'!$D$5:$D$504,MATCH(C1101,'Active Clients'!$A$5:$A$504,0)))&amp;"","ID not found"))</f>
        <v/>
      </c>
      <c r="E1101" s="51" t="str">
        <f aca="false">IF(C1101="","",IFERROR(IF(LEFT(C1101,1)="L",INDEX('Leads Pipeline'!$D$5:$D$1004,MATCH(C1101,'Leads Pipeline'!$A$5:$A$1004,0)),INDEX('Active Clients'!$B$5:$B$504,MATCH(C1101,'Active Clients'!$A$5:$A$504,0)))&amp;"","ID not found"))</f>
        <v/>
      </c>
      <c r="F1101" s="51" t="str">
        <f aca="false">IF(C1101="","",IFERROR(IF(LEFT(C1101,1)="L",INDEX('Leads Pipeline'!$E$5:$E$1004,MATCH(C1101,'Leads Pipeline'!$A$5:$A$1004,0)),INDEX('Active Clients'!$C$5:$C$504,MATCH(C1101,'Active Clients'!$A$5:$A$504,0)))&amp;"","ID not found"))</f>
        <v/>
      </c>
      <c r="G1101" s="16"/>
      <c r="H1101" s="16"/>
      <c r="I1101" s="16"/>
      <c r="J1101" s="16"/>
      <c r="K1101" s="16"/>
      <c r="L1101" s="18"/>
    </row>
    <row r="1102" customFormat="false" ht="15" hidden="false" customHeight="false" outlineLevel="0" collapsed="false">
      <c r="A1102" s="18"/>
      <c r="B1102" s="16"/>
      <c r="C1102" s="16"/>
      <c r="D1102" s="51" t="str">
        <f aca="false">IF(C1102="","",IFERROR(IF(LEFT(C1102,1)="L",INDEX('Leads Pipeline'!$F$5:$F$1004,MATCH(C1102,'Leads Pipeline'!$A$5:$A$1004,0)),INDEX('Active Clients'!$D$5:$D$504,MATCH(C1102,'Active Clients'!$A$5:$A$504,0)))&amp;"","ID not found"))</f>
        <v/>
      </c>
      <c r="E1102" s="51" t="str">
        <f aca="false">IF(C1102="","",IFERROR(IF(LEFT(C1102,1)="L",INDEX('Leads Pipeline'!$D$5:$D$1004,MATCH(C1102,'Leads Pipeline'!$A$5:$A$1004,0)),INDEX('Active Clients'!$B$5:$B$504,MATCH(C1102,'Active Clients'!$A$5:$A$504,0)))&amp;"","ID not found"))</f>
        <v/>
      </c>
      <c r="F1102" s="51" t="str">
        <f aca="false">IF(C1102="","",IFERROR(IF(LEFT(C1102,1)="L",INDEX('Leads Pipeline'!$E$5:$E$1004,MATCH(C1102,'Leads Pipeline'!$A$5:$A$1004,0)),INDEX('Active Clients'!$C$5:$C$504,MATCH(C1102,'Active Clients'!$A$5:$A$504,0)))&amp;"","ID not found"))</f>
        <v/>
      </c>
      <c r="G1102" s="16"/>
      <c r="H1102" s="16"/>
      <c r="I1102" s="16"/>
      <c r="J1102" s="16"/>
      <c r="K1102" s="16"/>
      <c r="L1102" s="18"/>
    </row>
    <row r="1103" customFormat="false" ht="15" hidden="false" customHeight="false" outlineLevel="0" collapsed="false">
      <c r="A1103" s="18"/>
      <c r="B1103" s="16"/>
      <c r="C1103" s="16"/>
      <c r="D1103" s="51" t="str">
        <f aca="false">IF(C1103="","",IFERROR(IF(LEFT(C1103,1)="L",INDEX('Leads Pipeline'!$F$5:$F$1004,MATCH(C1103,'Leads Pipeline'!$A$5:$A$1004,0)),INDEX('Active Clients'!$D$5:$D$504,MATCH(C1103,'Active Clients'!$A$5:$A$504,0)))&amp;"","ID not found"))</f>
        <v/>
      </c>
      <c r="E1103" s="51" t="str">
        <f aca="false">IF(C1103="","",IFERROR(IF(LEFT(C1103,1)="L",INDEX('Leads Pipeline'!$D$5:$D$1004,MATCH(C1103,'Leads Pipeline'!$A$5:$A$1004,0)),INDEX('Active Clients'!$B$5:$B$504,MATCH(C1103,'Active Clients'!$A$5:$A$504,0)))&amp;"","ID not found"))</f>
        <v/>
      </c>
      <c r="F1103" s="51" t="str">
        <f aca="false">IF(C1103="","",IFERROR(IF(LEFT(C1103,1)="L",INDEX('Leads Pipeline'!$E$5:$E$1004,MATCH(C1103,'Leads Pipeline'!$A$5:$A$1004,0)),INDEX('Active Clients'!$C$5:$C$504,MATCH(C1103,'Active Clients'!$A$5:$A$504,0)))&amp;"","ID not found"))</f>
        <v/>
      </c>
      <c r="G1103" s="16"/>
      <c r="H1103" s="16"/>
      <c r="I1103" s="16"/>
      <c r="J1103" s="16"/>
      <c r="K1103" s="16"/>
      <c r="L1103" s="18"/>
    </row>
    <row r="1104" customFormat="false" ht="15" hidden="false" customHeight="false" outlineLevel="0" collapsed="false">
      <c r="A1104" s="18"/>
      <c r="B1104" s="16"/>
      <c r="C1104" s="16"/>
      <c r="D1104" s="51" t="str">
        <f aca="false">IF(C1104="","",IFERROR(IF(LEFT(C1104,1)="L",INDEX('Leads Pipeline'!$F$5:$F$1004,MATCH(C1104,'Leads Pipeline'!$A$5:$A$1004,0)),INDEX('Active Clients'!$D$5:$D$504,MATCH(C1104,'Active Clients'!$A$5:$A$504,0)))&amp;"","ID not found"))</f>
        <v/>
      </c>
      <c r="E1104" s="51" t="str">
        <f aca="false">IF(C1104="","",IFERROR(IF(LEFT(C1104,1)="L",INDEX('Leads Pipeline'!$D$5:$D$1004,MATCH(C1104,'Leads Pipeline'!$A$5:$A$1004,0)),INDEX('Active Clients'!$B$5:$B$504,MATCH(C1104,'Active Clients'!$A$5:$A$504,0)))&amp;"","ID not found"))</f>
        <v/>
      </c>
      <c r="F1104" s="51" t="str">
        <f aca="false">IF(C1104="","",IFERROR(IF(LEFT(C1104,1)="L",INDEX('Leads Pipeline'!$E$5:$E$1004,MATCH(C1104,'Leads Pipeline'!$A$5:$A$1004,0)),INDEX('Active Clients'!$C$5:$C$504,MATCH(C1104,'Active Clients'!$A$5:$A$504,0)))&amp;"","ID not found"))</f>
        <v/>
      </c>
      <c r="G1104" s="16"/>
      <c r="H1104" s="16"/>
      <c r="I1104" s="16"/>
      <c r="J1104" s="16"/>
      <c r="K1104" s="16"/>
      <c r="L1104" s="18"/>
    </row>
    <row r="1105" customFormat="false" ht="15" hidden="false" customHeight="false" outlineLevel="0" collapsed="false">
      <c r="A1105" s="18"/>
      <c r="B1105" s="16"/>
      <c r="C1105" s="16"/>
      <c r="D1105" s="51" t="str">
        <f aca="false">IF(C1105="","",IFERROR(IF(LEFT(C1105,1)="L",INDEX('Leads Pipeline'!$F$5:$F$1004,MATCH(C1105,'Leads Pipeline'!$A$5:$A$1004,0)),INDEX('Active Clients'!$D$5:$D$504,MATCH(C1105,'Active Clients'!$A$5:$A$504,0)))&amp;"","ID not found"))</f>
        <v/>
      </c>
      <c r="E1105" s="51" t="str">
        <f aca="false">IF(C1105="","",IFERROR(IF(LEFT(C1105,1)="L",INDEX('Leads Pipeline'!$D$5:$D$1004,MATCH(C1105,'Leads Pipeline'!$A$5:$A$1004,0)),INDEX('Active Clients'!$B$5:$B$504,MATCH(C1105,'Active Clients'!$A$5:$A$504,0)))&amp;"","ID not found"))</f>
        <v/>
      </c>
      <c r="F1105" s="51" t="str">
        <f aca="false">IF(C1105="","",IFERROR(IF(LEFT(C1105,1)="L",INDEX('Leads Pipeline'!$E$5:$E$1004,MATCH(C1105,'Leads Pipeline'!$A$5:$A$1004,0)),INDEX('Active Clients'!$C$5:$C$504,MATCH(C1105,'Active Clients'!$A$5:$A$504,0)))&amp;"","ID not found"))</f>
        <v/>
      </c>
      <c r="G1105" s="16"/>
      <c r="H1105" s="16"/>
      <c r="I1105" s="16"/>
      <c r="J1105" s="16"/>
      <c r="K1105" s="16"/>
      <c r="L1105" s="18"/>
    </row>
    <row r="1106" customFormat="false" ht="15" hidden="false" customHeight="false" outlineLevel="0" collapsed="false">
      <c r="A1106" s="18"/>
      <c r="B1106" s="16"/>
      <c r="C1106" s="16"/>
      <c r="D1106" s="51" t="str">
        <f aca="false">IF(C1106="","",IFERROR(IF(LEFT(C1106,1)="L",INDEX('Leads Pipeline'!$F$5:$F$1004,MATCH(C1106,'Leads Pipeline'!$A$5:$A$1004,0)),INDEX('Active Clients'!$D$5:$D$504,MATCH(C1106,'Active Clients'!$A$5:$A$504,0)))&amp;"","ID not found"))</f>
        <v/>
      </c>
      <c r="E1106" s="51" t="str">
        <f aca="false">IF(C1106="","",IFERROR(IF(LEFT(C1106,1)="L",INDEX('Leads Pipeline'!$D$5:$D$1004,MATCH(C1106,'Leads Pipeline'!$A$5:$A$1004,0)),INDEX('Active Clients'!$B$5:$B$504,MATCH(C1106,'Active Clients'!$A$5:$A$504,0)))&amp;"","ID not found"))</f>
        <v/>
      </c>
      <c r="F1106" s="51" t="str">
        <f aca="false">IF(C1106="","",IFERROR(IF(LEFT(C1106,1)="L",INDEX('Leads Pipeline'!$E$5:$E$1004,MATCH(C1106,'Leads Pipeline'!$A$5:$A$1004,0)),INDEX('Active Clients'!$C$5:$C$504,MATCH(C1106,'Active Clients'!$A$5:$A$504,0)))&amp;"","ID not found"))</f>
        <v/>
      </c>
      <c r="G1106" s="16"/>
      <c r="H1106" s="16"/>
      <c r="I1106" s="16"/>
      <c r="J1106" s="16"/>
      <c r="K1106" s="16"/>
      <c r="L1106" s="18"/>
    </row>
    <row r="1107" customFormat="false" ht="15" hidden="false" customHeight="false" outlineLevel="0" collapsed="false">
      <c r="A1107" s="18"/>
      <c r="B1107" s="16"/>
      <c r="C1107" s="16"/>
      <c r="D1107" s="51" t="str">
        <f aca="false">IF(C1107="","",IFERROR(IF(LEFT(C1107,1)="L",INDEX('Leads Pipeline'!$F$5:$F$1004,MATCH(C1107,'Leads Pipeline'!$A$5:$A$1004,0)),INDEX('Active Clients'!$D$5:$D$504,MATCH(C1107,'Active Clients'!$A$5:$A$504,0)))&amp;"","ID not found"))</f>
        <v/>
      </c>
      <c r="E1107" s="51" t="str">
        <f aca="false">IF(C1107="","",IFERROR(IF(LEFT(C1107,1)="L",INDEX('Leads Pipeline'!$D$5:$D$1004,MATCH(C1107,'Leads Pipeline'!$A$5:$A$1004,0)),INDEX('Active Clients'!$B$5:$B$504,MATCH(C1107,'Active Clients'!$A$5:$A$504,0)))&amp;"","ID not found"))</f>
        <v/>
      </c>
      <c r="F1107" s="51" t="str">
        <f aca="false">IF(C1107="","",IFERROR(IF(LEFT(C1107,1)="L",INDEX('Leads Pipeline'!$E$5:$E$1004,MATCH(C1107,'Leads Pipeline'!$A$5:$A$1004,0)),INDEX('Active Clients'!$C$5:$C$504,MATCH(C1107,'Active Clients'!$A$5:$A$504,0)))&amp;"","ID not found"))</f>
        <v/>
      </c>
      <c r="G1107" s="16"/>
      <c r="H1107" s="16"/>
      <c r="I1107" s="16"/>
      <c r="J1107" s="16"/>
      <c r="K1107" s="16"/>
      <c r="L1107" s="18"/>
    </row>
    <row r="1108" customFormat="false" ht="15" hidden="false" customHeight="false" outlineLevel="0" collapsed="false">
      <c r="A1108" s="18"/>
      <c r="B1108" s="16"/>
      <c r="C1108" s="16"/>
      <c r="D1108" s="51" t="str">
        <f aca="false">IF(C1108="","",IFERROR(IF(LEFT(C1108,1)="L",INDEX('Leads Pipeline'!$F$5:$F$1004,MATCH(C1108,'Leads Pipeline'!$A$5:$A$1004,0)),INDEX('Active Clients'!$D$5:$D$504,MATCH(C1108,'Active Clients'!$A$5:$A$504,0)))&amp;"","ID not found"))</f>
        <v/>
      </c>
      <c r="E1108" s="51" t="str">
        <f aca="false">IF(C1108="","",IFERROR(IF(LEFT(C1108,1)="L",INDEX('Leads Pipeline'!$D$5:$D$1004,MATCH(C1108,'Leads Pipeline'!$A$5:$A$1004,0)),INDEX('Active Clients'!$B$5:$B$504,MATCH(C1108,'Active Clients'!$A$5:$A$504,0)))&amp;"","ID not found"))</f>
        <v/>
      </c>
      <c r="F1108" s="51" t="str">
        <f aca="false">IF(C1108="","",IFERROR(IF(LEFT(C1108,1)="L",INDEX('Leads Pipeline'!$E$5:$E$1004,MATCH(C1108,'Leads Pipeline'!$A$5:$A$1004,0)),INDEX('Active Clients'!$C$5:$C$504,MATCH(C1108,'Active Clients'!$A$5:$A$504,0)))&amp;"","ID not found"))</f>
        <v/>
      </c>
      <c r="G1108" s="16"/>
      <c r="H1108" s="16"/>
      <c r="I1108" s="16"/>
      <c r="J1108" s="16"/>
      <c r="K1108" s="16"/>
      <c r="L1108" s="18"/>
    </row>
    <row r="1109" customFormat="false" ht="15" hidden="false" customHeight="false" outlineLevel="0" collapsed="false">
      <c r="A1109" s="18"/>
      <c r="B1109" s="16"/>
      <c r="C1109" s="16"/>
      <c r="D1109" s="51" t="str">
        <f aca="false">IF(C1109="","",IFERROR(IF(LEFT(C1109,1)="L",INDEX('Leads Pipeline'!$F$5:$F$1004,MATCH(C1109,'Leads Pipeline'!$A$5:$A$1004,0)),INDEX('Active Clients'!$D$5:$D$504,MATCH(C1109,'Active Clients'!$A$5:$A$504,0)))&amp;"","ID not found"))</f>
        <v/>
      </c>
      <c r="E1109" s="51" t="str">
        <f aca="false">IF(C1109="","",IFERROR(IF(LEFT(C1109,1)="L",INDEX('Leads Pipeline'!$D$5:$D$1004,MATCH(C1109,'Leads Pipeline'!$A$5:$A$1004,0)),INDEX('Active Clients'!$B$5:$B$504,MATCH(C1109,'Active Clients'!$A$5:$A$504,0)))&amp;"","ID not found"))</f>
        <v/>
      </c>
      <c r="F1109" s="51" t="str">
        <f aca="false">IF(C1109="","",IFERROR(IF(LEFT(C1109,1)="L",INDEX('Leads Pipeline'!$E$5:$E$1004,MATCH(C1109,'Leads Pipeline'!$A$5:$A$1004,0)),INDEX('Active Clients'!$C$5:$C$504,MATCH(C1109,'Active Clients'!$A$5:$A$504,0)))&amp;"","ID not found"))</f>
        <v/>
      </c>
      <c r="G1109" s="16"/>
      <c r="H1109" s="16"/>
      <c r="I1109" s="16"/>
      <c r="J1109" s="16"/>
      <c r="K1109" s="16"/>
      <c r="L1109" s="18"/>
    </row>
    <row r="1110" customFormat="false" ht="15" hidden="false" customHeight="false" outlineLevel="0" collapsed="false">
      <c r="A1110" s="18"/>
      <c r="B1110" s="16"/>
      <c r="C1110" s="16"/>
      <c r="D1110" s="51" t="str">
        <f aca="false">IF(C1110="","",IFERROR(IF(LEFT(C1110,1)="L",INDEX('Leads Pipeline'!$F$5:$F$1004,MATCH(C1110,'Leads Pipeline'!$A$5:$A$1004,0)),INDEX('Active Clients'!$D$5:$D$504,MATCH(C1110,'Active Clients'!$A$5:$A$504,0)))&amp;"","ID not found"))</f>
        <v/>
      </c>
      <c r="E1110" s="51" t="str">
        <f aca="false">IF(C1110="","",IFERROR(IF(LEFT(C1110,1)="L",INDEX('Leads Pipeline'!$D$5:$D$1004,MATCH(C1110,'Leads Pipeline'!$A$5:$A$1004,0)),INDEX('Active Clients'!$B$5:$B$504,MATCH(C1110,'Active Clients'!$A$5:$A$504,0)))&amp;"","ID not found"))</f>
        <v/>
      </c>
      <c r="F1110" s="51" t="str">
        <f aca="false">IF(C1110="","",IFERROR(IF(LEFT(C1110,1)="L",INDEX('Leads Pipeline'!$E$5:$E$1004,MATCH(C1110,'Leads Pipeline'!$A$5:$A$1004,0)),INDEX('Active Clients'!$C$5:$C$504,MATCH(C1110,'Active Clients'!$A$5:$A$504,0)))&amp;"","ID not found"))</f>
        <v/>
      </c>
      <c r="G1110" s="16"/>
      <c r="H1110" s="16"/>
      <c r="I1110" s="16"/>
      <c r="J1110" s="16"/>
      <c r="K1110" s="16"/>
      <c r="L1110" s="18"/>
    </row>
    <row r="1111" customFormat="false" ht="15" hidden="false" customHeight="false" outlineLevel="0" collapsed="false">
      <c r="A1111" s="18"/>
      <c r="B1111" s="16"/>
      <c r="C1111" s="16"/>
      <c r="D1111" s="51" t="str">
        <f aca="false">IF(C1111="","",IFERROR(IF(LEFT(C1111,1)="L",INDEX('Leads Pipeline'!$F$5:$F$1004,MATCH(C1111,'Leads Pipeline'!$A$5:$A$1004,0)),INDEX('Active Clients'!$D$5:$D$504,MATCH(C1111,'Active Clients'!$A$5:$A$504,0)))&amp;"","ID not found"))</f>
        <v/>
      </c>
      <c r="E1111" s="51" t="str">
        <f aca="false">IF(C1111="","",IFERROR(IF(LEFT(C1111,1)="L",INDEX('Leads Pipeline'!$D$5:$D$1004,MATCH(C1111,'Leads Pipeline'!$A$5:$A$1004,0)),INDEX('Active Clients'!$B$5:$B$504,MATCH(C1111,'Active Clients'!$A$5:$A$504,0)))&amp;"","ID not found"))</f>
        <v/>
      </c>
      <c r="F1111" s="51" t="str">
        <f aca="false">IF(C1111="","",IFERROR(IF(LEFT(C1111,1)="L",INDEX('Leads Pipeline'!$E$5:$E$1004,MATCH(C1111,'Leads Pipeline'!$A$5:$A$1004,0)),INDEX('Active Clients'!$C$5:$C$504,MATCH(C1111,'Active Clients'!$A$5:$A$504,0)))&amp;"","ID not found"))</f>
        <v/>
      </c>
      <c r="G1111" s="16"/>
      <c r="H1111" s="16"/>
      <c r="I1111" s="16"/>
      <c r="J1111" s="16"/>
      <c r="K1111" s="16"/>
      <c r="L1111" s="18"/>
    </row>
    <row r="1112" customFormat="false" ht="15" hidden="false" customHeight="false" outlineLevel="0" collapsed="false">
      <c r="A1112" s="18"/>
      <c r="B1112" s="16"/>
      <c r="C1112" s="16"/>
      <c r="D1112" s="51" t="str">
        <f aca="false">IF(C1112="","",IFERROR(IF(LEFT(C1112,1)="L",INDEX('Leads Pipeline'!$F$5:$F$1004,MATCH(C1112,'Leads Pipeline'!$A$5:$A$1004,0)),INDEX('Active Clients'!$D$5:$D$504,MATCH(C1112,'Active Clients'!$A$5:$A$504,0)))&amp;"","ID not found"))</f>
        <v/>
      </c>
      <c r="E1112" s="51" t="str">
        <f aca="false">IF(C1112="","",IFERROR(IF(LEFT(C1112,1)="L",INDEX('Leads Pipeline'!$D$5:$D$1004,MATCH(C1112,'Leads Pipeline'!$A$5:$A$1004,0)),INDEX('Active Clients'!$B$5:$B$504,MATCH(C1112,'Active Clients'!$A$5:$A$504,0)))&amp;"","ID not found"))</f>
        <v/>
      </c>
      <c r="F1112" s="51" t="str">
        <f aca="false">IF(C1112="","",IFERROR(IF(LEFT(C1112,1)="L",INDEX('Leads Pipeline'!$E$5:$E$1004,MATCH(C1112,'Leads Pipeline'!$A$5:$A$1004,0)),INDEX('Active Clients'!$C$5:$C$504,MATCH(C1112,'Active Clients'!$A$5:$A$504,0)))&amp;"","ID not found"))</f>
        <v/>
      </c>
      <c r="G1112" s="16"/>
      <c r="H1112" s="16"/>
      <c r="I1112" s="16"/>
      <c r="J1112" s="16"/>
      <c r="K1112" s="16"/>
      <c r="L1112" s="18"/>
    </row>
    <row r="1113" customFormat="false" ht="15" hidden="false" customHeight="false" outlineLevel="0" collapsed="false">
      <c r="A1113" s="18"/>
      <c r="B1113" s="16"/>
      <c r="C1113" s="16"/>
      <c r="D1113" s="51" t="str">
        <f aca="false">IF(C1113="","",IFERROR(IF(LEFT(C1113,1)="L",INDEX('Leads Pipeline'!$F$5:$F$1004,MATCH(C1113,'Leads Pipeline'!$A$5:$A$1004,0)),INDEX('Active Clients'!$D$5:$D$504,MATCH(C1113,'Active Clients'!$A$5:$A$504,0)))&amp;"","ID not found"))</f>
        <v/>
      </c>
      <c r="E1113" s="51" t="str">
        <f aca="false">IF(C1113="","",IFERROR(IF(LEFT(C1113,1)="L",INDEX('Leads Pipeline'!$D$5:$D$1004,MATCH(C1113,'Leads Pipeline'!$A$5:$A$1004,0)),INDEX('Active Clients'!$B$5:$B$504,MATCH(C1113,'Active Clients'!$A$5:$A$504,0)))&amp;"","ID not found"))</f>
        <v/>
      </c>
      <c r="F1113" s="51" t="str">
        <f aca="false">IF(C1113="","",IFERROR(IF(LEFT(C1113,1)="L",INDEX('Leads Pipeline'!$E$5:$E$1004,MATCH(C1113,'Leads Pipeline'!$A$5:$A$1004,0)),INDEX('Active Clients'!$C$5:$C$504,MATCH(C1113,'Active Clients'!$A$5:$A$504,0)))&amp;"","ID not found"))</f>
        <v/>
      </c>
      <c r="G1113" s="16"/>
      <c r="H1113" s="16"/>
      <c r="I1113" s="16"/>
      <c r="J1113" s="16"/>
      <c r="K1113" s="16"/>
      <c r="L1113" s="18"/>
    </row>
    <row r="1114" customFormat="false" ht="15" hidden="false" customHeight="false" outlineLevel="0" collapsed="false">
      <c r="A1114" s="18"/>
      <c r="B1114" s="16"/>
      <c r="C1114" s="16"/>
      <c r="D1114" s="51" t="str">
        <f aca="false">IF(C1114="","",IFERROR(IF(LEFT(C1114,1)="L",INDEX('Leads Pipeline'!$F$5:$F$1004,MATCH(C1114,'Leads Pipeline'!$A$5:$A$1004,0)),INDEX('Active Clients'!$D$5:$D$504,MATCH(C1114,'Active Clients'!$A$5:$A$504,0)))&amp;"","ID not found"))</f>
        <v/>
      </c>
      <c r="E1114" s="51" t="str">
        <f aca="false">IF(C1114="","",IFERROR(IF(LEFT(C1114,1)="L",INDEX('Leads Pipeline'!$D$5:$D$1004,MATCH(C1114,'Leads Pipeline'!$A$5:$A$1004,0)),INDEX('Active Clients'!$B$5:$B$504,MATCH(C1114,'Active Clients'!$A$5:$A$504,0)))&amp;"","ID not found"))</f>
        <v/>
      </c>
      <c r="F1114" s="51" t="str">
        <f aca="false">IF(C1114="","",IFERROR(IF(LEFT(C1114,1)="L",INDEX('Leads Pipeline'!$E$5:$E$1004,MATCH(C1114,'Leads Pipeline'!$A$5:$A$1004,0)),INDEX('Active Clients'!$C$5:$C$504,MATCH(C1114,'Active Clients'!$A$5:$A$504,0)))&amp;"","ID not found"))</f>
        <v/>
      </c>
      <c r="G1114" s="16"/>
      <c r="H1114" s="16"/>
      <c r="I1114" s="16"/>
      <c r="J1114" s="16"/>
      <c r="K1114" s="16"/>
      <c r="L1114" s="18"/>
    </row>
    <row r="1115" customFormat="false" ht="15" hidden="false" customHeight="false" outlineLevel="0" collapsed="false">
      <c r="A1115" s="18"/>
      <c r="B1115" s="16"/>
      <c r="C1115" s="16"/>
      <c r="D1115" s="51" t="str">
        <f aca="false">IF(C1115="","",IFERROR(IF(LEFT(C1115,1)="L",INDEX('Leads Pipeline'!$F$5:$F$1004,MATCH(C1115,'Leads Pipeline'!$A$5:$A$1004,0)),INDEX('Active Clients'!$D$5:$D$504,MATCH(C1115,'Active Clients'!$A$5:$A$504,0)))&amp;"","ID not found"))</f>
        <v/>
      </c>
      <c r="E1115" s="51" t="str">
        <f aca="false">IF(C1115="","",IFERROR(IF(LEFT(C1115,1)="L",INDEX('Leads Pipeline'!$D$5:$D$1004,MATCH(C1115,'Leads Pipeline'!$A$5:$A$1004,0)),INDEX('Active Clients'!$B$5:$B$504,MATCH(C1115,'Active Clients'!$A$5:$A$504,0)))&amp;"","ID not found"))</f>
        <v/>
      </c>
      <c r="F1115" s="51" t="str">
        <f aca="false">IF(C1115="","",IFERROR(IF(LEFT(C1115,1)="L",INDEX('Leads Pipeline'!$E$5:$E$1004,MATCH(C1115,'Leads Pipeline'!$A$5:$A$1004,0)),INDEX('Active Clients'!$C$5:$C$504,MATCH(C1115,'Active Clients'!$A$5:$A$504,0)))&amp;"","ID not found"))</f>
        <v/>
      </c>
      <c r="G1115" s="16"/>
      <c r="H1115" s="16"/>
      <c r="I1115" s="16"/>
      <c r="J1115" s="16"/>
      <c r="K1115" s="16"/>
      <c r="L1115" s="18"/>
    </row>
    <row r="1116" customFormat="false" ht="15" hidden="false" customHeight="false" outlineLevel="0" collapsed="false">
      <c r="A1116" s="18"/>
      <c r="B1116" s="16"/>
      <c r="C1116" s="16"/>
      <c r="D1116" s="51" t="str">
        <f aca="false">IF(C1116="","",IFERROR(IF(LEFT(C1116,1)="L",INDEX('Leads Pipeline'!$F$5:$F$1004,MATCH(C1116,'Leads Pipeline'!$A$5:$A$1004,0)),INDEX('Active Clients'!$D$5:$D$504,MATCH(C1116,'Active Clients'!$A$5:$A$504,0)))&amp;"","ID not found"))</f>
        <v/>
      </c>
      <c r="E1116" s="51" t="str">
        <f aca="false">IF(C1116="","",IFERROR(IF(LEFT(C1116,1)="L",INDEX('Leads Pipeline'!$D$5:$D$1004,MATCH(C1116,'Leads Pipeline'!$A$5:$A$1004,0)),INDEX('Active Clients'!$B$5:$B$504,MATCH(C1116,'Active Clients'!$A$5:$A$504,0)))&amp;"","ID not found"))</f>
        <v/>
      </c>
      <c r="F1116" s="51" t="str">
        <f aca="false">IF(C1116="","",IFERROR(IF(LEFT(C1116,1)="L",INDEX('Leads Pipeline'!$E$5:$E$1004,MATCH(C1116,'Leads Pipeline'!$A$5:$A$1004,0)),INDEX('Active Clients'!$C$5:$C$504,MATCH(C1116,'Active Clients'!$A$5:$A$504,0)))&amp;"","ID not found"))</f>
        <v/>
      </c>
      <c r="G1116" s="16"/>
      <c r="H1116" s="16"/>
      <c r="I1116" s="16"/>
      <c r="J1116" s="16"/>
      <c r="K1116" s="16"/>
      <c r="L1116" s="18"/>
    </row>
    <row r="1117" customFormat="false" ht="15" hidden="false" customHeight="false" outlineLevel="0" collapsed="false">
      <c r="A1117" s="18"/>
      <c r="B1117" s="16"/>
      <c r="C1117" s="16"/>
      <c r="D1117" s="51" t="str">
        <f aca="false">IF(C1117="","",IFERROR(IF(LEFT(C1117,1)="L",INDEX('Leads Pipeline'!$F$5:$F$1004,MATCH(C1117,'Leads Pipeline'!$A$5:$A$1004,0)),INDEX('Active Clients'!$D$5:$D$504,MATCH(C1117,'Active Clients'!$A$5:$A$504,0)))&amp;"","ID not found"))</f>
        <v/>
      </c>
      <c r="E1117" s="51" t="str">
        <f aca="false">IF(C1117="","",IFERROR(IF(LEFT(C1117,1)="L",INDEX('Leads Pipeline'!$D$5:$D$1004,MATCH(C1117,'Leads Pipeline'!$A$5:$A$1004,0)),INDEX('Active Clients'!$B$5:$B$504,MATCH(C1117,'Active Clients'!$A$5:$A$504,0)))&amp;"","ID not found"))</f>
        <v/>
      </c>
      <c r="F1117" s="51" t="str">
        <f aca="false">IF(C1117="","",IFERROR(IF(LEFT(C1117,1)="L",INDEX('Leads Pipeline'!$E$5:$E$1004,MATCH(C1117,'Leads Pipeline'!$A$5:$A$1004,0)),INDEX('Active Clients'!$C$5:$C$504,MATCH(C1117,'Active Clients'!$A$5:$A$504,0)))&amp;"","ID not found"))</f>
        <v/>
      </c>
      <c r="G1117" s="16"/>
      <c r="H1117" s="16"/>
      <c r="I1117" s="16"/>
      <c r="J1117" s="16"/>
      <c r="K1117" s="16"/>
      <c r="L1117" s="18"/>
    </row>
    <row r="1118" customFormat="false" ht="15" hidden="false" customHeight="false" outlineLevel="0" collapsed="false">
      <c r="A1118" s="18"/>
      <c r="B1118" s="16"/>
      <c r="C1118" s="16"/>
      <c r="D1118" s="51" t="str">
        <f aca="false">IF(C1118="","",IFERROR(IF(LEFT(C1118,1)="L",INDEX('Leads Pipeline'!$F$5:$F$1004,MATCH(C1118,'Leads Pipeline'!$A$5:$A$1004,0)),INDEX('Active Clients'!$D$5:$D$504,MATCH(C1118,'Active Clients'!$A$5:$A$504,0)))&amp;"","ID not found"))</f>
        <v/>
      </c>
      <c r="E1118" s="51" t="str">
        <f aca="false">IF(C1118="","",IFERROR(IF(LEFT(C1118,1)="L",INDEX('Leads Pipeline'!$D$5:$D$1004,MATCH(C1118,'Leads Pipeline'!$A$5:$A$1004,0)),INDEX('Active Clients'!$B$5:$B$504,MATCH(C1118,'Active Clients'!$A$5:$A$504,0)))&amp;"","ID not found"))</f>
        <v/>
      </c>
      <c r="F1118" s="51" t="str">
        <f aca="false">IF(C1118="","",IFERROR(IF(LEFT(C1118,1)="L",INDEX('Leads Pipeline'!$E$5:$E$1004,MATCH(C1118,'Leads Pipeline'!$A$5:$A$1004,0)),INDEX('Active Clients'!$C$5:$C$504,MATCH(C1118,'Active Clients'!$A$5:$A$504,0)))&amp;"","ID not found"))</f>
        <v/>
      </c>
      <c r="G1118" s="16"/>
      <c r="H1118" s="16"/>
      <c r="I1118" s="16"/>
      <c r="J1118" s="16"/>
      <c r="K1118" s="16"/>
      <c r="L1118" s="18"/>
    </row>
    <row r="1119" customFormat="false" ht="15" hidden="false" customHeight="false" outlineLevel="0" collapsed="false">
      <c r="A1119" s="18"/>
      <c r="B1119" s="16"/>
      <c r="C1119" s="16"/>
      <c r="D1119" s="51" t="str">
        <f aca="false">IF(C1119="","",IFERROR(IF(LEFT(C1119,1)="L",INDEX('Leads Pipeline'!$F$5:$F$1004,MATCH(C1119,'Leads Pipeline'!$A$5:$A$1004,0)),INDEX('Active Clients'!$D$5:$D$504,MATCH(C1119,'Active Clients'!$A$5:$A$504,0)))&amp;"","ID not found"))</f>
        <v/>
      </c>
      <c r="E1119" s="51" t="str">
        <f aca="false">IF(C1119="","",IFERROR(IF(LEFT(C1119,1)="L",INDEX('Leads Pipeline'!$D$5:$D$1004,MATCH(C1119,'Leads Pipeline'!$A$5:$A$1004,0)),INDEX('Active Clients'!$B$5:$B$504,MATCH(C1119,'Active Clients'!$A$5:$A$504,0)))&amp;"","ID not found"))</f>
        <v/>
      </c>
      <c r="F1119" s="51" t="str">
        <f aca="false">IF(C1119="","",IFERROR(IF(LEFT(C1119,1)="L",INDEX('Leads Pipeline'!$E$5:$E$1004,MATCH(C1119,'Leads Pipeline'!$A$5:$A$1004,0)),INDEX('Active Clients'!$C$5:$C$504,MATCH(C1119,'Active Clients'!$A$5:$A$504,0)))&amp;"","ID not found"))</f>
        <v/>
      </c>
      <c r="G1119" s="16"/>
      <c r="H1119" s="16"/>
      <c r="I1119" s="16"/>
      <c r="J1119" s="16"/>
      <c r="K1119" s="16"/>
      <c r="L1119" s="18"/>
    </row>
    <row r="1120" customFormat="false" ht="15" hidden="false" customHeight="false" outlineLevel="0" collapsed="false">
      <c r="A1120" s="18"/>
      <c r="B1120" s="16"/>
      <c r="C1120" s="16"/>
      <c r="D1120" s="51" t="str">
        <f aca="false">IF(C1120="","",IFERROR(IF(LEFT(C1120,1)="L",INDEX('Leads Pipeline'!$F$5:$F$1004,MATCH(C1120,'Leads Pipeline'!$A$5:$A$1004,0)),INDEX('Active Clients'!$D$5:$D$504,MATCH(C1120,'Active Clients'!$A$5:$A$504,0)))&amp;"","ID not found"))</f>
        <v/>
      </c>
      <c r="E1120" s="51" t="str">
        <f aca="false">IF(C1120="","",IFERROR(IF(LEFT(C1120,1)="L",INDEX('Leads Pipeline'!$D$5:$D$1004,MATCH(C1120,'Leads Pipeline'!$A$5:$A$1004,0)),INDEX('Active Clients'!$B$5:$B$504,MATCH(C1120,'Active Clients'!$A$5:$A$504,0)))&amp;"","ID not found"))</f>
        <v/>
      </c>
      <c r="F1120" s="51" t="str">
        <f aca="false">IF(C1120="","",IFERROR(IF(LEFT(C1120,1)="L",INDEX('Leads Pipeline'!$E$5:$E$1004,MATCH(C1120,'Leads Pipeline'!$A$5:$A$1004,0)),INDEX('Active Clients'!$C$5:$C$504,MATCH(C1120,'Active Clients'!$A$5:$A$504,0)))&amp;"","ID not found"))</f>
        <v/>
      </c>
      <c r="G1120" s="16"/>
      <c r="H1120" s="16"/>
      <c r="I1120" s="16"/>
      <c r="J1120" s="16"/>
      <c r="K1120" s="16"/>
      <c r="L1120" s="18"/>
    </row>
    <row r="1121" customFormat="false" ht="15" hidden="false" customHeight="false" outlineLevel="0" collapsed="false">
      <c r="A1121" s="18"/>
      <c r="B1121" s="16"/>
      <c r="C1121" s="16"/>
      <c r="D1121" s="51" t="str">
        <f aca="false">IF(C1121="","",IFERROR(IF(LEFT(C1121,1)="L",INDEX('Leads Pipeline'!$F$5:$F$1004,MATCH(C1121,'Leads Pipeline'!$A$5:$A$1004,0)),INDEX('Active Clients'!$D$5:$D$504,MATCH(C1121,'Active Clients'!$A$5:$A$504,0)))&amp;"","ID not found"))</f>
        <v/>
      </c>
      <c r="E1121" s="51" t="str">
        <f aca="false">IF(C1121="","",IFERROR(IF(LEFT(C1121,1)="L",INDEX('Leads Pipeline'!$D$5:$D$1004,MATCH(C1121,'Leads Pipeline'!$A$5:$A$1004,0)),INDEX('Active Clients'!$B$5:$B$504,MATCH(C1121,'Active Clients'!$A$5:$A$504,0)))&amp;"","ID not found"))</f>
        <v/>
      </c>
      <c r="F1121" s="51" t="str">
        <f aca="false">IF(C1121="","",IFERROR(IF(LEFT(C1121,1)="L",INDEX('Leads Pipeline'!$E$5:$E$1004,MATCH(C1121,'Leads Pipeline'!$A$5:$A$1004,0)),INDEX('Active Clients'!$C$5:$C$504,MATCH(C1121,'Active Clients'!$A$5:$A$504,0)))&amp;"","ID not found"))</f>
        <v/>
      </c>
      <c r="G1121" s="16"/>
      <c r="H1121" s="16"/>
      <c r="I1121" s="16"/>
      <c r="J1121" s="16"/>
      <c r="K1121" s="16"/>
      <c r="L1121" s="18"/>
    </row>
    <row r="1122" customFormat="false" ht="15" hidden="false" customHeight="false" outlineLevel="0" collapsed="false">
      <c r="A1122" s="18"/>
      <c r="B1122" s="16"/>
      <c r="C1122" s="16"/>
      <c r="D1122" s="51" t="str">
        <f aca="false">IF(C1122="","",IFERROR(IF(LEFT(C1122,1)="L",INDEX('Leads Pipeline'!$F$5:$F$1004,MATCH(C1122,'Leads Pipeline'!$A$5:$A$1004,0)),INDEX('Active Clients'!$D$5:$D$504,MATCH(C1122,'Active Clients'!$A$5:$A$504,0)))&amp;"","ID not found"))</f>
        <v/>
      </c>
      <c r="E1122" s="51" t="str">
        <f aca="false">IF(C1122="","",IFERROR(IF(LEFT(C1122,1)="L",INDEX('Leads Pipeline'!$D$5:$D$1004,MATCH(C1122,'Leads Pipeline'!$A$5:$A$1004,0)),INDEX('Active Clients'!$B$5:$B$504,MATCH(C1122,'Active Clients'!$A$5:$A$504,0)))&amp;"","ID not found"))</f>
        <v/>
      </c>
      <c r="F1122" s="51" t="str">
        <f aca="false">IF(C1122="","",IFERROR(IF(LEFT(C1122,1)="L",INDEX('Leads Pipeline'!$E$5:$E$1004,MATCH(C1122,'Leads Pipeline'!$A$5:$A$1004,0)),INDEX('Active Clients'!$C$5:$C$504,MATCH(C1122,'Active Clients'!$A$5:$A$504,0)))&amp;"","ID not found"))</f>
        <v/>
      </c>
      <c r="G1122" s="16"/>
      <c r="H1122" s="16"/>
      <c r="I1122" s="16"/>
      <c r="J1122" s="16"/>
      <c r="K1122" s="16"/>
      <c r="L1122" s="18"/>
    </row>
    <row r="1123" customFormat="false" ht="15" hidden="false" customHeight="false" outlineLevel="0" collapsed="false">
      <c r="A1123" s="18"/>
      <c r="B1123" s="16"/>
      <c r="C1123" s="16"/>
      <c r="D1123" s="51" t="str">
        <f aca="false">IF(C1123="","",IFERROR(IF(LEFT(C1123,1)="L",INDEX('Leads Pipeline'!$F$5:$F$1004,MATCH(C1123,'Leads Pipeline'!$A$5:$A$1004,0)),INDEX('Active Clients'!$D$5:$D$504,MATCH(C1123,'Active Clients'!$A$5:$A$504,0)))&amp;"","ID not found"))</f>
        <v/>
      </c>
      <c r="E1123" s="51" t="str">
        <f aca="false">IF(C1123="","",IFERROR(IF(LEFT(C1123,1)="L",INDEX('Leads Pipeline'!$D$5:$D$1004,MATCH(C1123,'Leads Pipeline'!$A$5:$A$1004,0)),INDEX('Active Clients'!$B$5:$B$504,MATCH(C1123,'Active Clients'!$A$5:$A$504,0)))&amp;"","ID not found"))</f>
        <v/>
      </c>
      <c r="F1123" s="51" t="str">
        <f aca="false">IF(C1123="","",IFERROR(IF(LEFT(C1123,1)="L",INDEX('Leads Pipeline'!$E$5:$E$1004,MATCH(C1123,'Leads Pipeline'!$A$5:$A$1004,0)),INDEX('Active Clients'!$C$5:$C$504,MATCH(C1123,'Active Clients'!$A$5:$A$504,0)))&amp;"","ID not found"))</f>
        <v/>
      </c>
      <c r="G1123" s="16"/>
      <c r="H1123" s="16"/>
      <c r="I1123" s="16"/>
      <c r="J1123" s="16"/>
      <c r="K1123" s="16"/>
      <c r="L1123" s="18"/>
    </row>
    <row r="1124" customFormat="false" ht="15" hidden="false" customHeight="false" outlineLevel="0" collapsed="false">
      <c r="A1124" s="18"/>
      <c r="B1124" s="16"/>
      <c r="C1124" s="16"/>
      <c r="D1124" s="51" t="str">
        <f aca="false">IF(C1124="","",IFERROR(IF(LEFT(C1124,1)="L",INDEX('Leads Pipeline'!$F$5:$F$1004,MATCH(C1124,'Leads Pipeline'!$A$5:$A$1004,0)),INDEX('Active Clients'!$D$5:$D$504,MATCH(C1124,'Active Clients'!$A$5:$A$504,0)))&amp;"","ID not found"))</f>
        <v/>
      </c>
      <c r="E1124" s="51" t="str">
        <f aca="false">IF(C1124="","",IFERROR(IF(LEFT(C1124,1)="L",INDEX('Leads Pipeline'!$D$5:$D$1004,MATCH(C1124,'Leads Pipeline'!$A$5:$A$1004,0)),INDEX('Active Clients'!$B$5:$B$504,MATCH(C1124,'Active Clients'!$A$5:$A$504,0)))&amp;"","ID not found"))</f>
        <v/>
      </c>
      <c r="F1124" s="51" t="str">
        <f aca="false">IF(C1124="","",IFERROR(IF(LEFT(C1124,1)="L",INDEX('Leads Pipeline'!$E$5:$E$1004,MATCH(C1124,'Leads Pipeline'!$A$5:$A$1004,0)),INDEX('Active Clients'!$C$5:$C$504,MATCH(C1124,'Active Clients'!$A$5:$A$504,0)))&amp;"","ID not found"))</f>
        <v/>
      </c>
      <c r="G1124" s="16"/>
      <c r="H1124" s="16"/>
      <c r="I1124" s="16"/>
      <c r="J1124" s="16"/>
      <c r="K1124" s="16"/>
      <c r="L1124" s="18"/>
    </row>
    <row r="1125" customFormat="false" ht="15" hidden="false" customHeight="false" outlineLevel="0" collapsed="false">
      <c r="A1125" s="18"/>
      <c r="B1125" s="16"/>
      <c r="C1125" s="16"/>
      <c r="D1125" s="51" t="str">
        <f aca="false">IF(C1125="","",IFERROR(IF(LEFT(C1125,1)="L",INDEX('Leads Pipeline'!$F$5:$F$1004,MATCH(C1125,'Leads Pipeline'!$A$5:$A$1004,0)),INDEX('Active Clients'!$D$5:$D$504,MATCH(C1125,'Active Clients'!$A$5:$A$504,0)))&amp;"","ID not found"))</f>
        <v/>
      </c>
      <c r="E1125" s="51" t="str">
        <f aca="false">IF(C1125="","",IFERROR(IF(LEFT(C1125,1)="L",INDEX('Leads Pipeline'!$D$5:$D$1004,MATCH(C1125,'Leads Pipeline'!$A$5:$A$1004,0)),INDEX('Active Clients'!$B$5:$B$504,MATCH(C1125,'Active Clients'!$A$5:$A$504,0)))&amp;"","ID not found"))</f>
        <v/>
      </c>
      <c r="F1125" s="51" t="str">
        <f aca="false">IF(C1125="","",IFERROR(IF(LEFT(C1125,1)="L",INDEX('Leads Pipeline'!$E$5:$E$1004,MATCH(C1125,'Leads Pipeline'!$A$5:$A$1004,0)),INDEX('Active Clients'!$C$5:$C$504,MATCH(C1125,'Active Clients'!$A$5:$A$504,0)))&amp;"","ID not found"))</f>
        <v/>
      </c>
      <c r="G1125" s="16"/>
      <c r="H1125" s="16"/>
      <c r="I1125" s="16"/>
      <c r="J1125" s="16"/>
      <c r="K1125" s="16"/>
      <c r="L1125" s="18"/>
    </row>
    <row r="1126" customFormat="false" ht="15" hidden="false" customHeight="false" outlineLevel="0" collapsed="false">
      <c r="A1126" s="18"/>
      <c r="B1126" s="16"/>
      <c r="C1126" s="16"/>
      <c r="D1126" s="51" t="str">
        <f aca="false">IF(C1126="","",IFERROR(IF(LEFT(C1126,1)="L",INDEX('Leads Pipeline'!$F$5:$F$1004,MATCH(C1126,'Leads Pipeline'!$A$5:$A$1004,0)),INDEX('Active Clients'!$D$5:$D$504,MATCH(C1126,'Active Clients'!$A$5:$A$504,0)))&amp;"","ID not found"))</f>
        <v/>
      </c>
      <c r="E1126" s="51" t="str">
        <f aca="false">IF(C1126="","",IFERROR(IF(LEFT(C1126,1)="L",INDEX('Leads Pipeline'!$D$5:$D$1004,MATCH(C1126,'Leads Pipeline'!$A$5:$A$1004,0)),INDEX('Active Clients'!$B$5:$B$504,MATCH(C1126,'Active Clients'!$A$5:$A$504,0)))&amp;"","ID not found"))</f>
        <v/>
      </c>
      <c r="F1126" s="51" t="str">
        <f aca="false">IF(C1126="","",IFERROR(IF(LEFT(C1126,1)="L",INDEX('Leads Pipeline'!$E$5:$E$1004,MATCH(C1126,'Leads Pipeline'!$A$5:$A$1004,0)),INDEX('Active Clients'!$C$5:$C$504,MATCH(C1126,'Active Clients'!$A$5:$A$504,0)))&amp;"","ID not found"))</f>
        <v/>
      </c>
      <c r="G1126" s="16"/>
      <c r="H1126" s="16"/>
      <c r="I1126" s="16"/>
      <c r="J1126" s="16"/>
      <c r="K1126" s="16"/>
      <c r="L1126" s="18"/>
    </row>
    <row r="1127" customFormat="false" ht="15" hidden="false" customHeight="false" outlineLevel="0" collapsed="false">
      <c r="A1127" s="18"/>
      <c r="B1127" s="16"/>
      <c r="C1127" s="16"/>
      <c r="D1127" s="51" t="str">
        <f aca="false">IF(C1127="","",IFERROR(IF(LEFT(C1127,1)="L",INDEX('Leads Pipeline'!$F$5:$F$1004,MATCH(C1127,'Leads Pipeline'!$A$5:$A$1004,0)),INDEX('Active Clients'!$D$5:$D$504,MATCH(C1127,'Active Clients'!$A$5:$A$504,0)))&amp;"","ID not found"))</f>
        <v/>
      </c>
      <c r="E1127" s="51" t="str">
        <f aca="false">IF(C1127="","",IFERROR(IF(LEFT(C1127,1)="L",INDEX('Leads Pipeline'!$D$5:$D$1004,MATCH(C1127,'Leads Pipeline'!$A$5:$A$1004,0)),INDEX('Active Clients'!$B$5:$B$504,MATCH(C1127,'Active Clients'!$A$5:$A$504,0)))&amp;"","ID not found"))</f>
        <v/>
      </c>
      <c r="F1127" s="51" t="str">
        <f aca="false">IF(C1127="","",IFERROR(IF(LEFT(C1127,1)="L",INDEX('Leads Pipeline'!$E$5:$E$1004,MATCH(C1127,'Leads Pipeline'!$A$5:$A$1004,0)),INDEX('Active Clients'!$C$5:$C$504,MATCH(C1127,'Active Clients'!$A$5:$A$504,0)))&amp;"","ID not found"))</f>
        <v/>
      </c>
      <c r="G1127" s="16"/>
      <c r="H1127" s="16"/>
      <c r="I1127" s="16"/>
      <c r="J1127" s="16"/>
      <c r="K1127" s="16"/>
      <c r="L1127" s="18"/>
    </row>
    <row r="1128" customFormat="false" ht="15" hidden="false" customHeight="false" outlineLevel="0" collapsed="false">
      <c r="A1128" s="18"/>
      <c r="B1128" s="16"/>
      <c r="C1128" s="16"/>
      <c r="D1128" s="51" t="str">
        <f aca="false">IF(C1128="","",IFERROR(IF(LEFT(C1128,1)="L",INDEX('Leads Pipeline'!$F$5:$F$1004,MATCH(C1128,'Leads Pipeline'!$A$5:$A$1004,0)),INDEX('Active Clients'!$D$5:$D$504,MATCH(C1128,'Active Clients'!$A$5:$A$504,0)))&amp;"","ID not found"))</f>
        <v/>
      </c>
      <c r="E1128" s="51" t="str">
        <f aca="false">IF(C1128="","",IFERROR(IF(LEFT(C1128,1)="L",INDEX('Leads Pipeline'!$D$5:$D$1004,MATCH(C1128,'Leads Pipeline'!$A$5:$A$1004,0)),INDEX('Active Clients'!$B$5:$B$504,MATCH(C1128,'Active Clients'!$A$5:$A$504,0)))&amp;"","ID not found"))</f>
        <v/>
      </c>
      <c r="F1128" s="51" t="str">
        <f aca="false">IF(C1128="","",IFERROR(IF(LEFT(C1128,1)="L",INDEX('Leads Pipeline'!$E$5:$E$1004,MATCH(C1128,'Leads Pipeline'!$A$5:$A$1004,0)),INDEX('Active Clients'!$C$5:$C$504,MATCH(C1128,'Active Clients'!$A$5:$A$504,0)))&amp;"","ID not found"))</f>
        <v/>
      </c>
      <c r="G1128" s="16"/>
      <c r="H1128" s="16"/>
      <c r="I1128" s="16"/>
      <c r="J1128" s="16"/>
      <c r="K1128" s="16"/>
      <c r="L1128" s="18"/>
    </row>
    <row r="1129" customFormat="false" ht="15" hidden="false" customHeight="false" outlineLevel="0" collapsed="false">
      <c r="A1129" s="18"/>
      <c r="B1129" s="16"/>
      <c r="C1129" s="16"/>
      <c r="D1129" s="51" t="str">
        <f aca="false">IF(C1129="","",IFERROR(IF(LEFT(C1129,1)="L",INDEX('Leads Pipeline'!$F$5:$F$1004,MATCH(C1129,'Leads Pipeline'!$A$5:$A$1004,0)),INDEX('Active Clients'!$D$5:$D$504,MATCH(C1129,'Active Clients'!$A$5:$A$504,0)))&amp;"","ID not found"))</f>
        <v/>
      </c>
      <c r="E1129" s="51" t="str">
        <f aca="false">IF(C1129="","",IFERROR(IF(LEFT(C1129,1)="L",INDEX('Leads Pipeline'!$D$5:$D$1004,MATCH(C1129,'Leads Pipeline'!$A$5:$A$1004,0)),INDEX('Active Clients'!$B$5:$B$504,MATCH(C1129,'Active Clients'!$A$5:$A$504,0)))&amp;"","ID not found"))</f>
        <v/>
      </c>
      <c r="F1129" s="51" t="str">
        <f aca="false">IF(C1129="","",IFERROR(IF(LEFT(C1129,1)="L",INDEX('Leads Pipeline'!$E$5:$E$1004,MATCH(C1129,'Leads Pipeline'!$A$5:$A$1004,0)),INDEX('Active Clients'!$C$5:$C$504,MATCH(C1129,'Active Clients'!$A$5:$A$504,0)))&amp;"","ID not found"))</f>
        <v/>
      </c>
      <c r="G1129" s="16"/>
      <c r="H1129" s="16"/>
      <c r="I1129" s="16"/>
      <c r="J1129" s="16"/>
      <c r="K1129" s="16"/>
      <c r="L1129" s="18"/>
    </row>
    <row r="1130" customFormat="false" ht="15" hidden="false" customHeight="false" outlineLevel="0" collapsed="false">
      <c r="A1130" s="18"/>
      <c r="B1130" s="16"/>
      <c r="C1130" s="16"/>
      <c r="D1130" s="51" t="str">
        <f aca="false">IF(C1130="","",IFERROR(IF(LEFT(C1130,1)="L",INDEX('Leads Pipeline'!$F$5:$F$1004,MATCH(C1130,'Leads Pipeline'!$A$5:$A$1004,0)),INDEX('Active Clients'!$D$5:$D$504,MATCH(C1130,'Active Clients'!$A$5:$A$504,0)))&amp;"","ID not found"))</f>
        <v/>
      </c>
      <c r="E1130" s="51" t="str">
        <f aca="false">IF(C1130="","",IFERROR(IF(LEFT(C1130,1)="L",INDEX('Leads Pipeline'!$D$5:$D$1004,MATCH(C1130,'Leads Pipeline'!$A$5:$A$1004,0)),INDEX('Active Clients'!$B$5:$B$504,MATCH(C1130,'Active Clients'!$A$5:$A$504,0)))&amp;"","ID not found"))</f>
        <v/>
      </c>
      <c r="F1130" s="51" t="str">
        <f aca="false">IF(C1130="","",IFERROR(IF(LEFT(C1130,1)="L",INDEX('Leads Pipeline'!$E$5:$E$1004,MATCH(C1130,'Leads Pipeline'!$A$5:$A$1004,0)),INDEX('Active Clients'!$C$5:$C$504,MATCH(C1130,'Active Clients'!$A$5:$A$504,0)))&amp;"","ID not found"))</f>
        <v/>
      </c>
      <c r="G1130" s="16"/>
      <c r="H1130" s="16"/>
      <c r="I1130" s="16"/>
      <c r="J1130" s="16"/>
      <c r="K1130" s="16"/>
      <c r="L1130" s="18"/>
    </row>
    <row r="1131" customFormat="false" ht="15" hidden="false" customHeight="false" outlineLevel="0" collapsed="false">
      <c r="A1131" s="18"/>
      <c r="B1131" s="16"/>
      <c r="C1131" s="16"/>
      <c r="D1131" s="51" t="str">
        <f aca="false">IF(C1131="","",IFERROR(IF(LEFT(C1131,1)="L",INDEX('Leads Pipeline'!$F$5:$F$1004,MATCH(C1131,'Leads Pipeline'!$A$5:$A$1004,0)),INDEX('Active Clients'!$D$5:$D$504,MATCH(C1131,'Active Clients'!$A$5:$A$504,0)))&amp;"","ID not found"))</f>
        <v/>
      </c>
      <c r="E1131" s="51" t="str">
        <f aca="false">IF(C1131="","",IFERROR(IF(LEFT(C1131,1)="L",INDEX('Leads Pipeline'!$D$5:$D$1004,MATCH(C1131,'Leads Pipeline'!$A$5:$A$1004,0)),INDEX('Active Clients'!$B$5:$B$504,MATCH(C1131,'Active Clients'!$A$5:$A$504,0)))&amp;"","ID not found"))</f>
        <v/>
      </c>
      <c r="F1131" s="51" t="str">
        <f aca="false">IF(C1131="","",IFERROR(IF(LEFT(C1131,1)="L",INDEX('Leads Pipeline'!$E$5:$E$1004,MATCH(C1131,'Leads Pipeline'!$A$5:$A$1004,0)),INDEX('Active Clients'!$C$5:$C$504,MATCH(C1131,'Active Clients'!$A$5:$A$504,0)))&amp;"","ID not found"))</f>
        <v/>
      </c>
      <c r="G1131" s="16"/>
      <c r="H1131" s="16"/>
      <c r="I1131" s="16"/>
      <c r="J1131" s="16"/>
      <c r="K1131" s="16"/>
      <c r="L1131" s="18"/>
    </row>
    <row r="1132" customFormat="false" ht="15" hidden="false" customHeight="false" outlineLevel="0" collapsed="false">
      <c r="A1132" s="18"/>
      <c r="B1132" s="16"/>
      <c r="C1132" s="16"/>
      <c r="D1132" s="51" t="str">
        <f aca="false">IF(C1132="","",IFERROR(IF(LEFT(C1132,1)="L",INDEX('Leads Pipeline'!$F$5:$F$1004,MATCH(C1132,'Leads Pipeline'!$A$5:$A$1004,0)),INDEX('Active Clients'!$D$5:$D$504,MATCH(C1132,'Active Clients'!$A$5:$A$504,0)))&amp;"","ID not found"))</f>
        <v/>
      </c>
      <c r="E1132" s="51" t="str">
        <f aca="false">IF(C1132="","",IFERROR(IF(LEFT(C1132,1)="L",INDEX('Leads Pipeline'!$D$5:$D$1004,MATCH(C1132,'Leads Pipeline'!$A$5:$A$1004,0)),INDEX('Active Clients'!$B$5:$B$504,MATCH(C1132,'Active Clients'!$A$5:$A$504,0)))&amp;"","ID not found"))</f>
        <v/>
      </c>
      <c r="F1132" s="51" t="str">
        <f aca="false">IF(C1132="","",IFERROR(IF(LEFT(C1132,1)="L",INDEX('Leads Pipeline'!$E$5:$E$1004,MATCH(C1132,'Leads Pipeline'!$A$5:$A$1004,0)),INDEX('Active Clients'!$C$5:$C$504,MATCH(C1132,'Active Clients'!$A$5:$A$504,0)))&amp;"","ID not found"))</f>
        <v/>
      </c>
      <c r="G1132" s="16"/>
      <c r="H1132" s="16"/>
      <c r="I1132" s="16"/>
      <c r="J1132" s="16"/>
      <c r="K1132" s="16"/>
      <c r="L1132" s="18"/>
    </row>
    <row r="1133" customFormat="false" ht="15" hidden="false" customHeight="false" outlineLevel="0" collapsed="false">
      <c r="A1133" s="18"/>
      <c r="B1133" s="16"/>
      <c r="C1133" s="16"/>
      <c r="D1133" s="51" t="str">
        <f aca="false">IF(C1133="","",IFERROR(IF(LEFT(C1133,1)="L",INDEX('Leads Pipeline'!$F$5:$F$1004,MATCH(C1133,'Leads Pipeline'!$A$5:$A$1004,0)),INDEX('Active Clients'!$D$5:$D$504,MATCH(C1133,'Active Clients'!$A$5:$A$504,0)))&amp;"","ID not found"))</f>
        <v/>
      </c>
      <c r="E1133" s="51" t="str">
        <f aca="false">IF(C1133="","",IFERROR(IF(LEFT(C1133,1)="L",INDEX('Leads Pipeline'!$D$5:$D$1004,MATCH(C1133,'Leads Pipeline'!$A$5:$A$1004,0)),INDEX('Active Clients'!$B$5:$B$504,MATCH(C1133,'Active Clients'!$A$5:$A$504,0)))&amp;"","ID not found"))</f>
        <v/>
      </c>
      <c r="F1133" s="51" t="str">
        <f aca="false">IF(C1133="","",IFERROR(IF(LEFT(C1133,1)="L",INDEX('Leads Pipeline'!$E$5:$E$1004,MATCH(C1133,'Leads Pipeline'!$A$5:$A$1004,0)),INDEX('Active Clients'!$C$5:$C$504,MATCH(C1133,'Active Clients'!$A$5:$A$504,0)))&amp;"","ID not found"))</f>
        <v/>
      </c>
      <c r="G1133" s="16"/>
      <c r="H1133" s="16"/>
      <c r="I1133" s="16"/>
      <c r="J1133" s="16"/>
      <c r="K1133" s="16"/>
      <c r="L1133" s="18"/>
    </row>
    <row r="1134" customFormat="false" ht="15" hidden="false" customHeight="false" outlineLevel="0" collapsed="false">
      <c r="A1134" s="18"/>
      <c r="B1134" s="16"/>
      <c r="C1134" s="16"/>
      <c r="D1134" s="51" t="str">
        <f aca="false">IF(C1134="","",IFERROR(IF(LEFT(C1134,1)="L",INDEX('Leads Pipeline'!$F$5:$F$1004,MATCH(C1134,'Leads Pipeline'!$A$5:$A$1004,0)),INDEX('Active Clients'!$D$5:$D$504,MATCH(C1134,'Active Clients'!$A$5:$A$504,0)))&amp;"","ID not found"))</f>
        <v/>
      </c>
      <c r="E1134" s="51" t="str">
        <f aca="false">IF(C1134="","",IFERROR(IF(LEFT(C1134,1)="L",INDEX('Leads Pipeline'!$D$5:$D$1004,MATCH(C1134,'Leads Pipeline'!$A$5:$A$1004,0)),INDEX('Active Clients'!$B$5:$B$504,MATCH(C1134,'Active Clients'!$A$5:$A$504,0)))&amp;"","ID not found"))</f>
        <v/>
      </c>
      <c r="F1134" s="51" t="str">
        <f aca="false">IF(C1134="","",IFERROR(IF(LEFT(C1134,1)="L",INDEX('Leads Pipeline'!$E$5:$E$1004,MATCH(C1134,'Leads Pipeline'!$A$5:$A$1004,0)),INDEX('Active Clients'!$C$5:$C$504,MATCH(C1134,'Active Clients'!$A$5:$A$504,0)))&amp;"","ID not found"))</f>
        <v/>
      </c>
      <c r="G1134" s="16"/>
      <c r="H1134" s="16"/>
      <c r="I1134" s="16"/>
      <c r="J1134" s="16"/>
      <c r="K1134" s="16"/>
      <c r="L1134" s="18"/>
    </row>
    <row r="1135" customFormat="false" ht="15" hidden="false" customHeight="false" outlineLevel="0" collapsed="false">
      <c r="A1135" s="18"/>
      <c r="B1135" s="16"/>
      <c r="C1135" s="16"/>
      <c r="D1135" s="51" t="str">
        <f aca="false">IF(C1135="","",IFERROR(IF(LEFT(C1135,1)="L",INDEX('Leads Pipeline'!$F$5:$F$1004,MATCH(C1135,'Leads Pipeline'!$A$5:$A$1004,0)),INDEX('Active Clients'!$D$5:$D$504,MATCH(C1135,'Active Clients'!$A$5:$A$504,0)))&amp;"","ID not found"))</f>
        <v/>
      </c>
      <c r="E1135" s="51" t="str">
        <f aca="false">IF(C1135="","",IFERROR(IF(LEFT(C1135,1)="L",INDEX('Leads Pipeline'!$D$5:$D$1004,MATCH(C1135,'Leads Pipeline'!$A$5:$A$1004,0)),INDEX('Active Clients'!$B$5:$B$504,MATCH(C1135,'Active Clients'!$A$5:$A$504,0)))&amp;"","ID not found"))</f>
        <v/>
      </c>
      <c r="F1135" s="51" t="str">
        <f aca="false">IF(C1135="","",IFERROR(IF(LEFT(C1135,1)="L",INDEX('Leads Pipeline'!$E$5:$E$1004,MATCH(C1135,'Leads Pipeline'!$A$5:$A$1004,0)),INDEX('Active Clients'!$C$5:$C$504,MATCH(C1135,'Active Clients'!$A$5:$A$504,0)))&amp;"","ID not found"))</f>
        <v/>
      </c>
      <c r="G1135" s="16"/>
      <c r="H1135" s="16"/>
      <c r="I1135" s="16"/>
      <c r="J1135" s="16"/>
      <c r="K1135" s="16"/>
      <c r="L1135" s="18"/>
    </row>
    <row r="1136" customFormat="false" ht="15" hidden="false" customHeight="false" outlineLevel="0" collapsed="false">
      <c r="A1136" s="18"/>
      <c r="B1136" s="16"/>
      <c r="C1136" s="16"/>
      <c r="D1136" s="51" t="str">
        <f aca="false">IF(C1136="","",IFERROR(IF(LEFT(C1136,1)="L",INDEX('Leads Pipeline'!$F$5:$F$1004,MATCH(C1136,'Leads Pipeline'!$A$5:$A$1004,0)),INDEX('Active Clients'!$D$5:$D$504,MATCH(C1136,'Active Clients'!$A$5:$A$504,0)))&amp;"","ID not found"))</f>
        <v/>
      </c>
      <c r="E1136" s="51" t="str">
        <f aca="false">IF(C1136="","",IFERROR(IF(LEFT(C1136,1)="L",INDEX('Leads Pipeline'!$D$5:$D$1004,MATCH(C1136,'Leads Pipeline'!$A$5:$A$1004,0)),INDEX('Active Clients'!$B$5:$B$504,MATCH(C1136,'Active Clients'!$A$5:$A$504,0)))&amp;"","ID not found"))</f>
        <v/>
      </c>
      <c r="F1136" s="51" t="str">
        <f aca="false">IF(C1136="","",IFERROR(IF(LEFT(C1136,1)="L",INDEX('Leads Pipeline'!$E$5:$E$1004,MATCH(C1136,'Leads Pipeline'!$A$5:$A$1004,0)),INDEX('Active Clients'!$C$5:$C$504,MATCH(C1136,'Active Clients'!$A$5:$A$504,0)))&amp;"","ID not found"))</f>
        <v/>
      </c>
      <c r="G1136" s="16"/>
      <c r="H1136" s="16"/>
      <c r="I1136" s="16"/>
      <c r="J1136" s="16"/>
      <c r="K1136" s="16"/>
      <c r="L1136" s="18"/>
    </row>
    <row r="1137" customFormat="false" ht="15" hidden="false" customHeight="false" outlineLevel="0" collapsed="false">
      <c r="A1137" s="18"/>
      <c r="B1137" s="16"/>
      <c r="C1137" s="16"/>
      <c r="D1137" s="51" t="str">
        <f aca="false">IF(C1137="","",IFERROR(IF(LEFT(C1137,1)="L",INDEX('Leads Pipeline'!$F$5:$F$1004,MATCH(C1137,'Leads Pipeline'!$A$5:$A$1004,0)),INDEX('Active Clients'!$D$5:$D$504,MATCH(C1137,'Active Clients'!$A$5:$A$504,0)))&amp;"","ID not found"))</f>
        <v/>
      </c>
      <c r="E1137" s="51" t="str">
        <f aca="false">IF(C1137="","",IFERROR(IF(LEFT(C1137,1)="L",INDEX('Leads Pipeline'!$D$5:$D$1004,MATCH(C1137,'Leads Pipeline'!$A$5:$A$1004,0)),INDEX('Active Clients'!$B$5:$B$504,MATCH(C1137,'Active Clients'!$A$5:$A$504,0)))&amp;"","ID not found"))</f>
        <v/>
      </c>
      <c r="F1137" s="51" t="str">
        <f aca="false">IF(C1137="","",IFERROR(IF(LEFT(C1137,1)="L",INDEX('Leads Pipeline'!$E$5:$E$1004,MATCH(C1137,'Leads Pipeline'!$A$5:$A$1004,0)),INDEX('Active Clients'!$C$5:$C$504,MATCH(C1137,'Active Clients'!$A$5:$A$504,0)))&amp;"","ID not found"))</f>
        <v/>
      </c>
      <c r="G1137" s="16"/>
      <c r="H1137" s="16"/>
      <c r="I1137" s="16"/>
      <c r="J1137" s="16"/>
      <c r="K1137" s="16"/>
      <c r="L1137" s="18"/>
    </row>
    <row r="1138" customFormat="false" ht="15" hidden="false" customHeight="false" outlineLevel="0" collapsed="false">
      <c r="A1138" s="18"/>
      <c r="B1138" s="16"/>
      <c r="C1138" s="16"/>
      <c r="D1138" s="51" t="str">
        <f aca="false">IF(C1138="","",IFERROR(IF(LEFT(C1138,1)="L",INDEX('Leads Pipeline'!$F$5:$F$1004,MATCH(C1138,'Leads Pipeline'!$A$5:$A$1004,0)),INDEX('Active Clients'!$D$5:$D$504,MATCH(C1138,'Active Clients'!$A$5:$A$504,0)))&amp;"","ID not found"))</f>
        <v/>
      </c>
      <c r="E1138" s="51" t="str">
        <f aca="false">IF(C1138="","",IFERROR(IF(LEFT(C1138,1)="L",INDEX('Leads Pipeline'!$D$5:$D$1004,MATCH(C1138,'Leads Pipeline'!$A$5:$A$1004,0)),INDEX('Active Clients'!$B$5:$B$504,MATCH(C1138,'Active Clients'!$A$5:$A$504,0)))&amp;"","ID not found"))</f>
        <v/>
      </c>
      <c r="F1138" s="51" t="str">
        <f aca="false">IF(C1138="","",IFERROR(IF(LEFT(C1138,1)="L",INDEX('Leads Pipeline'!$E$5:$E$1004,MATCH(C1138,'Leads Pipeline'!$A$5:$A$1004,0)),INDEX('Active Clients'!$C$5:$C$504,MATCH(C1138,'Active Clients'!$A$5:$A$504,0)))&amp;"","ID not found"))</f>
        <v/>
      </c>
      <c r="G1138" s="16"/>
      <c r="H1138" s="16"/>
      <c r="I1138" s="16"/>
      <c r="J1138" s="16"/>
      <c r="K1138" s="16"/>
      <c r="L1138" s="18"/>
    </row>
    <row r="1139" customFormat="false" ht="15" hidden="false" customHeight="false" outlineLevel="0" collapsed="false">
      <c r="A1139" s="18"/>
      <c r="B1139" s="16"/>
      <c r="C1139" s="16"/>
      <c r="D1139" s="51" t="str">
        <f aca="false">IF(C1139="","",IFERROR(IF(LEFT(C1139,1)="L",INDEX('Leads Pipeline'!$F$5:$F$1004,MATCH(C1139,'Leads Pipeline'!$A$5:$A$1004,0)),INDEX('Active Clients'!$D$5:$D$504,MATCH(C1139,'Active Clients'!$A$5:$A$504,0)))&amp;"","ID not found"))</f>
        <v/>
      </c>
      <c r="E1139" s="51" t="str">
        <f aca="false">IF(C1139="","",IFERROR(IF(LEFT(C1139,1)="L",INDEX('Leads Pipeline'!$D$5:$D$1004,MATCH(C1139,'Leads Pipeline'!$A$5:$A$1004,0)),INDEX('Active Clients'!$B$5:$B$504,MATCH(C1139,'Active Clients'!$A$5:$A$504,0)))&amp;"","ID not found"))</f>
        <v/>
      </c>
      <c r="F1139" s="51" t="str">
        <f aca="false">IF(C1139="","",IFERROR(IF(LEFT(C1139,1)="L",INDEX('Leads Pipeline'!$E$5:$E$1004,MATCH(C1139,'Leads Pipeline'!$A$5:$A$1004,0)),INDEX('Active Clients'!$C$5:$C$504,MATCH(C1139,'Active Clients'!$A$5:$A$504,0)))&amp;"","ID not found"))</f>
        <v/>
      </c>
      <c r="G1139" s="16"/>
      <c r="H1139" s="16"/>
      <c r="I1139" s="16"/>
      <c r="J1139" s="16"/>
      <c r="K1139" s="16"/>
      <c r="L1139" s="18"/>
    </row>
    <row r="1140" customFormat="false" ht="15" hidden="false" customHeight="false" outlineLevel="0" collapsed="false">
      <c r="A1140" s="18"/>
      <c r="B1140" s="16"/>
      <c r="C1140" s="16"/>
      <c r="D1140" s="51" t="str">
        <f aca="false">IF(C1140="","",IFERROR(IF(LEFT(C1140,1)="L",INDEX('Leads Pipeline'!$F$5:$F$1004,MATCH(C1140,'Leads Pipeline'!$A$5:$A$1004,0)),INDEX('Active Clients'!$D$5:$D$504,MATCH(C1140,'Active Clients'!$A$5:$A$504,0)))&amp;"","ID not found"))</f>
        <v/>
      </c>
      <c r="E1140" s="51" t="str">
        <f aca="false">IF(C1140="","",IFERROR(IF(LEFT(C1140,1)="L",INDEX('Leads Pipeline'!$D$5:$D$1004,MATCH(C1140,'Leads Pipeline'!$A$5:$A$1004,0)),INDEX('Active Clients'!$B$5:$B$504,MATCH(C1140,'Active Clients'!$A$5:$A$504,0)))&amp;"","ID not found"))</f>
        <v/>
      </c>
      <c r="F1140" s="51" t="str">
        <f aca="false">IF(C1140="","",IFERROR(IF(LEFT(C1140,1)="L",INDEX('Leads Pipeline'!$E$5:$E$1004,MATCH(C1140,'Leads Pipeline'!$A$5:$A$1004,0)),INDEX('Active Clients'!$C$5:$C$504,MATCH(C1140,'Active Clients'!$A$5:$A$504,0)))&amp;"","ID not found"))</f>
        <v/>
      </c>
      <c r="G1140" s="16"/>
      <c r="H1140" s="16"/>
      <c r="I1140" s="16"/>
      <c r="J1140" s="16"/>
      <c r="K1140" s="16"/>
      <c r="L1140" s="18"/>
    </row>
    <row r="1141" customFormat="false" ht="15" hidden="false" customHeight="false" outlineLevel="0" collapsed="false">
      <c r="A1141" s="18"/>
      <c r="B1141" s="16"/>
      <c r="C1141" s="16"/>
      <c r="D1141" s="51" t="str">
        <f aca="false">IF(C1141="","",IFERROR(IF(LEFT(C1141,1)="L",INDEX('Leads Pipeline'!$F$5:$F$1004,MATCH(C1141,'Leads Pipeline'!$A$5:$A$1004,0)),INDEX('Active Clients'!$D$5:$D$504,MATCH(C1141,'Active Clients'!$A$5:$A$504,0)))&amp;"","ID not found"))</f>
        <v/>
      </c>
      <c r="E1141" s="51" t="str">
        <f aca="false">IF(C1141="","",IFERROR(IF(LEFT(C1141,1)="L",INDEX('Leads Pipeline'!$D$5:$D$1004,MATCH(C1141,'Leads Pipeline'!$A$5:$A$1004,0)),INDEX('Active Clients'!$B$5:$B$504,MATCH(C1141,'Active Clients'!$A$5:$A$504,0)))&amp;"","ID not found"))</f>
        <v/>
      </c>
      <c r="F1141" s="51" t="str">
        <f aca="false">IF(C1141="","",IFERROR(IF(LEFT(C1141,1)="L",INDEX('Leads Pipeline'!$E$5:$E$1004,MATCH(C1141,'Leads Pipeline'!$A$5:$A$1004,0)),INDEX('Active Clients'!$C$5:$C$504,MATCH(C1141,'Active Clients'!$A$5:$A$504,0)))&amp;"","ID not found"))</f>
        <v/>
      </c>
      <c r="G1141" s="16"/>
      <c r="H1141" s="16"/>
      <c r="I1141" s="16"/>
      <c r="J1141" s="16"/>
      <c r="K1141" s="16"/>
      <c r="L1141" s="18"/>
    </row>
    <row r="1142" customFormat="false" ht="15" hidden="false" customHeight="false" outlineLevel="0" collapsed="false">
      <c r="A1142" s="18"/>
      <c r="B1142" s="16"/>
      <c r="C1142" s="16"/>
      <c r="D1142" s="51" t="str">
        <f aca="false">IF(C1142="","",IFERROR(IF(LEFT(C1142,1)="L",INDEX('Leads Pipeline'!$F$5:$F$1004,MATCH(C1142,'Leads Pipeline'!$A$5:$A$1004,0)),INDEX('Active Clients'!$D$5:$D$504,MATCH(C1142,'Active Clients'!$A$5:$A$504,0)))&amp;"","ID not found"))</f>
        <v/>
      </c>
      <c r="E1142" s="51" t="str">
        <f aca="false">IF(C1142="","",IFERROR(IF(LEFT(C1142,1)="L",INDEX('Leads Pipeline'!$D$5:$D$1004,MATCH(C1142,'Leads Pipeline'!$A$5:$A$1004,0)),INDEX('Active Clients'!$B$5:$B$504,MATCH(C1142,'Active Clients'!$A$5:$A$504,0)))&amp;"","ID not found"))</f>
        <v/>
      </c>
      <c r="F1142" s="51" t="str">
        <f aca="false">IF(C1142="","",IFERROR(IF(LEFT(C1142,1)="L",INDEX('Leads Pipeline'!$E$5:$E$1004,MATCH(C1142,'Leads Pipeline'!$A$5:$A$1004,0)),INDEX('Active Clients'!$C$5:$C$504,MATCH(C1142,'Active Clients'!$A$5:$A$504,0)))&amp;"","ID not found"))</f>
        <v/>
      </c>
      <c r="G1142" s="16"/>
      <c r="H1142" s="16"/>
      <c r="I1142" s="16"/>
      <c r="J1142" s="16"/>
      <c r="K1142" s="16"/>
      <c r="L1142" s="18"/>
    </row>
    <row r="1143" customFormat="false" ht="15" hidden="false" customHeight="false" outlineLevel="0" collapsed="false">
      <c r="A1143" s="18"/>
      <c r="B1143" s="16"/>
      <c r="C1143" s="16"/>
      <c r="D1143" s="51" t="str">
        <f aca="false">IF(C1143="","",IFERROR(IF(LEFT(C1143,1)="L",INDEX('Leads Pipeline'!$F$5:$F$1004,MATCH(C1143,'Leads Pipeline'!$A$5:$A$1004,0)),INDEX('Active Clients'!$D$5:$D$504,MATCH(C1143,'Active Clients'!$A$5:$A$504,0)))&amp;"","ID not found"))</f>
        <v/>
      </c>
      <c r="E1143" s="51" t="str">
        <f aca="false">IF(C1143="","",IFERROR(IF(LEFT(C1143,1)="L",INDEX('Leads Pipeline'!$D$5:$D$1004,MATCH(C1143,'Leads Pipeline'!$A$5:$A$1004,0)),INDEX('Active Clients'!$B$5:$B$504,MATCH(C1143,'Active Clients'!$A$5:$A$504,0)))&amp;"","ID not found"))</f>
        <v/>
      </c>
      <c r="F1143" s="51" t="str">
        <f aca="false">IF(C1143="","",IFERROR(IF(LEFT(C1143,1)="L",INDEX('Leads Pipeline'!$E$5:$E$1004,MATCH(C1143,'Leads Pipeline'!$A$5:$A$1004,0)),INDEX('Active Clients'!$C$5:$C$504,MATCH(C1143,'Active Clients'!$A$5:$A$504,0)))&amp;"","ID not found"))</f>
        <v/>
      </c>
      <c r="G1143" s="16"/>
      <c r="H1143" s="16"/>
      <c r="I1143" s="16"/>
      <c r="J1143" s="16"/>
      <c r="K1143" s="16"/>
      <c r="L1143" s="18"/>
    </row>
    <row r="1144" customFormat="false" ht="15" hidden="false" customHeight="false" outlineLevel="0" collapsed="false">
      <c r="A1144" s="18"/>
      <c r="B1144" s="16"/>
      <c r="C1144" s="16"/>
      <c r="D1144" s="51" t="str">
        <f aca="false">IF(C1144="","",IFERROR(IF(LEFT(C1144,1)="L",INDEX('Leads Pipeline'!$F$5:$F$1004,MATCH(C1144,'Leads Pipeline'!$A$5:$A$1004,0)),INDEX('Active Clients'!$D$5:$D$504,MATCH(C1144,'Active Clients'!$A$5:$A$504,0)))&amp;"","ID not found"))</f>
        <v/>
      </c>
      <c r="E1144" s="51" t="str">
        <f aca="false">IF(C1144="","",IFERROR(IF(LEFT(C1144,1)="L",INDEX('Leads Pipeline'!$D$5:$D$1004,MATCH(C1144,'Leads Pipeline'!$A$5:$A$1004,0)),INDEX('Active Clients'!$B$5:$B$504,MATCH(C1144,'Active Clients'!$A$5:$A$504,0)))&amp;"","ID not found"))</f>
        <v/>
      </c>
      <c r="F1144" s="51" t="str">
        <f aca="false">IF(C1144="","",IFERROR(IF(LEFT(C1144,1)="L",INDEX('Leads Pipeline'!$E$5:$E$1004,MATCH(C1144,'Leads Pipeline'!$A$5:$A$1004,0)),INDEX('Active Clients'!$C$5:$C$504,MATCH(C1144,'Active Clients'!$A$5:$A$504,0)))&amp;"","ID not found"))</f>
        <v/>
      </c>
      <c r="G1144" s="16"/>
      <c r="H1144" s="16"/>
      <c r="I1144" s="16"/>
      <c r="J1144" s="16"/>
      <c r="K1144" s="16"/>
      <c r="L1144" s="18"/>
    </row>
    <row r="1145" customFormat="false" ht="15" hidden="false" customHeight="false" outlineLevel="0" collapsed="false">
      <c r="A1145" s="18"/>
      <c r="B1145" s="16"/>
      <c r="C1145" s="16"/>
      <c r="D1145" s="51" t="str">
        <f aca="false">IF(C1145="","",IFERROR(IF(LEFT(C1145,1)="L",INDEX('Leads Pipeline'!$F$5:$F$1004,MATCH(C1145,'Leads Pipeline'!$A$5:$A$1004,0)),INDEX('Active Clients'!$D$5:$D$504,MATCH(C1145,'Active Clients'!$A$5:$A$504,0)))&amp;"","ID not found"))</f>
        <v/>
      </c>
      <c r="E1145" s="51" t="str">
        <f aca="false">IF(C1145="","",IFERROR(IF(LEFT(C1145,1)="L",INDEX('Leads Pipeline'!$D$5:$D$1004,MATCH(C1145,'Leads Pipeline'!$A$5:$A$1004,0)),INDEX('Active Clients'!$B$5:$B$504,MATCH(C1145,'Active Clients'!$A$5:$A$504,0)))&amp;"","ID not found"))</f>
        <v/>
      </c>
      <c r="F1145" s="51" t="str">
        <f aca="false">IF(C1145="","",IFERROR(IF(LEFT(C1145,1)="L",INDEX('Leads Pipeline'!$E$5:$E$1004,MATCH(C1145,'Leads Pipeline'!$A$5:$A$1004,0)),INDEX('Active Clients'!$C$5:$C$504,MATCH(C1145,'Active Clients'!$A$5:$A$504,0)))&amp;"","ID not found"))</f>
        <v/>
      </c>
      <c r="G1145" s="16"/>
      <c r="H1145" s="16"/>
      <c r="I1145" s="16"/>
      <c r="J1145" s="16"/>
      <c r="K1145" s="16"/>
      <c r="L1145" s="18"/>
    </row>
    <row r="1146" customFormat="false" ht="15" hidden="false" customHeight="false" outlineLevel="0" collapsed="false">
      <c r="A1146" s="18"/>
      <c r="B1146" s="16"/>
      <c r="C1146" s="16"/>
      <c r="D1146" s="51" t="str">
        <f aca="false">IF(C1146="","",IFERROR(IF(LEFT(C1146,1)="L",INDEX('Leads Pipeline'!$F$5:$F$1004,MATCH(C1146,'Leads Pipeline'!$A$5:$A$1004,0)),INDEX('Active Clients'!$D$5:$D$504,MATCH(C1146,'Active Clients'!$A$5:$A$504,0)))&amp;"","ID not found"))</f>
        <v/>
      </c>
      <c r="E1146" s="51" t="str">
        <f aca="false">IF(C1146="","",IFERROR(IF(LEFT(C1146,1)="L",INDEX('Leads Pipeline'!$D$5:$D$1004,MATCH(C1146,'Leads Pipeline'!$A$5:$A$1004,0)),INDEX('Active Clients'!$B$5:$B$504,MATCH(C1146,'Active Clients'!$A$5:$A$504,0)))&amp;"","ID not found"))</f>
        <v/>
      </c>
      <c r="F1146" s="51" t="str">
        <f aca="false">IF(C1146="","",IFERROR(IF(LEFT(C1146,1)="L",INDEX('Leads Pipeline'!$E$5:$E$1004,MATCH(C1146,'Leads Pipeline'!$A$5:$A$1004,0)),INDEX('Active Clients'!$C$5:$C$504,MATCH(C1146,'Active Clients'!$A$5:$A$504,0)))&amp;"","ID not found"))</f>
        <v/>
      </c>
      <c r="G1146" s="16"/>
      <c r="H1146" s="16"/>
      <c r="I1146" s="16"/>
      <c r="J1146" s="16"/>
      <c r="K1146" s="16"/>
      <c r="L1146" s="18"/>
    </row>
    <row r="1147" customFormat="false" ht="15" hidden="false" customHeight="false" outlineLevel="0" collapsed="false">
      <c r="A1147" s="18"/>
      <c r="B1147" s="16"/>
      <c r="C1147" s="16"/>
      <c r="D1147" s="51" t="str">
        <f aca="false">IF(C1147="","",IFERROR(IF(LEFT(C1147,1)="L",INDEX('Leads Pipeline'!$F$5:$F$1004,MATCH(C1147,'Leads Pipeline'!$A$5:$A$1004,0)),INDEX('Active Clients'!$D$5:$D$504,MATCH(C1147,'Active Clients'!$A$5:$A$504,0)))&amp;"","ID not found"))</f>
        <v/>
      </c>
      <c r="E1147" s="51" t="str">
        <f aca="false">IF(C1147="","",IFERROR(IF(LEFT(C1147,1)="L",INDEX('Leads Pipeline'!$D$5:$D$1004,MATCH(C1147,'Leads Pipeline'!$A$5:$A$1004,0)),INDEX('Active Clients'!$B$5:$B$504,MATCH(C1147,'Active Clients'!$A$5:$A$504,0)))&amp;"","ID not found"))</f>
        <v/>
      </c>
      <c r="F1147" s="51" t="str">
        <f aca="false">IF(C1147="","",IFERROR(IF(LEFT(C1147,1)="L",INDEX('Leads Pipeline'!$E$5:$E$1004,MATCH(C1147,'Leads Pipeline'!$A$5:$A$1004,0)),INDEX('Active Clients'!$C$5:$C$504,MATCH(C1147,'Active Clients'!$A$5:$A$504,0)))&amp;"","ID not found"))</f>
        <v/>
      </c>
      <c r="G1147" s="16"/>
      <c r="H1147" s="16"/>
      <c r="I1147" s="16"/>
      <c r="J1147" s="16"/>
      <c r="K1147" s="16"/>
      <c r="L1147" s="18"/>
    </row>
    <row r="1148" customFormat="false" ht="15" hidden="false" customHeight="false" outlineLevel="0" collapsed="false">
      <c r="A1148" s="18"/>
      <c r="B1148" s="16"/>
      <c r="C1148" s="16"/>
      <c r="D1148" s="51" t="str">
        <f aca="false">IF(C1148="","",IFERROR(IF(LEFT(C1148,1)="L",INDEX('Leads Pipeline'!$F$5:$F$1004,MATCH(C1148,'Leads Pipeline'!$A$5:$A$1004,0)),INDEX('Active Clients'!$D$5:$D$504,MATCH(C1148,'Active Clients'!$A$5:$A$504,0)))&amp;"","ID not found"))</f>
        <v/>
      </c>
      <c r="E1148" s="51" t="str">
        <f aca="false">IF(C1148="","",IFERROR(IF(LEFT(C1148,1)="L",INDEX('Leads Pipeline'!$D$5:$D$1004,MATCH(C1148,'Leads Pipeline'!$A$5:$A$1004,0)),INDEX('Active Clients'!$B$5:$B$504,MATCH(C1148,'Active Clients'!$A$5:$A$504,0)))&amp;"","ID not found"))</f>
        <v/>
      </c>
      <c r="F1148" s="51" t="str">
        <f aca="false">IF(C1148="","",IFERROR(IF(LEFT(C1148,1)="L",INDEX('Leads Pipeline'!$E$5:$E$1004,MATCH(C1148,'Leads Pipeline'!$A$5:$A$1004,0)),INDEX('Active Clients'!$C$5:$C$504,MATCH(C1148,'Active Clients'!$A$5:$A$504,0)))&amp;"","ID not found"))</f>
        <v/>
      </c>
      <c r="G1148" s="16"/>
      <c r="H1148" s="16"/>
      <c r="I1148" s="16"/>
      <c r="J1148" s="16"/>
      <c r="K1148" s="16"/>
      <c r="L1148" s="18"/>
    </row>
    <row r="1149" customFormat="false" ht="15" hidden="false" customHeight="false" outlineLevel="0" collapsed="false">
      <c r="A1149" s="18"/>
      <c r="B1149" s="16"/>
      <c r="C1149" s="16"/>
      <c r="D1149" s="51" t="str">
        <f aca="false">IF(C1149="","",IFERROR(IF(LEFT(C1149,1)="L",INDEX('Leads Pipeline'!$F$5:$F$1004,MATCH(C1149,'Leads Pipeline'!$A$5:$A$1004,0)),INDEX('Active Clients'!$D$5:$D$504,MATCH(C1149,'Active Clients'!$A$5:$A$504,0)))&amp;"","ID not found"))</f>
        <v/>
      </c>
      <c r="E1149" s="51" t="str">
        <f aca="false">IF(C1149="","",IFERROR(IF(LEFT(C1149,1)="L",INDEX('Leads Pipeline'!$D$5:$D$1004,MATCH(C1149,'Leads Pipeline'!$A$5:$A$1004,0)),INDEX('Active Clients'!$B$5:$B$504,MATCH(C1149,'Active Clients'!$A$5:$A$504,0)))&amp;"","ID not found"))</f>
        <v/>
      </c>
      <c r="F1149" s="51" t="str">
        <f aca="false">IF(C1149="","",IFERROR(IF(LEFT(C1149,1)="L",INDEX('Leads Pipeline'!$E$5:$E$1004,MATCH(C1149,'Leads Pipeline'!$A$5:$A$1004,0)),INDEX('Active Clients'!$C$5:$C$504,MATCH(C1149,'Active Clients'!$A$5:$A$504,0)))&amp;"","ID not found"))</f>
        <v/>
      </c>
      <c r="G1149" s="16"/>
      <c r="H1149" s="16"/>
      <c r="I1149" s="16"/>
      <c r="J1149" s="16"/>
      <c r="K1149" s="16"/>
      <c r="L1149" s="18"/>
    </row>
    <row r="1150" customFormat="false" ht="15" hidden="false" customHeight="false" outlineLevel="0" collapsed="false">
      <c r="A1150" s="18"/>
      <c r="B1150" s="16"/>
      <c r="C1150" s="16"/>
      <c r="D1150" s="51" t="str">
        <f aca="false">IF(C1150="","",IFERROR(IF(LEFT(C1150,1)="L",INDEX('Leads Pipeline'!$F$5:$F$1004,MATCH(C1150,'Leads Pipeline'!$A$5:$A$1004,0)),INDEX('Active Clients'!$D$5:$D$504,MATCH(C1150,'Active Clients'!$A$5:$A$504,0)))&amp;"","ID not found"))</f>
        <v/>
      </c>
      <c r="E1150" s="51" t="str">
        <f aca="false">IF(C1150="","",IFERROR(IF(LEFT(C1150,1)="L",INDEX('Leads Pipeline'!$D$5:$D$1004,MATCH(C1150,'Leads Pipeline'!$A$5:$A$1004,0)),INDEX('Active Clients'!$B$5:$B$504,MATCH(C1150,'Active Clients'!$A$5:$A$504,0)))&amp;"","ID not found"))</f>
        <v/>
      </c>
      <c r="F1150" s="51" t="str">
        <f aca="false">IF(C1150="","",IFERROR(IF(LEFT(C1150,1)="L",INDEX('Leads Pipeline'!$E$5:$E$1004,MATCH(C1150,'Leads Pipeline'!$A$5:$A$1004,0)),INDEX('Active Clients'!$C$5:$C$504,MATCH(C1150,'Active Clients'!$A$5:$A$504,0)))&amp;"","ID not found"))</f>
        <v/>
      </c>
      <c r="G1150" s="16"/>
      <c r="H1150" s="16"/>
      <c r="I1150" s="16"/>
      <c r="J1150" s="16"/>
      <c r="K1150" s="16"/>
      <c r="L1150" s="18"/>
    </row>
    <row r="1151" customFormat="false" ht="15" hidden="false" customHeight="false" outlineLevel="0" collapsed="false">
      <c r="A1151" s="18"/>
      <c r="B1151" s="16"/>
      <c r="C1151" s="16"/>
      <c r="D1151" s="51" t="str">
        <f aca="false">IF(C1151="","",IFERROR(IF(LEFT(C1151,1)="L",INDEX('Leads Pipeline'!$F$5:$F$1004,MATCH(C1151,'Leads Pipeline'!$A$5:$A$1004,0)),INDEX('Active Clients'!$D$5:$D$504,MATCH(C1151,'Active Clients'!$A$5:$A$504,0)))&amp;"","ID not found"))</f>
        <v/>
      </c>
      <c r="E1151" s="51" t="str">
        <f aca="false">IF(C1151="","",IFERROR(IF(LEFT(C1151,1)="L",INDEX('Leads Pipeline'!$D$5:$D$1004,MATCH(C1151,'Leads Pipeline'!$A$5:$A$1004,0)),INDEX('Active Clients'!$B$5:$B$504,MATCH(C1151,'Active Clients'!$A$5:$A$504,0)))&amp;"","ID not found"))</f>
        <v/>
      </c>
      <c r="F1151" s="51" t="str">
        <f aca="false">IF(C1151="","",IFERROR(IF(LEFT(C1151,1)="L",INDEX('Leads Pipeline'!$E$5:$E$1004,MATCH(C1151,'Leads Pipeline'!$A$5:$A$1004,0)),INDEX('Active Clients'!$C$5:$C$504,MATCH(C1151,'Active Clients'!$A$5:$A$504,0)))&amp;"","ID not found"))</f>
        <v/>
      </c>
      <c r="G1151" s="16"/>
      <c r="H1151" s="16"/>
      <c r="I1151" s="16"/>
      <c r="J1151" s="16"/>
      <c r="K1151" s="16"/>
      <c r="L1151" s="18"/>
    </row>
    <row r="1152" customFormat="false" ht="15" hidden="false" customHeight="false" outlineLevel="0" collapsed="false">
      <c r="A1152" s="18"/>
      <c r="B1152" s="16"/>
      <c r="C1152" s="16"/>
      <c r="D1152" s="51" t="str">
        <f aca="false">IF(C1152="","",IFERROR(IF(LEFT(C1152,1)="L",INDEX('Leads Pipeline'!$F$5:$F$1004,MATCH(C1152,'Leads Pipeline'!$A$5:$A$1004,0)),INDEX('Active Clients'!$D$5:$D$504,MATCH(C1152,'Active Clients'!$A$5:$A$504,0)))&amp;"","ID not found"))</f>
        <v/>
      </c>
      <c r="E1152" s="51" t="str">
        <f aca="false">IF(C1152="","",IFERROR(IF(LEFT(C1152,1)="L",INDEX('Leads Pipeline'!$D$5:$D$1004,MATCH(C1152,'Leads Pipeline'!$A$5:$A$1004,0)),INDEX('Active Clients'!$B$5:$B$504,MATCH(C1152,'Active Clients'!$A$5:$A$504,0)))&amp;"","ID not found"))</f>
        <v/>
      </c>
      <c r="F1152" s="51" t="str">
        <f aca="false">IF(C1152="","",IFERROR(IF(LEFT(C1152,1)="L",INDEX('Leads Pipeline'!$E$5:$E$1004,MATCH(C1152,'Leads Pipeline'!$A$5:$A$1004,0)),INDEX('Active Clients'!$C$5:$C$504,MATCH(C1152,'Active Clients'!$A$5:$A$504,0)))&amp;"","ID not found"))</f>
        <v/>
      </c>
      <c r="G1152" s="16"/>
      <c r="H1152" s="16"/>
      <c r="I1152" s="16"/>
      <c r="J1152" s="16"/>
      <c r="K1152" s="16"/>
      <c r="L1152" s="18"/>
    </row>
    <row r="1153" customFormat="false" ht="15" hidden="false" customHeight="false" outlineLevel="0" collapsed="false">
      <c r="A1153" s="18"/>
      <c r="B1153" s="16"/>
      <c r="C1153" s="16"/>
      <c r="D1153" s="51" t="str">
        <f aca="false">IF(C1153="","",IFERROR(IF(LEFT(C1153,1)="L",INDEX('Leads Pipeline'!$F$5:$F$1004,MATCH(C1153,'Leads Pipeline'!$A$5:$A$1004,0)),INDEX('Active Clients'!$D$5:$D$504,MATCH(C1153,'Active Clients'!$A$5:$A$504,0)))&amp;"","ID not found"))</f>
        <v/>
      </c>
      <c r="E1153" s="51" t="str">
        <f aca="false">IF(C1153="","",IFERROR(IF(LEFT(C1153,1)="L",INDEX('Leads Pipeline'!$D$5:$D$1004,MATCH(C1153,'Leads Pipeline'!$A$5:$A$1004,0)),INDEX('Active Clients'!$B$5:$B$504,MATCH(C1153,'Active Clients'!$A$5:$A$504,0)))&amp;"","ID not found"))</f>
        <v/>
      </c>
      <c r="F1153" s="51" t="str">
        <f aca="false">IF(C1153="","",IFERROR(IF(LEFT(C1153,1)="L",INDEX('Leads Pipeline'!$E$5:$E$1004,MATCH(C1153,'Leads Pipeline'!$A$5:$A$1004,0)),INDEX('Active Clients'!$C$5:$C$504,MATCH(C1153,'Active Clients'!$A$5:$A$504,0)))&amp;"","ID not found"))</f>
        <v/>
      </c>
      <c r="G1153" s="16"/>
      <c r="H1153" s="16"/>
      <c r="I1153" s="16"/>
      <c r="J1153" s="16"/>
      <c r="K1153" s="16"/>
      <c r="L1153" s="18"/>
    </row>
    <row r="1154" customFormat="false" ht="15" hidden="false" customHeight="false" outlineLevel="0" collapsed="false">
      <c r="A1154" s="18"/>
      <c r="B1154" s="16"/>
      <c r="C1154" s="16"/>
      <c r="D1154" s="51" t="str">
        <f aca="false">IF(C1154="","",IFERROR(IF(LEFT(C1154,1)="L",INDEX('Leads Pipeline'!$F$5:$F$1004,MATCH(C1154,'Leads Pipeline'!$A$5:$A$1004,0)),INDEX('Active Clients'!$D$5:$D$504,MATCH(C1154,'Active Clients'!$A$5:$A$504,0)))&amp;"","ID not found"))</f>
        <v/>
      </c>
      <c r="E1154" s="51" t="str">
        <f aca="false">IF(C1154="","",IFERROR(IF(LEFT(C1154,1)="L",INDEX('Leads Pipeline'!$D$5:$D$1004,MATCH(C1154,'Leads Pipeline'!$A$5:$A$1004,0)),INDEX('Active Clients'!$B$5:$B$504,MATCH(C1154,'Active Clients'!$A$5:$A$504,0)))&amp;"","ID not found"))</f>
        <v/>
      </c>
      <c r="F1154" s="51" t="str">
        <f aca="false">IF(C1154="","",IFERROR(IF(LEFT(C1154,1)="L",INDEX('Leads Pipeline'!$E$5:$E$1004,MATCH(C1154,'Leads Pipeline'!$A$5:$A$1004,0)),INDEX('Active Clients'!$C$5:$C$504,MATCH(C1154,'Active Clients'!$A$5:$A$504,0)))&amp;"","ID not found"))</f>
        <v/>
      </c>
      <c r="G1154" s="16"/>
      <c r="H1154" s="16"/>
      <c r="I1154" s="16"/>
      <c r="J1154" s="16"/>
      <c r="K1154" s="16"/>
      <c r="L1154" s="18"/>
    </row>
    <row r="1155" customFormat="false" ht="15" hidden="false" customHeight="false" outlineLevel="0" collapsed="false">
      <c r="A1155" s="18"/>
      <c r="B1155" s="16"/>
      <c r="C1155" s="16"/>
      <c r="D1155" s="51" t="str">
        <f aca="false">IF(C1155="","",IFERROR(IF(LEFT(C1155,1)="L",INDEX('Leads Pipeline'!$F$5:$F$1004,MATCH(C1155,'Leads Pipeline'!$A$5:$A$1004,0)),INDEX('Active Clients'!$D$5:$D$504,MATCH(C1155,'Active Clients'!$A$5:$A$504,0)))&amp;"","ID not found"))</f>
        <v/>
      </c>
      <c r="E1155" s="51" t="str">
        <f aca="false">IF(C1155="","",IFERROR(IF(LEFT(C1155,1)="L",INDEX('Leads Pipeline'!$D$5:$D$1004,MATCH(C1155,'Leads Pipeline'!$A$5:$A$1004,0)),INDEX('Active Clients'!$B$5:$B$504,MATCH(C1155,'Active Clients'!$A$5:$A$504,0)))&amp;"","ID not found"))</f>
        <v/>
      </c>
      <c r="F1155" s="51" t="str">
        <f aca="false">IF(C1155="","",IFERROR(IF(LEFT(C1155,1)="L",INDEX('Leads Pipeline'!$E$5:$E$1004,MATCH(C1155,'Leads Pipeline'!$A$5:$A$1004,0)),INDEX('Active Clients'!$C$5:$C$504,MATCH(C1155,'Active Clients'!$A$5:$A$504,0)))&amp;"","ID not found"))</f>
        <v/>
      </c>
      <c r="G1155" s="16"/>
      <c r="H1155" s="16"/>
      <c r="I1155" s="16"/>
      <c r="J1155" s="16"/>
      <c r="K1155" s="16"/>
      <c r="L1155" s="18"/>
    </row>
    <row r="1156" customFormat="false" ht="15" hidden="false" customHeight="false" outlineLevel="0" collapsed="false">
      <c r="A1156" s="18"/>
      <c r="B1156" s="16"/>
      <c r="C1156" s="16"/>
      <c r="D1156" s="51" t="str">
        <f aca="false">IF(C1156="","",IFERROR(IF(LEFT(C1156,1)="L",INDEX('Leads Pipeline'!$F$5:$F$1004,MATCH(C1156,'Leads Pipeline'!$A$5:$A$1004,0)),INDEX('Active Clients'!$D$5:$D$504,MATCH(C1156,'Active Clients'!$A$5:$A$504,0)))&amp;"","ID not found"))</f>
        <v/>
      </c>
      <c r="E1156" s="51" t="str">
        <f aca="false">IF(C1156="","",IFERROR(IF(LEFT(C1156,1)="L",INDEX('Leads Pipeline'!$D$5:$D$1004,MATCH(C1156,'Leads Pipeline'!$A$5:$A$1004,0)),INDEX('Active Clients'!$B$5:$B$504,MATCH(C1156,'Active Clients'!$A$5:$A$504,0)))&amp;"","ID not found"))</f>
        <v/>
      </c>
      <c r="F1156" s="51" t="str">
        <f aca="false">IF(C1156="","",IFERROR(IF(LEFT(C1156,1)="L",INDEX('Leads Pipeline'!$E$5:$E$1004,MATCH(C1156,'Leads Pipeline'!$A$5:$A$1004,0)),INDEX('Active Clients'!$C$5:$C$504,MATCH(C1156,'Active Clients'!$A$5:$A$504,0)))&amp;"","ID not found"))</f>
        <v/>
      </c>
      <c r="G1156" s="16"/>
      <c r="H1156" s="16"/>
      <c r="I1156" s="16"/>
      <c r="J1156" s="16"/>
      <c r="K1156" s="16"/>
      <c r="L1156" s="18"/>
    </row>
    <row r="1157" customFormat="false" ht="15" hidden="false" customHeight="false" outlineLevel="0" collapsed="false">
      <c r="A1157" s="18"/>
      <c r="B1157" s="16"/>
      <c r="C1157" s="16"/>
      <c r="D1157" s="51" t="str">
        <f aca="false">IF(C1157="","",IFERROR(IF(LEFT(C1157,1)="L",INDEX('Leads Pipeline'!$F$5:$F$1004,MATCH(C1157,'Leads Pipeline'!$A$5:$A$1004,0)),INDEX('Active Clients'!$D$5:$D$504,MATCH(C1157,'Active Clients'!$A$5:$A$504,0)))&amp;"","ID not found"))</f>
        <v/>
      </c>
      <c r="E1157" s="51" t="str">
        <f aca="false">IF(C1157="","",IFERROR(IF(LEFT(C1157,1)="L",INDEX('Leads Pipeline'!$D$5:$D$1004,MATCH(C1157,'Leads Pipeline'!$A$5:$A$1004,0)),INDEX('Active Clients'!$B$5:$B$504,MATCH(C1157,'Active Clients'!$A$5:$A$504,0)))&amp;"","ID not found"))</f>
        <v/>
      </c>
      <c r="F1157" s="51" t="str">
        <f aca="false">IF(C1157="","",IFERROR(IF(LEFT(C1157,1)="L",INDEX('Leads Pipeline'!$E$5:$E$1004,MATCH(C1157,'Leads Pipeline'!$A$5:$A$1004,0)),INDEX('Active Clients'!$C$5:$C$504,MATCH(C1157,'Active Clients'!$A$5:$A$504,0)))&amp;"","ID not found"))</f>
        <v/>
      </c>
      <c r="G1157" s="16"/>
      <c r="H1157" s="16"/>
      <c r="I1157" s="16"/>
      <c r="J1157" s="16"/>
      <c r="K1157" s="16"/>
      <c r="L1157" s="18"/>
    </row>
    <row r="1158" customFormat="false" ht="15" hidden="false" customHeight="false" outlineLevel="0" collapsed="false">
      <c r="A1158" s="18"/>
      <c r="B1158" s="16"/>
      <c r="C1158" s="16"/>
      <c r="D1158" s="51" t="str">
        <f aca="false">IF(C1158="","",IFERROR(IF(LEFT(C1158,1)="L",INDEX('Leads Pipeline'!$F$5:$F$1004,MATCH(C1158,'Leads Pipeline'!$A$5:$A$1004,0)),INDEX('Active Clients'!$D$5:$D$504,MATCH(C1158,'Active Clients'!$A$5:$A$504,0)))&amp;"","ID not found"))</f>
        <v/>
      </c>
      <c r="E1158" s="51" t="str">
        <f aca="false">IF(C1158="","",IFERROR(IF(LEFT(C1158,1)="L",INDEX('Leads Pipeline'!$D$5:$D$1004,MATCH(C1158,'Leads Pipeline'!$A$5:$A$1004,0)),INDEX('Active Clients'!$B$5:$B$504,MATCH(C1158,'Active Clients'!$A$5:$A$504,0)))&amp;"","ID not found"))</f>
        <v/>
      </c>
      <c r="F1158" s="51" t="str">
        <f aca="false">IF(C1158="","",IFERROR(IF(LEFT(C1158,1)="L",INDEX('Leads Pipeline'!$E$5:$E$1004,MATCH(C1158,'Leads Pipeline'!$A$5:$A$1004,0)),INDEX('Active Clients'!$C$5:$C$504,MATCH(C1158,'Active Clients'!$A$5:$A$504,0)))&amp;"","ID not found"))</f>
        <v/>
      </c>
      <c r="G1158" s="16"/>
      <c r="H1158" s="16"/>
      <c r="I1158" s="16"/>
      <c r="J1158" s="16"/>
      <c r="K1158" s="16"/>
      <c r="L1158" s="18"/>
    </row>
    <row r="1159" customFormat="false" ht="15" hidden="false" customHeight="false" outlineLevel="0" collapsed="false">
      <c r="A1159" s="18"/>
      <c r="B1159" s="16"/>
      <c r="C1159" s="16"/>
      <c r="D1159" s="51" t="str">
        <f aca="false">IF(C1159="","",IFERROR(IF(LEFT(C1159,1)="L",INDEX('Leads Pipeline'!$F$5:$F$1004,MATCH(C1159,'Leads Pipeline'!$A$5:$A$1004,0)),INDEX('Active Clients'!$D$5:$D$504,MATCH(C1159,'Active Clients'!$A$5:$A$504,0)))&amp;"","ID not found"))</f>
        <v/>
      </c>
      <c r="E1159" s="51" t="str">
        <f aca="false">IF(C1159="","",IFERROR(IF(LEFT(C1159,1)="L",INDEX('Leads Pipeline'!$D$5:$D$1004,MATCH(C1159,'Leads Pipeline'!$A$5:$A$1004,0)),INDEX('Active Clients'!$B$5:$B$504,MATCH(C1159,'Active Clients'!$A$5:$A$504,0)))&amp;"","ID not found"))</f>
        <v/>
      </c>
      <c r="F1159" s="51" t="str">
        <f aca="false">IF(C1159="","",IFERROR(IF(LEFT(C1159,1)="L",INDEX('Leads Pipeline'!$E$5:$E$1004,MATCH(C1159,'Leads Pipeline'!$A$5:$A$1004,0)),INDEX('Active Clients'!$C$5:$C$504,MATCH(C1159,'Active Clients'!$A$5:$A$504,0)))&amp;"","ID not found"))</f>
        <v/>
      </c>
      <c r="G1159" s="16"/>
      <c r="H1159" s="16"/>
      <c r="I1159" s="16"/>
      <c r="J1159" s="16"/>
      <c r="K1159" s="16"/>
      <c r="L1159" s="18"/>
    </row>
    <row r="1160" customFormat="false" ht="15" hidden="false" customHeight="false" outlineLevel="0" collapsed="false">
      <c r="A1160" s="18"/>
      <c r="B1160" s="16"/>
      <c r="C1160" s="16"/>
      <c r="D1160" s="51" t="str">
        <f aca="false">IF(C1160="","",IFERROR(IF(LEFT(C1160,1)="L",INDEX('Leads Pipeline'!$F$5:$F$1004,MATCH(C1160,'Leads Pipeline'!$A$5:$A$1004,0)),INDEX('Active Clients'!$D$5:$D$504,MATCH(C1160,'Active Clients'!$A$5:$A$504,0)))&amp;"","ID not found"))</f>
        <v/>
      </c>
      <c r="E1160" s="51" t="str">
        <f aca="false">IF(C1160="","",IFERROR(IF(LEFT(C1160,1)="L",INDEX('Leads Pipeline'!$D$5:$D$1004,MATCH(C1160,'Leads Pipeline'!$A$5:$A$1004,0)),INDEX('Active Clients'!$B$5:$B$504,MATCH(C1160,'Active Clients'!$A$5:$A$504,0)))&amp;"","ID not found"))</f>
        <v/>
      </c>
      <c r="F1160" s="51" t="str">
        <f aca="false">IF(C1160="","",IFERROR(IF(LEFT(C1160,1)="L",INDEX('Leads Pipeline'!$E$5:$E$1004,MATCH(C1160,'Leads Pipeline'!$A$5:$A$1004,0)),INDEX('Active Clients'!$C$5:$C$504,MATCH(C1160,'Active Clients'!$A$5:$A$504,0)))&amp;"","ID not found"))</f>
        <v/>
      </c>
      <c r="G1160" s="16"/>
      <c r="H1160" s="16"/>
      <c r="I1160" s="16"/>
      <c r="J1160" s="16"/>
      <c r="K1160" s="16"/>
      <c r="L1160" s="18"/>
    </row>
    <row r="1161" customFormat="false" ht="15" hidden="false" customHeight="false" outlineLevel="0" collapsed="false">
      <c r="A1161" s="18"/>
      <c r="B1161" s="16"/>
      <c r="C1161" s="16"/>
      <c r="D1161" s="51" t="str">
        <f aca="false">IF(C1161="","",IFERROR(IF(LEFT(C1161,1)="L",INDEX('Leads Pipeline'!$F$5:$F$1004,MATCH(C1161,'Leads Pipeline'!$A$5:$A$1004,0)),INDEX('Active Clients'!$D$5:$D$504,MATCH(C1161,'Active Clients'!$A$5:$A$504,0)))&amp;"","ID not found"))</f>
        <v/>
      </c>
      <c r="E1161" s="51" t="str">
        <f aca="false">IF(C1161="","",IFERROR(IF(LEFT(C1161,1)="L",INDEX('Leads Pipeline'!$D$5:$D$1004,MATCH(C1161,'Leads Pipeline'!$A$5:$A$1004,0)),INDEX('Active Clients'!$B$5:$B$504,MATCH(C1161,'Active Clients'!$A$5:$A$504,0)))&amp;"","ID not found"))</f>
        <v/>
      </c>
      <c r="F1161" s="51" t="str">
        <f aca="false">IF(C1161="","",IFERROR(IF(LEFT(C1161,1)="L",INDEX('Leads Pipeline'!$E$5:$E$1004,MATCH(C1161,'Leads Pipeline'!$A$5:$A$1004,0)),INDEX('Active Clients'!$C$5:$C$504,MATCH(C1161,'Active Clients'!$A$5:$A$504,0)))&amp;"","ID not found"))</f>
        <v/>
      </c>
      <c r="G1161" s="16"/>
      <c r="H1161" s="16"/>
      <c r="I1161" s="16"/>
      <c r="J1161" s="16"/>
      <c r="K1161" s="16"/>
      <c r="L1161" s="18"/>
    </row>
    <row r="1162" customFormat="false" ht="15" hidden="false" customHeight="false" outlineLevel="0" collapsed="false">
      <c r="A1162" s="18"/>
      <c r="B1162" s="16"/>
      <c r="C1162" s="16"/>
      <c r="D1162" s="51" t="str">
        <f aca="false">IF(C1162="","",IFERROR(IF(LEFT(C1162,1)="L",INDEX('Leads Pipeline'!$F$5:$F$1004,MATCH(C1162,'Leads Pipeline'!$A$5:$A$1004,0)),INDEX('Active Clients'!$D$5:$D$504,MATCH(C1162,'Active Clients'!$A$5:$A$504,0)))&amp;"","ID not found"))</f>
        <v/>
      </c>
      <c r="E1162" s="51" t="str">
        <f aca="false">IF(C1162="","",IFERROR(IF(LEFT(C1162,1)="L",INDEX('Leads Pipeline'!$D$5:$D$1004,MATCH(C1162,'Leads Pipeline'!$A$5:$A$1004,0)),INDEX('Active Clients'!$B$5:$B$504,MATCH(C1162,'Active Clients'!$A$5:$A$504,0)))&amp;"","ID not found"))</f>
        <v/>
      </c>
      <c r="F1162" s="51" t="str">
        <f aca="false">IF(C1162="","",IFERROR(IF(LEFT(C1162,1)="L",INDEX('Leads Pipeline'!$E$5:$E$1004,MATCH(C1162,'Leads Pipeline'!$A$5:$A$1004,0)),INDEX('Active Clients'!$C$5:$C$504,MATCH(C1162,'Active Clients'!$A$5:$A$504,0)))&amp;"","ID not found"))</f>
        <v/>
      </c>
      <c r="G1162" s="16"/>
      <c r="H1162" s="16"/>
      <c r="I1162" s="16"/>
      <c r="J1162" s="16"/>
      <c r="K1162" s="16"/>
      <c r="L1162" s="18"/>
    </row>
    <row r="1163" customFormat="false" ht="15" hidden="false" customHeight="false" outlineLevel="0" collapsed="false">
      <c r="A1163" s="18"/>
      <c r="B1163" s="16"/>
      <c r="C1163" s="16"/>
      <c r="D1163" s="51" t="str">
        <f aca="false">IF(C1163="","",IFERROR(IF(LEFT(C1163,1)="L",INDEX('Leads Pipeline'!$F$5:$F$1004,MATCH(C1163,'Leads Pipeline'!$A$5:$A$1004,0)),INDEX('Active Clients'!$D$5:$D$504,MATCH(C1163,'Active Clients'!$A$5:$A$504,0)))&amp;"","ID not found"))</f>
        <v/>
      </c>
      <c r="E1163" s="51" t="str">
        <f aca="false">IF(C1163="","",IFERROR(IF(LEFT(C1163,1)="L",INDEX('Leads Pipeline'!$D$5:$D$1004,MATCH(C1163,'Leads Pipeline'!$A$5:$A$1004,0)),INDEX('Active Clients'!$B$5:$B$504,MATCH(C1163,'Active Clients'!$A$5:$A$504,0)))&amp;"","ID not found"))</f>
        <v/>
      </c>
      <c r="F1163" s="51" t="str">
        <f aca="false">IF(C1163="","",IFERROR(IF(LEFT(C1163,1)="L",INDEX('Leads Pipeline'!$E$5:$E$1004,MATCH(C1163,'Leads Pipeline'!$A$5:$A$1004,0)),INDEX('Active Clients'!$C$5:$C$504,MATCH(C1163,'Active Clients'!$A$5:$A$504,0)))&amp;"","ID not found"))</f>
        <v/>
      </c>
      <c r="G1163" s="16"/>
      <c r="H1163" s="16"/>
      <c r="I1163" s="16"/>
      <c r="J1163" s="16"/>
      <c r="K1163" s="16"/>
      <c r="L1163" s="18"/>
    </row>
    <row r="1164" customFormat="false" ht="15" hidden="false" customHeight="false" outlineLevel="0" collapsed="false">
      <c r="A1164" s="18"/>
      <c r="B1164" s="16"/>
      <c r="C1164" s="16"/>
      <c r="D1164" s="51" t="str">
        <f aca="false">IF(C1164="","",IFERROR(IF(LEFT(C1164,1)="L",INDEX('Leads Pipeline'!$F$5:$F$1004,MATCH(C1164,'Leads Pipeline'!$A$5:$A$1004,0)),INDEX('Active Clients'!$D$5:$D$504,MATCH(C1164,'Active Clients'!$A$5:$A$504,0)))&amp;"","ID not found"))</f>
        <v/>
      </c>
      <c r="E1164" s="51" t="str">
        <f aca="false">IF(C1164="","",IFERROR(IF(LEFT(C1164,1)="L",INDEX('Leads Pipeline'!$D$5:$D$1004,MATCH(C1164,'Leads Pipeline'!$A$5:$A$1004,0)),INDEX('Active Clients'!$B$5:$B$504,MATCH(C1164,'Active Clients'!$A$5:$A$504,0)))&amp;"","ID not found"))</f>
        <v/>
      </c>
      <c r="F1164" s="51" t="str">
        <f aca="false">IF(C1164="","",IFERROR(IF(LEFT(C1164,1)="L",INDEX('Leads Pipeline'!$E$5:$E$1004,MATCH(C1164,'Leads Pipeline'!$A$5:$A$1004,0)),INDEX('Active Clients'!$C$5:$C$504,MATCH(C1164,'Active Clients'!$A$5:$A$504,0)))&amp;"","ID not found"))</f>
        <v/>
      </c>
      <c r="G1164" s="16"/>
      <c r="H1164" s="16"/>
      <c r="I1164" s="16"/>
      <c r="J1164" s="16"/>
      <c r="K1164" s="16"/>
      <c r="L1164" s="18"/>
    </row>
    <row r="1165" customFormat="false" ht="15" hidden="false" customHeight="false" outlineLevel="0" collapsed="false">
      <c r="A1165" s="18"/>
      <c r="B1165" s="16"/>
      <c r="C1165" s="16"/>
      <c r="D1165" s="51" t="str">
        <f aca="false">IF(C1165="","",IFERROR(IF(LEFT(C1165,1)="L",INDEX('Leads Pipeline'!$F$5:$F$1004,MATCH(C1165,'Leads Pipeline'!$A$5:$A$1004,0)),INDEX('Active Clients'!$D$5:$D$504,MATCH(C1165,'Active Clients'!$A$5:$A$504,0)))&amp;"","ID not found"))</f>
        <v/>
      </c>
      <c r="E1165" s="51" t="str">
        <f aca="false">IF(C1165="","",IFERROR(IF(LEFT(C1165,1)="L",INDEX('Leads Pipeline'!$D$5:$D$1004,MATCH(C1165,'Leads Pipeline'!$A$5:$A$1004,0)),INDEX('Active Clients'!$B$5:$B$504,MATCH(C1165,'Active Clients'!$A$5:$A$504,0)))&amp;"","ID not found"))</f>
        <v/>
      </c>
      <c r="F1165" s="51" t="str">
        <f aca="false">IF(C1165="","",IFERROR(IF(LEFT(C1165,1)="L",INDEX('Leads Pipeline'!$E$5:$E$1004,MATCH(C1165,'Leads Pipeline'!$A$5:$A$1004,0)),INDEX('Active Clients'!$C$5:$C$504,MATCH(C1165,'Active Clients'!$A$5:$A$504,0)))&amp;"","ID not found"))</f>
        <v/>
      </c>
      <c r="G1165" s="16"/>
      <c r="H1165" s="16"/>
      <c r="I1165" s="16"/>
      <c r="J1165" s="16"/>
      <c r="K1165" s="16"/>
      <c r="L1165" s="18"/>
    </row>
    <row r="1166" customFormat="false" ht="15" hidden="false" customHeight="false" outlineLevel="0" collapsed="false">
      <c r="A1166" s="18"/>
      <c r="B1166" s="16"/>
      <c r="C1166" s="16"/>
      <c r="D1166" s="51" t="str">
        <f aca="false">IF(C1166="","",IFERROR(IF(LEFT(C1166,1)="L",INDEX('Leads Pipeline'!$F$5:$F$1004,MATCH(C1166,'Leads Pipeline'!$A$5:$A$1004,0)),INDEX('Active Clients'!$D$5:$D$504,MATCH(C1166,'Active Clients'!$A$5:$A$504,0)))&amp;"","ID not found"))</f>
        <v/>
      </c>
      <c r="E1166" s="51" t="str">
        <f aca="false">IF(C1166="","",IFERROR(IF(LEFT(C1166,1)="L",INDEX('Leads Pipeline'!$D$5:$D$1004,MATCH(C1166,'Leads Pipeline'!$A$5:$A$1004,0)),INDEX('Active Clients'!$B$5:$B$504,MATCH(C1166,'Active Clients'!$A$5:$A$504,0)))&amp;"","ID not found"))</f>
        <v/>
      </c>
      <c r="F1166" s="51" t="str">
        <f aca="false">IF(C1166="","",IFERROR(IF(LEFT(C1166,1)="L",INDEX('Leads Pipeline'!$E$5:$E$1004,MATCH(C1166,'Leads Pipeline'!$A$5:$A$1004,0)),INDEX('Active Clients'!$C$5:$C$504,MATCH(C1166,'Active Clients'!$A$5:$A$504,0)))&amp;"","ID not found"))</f>
        <v/>
      </c>
      <c r="G1166" s="16"/>
      <c r="H1166" s="16"/>
      <c r="I1166" s="16"/>
      <c r="J1166" s="16"/>
      <c r="K1166" s="16"/>
      <c r="L1166" s="18"/>
    </row>
    <row r="1167" customFormat="false" ht="15" hidden="false" customHeight="false" outlineLevel="0" collapsed="false">
      <c r="A1167" s="18"/>
      <c r="B1167" s="16"/>
      <c r="C1167" s="16"/>
      <c r="D1167" s="51" t="str">
        <f aca="false">IF(C1167="","",IFERROR(IF(LEFT(C1167,1)="L",INDEX('Leads Pipeline'!$F$5:$F$1004,MATCH(C1167,'Leads Pipeline'!$A$5:$A$1004,0)),INDEX('Active Clients'!$D$5:$D$504,MATCH(C1167,'Active Clients'!$A$5:$A$504,0)))&amp;"","ID not found"))</f>
        <v/>
      </c>
      <c r="E1167" s="51" t="str">
        <f aca="false">IF(C1167="","",IFERROR(IF(LEFT(C1167,1)="L",INDEX('Leads Pipeline'!$D$5:$D$1004,MATCH(C1167,'Leads Pipeline'!$A$5:$A$1004,0)),INDEX('Active Clients'!$B$5:$B$504,MATCH(C1167,'Active Clients'!$A$5:$A$504,0)))&amp;"","ID not found"))</f>
        <v/>
      </c>
      <c r="F1167" s="51" t="str">
        <f aca="false">IF(C1167="","",IFERROR(IF(LEFT(C1167,1)="L",INDEX('Leads Pipeline'!$E$5:$E$1004,MATCH(C1167,'Leads Pipeline'!$A$5:$A$1004,0)),INDEX('Active Clients'!$C$5:$C$504,MATCH(C1167,'Active Clients'!$A$5:$A$504,0)))&amp;"","ID not found"))</f>
        <v/>
      </c>
      <c r="G1167" s="16"/>
      <c r="H1167" s="16"/>
      <c r="I1167" s="16"/>
      <c r="J1167" s="16"/>
      <c r="K1167" s="16"/>
      <c r="L1167" s="18"/>
    </row>
    <row r="1168" customFormat="false" ht="15" hidden="false" customHeight="false" outlineLevel="0" collapsed="false">
      <c r="A1168" s="18"/>
      <c r="B1168" s="16"/>
      <c r="C1168" s="16"/>
      <c r="D1168" s="51" t="str">
        <f aca="false">IF(C1168="","",IFERROR(IF(LEFT(C1168,1)="L",INDEX('Leads Pipeline'!$F$5:$F$1004,MATCH(C1168,'Leads Pipeline'!$A$5:$A$1004,0)),INDEX('Active Clients'!$D$5:$D$504,MATCH(C1168,'Active Clients'!$A$5:$A$504,0)))&amp;"","ID not found"))</f>
        <v/>
      </c>
      <c r="E1168" s="51" t="str">
        <f aca="false">IF(C1168="","",IFERROR(IF(LEFT(C1168,1)="L",INDEX('Leads Pipeline'!$D$5:$D$1004,MATCH(C1168,'Leads Pipeline'!$A$5:$A$1004,0)),INDEX('Active Clients'!$B$5:$B$504,MATCH(C1168,'Active Clients'!$A$5:$A$504,0)))&amp;"","ID not found"))</f>
        <v/>
      </c>
      <c r="F1168" s="51" t="str">
        <f aca="false">IF(C1168="","",IFERROR(IF(LEFT(C1168,1)="L",INDEX('Leads Pipeline'!$E$5:$E$1004,MATCH(C1168,'Leads Pipeline'!$A$5:$A$1004,0)),INDEX('Active Clients'!$C$5:$C$504,MATCH(C1168,'Active Clients'!$A$5:$A$504,0)))&amp;"","ID not found"))</f>
        <v/>
      </c>
      <c r="G1168" s="16"/>
      <c r="H1168" s="16"/>
      <c r="I1168" s="16"/>
      <c r="J1168" s="16"/>
      <c r="K1168" s="16"/>
      <c r="L1168" s="18"/>
    </row>
    <row r="1169" customFormat="false" ht="15" hidden="false" customHeight="false" outlineLevel="0" collapsed="false">
      <c r="A1169" s="18"/>
      <c r="B1169" s="16"/>
      <c r="C1169" s="16"/>
      <c r="D1169" s="51" t="str">
        <f aca="false">IF(C1169="","",IFERROR(IF(LEFT(C1169,1)="L",INDEX('Leads Pipeline'!$F$5:$F$1004,MATCH(C1169,'Leads Pipeline'!$A$5:$A$1004,0)),INDEX('Active Clients'!$D$5:$D$504,MATCH(C1169,'Active Clients'!$A$5:$A$504,0)))&amp;"","ID not found"))</f>
        <v/>
      </c>
      <c r="E1169" s="51" t="str">
        <f aca="false">IF(C1169="","",IFERROR(IF(LEFT(C1169,1)="L",INDEX('Leads Pipeline'!$D$5:$D$1004,MATCH(C1169,'Leads Pipeline'!$A$5:$A$1004,0)),INDEX('Active Clients'!$B$5:$B$504,MATCH(C1169,'Active Clients'!$A$5:$A$504,0)))&amp;"","ID not found"))</f>
        <v/>
      </c>
      <c r="F1169" s="51" t="str">
        <f aca="false">IF(C1169="","",IFERROR(IF(LEFT(C1169,1)="L",INDEX('Leads Pipeline'!$E$5:$E$1004,MATCH(C1169,'Leads Pipeline'!$A$5:$A$1004,0)),INDEX('Active Clients'!$C$5:$C$504,MATCH(C1169,'Active Clients'!$A$5:$A$504,0)))&amp;"","ID not found"))</f>
        <v/>
      </c>
      <c r="G1169" s="16"/>
      <c r="H1169" s="16"/>
      <c r="I1169" s="16"/>
      <c r="J1169" s="16"/>
      <c r="K1169" s="16"/>
      <c r="L1169" s="18"/>
    </row>
    <row r="1170" customFormat="false" ht="15" hidden="false" customHeight="false" outlineLevel="0" collapsed="false">
      <c r="A1170" s="18"/>
      <c r="B1170" s="16"/>
      <c r="C1170" s="16"/>
      <c r="D1170" s="51" t="str">
        <f aca="false">IF(C1170="","",IFERROR(IF(LEFT(C1170,1)="L",INDEX('Leads Pipeline'!$F$5:$F$1004,MATCH(C1170,'Leads Pipeline'!$A$5:$A$1004,0)),INDEX('Active Clients'!$D$5:$D$504,MATCH(C1170,'Active Clients'!$A$5:$A$504,0)))&amp;"","ID not found"))</f>
        <v/>
      </c>
      <c r="E1170" s="51" t="str">
        <f aca="false">IF(C1170="","",IFERROR(IF(LEFT(C1170,1)="L",INDEX('Leads Pipeline'!$D$5:$D$1004,MATCH(C1170,'Leads Pipeline'!$A$5:$A$1004,0)),INDEX('Active Clients'!$B$5:$B$504,MATCH(C1170,'Active Clients'!$A$5:$A$504,0)))&amp;"","ID not found"))</f>
        <v/>
      </c>
      <c r="F1170" s="51" t="str">
        <f aca="false">IF(C1170="","",IFERROR(IF(LEFT(C1170,1)="L",INDEX('Leads Pipeline'!$E$5:$E$1004,MATCH(C1170,'Leads Pipeline'!$A$5:$A$1004,0)),INDEX('Active Clients'!$C$5:$C$504,MATCH(C1170,'Active Clients'!$A$5:$A$504,0)))&amp;"","ID not found"))</f>
        <v/>
      </c>
      <c r="G1170" s="16"/>
      <c r="H1170" s="16"/>
      <c r="I1170" s="16"/>
      <c r="J1170" s="16"/>
      <c r="K1170" s="16"/>
      <c r="L1170" s="18"/>
    </row>
    <row r="1171" customFormat="false" ht="15" hidden="false" customHeight="false" outlineLevel="0" collapsed="false">
      <c r="A1171" s="18"/>
      <c r="B1171" s="16"/>
      <c r="C1171" s="16"/>
      <c r="D1171" s="51" t="str">
        <f aca="false">IF(C1171="","",IFERROR(IF(LEFT(C1171,1)="L",INDEX('Leads Pipeline'!$F$5:$F$1004,MATCH(C1171,'Leads Pipeline'!$A$5:$A$1004,0)),INDEX('Active Clients'!$D$5:$D$504,MATCH(C1171,'Active Clients'!$A$5:$A$504,0)))&amp;"","ID not found"))</f>
        <v/>
      </c>
      <c r="E1171" s="51" t="str">
        <f aca="false">IF(C1171="","",IFERROR(IF(LEFT(C1171,1)="L",INDEX('Leads Pipeline'!$D$5:$D$1004,MATCH(C1171,'Leads Pipeline'!$A$5:$A$1004,0)),INDEX('Active Clients'!$B$5:$B$504,MATCH(C1171,'Active Clients'!$A$5:$A$504,0)))&amp;"","ID not found"))</f>
        <v/>
      </c>
      <c r="F1171" s="51" t="str">
        <f aca="false">IF(C1171="","",IFERROR(IF(LEFT(C1171,1)="L",INDEX('Leads Pipeline'!$E$5:$E$1004,MATCH(C1171,'Leads Pipeline'!$A$5:$A$1004,0)),INDEX('Active Clients'!$C$5:$C$504,MATCH(C1171,'Active Clients'!$A$5:$A$504,0)))&amp;"","ID not found"))</f>
        <v/>
      </c>
      <c r="G1171" s="16"/>
      <c r="H1171" s="16"/>
      <c r="I1171" s="16"/>
      <c r="J1171" s="16"/>
      <c r="K1171" s="16"/>
      <c r="L1171" s="18"/>
    </row>
    <row r="1172" customFormat="false" ht="15" hidden="false" customHeight="false" outlineLevel="0" collapsed="false">
      <c r="A1172" s="18"/>
      <c r="B1172" s="16"/>
      <c r="C1172" s="16"/>
      <c r="D1172" s="51" t="str">
        <f aca="false">IF(C1172="","",IFERROR(IF(LEFT(C1172,1)="L",INDEX('Leads Pipeline'!$F$5:$F$1004,MATCH(C1172,'Leads Pipeline'!$A$5:$A$1004,0)),INDEX('Active Clients'!$D$5:$D$504,MATCH(C1172,'Active Clients'!$A$5:$A$504,0)))&amp;"","ID not found"))</f>
        <v/>
      </c>
      <c r="E1172" s="51" t="str">
        <f aca="false">IF(C1172="","",IFERROR(IF(LEFT(C1172,1)="L",INDEX('Leads Pipeline'!$D$5:$D$1004,MATCH(C1172,'Leads Pipeline'!$A$5:$A$1004,0)),INDEX('Active Clients'!$B$5:$B$504,MATCH(C1172,'Active Clients'!$A$5:$A$504,0)))&amp;"","ID not found"))</f>
        <v/>
      </c>
      <c r="F1172" s="51" t="str">
        <f aca="false">IF(C1172="","",IFERROR(IF(LEFT(C1172,1)="L",INDEX('Leads Pipeline'!$E$5:$E$1004,MATCH(C1172,'Leads Pipeline'!$A$5:$A$1004,0)),INDEX('Active Clients'!$C$5:$C$504,MATCH(C1172,'Active Clients'!$A$5:$A$504,0)))&amp;"","ID not found"))</f>
        <v/>
      </c>
      <c r="G1172" s="16"/>
      <c r="H1172" s="16"/>
      <c r="I1172" s="16"/>
      <c r="J1172" s="16"/>
      <c r="K1172" s="16"/>
      <c r="L1172" s="18"/>
    </row>
    <row r="1173" customFormat="false" ht="15" hidden="false" customHeight="false" outlineLevel="0" collapsed="false">
      <c r="A1173" s="18"/>
      <c r="B1173" s="16"/>
      <c r="C1173" s="16"/>
      <c r="D1173" s="51" t="str">
        <f aca="false">IF(C1173="","",IFERROR(IF(LEFT(C1173,1)="L",INDEX('Leads Pipeline'!$F$5:$F$1004,MATCH(C1173,'Leads Pipeline'!$A$5:$A$1004,0)),INDEX('Active Clients'!$D$5:$D$504,MATCH(C1173,'Active Clients'!$A$5:$A$504,0)))&amp;"","ID not found"))</f>
        <v/>
      </c>
      <c r="E1173" s="51" t="str">
        <f aca="false">IF(C1173="","",IFERROR(IF(LEFT(C1173,1)="L",INDEX('Leads Pipeline'!$D$5:$D$1004,MATCH(C1173,'Leads Pipeline'!$A$5:$A$1004,0)),INDEX('Active Clients'!$B$5:$B$504,MATCH(C1173,'Active Clients'!$A$5:$A$504,0)))&amp;"","ID not found"))</f>
        <v/>
      </c>
      <c r="F1173" s="51" t="str">
        <f aca="false">IF(C1173="","",IFERROR(IF(LEFT(C1173,1)="L",INDEX('Leads Pipeline'!$E$5:$E$1004,MATCH(C1173,'Leads Pipeline'!$A$5:$A$1004,0)),INDEX('Active Clients'!$C$5:$C$504,MATCH(C1173,'Active Clients'!$A$5:$A$504,0)))&amp;"","ID not found"))</f>
        <v/>
      </c>
      <c r="G1173" s="16"/>
      <c r="H1173" s="16"/>
      <c r="I1173" s="16"/>
      <c r="J1173" s="16"/>
      <c r="K1173" s="16"/>
      <c r="L1173" s="18"/>
    </row>
    <row r="1174" customFormat="false" ht="15" hidden="false" customHeight="false" outlineLevel="0" collapsed="false">
      <c r="A1174" s="18"/>
      <c r="B1174" s="16"/>
      <c r="C1174" s="16"/>
      <c r="D1174" s="51" t="str">
        <f aca="false">IF(C1174="","",IFERROR(IF(LEFT(C1174,1)="L",INDEX('Leads Pipeline'!$F$5:$F$1004,MATCH(C1174,'Leads Pipeline'!$A$5:$A$1004,0)),INDEX('Active Clients'!$D$5:$D$504,MATCH(C1174,'Active Clients'!$A$5:$A$504,0)))&amp;"","ID not found"))</f>
        <v/>
      </c>
      <c r="E1174" s="51" t="str">
        <f aca="false">IF(C1174="","",IFERROR(IF(LEFT(C1174,1)="L",INDEX('Leads Pipeline'!$D$5:$D$1004,MATCH(C1174,'Leads Pipeline'!$A$5:$A$1004,0)),INDEX('Active Clients'!$B$5:$B$504,MATCH(C1174,'Active Clients'!$A$5:$A$504,0)))&amp;"","ID not found"))</f>
        <v/>
      </c>
      <c r="F1174" s="51" t="str">
        <f aca="false">IF(C1174="","",IFERROR(IF(LEFT(C1174,1)="L",INDEX('Leads Pipeline'!$E$5:$E$1004,MATCH(C1174,'Leads Pipeline'!$A$5:$A$1004,0)),INDEX('Active Clients'!$C$5:$C$504,MATCH(C1174,'Active Clients'!$A$5:$A$504,0)))&amp;"","ID not found"))</f>
        <v/>
      </c>
      <c r="G1174" s="16"/>
      <c r="H1174" s="16"/>
      <c r="I1174" s="16"/>
      <c r="J1174" s="16"/>
      <c r="K1174" s="16"/>
      <c r="L1174" s="18"/>
    </row>
    <row r="1175" customFormat="false" ht="15" hidden="false" customHeight="false" outlineLevel="0" collapsed="false">
      <c r="A1175" s="18"/>
      <c r="B1175" s="16"/>
      <c r="C1175" s="16"/>
      <c r="D1175" s="51" t="str">
        <f aca="false">IF(C1175="","",IFERROR(IF(LEFT(C1175,1)="L",INDEX('Leads Pipeline'!$F$5:$F$1004,MATCH(C1175,'Leads Pipeline'!$A$5:$A$1004,0)),INDEX('Active Clients'!$D$5:$D$504,MATCH(C1175,'Active Clients'!$A$5:$A$504,0)))&amp;"","ID not found"))</f>
        <v/>
      </c>
      <c r="E1175" s="51" t="str">
        <f aca="false">IF(C1175="","",IFERROR(IF(LEFT(C1175,1)="L",INDEX('Leads Pipeline'!$D$5:$D$1004,MATCH(C1175,'Leads Pipeline'!$A$5:$A$1004,0)),INDEX('Active Clients'!$B$5:$B$504,MATCH(C1175,'Active Clients'!$A$5:$A$504,0)))&amp;"","ID not found"))</f>
        <v/>
      </c>
      <c r="F1175" s="51" t="str">
        <f aca="false">IF(C1175="","",IFERROR(IF(LEFT(C1175,1)="L",INDEX('Leads Pipeline'!$E$5:$E$1004,MATCH(C1175,'Leads Pipeline'!$A$5:$A$1004,0)),INDEX('Active Clients'!$C$5:$C$504,MATCH(C1175,'Active Clients'!$A$5:$A$504,0)))&amp;"","ID not found"))</f>
        <v/>
      </c>
      <c r="G1175" s="16"/>
      <c r="H1175" s="16"/>
      <c r="I1175" s="16"/>
      <c r="J1175" s="16"/>
      <c r="K1175" s="16"/>
      <c r="L1175" s="18"/>
    </row>
    <row r="1176" customFormat="false" ht="15" hidden="false" customHeight="false" outlineLevel="0" collapsed="false">
      <c r="A1176" s="18"/>
      <c r="B1176" s="16"/>
      <c r="C1176" s="16"/>
      <c r="D1176" s="51" t="str">
        <f aca="false">IF(C1176="","",IFERROR(IF(LEFT(C1176,1)="L",INDEX('Leads Pipeline'!$F$5:$F$1004,MATCH(C1176,'Leads Pipeline'!$A$5:$A$1004,0)),INDEX('Active Clients'!$D$5:$D$504,MATCH(C1176,'Active Clients'!$A$5:$A$504,0)))&amp;"","ID not found"))</f>
        <v/>
      </c>
      <c r="E1176" s="51" t="str">
        <f aca="false">IF(C1176="","",IFERROR(IF(LEFT(C1176,1)="L",INDEX('Leads Pipeline'!$D$5:$D$1004,MATCH(C1176,'Leads Pipeline'!$A$5:$A$1004,0)),INDEX('Active Clients'!$B$5:$B$504,MATCH(C1176,'Active Clients'!$A$5:$A$504,0)))&amp;"","ID not found"))</f>
        <v/>
      </c>
      <c r="F1176" s="51" t="str">
        <f aca="false">IF(C1176="","",IFERROR(IF(LEFT(C1176,1)="L",INDEX('Leads Pipeline'!$E$5:$E$1004,MATCH(C1176,'Leads Pipeline'!$A$5:$A$1004,0)),INDEX('Active Clients'!$C$5:$C$504,MATCH(C1176,'Active Clients'!$A$5:$A$504,0)))&amp;"","ID not found"))</f>
        <v/>
      </c>
      <c r="G1176" s="16"/>
      <c r="H1176" s="16"/>
      <c r="I1176" s="16"/>
      <c r="J1176" s="16"/>
      <c r="K1176" s="16"/>
      <c r="L1176" s="18"/>
    </row>
    <row r="1177" customFormat="false" ht="15" hidden="false" customHeight="false" outlineLevel="0" collapsed="false">
      <c r="A1177" s="18"/>
      <c r="B1177" s="16"/>
      <c r="C1177" s="16"/>
      <c r="D1177" s="51" t="str">
        <f aca="false">IF(C1177="","",IFERROR(IF(LEFT(C1177,1)="L",INDEX('Leads Pipeline'!$F$5:$F$1004,MATCH(C1177,'Leads Pipeline'!$A$5:$A$1004,0)),INDEX('Active Clients'!$D$5:$D$504,MATCH(C1177,'Active Clients'!$A$5:$A$504,0)))&amp;"","ID not found"))</f>
        <v/>
      </c>
      <c r="E1177" s="51" t="str">
        <f aca="false">IF(C1177="","",IFERROR(IF(LEFT(C1177,1)="L",INDEX('Leads Pipeline'!$D$5:$D$1004,MATCH(C1177,'Leads Pipeline'!$A$5:$A$1004,0)),INDEX('Active Clients'!$B$5:$B$504,MATCH(C1177,'Active Clients'!$A$5:$A$504,0)))&amp;"","ID not found"))</f>
        <v/>
      </c>
      <c r="F1177" s="51" t="str">
        <f aca="false">IF(C1177="","",IFERROR(IF(LEFT(C1177,1)="L",INDEX('Leads Pipeline'!$E$5:$E$1004,MATCH(C1177,'Leads Pipeline'!$A$5:$A$1004,0)),INDEX('Active Clients'!$C$5:$C$504,MATCH(C1177,'Active Clients'!$A$5:$A$504,0)))&amp;"","ID not found"))</f>
        <v/>
      </c>
      <c r="G1177" s="16"/>
      <c r="H1177" s="16"/>
      <c r="I1177" s="16"/>
      <c r="J1177" s="16"/>
      <c r="K1177" s="16"/>
      <c r="L1177" s="18"/>
    </row>
    <row r="1178" customFormat="false" ht="15" hidden="false" customHeight="false" outlineLevel="0" collapsed="false">
      <c r="A1178" s="18"/>
      <c r="B1178" s="16"/>
      <c r="C1178" s="16"/>
      <c r="D1178" s="51" t="str">
        <f aca="false">IF(C1178="","",IFERROR(IF(LEFT(C1178,1)="L",INDEX('Leads Pipeline'!$F$5:$F$1004,MATCH(C1178,'Leads Pipeline'!$A$5:$A$1004,0)),INDEX('Active Clients'!$D$5:$D$504,MATCH(C1178,'Active Clients'!$A$5:$A$504,0)))&amp;"","ID not found"))</f>
        <v/>
      </c>
      <c r="E1178" s="51" t="str">
        <f aca="false">IF(C1178="","",IFERROR(IF(LEFT(C1178,1)="L",INDEX('Leads Pipeline'!$D$5:$D$1004,MATCH(C1178,'Leads Pipeline'!$A$5:$A$1004,0)),INDEX('Active Clients'!$B$5:$B$504,MATCH(C1178,'Active Clients'!$A$5:$A$504,0)))&amp;"","ID not found"))</f>
        <v/>
      </c>
      <c r="F1178" s="51" t="str">
        <f aca="false">IF(C1178="","",IFERROR(IF(LEFT(C1178,1)="L",INDEX('Leads Pipeline'!$E$5:$E$1004,MATCH(C1178,'Leads Pipeline'!$A$5:$A$1004,0)),INDEX('Active Clients'!$C$5:$C$504,MATCH(C1178,'Active Clients'!$A$5:$A$504,0)))&amp;"","ID not found"))</f>
        <v/>
      </c>
      <c r="G1178" s="16"/>
      <c r="H1178" s="16"/>
      <c r="I1178" s="16"/>
      <c r="J1178" s="16"/>
      <c r="K1178" s="16"/>
      <c r="L1178" s="18"/>
    </row>
    <row r="1179" customFormat="false" ht="15" hidden="false" customHeight="false" outlineLevel="0" collapsed="false">
      <c r="A1179" s="18"/>
      <c r="B1179" s="16"/>
      <c r="C1179" s="16"/>
      <c r="D1179" s="51" t="str">
        <f aca="false">IF(C1179="","",IFERROR(IF(LEFT(C1179,1)="L",INDEX('Leads Pipeline'!$F$5:$F$1004,MATCH(C1179,'Leads Pipeline'!$A$5:$A$1004,0)),INDEX('Active Clients'!$D$5:$D$504,MATCH(C1179,'Active Clients'!$A$5:$A$504,0)))&amp;"","ID not found"))</f>
        <v/>
      </c>
      <c r="E1179" s="51" t="str">
        <f aca="false">IF(C1179="","",IFERROR(IF(LEFT(C1179,1)="L",INDEX('Leads Pipeline'!$D$5:$D$1004,MATCH(C1179,'Leads Pipeline'!$A$5:$A$1004,0)),INDEX('Active Clients'!$B$5:$B$504,MATCH(C1179,'Active Clients'!$A$5:$A$504,0)))&amp;"","ID not found"))</f>
        <v/>
      </c>
      <c r="F1179" s="51" t="str">
        <f aca="false">IF(C1179="","",IFERROR(IF(LEFT(C1179,1)="L",INDEX('Leads Pipeline'!$E$5:$E$1004,MATCH(C1179,'Leads Pipeline'!$A$5:$A$1004,0)),INDEX('Active Clients'!$C$5:$C$504,MATCH(C1179,'Active Clients'!$A$5:$A$504,0)))&amp;"","ID not found"))</f>
        <v/>
      </c>
      <c r="G1179" s="16"/>
      <c r="H1179" s="16"/>
      <c r="I1179" s="16"/>
      <c r="J1179" s="16"/>
      <c r="K1179" s="16"/>
      <c r="L1179" s="18"/>
    </row>
    <row r="1180" customFormat="false" ht="15" hidden="false" customHeight="false" outlineLevel="0" collapsed="false">
      <c r="A1180" s="18"/>
      <c r="B1180" s="16"/>
      <c r="C1180" s="16"/>
      <c r="D1180" s="51" t="str">
        <f aca="false">IF(C1180="","",IFERROR(IF(LEFT(C1180,1)="L",INDEX('Leads Pipeline'!$F$5:$F$1004,MATCH(C1180,'Leads Pipeline'!$A$5:$A$1004,0)),INDEX('Active Clients'!$D$5:$D$504,MATCH(C1180,'Active Clients'!$A$5:$A$504,0)))&amp;"","ID not found"))</f>
        <v/>
      </c>
      <c r="E1180" s="51" t="str">
        <f aca="false">IF(C1180="","",IFERROR(IF(LEFT(C1180,1)="L",INDEX('Leads Pipeline'!$D$5:$D$1004,MATCH(C1180,'Leads Pipeline'!$A$5:$A$1004,0)),INDEX('Active Clients'!$B$5:$B$504,MATCH(C1180,'Active Clients'!$A$5:$A$504,0)))&amp;"","ID not found"))</f>
        <v/>
      </c>
      <c r="F1180" s="51" t="str">
        <f aca="false">IF(C1180="","",IFERROR(IF(LEFT(C1180,1)="L",INDEX('Leads Pipeline'!$E$5:$E$1004,MATCH(C1180,'Leads Pipeline'!$A$5:$A$1004,0)),INDEX('Active Clients'!$C$5:$C$504,MATCH(C1180,'Active Clients'!$A$5:$A$504,0)))&amp;"","ID not found"))</f>
        <v/>
      </c>
      <c r="G1180" s="16"/>
      <c r="H1180" s="16"/>
      <c r="I1180" s="16"/>
      <c r="J1180" s="16"/>
      <c r="K1180" s="16"/>
      <c r="L1180" s="18"/>
    </row>
    <row r="1181" customFormat="false" ht="15" hidden="false" customHeight="false" outlineLevel="0" collapsed="false">
      <c r="A1181" s="18"/>
      <c r="B1181" s="16"/>
      <c r="C1181" s="16"/>
      <c r="D1181" s="51" t="str">
        <f aca="false">IF(C1181="","",IFERROR(IF(LEFT(C1181,1)="L",INDEX('Leads Pipeline'!$F$5:$F$1004,MATCH(C1181,'Leads Pipeline'!$A$5:$A$1004,0)),INDEX('Active Clients'!$D$5:$D$504,MATCH(C1181,'Active Clients'!$A$5:$A$504,0)))&amp;"","ID not found"))</f>
        <v/>
      </c>
      <c r="E1181" s="51" t="str">
        <f aca="false">IF(C1181="","",IFERROR(IF(LEFT(C1181,1)="L",INDEX('Leads Pipeline'!$D$5:$D$1004,MATCH(C1181,'Leads Pipeline'!$A$5:$A$1004,0)),INDEX('Active Clients'!$B$5:$B$504,MATCH(C1181,'Active Clients'!$A$5:$A$504,0)))&amp;"","ID not found"))</f>
        <v/>
      </c>
      <c r="F1181" s="51" t="str">
        <f aca="false">IF(C1181="","",IFERROR(IF(LEFT(C1181,1)="L",INDEX('Leads Pipeline'!$E$5:$E$1004,MATCH(C1181,'Leads Pipeline'!$A$5:$A$1004,0)),INDEX('Active Clients'!$C$5:$C$504,MATCH(C1181,'Active Clients'!$A$5:$A$504,0)))&amp;"","ID not found"))</f>
        <v/>
      </c>
      <c r="G1181" s="16"/>
      <c r="H1181" s="16"/>
      <c r="I1181" s="16"/>
      <c r="J1181" s="16"/>
      <c r="K1181" s="16"/>
      <c r="L1181" s="18"/>
    </row>
    <row r="1182" customFormat="false" ht="15" hidden="false" customHeight="false" outlineLevel="0" collapsed="false">
      <c r="A1182" s="18"/>
      <c r="B1182" s="16"/>
      <c r="C1182" s="16"/>
      <c r="D1182" s="51" t="str">
        <f aca="false">IF(C1182="","",IFERROR(IF(LEFT(C1182,1)="L",INDEX('Leads Pipeline'!$F$5:$F$1004,MATCH(C1182,'Leads Pipeline'!$A$5:$A$1004,0)),INDEX('Active Clients'!$D$5:$D$504,MATCH(C1182,'Active Clients'!$A$5:$A$504,0)))&amp;"","ID not found"))</f>
        <v/>
      </c>
      <c r="E1182" s="51" t="str">
        <f aca="false">IF(C1182="","",IFERROR(IF(LEFT(C1182,1)="L",INDEX('Leads Pipeline'!$D$5:$D$1004,MATCH(C1182,'Leads Pipeline'!$A$5:$A$1004,0)),INDEX('Active Clients'!$B$5:$B$504,MATCH(C1182,'Active Clients'!$A$5:$A$504,0)))&amp;"","ID not found"))</f>
        <v/>
      </c>
      <c r="F1182" s="51" t="str">
        <f aca="false">IF(C1182="","",IFERROR(IF(LEFT(C1182,1)="L",INDEX('Leads Pipeline'!$E$5:$E$1004,MATCH(C1182,'Leads Pipeline'!$A$5:$A$1004,0)),INDEX('Active Clients'!$C$5:$C$504,MATCH(C1182,'Active Clients'!$A$5:$A$504,0)))&amp;"","ID not found"))</f>
        <v/>
      </c>
      <c r="G1182" s="16"/>
      <c r="H1182" s="16"/>
      <c r="I1182" s="16"/>
      <c r="J1182" s="16"/>
      <c r="K1182" s="16"/>
      <c r="L1182" s="18"/>
    </row>
    <row r="1183" customFormat="false" ht="15" hidden="false" customHeight="false" outlineLevel="0" collapsed="false">
      <c r="A1183" s="18"/>
      <c r="B1183" s="16"/>
      <c r="C1183" s="16"/>
      <c r="D1183" s="51" t="str">
        <f aca="false">IF(C1183="","",IFERROR(IF(LEFT(C1183,1)="L",INDEX('Leads Pipeline'!$F$5:$F$1004,MATCH(C1183,'Leads Pipeline'!$A$5:$A$1004,0)),INDEX('Active Clients'!$D$5:$D$504,MATCH(C1183,'Active Clients'!$A$5:$A$504,0)))&amp;"","ID not found"))</f>
        <v/>
      </c>
      <c r="E1183" s="51" t="str">
        <f aca="false">IF(C1183="","",IFERROR(IF(LEFT(C1183,1)="L",INDEX('Leads Pipeline'!$D$5:$D$1004,MATCH(C1183,'Leads Pipeline'!$A$5:$A$1004,0)),INDEX('Active Clients'!$B$5:$B$504,MATCH(C1183,'Active Clients'!$A$5:$A$504,0)))&amp;"","ID not found"))</f>
        <v/>
      </c>
      <c r="F1183" s="51" t="str">
        <f aca="false">IF(C1183="","",IFERROR(IF(LEFT(C1183,1)="L",INDEX('Leads Pipeline'!$E$5:$E$1004,MATCH(C1183,'Leads Pipeline'!$A$5:$A$1004,0)),INDEX('Active Clients'!$C$5:$C$504,MATCH(C1183,'Active Clients'!$A$5:$A$504,0)))&amp;"","ID not found"))</f>
        <v/>
      </c>
      <c r="G1183" s="16"/>
      <c r="H1183" s="16"/>
      <c r="I1183" s="16"/>
      <c r="J1183" s="16"/>
      <c r="K1183" s="16"/>
      <c r="L1183" s="18"/>
    </row>
    <row r="1184" customFormat="false" ht="15" hidden="false" customHeight="false" outlineLevel="0" collapsed="false">
      <c r="A1184" s="18"/>
      <c r="B1184" s="16"/>
      <c r="C1184" s="16"/>
      <c r="D1184" s="51" t="str">
        <f aca="false">IF(C1184="","",IFERROR(IF(LEFT(C1184,1)="L",INDEX('Leads Pipeline'!$F$5:$F$1004,MATCH(C1184,'Leads Pipeline'!$A$5:$A$1004,0)),INDEX('Active Clients'!$D$5:$D$504,MATCH(C1184,'Active Clients'!$A$5:$A$504,0)))&amp;"","ID not found"))</f>
        <v/>
      </c>
      <c r="E1184" s="51" t="str">
        <f aca="false">IF(C1184="","",IFERROR(IF(LEFT(C1184,1)="L",INDEX('Leads Pipeline'!$D$5:$D$1004,MATCH(C1184,'Leads Pipeline'!$A$5:$A$1004,0)),INDEX('Active Clients'!$B$5:$B$504,MATCH(C1184,'Active Clients'!$A$5:$A$504,0)))&amp;"","ID not found"))</f>
        <v/>
      </c>
      <c r="F1184" s="51" t="str">
        <f aca="false">IF(C1184="","",IFERROR(IF(LEFT(C1184,1)="L",INDEX('Leads Pipeline'!$E$5:$E$1004,MATCH(C1184,'Leads Pipeline'!$A$5:$A$1004,0)),INDEX('Active Clients'!$C$5:$C$504,MATCH(C1184,'Active Clients'!$A$5:$A$504,0)))&amp;"","ID not found"))</f>
        <v/>
      </c>
      <c r="G1184" s="16"/>
      <c r="H1184" s="16"/>
      <c r="I1184" s="16"/>
      <c r="J1184" s="16"/>
      <c r="K1184" s="16"/>
      <c r="L1184" s="18"/>
    </row>
    <row r="1185" customFormat="false" ht="15" hidden="false" customHeight="false" outlineLevel="0" collapsed="false">
      <c r="A1185" s="18"/>
      <c r="B1185" s="16"/>
      <c r="C1185" s="16"/>
      <c r="D1185" s="51" t="str">
        <f aca="false">IF(C1185="","",IFERROR(IF(LEFT(C1185,1)="L",INDEX('Leads Pipeline'!$F$5:$F$1004,MATCH(C1185,'Leads Pipeline'!$A$5:$A$1004,0)),INDEX('Active Clients'!$D$5:$D$504,MATCH(C1185,'Active Clients'!$A$5:$A$504,0)))&amp;"","ID not found"))</f>
        <v/>
      </c>
      <c r="E1185" s="51" t="str">
        <f aca="false">IF(C1185="","",IFERROR(IF(LEFT(C1185,1)="L",INDEX('Leads Pipeline'!$D$5:$D$1004,MATCH(C1185,'Leads Pipeline'!$A$5:$A$1004,0)),INDEX('Active Clients'!$B$5:$B$504,MATCH(C1185,'Active Clients'!$A$5:$A$504,0)))&amp;"","ID not found"))</f>
        <v/>
      </c>
      <c r="F1185" s="51" t="str">
        <f aca="false">IF(C1185="","",IFERROR(IF(LEFT(C1185,1)="L",INDEX('Leads Pipeline'!$E$5:$E$1004,MATCH(C1185,'Leads Pipeline'!$A$5:$A$1004,0)),INDEX('Active Clients'!$C$5:$C$504,MATCH(C1185,'Active Clients'!$A$5:$A$504,0)))&amp;"","ID not found"))</f>
        <v/>
      </c>
      <c r="G1185" s="16"/>
      <c r="H1185" s="16"/>
      <c r="I1185" s="16"/>
      <c r="J1185" s="16"/>
      <c r="K1185" s="16"/>
      <c r="L1185" s="18"/>
    </row>
    <row r="1186" customFormat="false" ht="15" hidden="false" customHeight="false" outlineLevel="0" collapsed="false">
      <c r="A1186" s="18"/>
      <c r="B1186" s="16"/>
      <c r="C1186" s="16"/>
      <c r="D1186" s="51" t="str">
        <f aca="false">IF(C1186="","",IFERROR(IF(LEFT(C1186,1)="L",INDEX('Leads Pipeline'!$F$5:$F$1004,MATCH(C1186,'Leads Pipeline'!$A$5:$A$1004,0)),INDEX('Active Clients'!$D$5:$D$504,MATCH(C1186,'Active Clients'!$A$5:$A$504,0)))&amp;"","ID not found"))</f>
        <v/>
      </c>
      <c r="E1186" s="51" t="str">
        <f aca="false">IF(C1186="","",IFERROR(IF(LEFT(C1186,1)="L",INDEX('Leads Pipeline'!$D$5:$D$1004,MATCH(C1186,'Leads Pipeline'!$A$5:$A$1004,0)),INDEX('Active Clients'!$B$5:$B$504,MATCH(C1186,'Active Clients'!$A$5:$A$504,0)))&amp;"","ID not found"))</f>
        <v/>
      </c>
      <c r="F1186" s="51" t="str">
        <f aca="false">IF(C1186="","",IFERROR(IF(LEFT(C1186,1)="L",INDEX('Leads Pipeline'!$E$5:$E$1004,MATCH(C1186,'Leads Pipeline'!$A$5:$A$1004,0)),INDEX('Active Clients'!$C$5:$C$504,MATCH(C1186,'Active Clients'!$A$5:$A$504,0)))&amp;"","ID not found"))</f>
        <v/>
      </c>
      <c r="G1186" s="16"/>
      <c r="H1186" s="16"/>
      <c r="I1186" s="16"/>
      <c r="J1186" s="16"/>
      <c r="K1186" s="16"/>
      <c r="L1186" s="18"/>
    </row>
    <row r="1187" customFormat="false" ht="15" hidden="false" customHeight="false" outlineLevel="0" collapsed="false">
      <c r="A1187" s="18"/>
      <c r="B1187" s="16"/>
      <c r="C1187" s="16"/>
      <c r="D1187" s="51" t="str">
        <f aca="false">IF(C1187="","",IFERROR(IF(LEFT(C1187,1)="L",INDEX('Leads Pipeline'!$F$5:$F$1004,MATCH(C1187,'Leads Pipeline'!$A$5:$A$1004,0)),INDEX('Active Clients'!$D$5:$D$504,MATCH(C1187,'Active Clients'!$A$5:$A$504,0)))&amp;"","ID not found"))</f>
        <v/>
      </c>
      <c r="E1187" s="51" t="str">
        <f aca="false">IF(C1187="","",IFERROR(IF(LEFT(C1187,1)="L",INDEX('Leads Pipeline'!$D$5:$D$1004,MATCH(C1187,'Leads Pipeline'!$A$5:$A$1004,0)),INDEX('Active Clients'!$B$5:$B$504,MATCH(C1187,'Active Clients'!$A$5:$A$504,0)))&amp;"","ID not found"))</f>
        <v/>
      </c>
      <c r="F1187" s="51" t="str">
        <f aca="false">IF(C1187="","",IFERROR(IF(LEFT(C1187,1)="L",INDEX('Leads Pipeline'!$E$5:$E$1004,MATCH(C1187,'Leads Pipeline'!$A$5:$A$1004,0)),INDEX('Active Clients'!$C$5:$C$504,MATCH(C1187,'Active Clients'!$A$5:$A$504,0)))&amp;"","ID not found"))</f>
        <v/>
      </c>
      <c r="G1187" s="16"/>
      <c r="H1187" s="16"/>
      <c r="I1187" s="16"/>
      <c r="J1187" s="16"/>
      <c r="K1187" s="16"/>
      <c r="L1187" s="18"/>
    </row>
    <row r="1188" customFormat="false" ht="15" hidden="false" customHeight="false" outlineLevel="0" collapsed="false">
      <c r="A1188" s="18"/>
      <c r="B1188" s="16"/>
      <c r="C1188" s="16"/>
      <c r="D1188" s="51" t="str">
        <f aca="false">IF(C1188="","",IFERROR(IF(LEFT(C1188,1)="L",INDEX('Leads Pipeline'!$F$5:$F$1004,MATCH(C1188,'Leads Pipeline'!$A$5:$A$1004,0)),INDEX('Active Clients'!$D$5:$D$504,MATCH(C1188,'Active Clients'!$A$5:$A$504,0)))&amp;"","ID not found"))</f>
        <v/>
      </c>
      <c r="E1188" s="51" t="str">
        <f aca="false">IF(C1188="","",IFERROR(IF(LEFT(C1188,1)="L",INDEX('Leads Pipeline'!$D$5:$D$1004,MATCH(C1188,'Leads Pipeline'!$A$5:$A$1004,0)),INDEX('Active Clients'!$B$5:$B$504,MATCH(C1188,'Active Clients'!$A$5:$A$504,0)))&amp;"","ID not found"))</f>
        <v/>
      </c>
      <c r="F1188" s="51" t="str">
        <f aca="false">IF(C1188="","",IFERROR(IF(LEFT(C1188,1)="L",INDEX('Leads Pipeline'!$E$5:$E$1004,MATCH(C1188,'Leads Pipeline'!$A$5:$A$1004,0)),INDEX('Active Clients'!$C$5:$C$504,MATCH(C1188,'Active Clients'!$A$5:$A$504,0)))&amp;"","ID not found"))</f>
        <v/>
      </c>
      <c r="G1188" s="16"/>
      <c r="H1188" s="16"/>
      <c r="I1188" s="16"/>
      <c r="J1188" s="16"/>
      <c r="K1188" s="16"/>
      <c r="L1188" s="18"/>
    </row>
    <row r="1189" customFormat="false" ht="15" hidden="false" customHeight="false" outlineLevel="0" collapsed="false">
      <c r="A1189" s="18"/>
      <c r="B1189" s="16"/>
      <c r="C1189" s="16"/>
      <c r="D1189" s="51" t="str">
        <f aca="false">IF(C1189="","",IFERROR(IF(LEFT(C1189,1)="L",INDEX('Leads Pipeline'!$F$5:$F$1004,MATCH(C1189,'Leads Pipeline'!$A$5:$A$1004,0)),INDEX('Active Clients'!$D$5:$D$504,MATCH(C1189,'Active Clients'!$A$5:$A$504,0)))&amp;"","ID not found"))</f>
        <v/>
      </c>
      <c r="E1189" s="51" t="str">
        <f aca="false">IF(C1189="","",IFERROR(IF(LEFT(C1189,1)="L",INDEX('Leads Pipeline'!$D$5:$D$1004,MATCH(C1189,'Leads Pipeline'!$A$5:$A$1004,0)),INDEX('Active Clients'!$B$5:$B$504,MATCH(C1189,'Active Clients'!$A$5:$A$504,0)))&amp;"","ID not found"))</f>
        <v/>
      </c>
      <c r="F1189" s="51" t="str">
        <f aca="false">IF(C1189="","",IFERROR(IF(LEFT(C1189,1)="L",INDEX('Leads Pipeline'!$E$5:$E$1004,MATCH(C1189,'Leads Pipeline'!$A$5:$A$1004,0)),INDEX('Active Clients'!$C$5:$C$504,MATCH(C1189,'Active Clients'!$A$5:$A$504,0)))&amp;"","ID not found"))</f>
        <v/>
      </c>
      <c r="G1189" s="16"/>
      <c r="H1189" s="16"/>
      <c r="I1189" s="16"/>
      <c r="J1189" s="16"/>
      <c r="K1189" s="16"/>
      <c r="L1189" s="18"/>
    </row>
    <row r="1190" customFormat="false" ht="15" hidden="false" customHeight="false" outlineLevel="0" collapsed="false">
      <c r="A1190" s="18"/>
      <c r="B1190" s="16"/>
      <c r="C1190" s="16"/>
      <c r="D1190" s="51" t="str">
        <f aca="false">IF(C1190="","",IFERROR(IF(LEFT(C1190,1)="L",INDEX('Leads Pipeline'!$F$5:$F$1004,MATCH(C1190,'Leads Pipeline'!$A$5:$A$1004,0)),INDEX('Active Clients'!$D$5:$D$504,MATCH(C1190,'Active Clients'!$A$5:$A$504,0)))&amp;"","ID not found"))</f>
        <v/>
      </c>
      <c r="E1190" s="51" t="str">
        <f aca="false">IF(C1190="","",IFERROR(IF(LEFT(C1190,1)="L",INDEX('Leads Pipeline'!$D$5:$D$1004,MATCH(C1190,'Leads Pipeline'!$A$5:$A$1004,0)),INDEX('Active Clients'!$B$5:$B$504,MATCH(C1190,'Active Clients'!$A$5:$A$504,0)))&amp;"","ID not found"))</f>
        <v/>
      </c>
      <c r="F1190" s="51" t="str">
        <f aca="false">IF(C1190="","",IFERROR(IF(LEFT(C1190,1)="L",INDEX('Leads Pipeline'!$E$5:$E$1004,MATCH(C1190,'Leads Pipeline'!$A$5:$A$1004,0)),INDEX('Active Clients'!$C$5:$C$504,MATCH(C1190,'Active Clients'!$A$5:$A$504,0)))&amp;"","ID not found"))</f>
        <v/>
      </c>
      <c r="G1190" s="16"/>
      <c r="H1190" s="16"/>
      <c r="I1190" s="16"/>
      <c r="J1190" s="16"/>
      <c r="K1190" s="16"/>
      <c r="L1190" s="18"/>
    </row>
    <row r="1191" customFormat="false" ht="15" hidden="false" customHeight="false" outlineLevel="0" collapsed="false">
      <c r="A1191" s="18"/>
      <c r="B1191" s="16"/>
      <c r="C1191" s="16"/>
      <c r="D1191" s="51" t="str">
        <f aca="false">IF(C1191="","",IFERROR(IF(LEFT(C1191,1)="L",INDEX('Leads Pipeline'!$F$5:$F$1004,MATCH(C1191,'Leads Pipeline'!$A$5:$A$1004,0)),INDEX('Active Clients'!$D$5:$D$504,MATCH(C1191,'Active Clients'!$A$5:$A$504,0)))&amp;"","ID not found"))</f>
        <v/>
      </c>
      <c r="E1191" s="51" t="str">
        <f aca="false">IF(C1191="","",IFERROR(IF(LEFT(C1191,1)="L",INDEX('Leads Pipeline'!$D$5:$D$1004,MATCH(C1191,'Leads Pipeline'!$A$5:$A$1004,0)),INDEX('Active Clients'!$B$5:$B$504,MATCH(C1191,'Active Clients'!$A$5:$A$504,0)))&amp;"","ID not found"))</f>
        <v/>
      </c>
      <c r="F1191" s="51" t="str">
        <f aca="false">IF(C1191="","",IFERROR(IF(LEFT(C1191,1)="L",INDEX('Leads Pipeline'!$E$5:$E$1004,MATCH(C1191,'Leads Pipeline'!$A$5:$A$1004,0)),INDEX('Active Clients'!$C$5:$C$504,MATCH(C1191,'Active Clients'!$A$5:$A$504,0)))&amp;"","ID not found"))</f>
        <v/>
      </c>
      <c r="G1191" s="16"/>
      <c r="H1191" s="16"/>
      <c r="I1191" s="16"/>
      <c r="J1191" s="16"/>
      <c r="K1191" s="16"/>
      <c r="L1191" s="18"/>
    </row>
    <row r="1192" customFormat="false" ht="15" hidden="false" customHeight="false" outlineLevel="0" collapsed="false">
      <c r="A1192" s="18"/>
      <c r="B1192" s="16"/>
      <c r="C1192" s="16"/>
      <c r="D1192" s="51" t="str">
        <f aca="false">IF(C1192="","",IFERROR(IF(LEFT(C1192,1)="L",INDEX('Leads Pipeline'!$F$5:$F$1004,MATCH(C1192,'Leads Pipeline'!$A$5:$A$1004,0)),INDEX('Active Clients'!$D$5:$D$504,MATCH(C1192,'Active Clients'!$A$5:$A$504,0)))&amp;"","ID not found"))</f>
        <v/>
      </c>
      <c r="E1192" s="51" t="str">
        <f aca="false">IF(C1192="","",IFERROR(IF(LEFT(C1192,1)="L",INDEX('Leads Pipeline'!$D$5:$D$1004,MATCH(C1192,'Leads Pipeline'!$A$5:$A$1004,0)),INDEX('Active Clients'!$B$5:$B$504,MATCH(C1192,'Active Clients'!$A$5:$A$504,0)))&amp;"","ID not found"))</f>
        <v/>
      </c>
      <c r="F1192" s="51" t="str">
        <f aca="false">IF(C1192="","",IFERROR(IF(LEFT(C1192,1)="L",INDEX('Leads Pipeline'!$E$5:$E$1004,MATCH(C1192,'Leads Pipeline'!$A$5:$A$1004,0)),INDEX('Active Clients'!$C$5:$C$504,MATCH(C1192,'Active Clients'!$A$5:$A$504,0)))&amp;"","ID not found"))</f>
        <v/>
      </c>
      <c r="G1192" s="16"/>
      <c r="H1192" s="16"/>
      <c r="I1192" s="16"/>
      <c r="J1192" s="16"/>
      <c r="K1192" s="16"/>
      <c r="L1192" s="18"/>
    </row>
    <row r="1193" customFormat="false" ht="15" hidden="false" customHeight="false" outlineLevel="0" collapsed="false">
      <c r="A1193" s="18"/>
      <c r="B1193" s="16"/>
      <c r="C1193" s="16"/>
      <c r="D1193" s="51" t="str">
        <f aca="false">IF(C1193="","",IFERROR(IF(LEFT(C1193,1)="L",INDEX('Leads Pipeline'!$F$5:$F$1004,MATCH(C1193,'Leads Pipeline'!$A$5:$A$1004,0)),INDEX('Active Clients'!$D$5:$D$504,MATCH(C1193,'Active Clients'!$A$5:$A$504,0)))&amp;"","ID not found"))</f>
        <v/>
      </c>
      <c r="E1193" s="51" t="str">
        <f aca="false">IF(C1193="","",IFERROR(IF(LEFT(C1193,1)="L",INDEX('Leads Pipeline'!$D$5:$D$1004,MATCH(C1193,'Leads Pipeline'!$A$5:$A$1004,0)),INDEX('Active Clients'!$B$5:$B$504,MATCH(C1193,'Active Clients'!$A$5:$A$504,0)))&amp;"","ID not found"))</f>
        <v/>
      </c>
      <c r="F1193" s="51" t="str">
        <f aca="false">IF(C1193="","",IFERROR(IF(LEFT(C1193,1)="L",INDEX('Leads Pipeline'!$E$5:$E$1004,MATCH(C1193,'Leads Pipeline'!$A$5:$A$1004,0)),INDEX('Active Clients'!$C$5:$C$504,MATCH(C1193,'Active Clients'!$A$5:$A$504,0)))&amp;"","ID not found"))</f>
        <v/>
      </c>
      <c r="G1193" s="16"/>
      <c r="H1193" s="16"/>
      <c r="I1193" s="16"/>
      <c r="J1193" s="16"/>
      <c r="K1193" s="16"/>
      <c r="L1193" s="18"/>
    </row>
    <row r="1194" customFormat="false" ht="15" hidden="false" customHeight="false" outlineLevel="0" collapsed="false">
      <c r="A1194" s="18"/>
      <c r="B1194" s="16"/>
      <c r="C1194" s="16"/>
      <c r="D1194" s="51" t="str">
        <f aca="false">IF(C1194="","",IFERROR(IF(LEFT(C1194,1)="L",INDEX('Leads Pipeline'!$F$5:$F$1004,MATCH(C1194,'Leads Pipeline'!$A$5:$A$1004,0)),INDEX('Active Clients'!$D$5:$D$504,MATCH(C1194,'Active Clients'!$A$5:$A$504,0)))&amp;"","ID not found"))</f>
        <v/>
      </c>
      <c r="E1194" s="51" t="str">
        <f aca="false">IF(C1194="","",IFERROR(IF(LEFT(C1194,1)="L",INDEX('Leads Pipeline'!$D$5:$D$1004,MATCH(C1194,'Leads Pipeline'!$A$5:$A$1004,0)),INDEX('Active Clients'!$B$5:$B$504,MATCH(C1194,'Active Clients'!$A$5:$A$504,0)))&amp;"","ID not found"))</f>
        <v/>
      </c>
      <c r="F1194" s="51" t="str">
        <f aca="false">IF(C1194="","",IFERROR(IF(LEFT(C1194,1)="L",INDEX('Leads Pipeline'!$E$5:$E$1004,MATCH(C1194,'Leads Pipeline'!$A$5:$A$1004,0)),INDEX('Active Clients'!$C$5:$C$504,MATCH(C1194,'Active Clients'!$A$5:$A$504,0)))&amp;"","ID not found"))</f>
        <v/>
      </c>
      <c r="G1194" s="16"/>
      <c r="H1194" s="16"/>
      <c r="I1194" s="16"/>
      <c r="J1194" s="16"/>
      <c r="K1194" s="16"/>
      <c r="L1194" s="18"/>
    </row>
    <row r="1195" customFormat="false" ht="15" hidden="false" customHeight="false" outlineLevel="0" collapsed="false">
      <c r="A1195" s="18"/>
      <c r="B1195" s="16"/>
      <c r="C1195" s="16"/>
      <c r="D1195" s="51" t="str">
        <f aca="false">IF(C1195="","",IFERROR(IF(LEFT(C1195,1)="L",INDEX('Leads Pipeline'!$F$5:$F$1004,MATCH(C1195,'Leads Pipeline'!$A$5:$A$1004,0)),INDEX('Active Clients'!$D$5:$D$504,MATCH(C1195,'Active Clients'!$A$5:$A$504,0)))&amp;"","ID not found"))</f>
        <v/>
      </c>
      <c r="E1195" s="51" t="str">
        <f aca="false">IF(C1195="","",IFERROR(IF(LEFT(C1195,1)="L",INDEX('Leads Pipeline'!$D$5:$D$1004,MATCH(C1195,'Leads Pipeline'!$A$5:$A$1004,0)),INDEX('Active Clients'!$B$5:$B$504,MATCH(C1195,'Active Clients'!$A$5:$A$504,0)))&amp;"","ID not found"))</f>
        <v/>
      </c>
      <c r="F1195" s="51" t="str">
        <f aca="false">IF(C1195="","",IFERROR(IF(LEFT(C1195,1)="L",INDEX('Leads Pipeline'!$E$5:$E$1004,MATCH(C1195,'Leads Pipeline'!$A$5:$A$1004,0)),INDEX('Active Clients'!$C$5:$C$504,MATCH(C1195,'Active Clients'!$A$5:$A$504,0)))&amp;"","ID not found"))</f>
        <v/>
      </c>
      <c r="G1195" s="16"/>
      <c r="H1195" s="16"/>
      <c r="I1195" s="16"/>
      <c r="J1195" s="16"/>
      <c r="K1195" s="16"/>
      <c r="L1195" s="18"/>
    </row>
    <row r="1196" customFormat="false" ht="15" hidden="false" customHeight="false" outlineLevel="0" collapsed="false">
      <c r="A1196" s="18"/>
      <c r="B1196" s="16"/>
      <c r="C1196" s="16"/>
      <c r="D1196" s="51" t="str">
        <f aca="false">IF(C1196="","",IFERROR(IF(LEFT(C1196,1)="L",INDEX('Leads Pipeline'!$F$5:$F$1004,MATCH(C1196,'Leads Pipeline'!$A$5:$A$1004,0)),INDEX('Active Clients'!$D$5:$D$504,MATCH(C1196,'Active Clients'!$A$5:$A$504,0)))&amp;"","ID not found"))</f>
        <v/>
      </c>
      <c r="E1196" s="51" t="str">
        <f aca="false">IF(C1196="","",IFERROR(IF(LEFT(C1196,1)="L",INDEX('Leads Pipeline'!$D$5:$D$1004,MATCH(C1196,'Leads Pipeline'!$A$5:$A$1004,0)),INDEX('Active Clients'!$B$5:$B$504,MATCH(C1196,'Active Clients'!$A$5:$A$504,0)))&amp;"","ID not found"))</f>
        <v/>
      </c>
      <c r="F1196" s="51" t="str">
        <f aca="false">IF(C1196="","",IFERROR(IF(LEFT(C1196,1)="L",INDEX('Leads Pipeline'!$E$5:$E$1004,MATCH(C1196,'Leads Pipeline'!$A$5:$A$1004,0)),INDEX('Active Clients'!$C$5:$C$504,MATCH(C1196,'Active Clients'!$A$5:$A$504,0)))&amp;"","ID not found"))</f>
        <v/>
      </c>
      <c r="G1196" s="16"/>
      <c r="H1196" s="16"/>
      <c r="I1196" s="16"/>
      <c r="J1196" s="16"/>
      <c r="K1196" s="16"/>
      <c r="L1196" s="18"/>
    </row>
    <row r="1197" customFormat="false" ht="15" hidden="false" customHeight="false" outlineLevel="0" collapsed="false">
      <c r="A1197" s="18"/>
      <c r="B1197" s="16"/>
      <c r="C1197" s="16"/>
      <c r="D1197" s="51" t="str">
        <f aca="false">IF(C1197="","",IFERROR(IF(LEFT(C1197,1)="L",INDEX('Leads Pipeline'!$F$5:$F$1004,MATCH(C1197,'Leads Pipeline'!$A$5:$A$1004,0)),INDEX('Active Clients'!$D$5:$D$504,MATCH(C1197,'Active Clients'!$A$5:$A$504,0)))&amp;"","ID not found"))</f>
        <v/>
      </c>
      <c r="E1197" s="51" t="str">
        <f aca="false">IF(C1197="","",IFERROR(IF(LEFT(C1197,1)="L",INDEX('Leads Pipeline'!$D$5:$D$1004,MATCH(C1197,'Leads Pipeline'!$A$5:$A$1004,0)),INDEX('Active Clients'!$B$5:$B$504,MATCH(C1197,'Active Clients'!$A$5:$A$504,0)))&amp;"","ID not found"))</f>
        <v/>
      </c>
      <c r="F1197" s="51" t="str">
        <f aca="false">IF(C1197="","",IFERROR(IF(LEFT(C1197,1)="L",INDEX('Leads Pipeline'!$E$5:$E$1004,MATCH(C1197,'Leads Pipeline'!$A$5:$A$1004,0)),INDEX('Active Clients'!$C$5:$C$504,MATCH(C1197,'Active Clients'!$A$5:$A$504,0)))&amp;"","ID not found"))</f>
        <v/>
      </c>
      <c r="G1197" s="16"/>
      <c r="H1197" s="16"/>
      <c r="I1197" s="16"/>
      <c r="J1197" s="16"/>
      <c r="K1197" s="16"/>
      <c r="L1197" s="18"/>
    </row>
    <row r="1198" customFormat="false" ht="15" hidden="false" customHeight="false" outlineLevel="0" collapsed="false">
      <c r="A1198" s="18"/>
      <c r="B1198" s="16"/>
      <c r="C1198" s="16"/>
      <c r="D1198" s="51" t="str">
        <f aca="false">IF(C1198="","",IFERROR(IF(LEFT(C1198,1)="L",INDEX('Leads Pipeline'!$F$5:$F$1004,MATCH(C1198,'Leads Pipeline'!$A$5:$A$1004,0)),INDEX('Active Clients'!$D$5:$D$504,MATCH(C1198,'Active Clients'!$A$5:$A$504,0)))&amp;"","ID not found"))</f>
        <v/>
      </c>
      <c r="E1198" s="51" t="str">
        <f aca="false">IF(C1198="","",IFERROR(IF(LEFT(C1198,1)="L",INDEX('Leads Pipeline'!$D$5:$D$1004,MATCH(C1198,'Leads Pipeline'!$A$5:$A$1004,0)),INDEX('Active Clients'!$B$5:$B$504,MATCH(C1198,'Active Clients'!$A$5:$A$504,0)))&amp;"","ID not found"))</f>
        <v/>
      </c>
      <c r="F1198" s="51" t="str">
        <f aca="false">IF(C1198="","",IFERROR(IF(LEFT(C1198,1)="L",INDEX('Leads Pipeline'!$E$5:$E$1004,MATCH(C1198,'Leads Pipeline'!$A$5:$A$1004,0)),INDEX('Active Clients'!$C$5:$C$504,MATCH(C1198,'Active Clients'!$A$5:$A$504,0)))&amp;"","ID not found"))</f>
        <v/>
      </c>
      <c r="G1198" s="16"/>
      <c r="H1198" s="16"/>
      <c r="I1198" s="16"/>
      <c r="J1198" s="16"/>
      <c r="K1198" s="16"/>
      <c r="L1198" s="18"/>
    </row>
    <row r="1199" customFormat="false" ht="15" hidden="false" customHeight="false" outlineLevel="0" collapsed="false">
      <c r="A1199" s="18"/>
      <c r="B1199" s="16"/>
      <c r="C1199" s="16"/>
      <c r="D1199" s="51" t="str">
        <f aca="false">IF(C1199="","",IFERROR(IF(LEFT(C1199,1)="L",INDEX('Leads Pipeline'!$F$5:$F$1004,MATCH(C1199,'Leads Pipeline'!$A$5:$A$1004,0)),INDEX('Active Clients'!$D$5:$D$504,MATCH(C1199,'Active Clients'!$A$5:$A$504,0)))&amp;"","ID not found"))</f>
        <v/>
      </c>
      <c r="E1199" s="51" t="str">
        <f aca="false">IF(C1199="","",IFERROR(IF(LEFT(C1199,1)="L",INDEX('Leads Pipeline'!$D$5:$D$1004,MATCH(C1199,'Leads Pipeline'!$A$5:$A$1004,0)),INDEX('Active Clients'!$B$5:$B$504,MATCH(C1199,'Active Clients'!$A$5:$A$504,0)))&amp;"","ID not found"))</f>
        <v/>
      </c>
      <c r="F1199" s="51" t="str">
        <f aca="false">IF(C1199="","",IFERROR(IF(LEFT(C1199,1)="L",INDEX('Leads Pipeline'!$E$5:$E$1004,MATCH(C1199,'Leads Pipeline'!$A$5:$A$1004,0)),INDEX('Active Clients'!$C$5:$C$504,MATCH(C1199,'Active Clients'!$A$5:$A$504,0)))&amp;"","ID not found"))</f>
        <v/>
      </c>
      <c r="G1199" s="16"/>
      <c r="H1199" s="16"/>
      <c r="I1199" s="16"/>
      <c r="J1199" s="16"/>
      <c r="K1199" s="16"/>
      <c r="L1199" s="18"/>
    </row>
    <row r="1200" customFormat="false" ht="15" hidden="false" customHeight="false" outlineLevel="0" collapsed="false">
      <c r="A1200" s="18"/>
      <c r="B1200" s="16"/>
      <c r="C1200" s="16"/>
      <c r="D1200" s="51" t="str">
        <f aca="false">IF(C1200="","",IFERROR(IF(LEFT(C1200,1)="L",INDEX('Leads Pipeline'!$F$5:$F$1004,MATCH(C1200,'Leads Pipeline'!$A$5:$A$1004,0)),INDEX('Active Clients'!$D$5:$D$504,MATCH(C1200,'Active Clients'!$A$5:$A$504,0)))&amp;"","ID not found"))</f>
        <v/>
      </c>
      <c r="E1200" s="51" t="str">
        <f aca="false">IF(C1200="","",IFERROR(IF(LEFT(C1200,1)="L",INDEX('Leads Pipeline'!$D$5:$D$1004,MATCH(C1200,'Leads Pipeline'!$A$5:$A$1004,0)),INDEX('Active Clients'!$B$5:$B$504,MATCH(C1200,'Active Clients'!$A$5:$A$504,0)))&amp;"","ID not found"))</f>
        <v/>
      </c>
      <c r="F1200" s="51" t="str">
        <f aca="false">IF(C1200="","",IFERROR(IF(LEFT(C1200,1)="L",INDEX('Leads Pipeline'!$E$5:$E$1004,MATCH(C1200,'Leads Pipeline'!$A$5:$A$1004,0)),INDEX('Active Clients'!$C$5:$C$504,MATCH(C1200,'Active Clients'!$A$5:$A$504,0)))&amp;"","ID not found"))</f>
        <v/>
      </c>
      <c r="G1200" s="16"/>
      <c r="H1200" s="16"/>
      <c r="I1200" s="16"/>
      <c r="J1200" s="16"/>
      <c r="K1200" s="16"/>
      <c r="L1200" s="18"/>
    </row>
    <row r="1201" customFormat="false" ht="15" hidden="false" customHeight="false" outlineLevel="0" collapsed="false">
      <c r="A1201" s="18"/>
      <c r="B1201" s="16"/>
      <c r="C1201" s="16"/>
      <c r="D1201" s="51" t="str">
        <f aca="false">IF(C1201="","",IFERROR(IF(LEFT(C1201,1)="L",INDEX('Leads Pipeline'!$F$5:$F$1004,MATCH(C1201,'Leads Pipeline'!$A$5:$A$1004,0)),INDEX('Active Clients'!$D$5:$D$504,MATCH(C1201,'Active Clients'!$A$5:$A$504,0)))&amp;"","ID not found"))</f>
        <v/>
      </c>
      <c r="E1201" s="51" t="str">
        <f aca="false">IF(C1201="","",IFERROR(IF(LEFT(C1201,1)="L",INDEX('Leads Pipeline'!$D$5:$D$1004,MATCH(C1201,'Leads Pipeline'!$A$5:$A$1004,0)),INDEX('Active Clients'!$B$5:$B$504,MATCH(C1201,'Active Clients'!$A$5:$A$504,0)))&amp;"","ID not found"))</f>
        <v/>
      </c>
      <c r="F1201" s="51" t="str">
        <f aca="false">IF(C1201="","",IFERROR(IF(LEFT(C1201,1)="L",INDEX('Leads Pipeline'!$E$5:$E$1004,MATCH(C1201,'Leads Pipeline'!$A$5:$A$1004,0)),INDEX('Active Clients'!$C$5:$C$504,MATCH(C1201,'Active Clients'!$A$5:$A$504,0)))&amp;"","ID not found"))</f>
        <v/>
      </c>
      <c r="G1201" s="16"/>
      <c r="H1201" s="16"/>
      <c r="I1201" s="16"/>
      <c r="J1201" s="16"/>
      <c r="K1201" s="16"/>
      <c r="L1201" s="18"/>
    </row>
    <row r="1202" customFormat="false" ht="15" hidden="false" customHeight="false" outlineLevel="0" collapsed="false">
      <c r="A1202" s="18"/>
      <c r="B1202" s="16"/>
      <c r="C1202" s="16"/>
      <c r="D1202" s="51" t="str">
        <f aca="false">IF(C1202="","",IFERROR(IF(LEFT(C1202,1)="L",INDEX('Leads Pipeline'!$F$5:$F$1004,MATCH(C1202,'Leads Pipeline'!$A$5:$A$1004,0)),INDEX('Active Clients'!$D$5:$D$504,MATCH(C1202,'Active Clients'!$A$5:$A$504,0)))&amp;"","ID not found"))</f>
        <v/>
      </c>
      <c r="E1202" s="51" t="str">
        <f aca="false">IF(C1202="","",IFERROR(IF(LEFT(C1202,1)="L",INDEX('Leads Pipeline'!$D$5:$D$1004,MATCH(C1202,'Leads Pipeline'!$A$5:$A$1004,0)),INDEX('Active Clients'!$B$5:$B$504,MATCH(C1202,'Active Clients'!$A$5:$A$504,0)))&amp;"","ID not found"))</f>
        <v/>
      </c>
      <c r="F1202" s="51" t="str">
        <f aca="false">IF(C1202="","",IFERROR(IF(LEFT(C1202,1)="L",INDEX('Leads Pipeline'!$E$5:$E$1004,MATCH(C1202,'Leads Pipeline'!$A$5:$A$1004,0)),INDEX('Active Clients'!$C$5:$C$504,MATCH(C1202,'Active Clients'!$A$5:$A$504,0)))&amp;"","ID not found"))</f>
        <v/>
      </c>
      <c r="G1202" s="16"/>
      <c r="H1202" s="16"/>
      <c r="I1202" s="16"/>
      <c r="J1202" s="16"/>
      <c r="K1202" s="16"/>
      <c r="L1202" s="18"/>
    </row>
    <row r="1203" customFormat="false" ht="15" hidden="false" customHeight="false" outlineLevel="0" collapsed="false">
      <c r="A1203" s="18"/>
      <c r="B1203" s="16"/>
      <c r="C1203" s="16"/>
      <c r="D1203" s="51" t="str">
        <f aca="false">IF(C1203="","",IFERROR(IF(LEFT(C1203,1)="L",INDEX('Leads Pipeline'!$F$5:$F$1004,MATCH(C1203,'Leads Pipeline'!$A$5:$A$1004,0)),INDEX('Active Clients'!$D$5:$D$504,MATCH(C1203,'Active Clients'!$A$5:$A$504,0)))&amp;"","ID not found"))</f>
        <v/>
      </c>
      <c r="E1203" s="51" t="str">
        <f aca="false">IF(C1203="","",IFERROR(IF(LEFT(C1203,1)="L",INDEX('Leads Pipeline'!$D$5:$D$1004,MATCH(C1203,'Leads Pipeline'!$A$5:$A$1004,0)),INDEX('Active Clients'!$B$5:$B$504,MATCH(C1203,'Active Clients'!$A$5:$A$504,0)))&amp;"","ID not found"))</f>
        <v/>
      </c>
      <c r="F1203" s="51" t="str">
        <f aca="false">IF(C1203="","",IFERROR(IF(LEFT(C1203,1)="L",INDEX('Leads Pipeline'!$E$5:$E$1004,MATCH(C1203,'Leads Pipeline'!$A$5:$A$1004,0)),INDEX('Active Clients'!$C$5:$C$504,MATCH(C1203,'Active Clients'!$A$5:$A$504,0)))&amp;"","ID not found"))</f>
        <v/>
      </c>
      <c r="G1203" s="16"/>
      <c r="H1203" s="16"/>
      <c r="I1203" s="16"/>
      <c r="J1203" s="16"/>
      <c r="K1203" s="16"/>
      <c r="L1203" s="18"/>
    </row>
    <row r="1204" customFormat="false" ht="15" hidden="false" customHeight="false" outlineLevel="0" collapsed="false">
      <c r="A1204" s="18"/>
      <c r="B1204" s="16"/>
      <c r="C1204" s="16"/>
      <c r="D1204" s="51" t="str">
        <f aca="false">IF(C1204="","",IFERROR(IF(LEFT(C1204,1)="L",INDEX('Leads Pipeline'!$F$5:$F$1004,MATCH(C1204,'Leads Pipeline'!$A$5:$A$1004,0)),INDEX('Active Clients'!$D$5:$D$504,MATCH(C1204,'Active Clients'!$A$5:$A$504,0)))&amp;"","ID not found"))</f>
        <v/>
      </c>
      <c r="E1204" s="51" t="str">
        <f aca="false">IF(C1204="","",IFERROR(IF(LEFT(C1204,1)="L",INDEX('Leads Pipeline'!$D$5:$D$1004,MATCH(C1204,'Leads Pipeline'!$A$5:$A$1004,0)),INDEX('Active Clients'!$B$5:$B$504,MATCH(C1204,'Active Clients'!$A$5:$A$504,0)))&amp;"","ID not found"))</f>
        <v/>
      </c>
      <c r="F1204" s="51" t="str">
        <f aca="false">IF(C1204="","",IFERROR(IF(LEFT(C1204,1)="L",INDEX('Leads Pipeline'!$E$5:$E$1004,MATCH(C1204,'Leads Pipeline'!$A$5:$A$1004,0)),INDEX('Active Clients'!$C$5:$C$504,MATCH(C1204,'Active Clients'!$A$5:$A$504,0)))&amp;"","ID not found"))</f>
        <v/>
      </c>
      <c r="G1204" s="16"/>
      <c r="H1204" s="16"/>
      <c r="I1204" s="16"/>
      <c r="J1204" s="16"/>
      <c r="K1204" s="16"/>
      <c r="L1204" s="18"/>
    </row>
    <row r="1205" customFormat="false" ht="15" hidden="false" customHeight="false" outlineLevel="0" collapsed="false">
      <c r="A1205" s="18"/>
      <c r="B1205" s="16"/>
      <c r="C1205" s="16"/>
      <c r="D1205" s="51" t="str">
        <f aca="false">IF(C1205="","",IFERROR(IF(LEFT(C1205,1)="L",INDEX('Leads Pipeline'!$F$5:$F$1004,MATCH(C1205,'Leads Pipeline'!$A$5:$A$1004,0)),INDEX('Active Clients'!$D$5:$D$504,MATCH(C1205,'Active Clients'!$A$5:$A$504,0)))&amp;"","ID not found"))</f>
        <v/>
      </c>
      <c r="E1205" s="51" t="str">
        <f aca="false">IF(C1205="","",IFERROR(IF(LEFT(C1205,1)="L",INDEX('Leads Pipeline'!$D$5:$D$1004,MATCH(C1205,'Leads Pipeline'!$A$5:$A$1004,0)),INDEX('Active Clients'!$B$5:$B$504,MATCH(C1205,'Active Clients'!$A$5:$A$504,0)))&amp;"","ID not found"))</f>
        <v/>
      </c>
      <c r="F1205" s="51" t="str">
        <f aca="false">IF(C1205="","",IFERROR(IF(LEFT(C1205,1)="L",INDEX('Leads Pipeline'!$E$5:$E$1004,MATCH(C1205,'Leads Pipeline'!$A$5:$A$1004,0)),INDEX('Active Clients'!$C$5:$C$504,MATCH(C1205,'Active Clients'!$A$5:$A$504,0)))&amp;"","ID not found"))</f>
        <v/>
      </c>
      <c r="G1205" s="16"/>
      <c r="H1205" s="16"/>
      <c r="I1205" s="16"/>
      <c r="J1205" s="16"/>
      <c r="K1205" s="16"/>
      <c r="L1205" s="18"/>
    </row>
    <row r="1206" customFormat="false" ht="15" hidden="false" customHeight="false" outlineLevel="0" collapsed="false">
      <c r="A1206" s="18"/>
      <c r="B1206" s="16"/>
      <c r="C1206" s="16"/>
      <c r="D1206" s="51" t="str">
        <f aca="false">IF(C1206="","",IFERROR(IF(LEFT(C1206,1)="L",INDEX('Leads Pipeline'!$F$5:$F$1004,MATCH(C1206,'Leads Pipeline'!$A$5:$A$1004,0)),INDEX('Active Clients'!$D$5:$D$504,MATCH(C1206,'Active Clients'!$A$5:$A$504,0)))&amp;"","ID not found"))</f>
        <v/>
      </c>
      <c r="E1206" s="51" t="str">
        <f aca="false">IF(C1206="","",IFERROR(IF(LEFT(C1206,1)="L",INDEX('Leads Pipeline'!$D$5:$D$1004,MATCH(C1206,'Leads Pipeline'!$A$5:$A$1004,0)),INDEX('Active Clients'!$B$5:$B$504,MATCH(C1206,'Active Clients'!$A$5:$A$504,0)))&amp;"","ID not found"))</f>
        <v/>
      </c>
      <c r="F1206" s="51" t="str">
        <f aca="false">IF(C1206="","",IFERROR(IF(LEFT(C1206,1)="L",INDEX('Leads Pipeline'!$E$5:$E$1004,MATCH(C1206,'Leads Pipeline'!$A$5:$A$1004,0)),INDEX('Active Clients'!$C$5:$C$504,MATCH(C1206,'Active Clients'!$A$5:$A$504,0)))&amp;"","ID not found"))</f>
        <v/>
      </c>
      <c r="G1206" s="16"/>
      <c r="H1206" s="16"/>
      <c r="I1206" s="16"/>
      <c r="J1206" s="16"/>
      <c r="K1206" s="16"/>
      <c r="L1206" s="18"/>
    </row>
    <row r="1207" customFormat="false" ht="15" hidden="false" customHeight="false" outlineLevel="0" collapsed="false">
      <c r="A1207" s="18"/>
      <c r="B1207" s="16"/>
      <c r="C1207" s="16"/>
      <c r="D1207" s="51" t="str">
        <f aca="false">IF(C1207="","",IFERROR(IF(LEFT(C1207,1)="L",INDEX('Leads Pipeline'!$F$5:$F$1004,MATCH(C1207,'Leads Pipeline'!$A$5:$A$1004,0)),INDEX('Active Clients'!$D$5:$D$504,MATCH(C1207,'Active Clients'!$A$5:$A$504,0)))&amp;"","ID not found"))</f>
        <v/>
      </c>
      <c r="E1207" s="51" t="str">
        <f aca="false">IF(C1207="","",IFERROR(IF(LEFT(C1207,1)="L",INDEX('Leads Pipeline'!$D$5:$D$1004,MATCH(C1207,'Leads Pipeline'!$A$5:$A$1004,0)),INDEX('Active Clients'!$B$5:$B$504,MATCH(C1207,'Active Clients'!$A$5:$A$504,0)))&amp;"","ID not found"))</f>
        <v/>
      </c>
      <c r="F1207" s="51" t="str">
        <f aca="false">IF(C1207="","",IFERROR(IF(LEFT(C1207,1)="L",INDEX('Leads Pipeline'!$E$5:$E$1004,MATCH(C1207,'Leads Pipeline'!$A$5:$A$1004,0)),INDEX('Active Clients'!$C$5:$C$504,MATCH(C1207,'Active Clients'!$A$5:$A$504,0)))&amp;"","ID not found"))</f>
        <v/>
      </c>
      <c r="G1207" s="16"/>
      <c r="H1207" s="16"/>
      <c r="I1207" s="16"/>
      <c r="J1207" s="16"/>
      <c r="K1207" s="16"/>
      <c r="L1207" s="18"/>
    </row>
    <row r="1208" customFormat="false" ht="15" hidden="false" customHeight="false" outlineLevel="0" collapsed="false">
      <c r="A1208" s="18"/>
      <c r="B1208" s="16"/>
      <c r="C1208" s="16"/>
      <c r="D1208" s="51" t="str">
        <f aca="false">IF(C1208="","",IFERROR(IF(LEFT(C1208,1)="L",INDEX('Leads Pipeline'!$F$5:$F$1004,MATCH(C1208,'Leads Pipeline'!$A$5:$A$1004,0)),INDEX('Active Clients'!$D$5:$D$504,MATCH(C1208,'Active Clients'!$A$5:$A$504,0)))&amp;"","ID not found"))</f>
        <v/>
      </c>
      <c r="E1208" s="51" t="str">
        <f aca="false">IF(C1208="","",IFERROR(IF(LEFT(C1208,1)="L",INDEX('Leads Pipeline'!$D$5:$D$1004,MATCH(C1208,'Leads Pipeline'!$A$5:$A$1004,0)),INDEX('Active Clients'!$B$5:$B$504,MATCH(C1208,'Active Clients'!$A$5:$A$504,0)))&amp;"","ID not found"))</f>
        <v/>
      </c>
      <c r="F1208" s="51" t="str">
        <f aca="false">IF(C1208="","",IFERROR(IF(LEFT(C1208,1)="L",INDEX('Leads Pipeline'!$E$5:$E$1004,MATCH(C1208,'Leads Pipeline'!$A$5:$A$1004,0)),INDEX('Active Clients'!$C$5:$C$504,MATCH(C1208,'Active Clients'!$A$5:$A$504,0)))&amp;"","ID not found"))</f>
        <v/>
      </c>
      <c r="G1208" s="16"/>
      <c r="H1208" s="16"/>
      <c r="I1208" s="16"/>
      <c r="J1208" s="16"/>
      <c r="K1208" s="16"/>
      <c r="L1208" s="18"/>
    </row>
    <row r="1209" customFormat="false" ht="15" hidden="false" customHeight="false" outlineLevel="0" collapsed="false">
      <c r="A1209" s="18"/>
      <c r="B1209" s="16"/>
      <c r="C1209" s="16"/>
      <c r="D1209" s="51" t="str">
        <f aca="false">IF(C1209="","",IFERROR(IF(LEFT(C1209,1)="L",INDEX('Leads Pipeline'!$F$5:$F$1004,MATCH(C1209,'Leads Pipeline'!$A$5:$A$1004,0)),INDEX('Active Clients'!$D$5:$D$504,MATCH(C1209,'Active Clients'!$A$5:$A$504,0)))&amp;"","ID not found"))</f>
        <v/>
      </c>
      <c r="E1209" s="51" t="str">
        <f aca="false">IF(C1209="","",IFERROR(IF(LEFT(C1209,1)="L",INDEX('Leads Pipeline'!$D$5:$D$1004,MATCH(C1209,'Leads Pipeline'!$A$5:$A$1004,0)),INDEX('Active Clients'!$B$5:$B$504,MATCH(C1209,'Active Clients'!$A$5:$A$504,0)))&amp;"","ID not found"))</f>
        <v/>
      </c>
      <c r="F1209" s="51" t="str">
        <f aca="false">IF(C1209="","",IFERROR(IF(LEFT(C1209,1)="L",INDEX('Leads Pipeline'!$E$5:$E$1004,MATCH(C1209,'Leads Pipeline'!$A$5:$A$1004,0)),INDEX('Active Clients'!$C$5:$C$504,MATCH(C1209,'Active Clients'!$A$5:$A$504,0)))&amp;"","ID not found"))</f>
        <v/>
      </c>
      <c r="G1209" s="16"/>
      <c r="H1209" s="16"/>
      <c r="I1209" s="16"/>
      <c r="J1209" s="16"/>
      <c r="K1209" s="16"/>
      <c r="L1209" s="18"/>
    </row>
    <row r="1210" customFormat="false" ht="15" hidden="false" customHeight="false" outlineLevel="0" collapsed="false">
      <c r="A1210" s="18"/>
      <c r="B1210" s="16"/>
      <c r="C1210" s="16"/>
      <c r="D1210" s="51" t="str">
        <f aca="false">IF(C1210="","",IFERROR(IF(LEFT(C1210,1)="L",INDEX('Leads Pipeline'!$F$5:$F$1004,MATCH(C1210,'Leads Pipeline'!$A$5:$A$1004,0)),INDEX('Active Clients'!$D$5:$D$504,MATCH(C1210,'Active Clients'!$A$5:$A$504,0)))&amp;"","ID not found"))</f>
        <v/>
      </c>
      <c r="E1210" s="51" t="str">
        <f aca="false">IF(C1210="","",IFERROR(IF(LEFT(C1210,1)="L",INDEX('Leads Pipeline'!$D$5:$D$1004,MATCH(C1210,'Leads Pipeline'!$A$5:$A$1004,0)),INDEX('Active Clients'!$B$5:$B$504,MATCH(C1210,'Active Clients'!$A$5:$A$504,0)))&amp;"","ID not found"))</f>
        <v/>
      </c>
      <c r="F1210" s="51" t="str">
        <f aca="false">IF(C1210="","",IFERROR(IF(LEFT(C1210,1)="L",INDEX('Leads Pipeline'!$E$5:$E$1004,MATCH(C1210,'Leads Pipeline'!$A$5:$A$1004,0)),INDEX('Active Clients'!$C$5:$C$504,MATCH(C1210,'Active Clients'!$A$5:$A$504,0)))&amp;"","ID not found"))</f>
        <v/>
      </c>
      <c r="G1210" s="16"/>
      <c r="H1210" s="16"/>
      <c r="I1210" s="16"/>
      <c r="J1210" s="16"/>
      <c r="K1210" s="16"/>
      <c r="L1210" s="18"/>
    </row>
    <row r="1211" customFormat="false" ht="15" hidden="false" customHeight="false" outlineLevel="0" collapsed="false">
      <c r="A1211" s="18"/>
      <c r="B1211" s="16"/>
      <c r="C1211" s="16"/>
      <c r="D1211" s="51" t="str">
        <f aca="false">IF(C1211="","",IFERROR(IF(LEFT(C1211,1)="L",INDEX('Leads Pipeline'!$F$5:$F$1004,MATCH(C1211,'Leads Pipeline'!$A$5:$A$1004,0)),INDEX('Active Clients'!$D$5:$D$504,MATCH(C1211,'Active Clients'!$A$5:$A$504,0)))&amp;"","ID not found"))</f>
        <v/>
      </c>
      <c r="E1211" s="51" t="str">
        <f aca="false">IF(C1211="","",IFERROR(IF(LEFT(C1211,1)="L",INDEX('Leads Pipeline'!$D$5:$D$1004,MATCH(C1211,'Leads Pipeline'!$A$5:$A$1004,0)),INDEX('Active Clients'!$B$5:$B$504,MATCH(C1211,'Active Clients'!$A$5:$A$504,0)))&amp;"","ID not found"))</f>
        <v/>
      </c>
      <c r="F1211" s="51" t="str">
        <f aca="false">IF(C1211="","",IFERROR(IF(LEFT(C1211,1)="L",INDEX('Leads Pipeline'!$E$5:$E$1004,MATCH(C1211,'Leads Pipeline'!$A$5:$A$1004,0)),INDEX('Active Clients'!$C$5:$C$504,MATCH(C1211,'Active Clients'!$A$5:$A$504,0)))&amp;"","ID not found"))</f>
        <v/>
      </c>
      <c r="G1211" s="16"/>
      <c r="H1211" s="16"/>
      <c r="I1211" s="16"/>
      <c r="J1211" s="16"/>
      <c r="K1211" s="16"/>
      <c r="L1211" s="18"/>
    </row>
    <row r="1212" customFormat="false" ht="15" hidden="false" customHeight="false" outlineLevel="0" collapsed="false">
      <c r="A1212" s="18"/>
      <c r="B1212" s="16"/>
      <c r="C1212" s="16"/>
      <c r="D1212" s="51" t="str">
        <f aca="false">IF(C1212="","",IFERROR(IF(LEFT(C1212,1)="L",INDEX('Leads Pipeline'!$F$5:$F$1004,MATCH(C1212,'Leads Pipeline'!$A$5:$A$1004,0)),INDEX('Active Clients'!$D$5:$D$504,MATCH(C1212,'Active Clients'!$A$5:$A$504,0)))&amp;"","ID not found"))</f>
        <v/>
      </c>
      <c r="E1212" s="51" t="str">
        <f aca="false">IF(C1212="","",IFERROR(IF(LEFT(C1212,1)="L",INDEX('Leads Pipeline'!$D$5:$D$1004,MATCH(C1212,'Leads Pipeline'!$A$5:$A$1004,0)),INDEX('Active Clients'!$B$5:$B$504,MATCH(C1212,'Active Clients'!$A$5:$A$504,0)))&amp;"","ID not found"))</f>
        <v/>
      </c>
      <c r="F1212" s="51" t="str">
        <f aca="false">IF(C1212="","",IFERROR(IF(LEFT(C1212,1)="L",INDEX('Leads Pipeline'!$E$5:$E$1004,MATCH(C1212,'Leads Pipeline'!$A$5:$A$1004,0)),INDEX('Active Clients'!$C$5:$C$504,MATCH(C1212,'Active Clients'!$A$5:$A$504,0)))&amp;"","ID not found"))</f>
        <v/>
      </c>
      <c r="G1212" s="16"/>
      <c r="H1212" s="16"/>
      <c r="I1212" s="16"/>
      <c r="J1212" s="16"/>
      <c r="K1212" s="16"/>
      <c r="L1212" s="18"/>
    </row>
    <row r="1213" customFormat="false" ht="15" hidden="false" customHeight="false" outlineLevel="0" collapsed="false">
      <c r="A1213" s="18"/>
      <c r="B1213" s="16"/>
      <c r="C1213" s="16"/>
      <c r="D1213" s="51" t="str">
        <f aca="false">IF(C1213="","",IFERROR(IF(LEFT(C1213,1)="L",INDEX('Leads Pipeline'!$F$5:$F$1004,MATCH(C1213,'Leads Pipeline'!$A$5:$A$1004,0)),INDEX('Active Clients'!$D$5:$D$504,MATCH(C1213,'Active Clients'!$A$5:$A$504,0)))&amp;"","ID not found"))</f>
        <v/>
      </c>
      <c r="E1213" s="51" t="str">
        <f aca="false">IF(C1213="","",IFERROR(IF(LEFT(C1213,1)="L",INDEX('Leads Pipeline'!$D$5:$D$1004,MATCH(C1213,'Leads Pipeline'!$A$5:$A$1004,0)),INDEX('Active Clients'!$B$5:$B$504,MATCH(C1213,'Active Clients'!$A$5:$A$504,0)))&amp;"","ID not found"))</f>
        <v/>
      </c>
      <c r="F1213" s="51" t="str">
        <f aca="false">IF(C1213="","",IFERROR(IF(LEFT(C1213,1)="L",INDEX('Leads Pipeline'!$E$5:$E$1004,MATCH(C1213,'Leads Pipeline'!$A$5:$A$1004,0)),INDEX('Active Clients'!$C$5:$C$504,MATCH(C1213,'Active Clients'!$A$5:$A$504,0)))&amp;"","ID not found"))</f>
        <v/>
      </c>
      <c r="G1213" s="16"/>
      <c r="H1213" s="16"/>
      <c r="I1213" s="16"/>
      <c r="J1213" s="16"/>
      <c r="K1213" s="16"/>
      <c r="L1213" s="18"/>
    </row>
    <row r="1214" customFormat="false" ht="15" hidden="false" customHeight="false" outlineLevel="0" collapsed="false">
      <c r="A1214" s="18"/>
      <c r="B1214" s="16"/>
      <c r="C1214" s="16"/>
      <c r="D1214" s="51" t="str">
        <f aca="false">IF(C1214="","",IFERROR(IF(LEFT(C1214,1)="L",INDEX('Leads Pipeline'!$F$5:$F$1004,MATCH(C1214,'Leads Pipeline'!$A$5:$A$1004,0)),INDEX('Active Clients'!$D$5:$D$504,MATCH(C1214,'Active Clients'!$A$5:$A$504,0)))&amp;"","ID not found"))</f>
        <v/>
      </c>
      <c r="E1214" s="51" t="str">
        <f aca="false">IF(C1214="","",IFERROR(IF(LEFT(C1214,1)="L",INDEX('Leads Pipeline'!$D$5:$D$1004,MATCH(C1214,'Leads Pipeline'!$A$5:$A$1004,0)),INDEX('Active Clients'!$B$5:$B$504,MATCH(C1214,'Active Clients'!$A$5:$A$504,0)))&amp;"","ID not found"))</f>
        <v/>
      </c>
      <c r="F1214" s="51" t="str">
        <f aca="false">IF(C1214="","",IFERROR(IF(LEFT(C1214,1)="L",INDEX('Leads Pipeline'!$E$5:$E$1004,MATCH(C1214,'Leads Pipeline'!$A$5:$A$1004,0)),INDEX('Active Clients'!$C$5:$C$504,MATCH(C1214,'Active Clients'!$A$5:$A$504,0)))&amp;"","ID not found"))</f>
        <v/>
      </c>
      <c r="G1214" s="16"/>
      <c r="H1214" s="16"/>
      <c r="I1214" s="16"/>
      <c r="J1214" s="16"/>
      <c r="K1214" s="16"/>
      <c r="L1214" s="18"/>
    </row>
    <row r="1215" customFormat="false" ht="15" hidden="false" customHeight="false" outlineLevel="0" collapsed="false">
      <c r="A1215" s="18"/>
      <c r="B1215" s="16"/>
      <c r="C1215" s="16"/>
      <c r="D1215" s="51" t="str">
        <f aca="false">IF(C1215="","",IFERROR(IF(LEFT(C1215,1)="L",INDEX('Leads Pipeline'!$F$5:$F$1004,MATCH(C1215,'Leads Pipeline'!$A$5:$A$1004,0)),INDEX('Active Clients'!$D$5:$D$504,MATCH(C1215,'Active Clients'!$A$5:$A$504,0)))&amp;"","ID not found"))</f>
        <v/>
      </c>
      <c r="E1215" s="51" t="str">
        <f aca="false">IF(C1215="","",IFERROR(IF(LEFT(C1215,1)="L",INDEX('Leads Pipeline'!$D$5:$D$1004,MATCH(C1215,'Leads Pipeline'!$A$5:$A$1004,0)),INDEX('Active Clients'!$B$5:$B$504,MATCH(C1215,'Active Clients'!$A$5:$A$504,0)))&amp;"","ID not found"))</f>
        <v/>
      </c>
      <c r="F1215" s="51" t="str">
        <f aca="false">IF(C1215="","",IFERROR(IF(LEFT(C1215,1)="L",INDEX('Leads Pipeline'!$E$5:$E$1004,MATCH(C1215,'Leads Pipeline'!$A$5:$A$1004,0)),INDEX('Active Clients'!$C$5:$C$504,MATCH(C1215,'Active Clients'!$A$5:$A$504,0)))&amp;"","ID not found"))</f>
        <v/>
      </c>
      <c r="G1215" s="16"/>
      <c r="H1215" s="16"/>
      <c r="I1215" s="16"/>
      <c r="J1215" s="16"/>
      <c r="K1215" s="16"/>
      <c r="L1215" s="18"/>
    </row>
    <row r="1216" customFormat="false" ht="15" hidden="false" customHeight="false" outlineLevel="0" collapsed="false">
      <c r="A1216" s="18"/>
      <c r="B1216" s="16"/>
      <c r="C1216" s="16"/>
      <c r="D1216" s="51" t="str">
        <f aca="false">IF(C1216="","",IFERROR(IF(LEFT(C1216,1)="L",INDEX('Leads Pipeline'!$F$5:$F$1004,MATCH(C1216,'Leads Pipeline'!$A$5:$A$1004,0)),INDEX('Active Clients'!$D$5:$D$504,MATCH(C1216,'Active Clients'!$A$5:$A$504,0)))&amp;"","ID not found"))</f>
        <v/>
      </c>
      <c r="E1216" s="51" t="str">
        <f aca="false">IF(C1216="","",IFERROR(IF(LEFT(C1216,1)="L",INDEX('Leads Pipeline'!$D$5:$D$1004,MATCH(C1216,'Leads Pipeline'!$A$5:$A$1004,0)),INDEX('Active Clients'!$B$5:$B$504,MATCH(C1216,'Active Clients'!$A$5:$A$504,0)))&amp;"","ID not found"))</f>
        <v/>
      </c>
      <c r="F1216" s="51" t="str">
        <f aca="false">IF(C1216="","",IFERROR(IF(LEFT(C1216,1)="L",INDEX('Leads Pipeline'!$E$5:$E$1004,MATCH(C1216,'Leads Pipeline'!$A$5:$A$1004,0)),INDEX('Active Clients'!$C$5:$C$504,MATCH(C1216,'Active Clients'!$A$5:$A$504,0)))&amp;"","ID not found"))</f>
        <v/>
      </c>
      <c r="G1216" s="16"/>
      <c r="H1216" s="16"/>
      <c r="I1216" s="16"/>
      <c r="J1216" s="16"/>
      <c r="K1216" s="16"/>
      <c r="L1216" s="18"/>
    </row>
    <row r="1217" customFormat="false" ht="15" hidden="false" customHeight="false" outlineLevel="0" collapsed="false">
      <c r="A1217" s="18"/>
      <c r="B1217" s="16"/>
      <c r="C1217" s="16"/>
      <c r="D1217" s="51" t="str">
        <f aca="false">IF(C1217="","",IFERROR(IF(LEFT(C1217,1)="L",INDEX('Leads Pipeline'!$F$5:$F$1004,MATCH(C1217,'Leads Pipeline'!$A$5:$A$1004,0)),INDEX('Active Clients'!$D$5:$D$504,MATCH(C1217,'Active Clients'!$A$5:$A$504,0)))&amp;"","ID not found"))</f>
        <v/>
      </c>
      <c r="E1217" s="51" t="str">
        <f aca="false">IF(C1217="","",IFERROR(IF(LEFT(C1217,1)="L",INDEX('Leads Pipeline'!$D$5:$D$1004,MATCH(C1217,'Leads Pipeline'!$A$5:$A$1004,0)),INDEX('Active Clients'!$B$5:$B$504,MATCH(C1217,'Active Clients'!$A$5:$A$504,0)))&amp;"","ID not found"))</f>
        <v/>
      </c>
      <c r="F1217" s="51" t="str">
        <f aca="false">IF(C1217="","",IFERROR(IF(LEFT(C1217,1)="L",INDEX('Leads Pipeline'!$E$5:$E$1004,MATCH(C1217,'Leads Pipeline'!$A$5:$A$1004,0)),INDEX('Active Clients'!$C$5:$C$504,MATCH(C1217,'Active Clients'!$A$5:$A$504,0)))&amp;"","ID not found"))</f>
        <v/>
      </c>
      <c r="G1217" s="16"/>
      <c r="H1217" s="16"/>
      <c r="I1217" s="16"/>
      <c r="J1217" s="16"/>
      <c r="K1217" s="16"/>
      <c r="L1217" s="18"/>
    </row>
    <row r="1218" customFormat="false" ht="15" hidden="false" customHeight="false" outlineLevel="0" collapsed="false">
      <c r="A1218" s="18"/>
      <c r="B1218" s="16"/>
      <c r="C1218" s="16"/>
      <c r="D1218" s="51" t="str">
        <f aca="false">IF(C1218="","",IFERROR(IF(LEFT(C1218,1)="L",INDEX('Leads Pipeline'!$F$5:$F$1004,MATCH(C1218,'Leads Pipeline'!$A$5:$A$1004,0)),INDEX('Active Clients'!$D$5:$D$504,MATCH(C1218,'Active Clients'!$A$5:$A$504,0)))&amp;"","ID not found"))</f>
        <v/>
      </c>
      <c r="E1218" s="51" t="str">
        <f aca="false">IF(C1218="","",IFERROR(IF(LEFT(C1218,1)="L",INDEX('Leads Pipeline'!$D$5:$D$1004,MATCH(C1218,'Leads Pipeline'!$A$5:$A$1004,0)),INDEX('Active Clients'!$B$5:$B$504,MATCH(C1218,'Active Clients'!$A$5:$A$504,0)))&amp;"","ID not found"))</f>
        <v/>
      </c>
      <c r="F1218" s="51" t="str">
        <f aca="false">IF(C1218="","",IFERROR(IF(LEFT(C1218,1)="L",INDEX('Leads Pipeline'!$E$5:$E$1004,MATCH(C1218,'Leads Pipeline'!$A$5:$A$1004,0)),INDEX('Active Clients'!$C$5:$C$504,MATCH(C1218,'Active Clients'!$A$5:$A$504,0)))&amp;"","ID not found"))</f>
        <v/>
      </c>
      <c r="G1218" s="16"/>
      <c r="H1218" s="16"/>
      <c r="I1218" s="16"/>
      <c r="J1218" s="16"/>
      <c r="K1218" s="16"/>
      <c r="L1218" s="18"/>
    </row>
    <row r="1219" customFormat="false" ht="15" hidden="false" customHeight="false" outlineLevel="0" collapsed="false">
      <c r="A1219" s="18"/>
      <c r="B1219" s="16"/>
      <c r="C1219" s="16"/>
      <c r="D1219" s="51" t="str">
        <f aca="false">IF(C1219="","",IFERROR(IF(LEFT(C1219,1)="L",INDEX('Leads Pipeline'!$F$5:$F$1004,MATCH(C1219,'Leads Pipeline'!$A$5:$A$1004,0)),INDEX('Active Clients'!$D$5:$D$504,MATCH(C1219,'Active Clients'!$A$5:$A$504,0)))&amp;"","ID not found"))</f>
        <v/>
      </c>
      <c r="E1219" s="51" t="str">
        <f aca="false">IF(C1219="","",IFERROR(IF(LEFT(C1219,1)="L",INDEX('Leads Pipeline'!$D$5:$D$1004,MATCH(C1219,'Leads Pipeline'!$A$5:$A$1004,0)),INDEX('Active Clients'!$B$5:$B$504,MATCH(C1219,'Active Clients'!$A$5:$A$504,0)))&amp;"","ID not found"))</f>
        <v/>
      </c>
      <c r="F1219" s="51" t="str">
        <f aca="false">IF(C1219="","",IFERROR(IF(LEFT(C1219,1)="L",INDEX('Leads Pipeline'!$E$5:$E$1004,MATCH(C1219,'Leads Pipeline'!$A$5:$A$1004,0)),INDEX('Active Clients'!$C$5:$C$504,MATCH(C1219,'Active Clients'!$A$5:$A$504,0)))&amp;"","ID not found"))</f>
        <v/>
      </c>
      <c r="G1219" s="16"/>
      <c r="H1219" s="16"/>
      <c r="I1219" s="16"/>
      <c r="J1219" s="16"/>
      <c r="K1219" s="16"/>
      <c r="L1219" s="18"/>
    </row>
    <row r="1220" customFormat="false" ht="15" hidden="false" customHeight="false" outlineLevel="0" collapsed="false">
      <c r="A1220" s="18"/>
      <c r="B1220" s="16"/>
      <c r="C1220" s="16"/>
      <c r="D1220" s="51" t="str">
        <f aca="false">IF(C1220="","",IFERROR(IF(LEFT(C1220,1)="L",INDEX('Leads Pipeline'!$F$5:$F$1004,MATCH(C1220,'Leads Pipeline'!$A$5:$A$1004,0)),INDEX('Active Clients'!$D$5:$D$504,MATCH(C1220,'Active Clients'!$A$5:$A$504,0)))&amp;"","ID not found"))</f>
        <v/>
      </c>
      <c r="E1220" s="51" t="str">
        <f aca="false">IF(C1220="","",IFERROR(IF(LEFT(C1220,1)="L",INDEX('Leads Pipeline'!$D$5:$D$1004,MATCH(C1220,'Leads Pipeline'!$A$5:$A$1004,0)),INDEX('Active Clients'!$B$5:$B$504,MATCH(C1220,'Active Clients'!$A$5:$A$504,0)))&amp;"","ID not found"))</f>
        <v/>
      </c>
      <c r="F1220" s="51" t="str">
        <f aca="false">IF(C1220="","",IFERROR(IF(LEFT(C1220,1)="L",INDEX('Leads Pipeline'!$E$5:$E$1004,MATCH(C1220,'Leads Pipeline'!$A$5:$A$1004,0)),INDEX('Active Clients'!$C$5:$C$504,MATCH(C1220,'Active Clients'!$A$5:$A$504,0)))&amp;"","ID not found"))</f>
        <v/>
      </c>
      <c r="G1220" s="16"/>
      <c r="H1220" s="16"/>
      <c r="I1220" s="16"/>
      <c r="J1220" s="16"/>
      <c r="K1220" s="16"/>
      <c r="L1220" s="18"/>
    </row>
    <row r="1221" customFormat="false" ht="15" hidden="false" customHeight="false" outlineLevel="0" collapsed="false">
      <c r="A1221" s="18"/>
      <c r="B1221" s="16"/>
      <c r="C1221" s="16"/>
      <c r="D1221" s="51" t="str">
        <f aca="false">IF(C1221="","",IFERROR(IF(LEFT(C1221,1)="L",INDEX('Leads Pipeline'!$F$5:$F$1004,MATCH(C1221,'Leads Pipeline'!$A$5:$A$1004,0)),INDEX('Active Clients'!$D$5:$D$504,MATCH(C1221,'Active Clients'!$A$5:$A$504,0)))&amp;"","ID not found"))</f>
        <v/>
      </c>
      <c r="E1221" s="51" t="str">
        <f aca="false">IF(C1221="","",IFERROR(IF(LEFT(C1221,1)="L",INDEX('Leads Pipeline'!$D$5:$D$1004,MATCH(C1221,'Leads Pipeline'!$A$5:$A$1004,0)),INDEX('Active Clients'!$B$5:$B$504,MATCH(C1221,'Active Clients'!$A$5:$A$504,0)))&amp;"","ID not found"))</f>
        <v/>
      </c>
      <c r="F1221" s="51" t="str">
        <f aca="false">IF(C1221="","",IFERROR(IF(LEFT(C1221,1)="L",INDEX('Leads Pipeline'!$E$5:$E$1004,MATCH(C1221,'Leads Pipeline'!$A$5:$A$1004,0)),INDEX('Active Clients'!$C$5:$C$504,MATCH(C1221,'Active Clients'!$A$5:$A$504,0)))&amp;"","ID not found"))</f>
        <v/>
      </c>
      <c r="G1221" s="16"/>
      <c r="H1221" s="16"/>
      <c r="I1221" s="16"/>
      <c r="J1221" s="16"/>
      <c r="K1221" s="16"/>
      <c r="L1221" s="18"/>
    </row>
    <row r="1222" customFormat="false" ht="15" hidden="false" customHeight="false" outlineLevel="0" collapsed="false">
      <c r="A1222" s="18"/>
      <c r="B1222" s="16"/>
      <c r="C1222" s="16"/>
      <c r="D1222" s="51" t="str">
        <f aca="false">IF(C1222="","",IFERROR(IF(LEFT(C1222,1)="L",INDEX('Leads Pipeline'!$F$5:$F$1004,MATCH(C1222,'Leads Pipeline'!$A$5:$A$1004,0)),INDEX('Active Clients'!$D$5:$D$504,MATCH(C1222,'Active Clients'!$A$5:$A$504,0)))&amp;"","ID not found"))</f>
        <v/>
      </c>
      <c r="E1222" s="51" t="str">
        <f aca="false">IF(C1222="","",IFERROR(IF(LEFT(C1222,1)="L",INDEX('Leads Pipeline'!$D$5:$D$1004,MATCH(C1222,'Leads Pipeline'!$A$5:$A$1004,0)),INDEX('Active Clients'!$B$5:$B$504,MATCH(C1222,'Active Clients'!$A$5:$A$504,0)))&amp;"","ID not found"))</f>
        <v/>
      </c>
      <c r="F1222" s="51" t="str">
        <f aca="false">IF(C1222="","",IFERROR(IF(LEFT(C1222,1)="L",INDEX('Leads Pipeline'!$E$5:$E$1004,MATCH(C1222,'Leads Pipeline'!$A$5:$A$1004,0)),INDEX('Active Clients'!$C$5:$C$504,MATCH(C1222,'Active Clients'!$A$5:$A$504,0)))&amp;"","ID not found"))</f>
        <v/>
      </c>
      <c r="G1222" s="16"/>
      <c r="H1222" s="16"/>
      <c r="I1222" s="16"/>
      <c r="J1222" s="16"/>
      <c r="K1222" s="16"/>
      <c r="L1222" s="18"/>
    </row>
    <row r="1223" customFormat="false" ht="15" hidden="false" customHeight="false" outlineLevel="0" collapsed="false">
      <c r="A1223" s="18"/>
      <c r="B1223" s="16"/>
      <c r="C1223" s="16"/>
      <c r="D1223" s="51" t="str">
        <f aca="false">IF(C1223="","",IFERROR(IF(LEFT(C1223,1)="L",INDEX('Leads Pipeline'!$F$5:$F$1004,MATCH(C1223,'Leads Pipeline'!$A$5:$A$1004,0)),INDEX('Active Clients'!$D$5:$D$504,MATCH(C1223,'Active Clients'!$A$5:$A$504,0)))&amp;"","ID not found"))</f>
        <v/>
      </c>
      <c r="E1223" s="51" t="str">
        <f aca="false">IF(C1223="","",IFERROR(IF(LEFT(C1223,1)="L",INDEX('Leads Pipeline'!$D$5:$D$1004,MATCH(C1223,'Leads Pipeline'!$A$5:$A$1004,0)),INDEX('Active Clients'!$B$5:$B$504,MATCH(C1223,'Active Clients'!$A$5:$A$504,0)))&amp;"","ID not found"))</f>
        <v/>
      </c>
      <c r="F1223" s="51" t="str">
        <f aca="false">IF(C1223="","",IFERROR(IF(LEFT(C1223,1)="L",INDEX('Leads Pipeline'!$E$5:$E$1004,MATCH(C1223,'Leads Pipeline'!$A$5:$A$1004,0)),INDEX('Active Clients'!$C$5:$C$504,MATCH(C1223,'Active Clients'!$A$5:$A$504,0)))&amp;"","ID not found"))</f>
        <v/>
      </c>
      <c r="G1223" s="16"/>
      <c r="H1223" s="16"/>
      <c r="I1223" s="16"/>
      <c r="J1223" s="16"/>
      <c r="K1223" s="16"/>
      <c r="L1223" s="18"/>
    </row>
    <row r="1224" customFormat="false" ht="15" hidden="false" customHeight="false" outlineLevel="0" collapsed="false">
      <c r="A1224" s="18"/>
      <c r="B1224" s="16"/>
      <c r="C1224" s="16"/>
      <c r="D1224" s="51" t="str">
        <f aca="false">IF(C1224="","",IFERROR(IF(LEFT(C1224,1)="L",INDEX('Leads Pipeline'!$F$5:$F$1004,MATCH(C1224,'Leads Pipeline'!$A$5:$A$1004,0)),INDEX('Active Clients'!$D$5:$D$504,MATCH(C1224,'Active Clients'!$A$5:$A$504,0)))&amp;"","ID not found"))</f>
        <v/>
      </c>
      <c r="E1224" s="51" t="str">
        <f aca="false">IF(C1224="","",IFERROR(IF(LEFT(C1224,1)="L",INDEX('Leads Pipeline'!$D$5:$D$1004,MATCH(C1224,'Leads Pipeline'!$A$5:$A$1004,0)),INDEX('Active Clients'!$B$5:$B$504,MATCH(C1224,'Active Clients'!$A$5:$A$504,0)))&amp;"","ID not found"))</f>
        <v/>
      </c>
      <c r="F1224" s="51" t="str">
        <f aca="false">IF(C1224="","",IFERROR(IF(LEFT(C1224,1)="L",INDEX('Leads Pipeline'!$E$5:$E$1004,MATCH(C1224,'Leads Pipeline'!$A$5:$A$1004,0)),INDEX('Active Clients'!$C$5:$C$504,MATCH(C1224,'Active Clients'!$A$5:$A$504,0)))&amp;"","ID not found"))</f>
        <v/>
      </c>
      <c r="G1224" s="16"/>
      <c r="H1224" s="16"/>
      <c r="I1224" s="16"/>
      <c r="J1224" s="16"/>
      <c r="K1224" s="16"/>
      <c r="L1224" s="18"/>
    </row>
    <row r="1225" customFormat="false" ht="15" hidden="false" customHeight="false" outlineLevel="0" collapsed="false">
      <c r="A1225" s="18"/>
      <c r="B1225" s="16"/>
      <c r="C1225" s="16"/>
      <c r="D1225" s="51" t="str">
        <f aca="false">IF(C1225="","",IFERROR(IF(LEFT(C1225,1)="L",INDEX('Leads Pipeline'!$F$5:$F$1004,MATCH(C1225,'Leads Pipeline'!$A$5:$A$1004,0)),INDEX('Active Clients'!$D$5:$D$504,MATCH(C1225,'Active Clients'!$A$5:$A$504,0)))&amp;"","ID not found"))</f>
        <v/>
      </c>
      <c r="E1225" s="51" t="str">
        <f aca="false">IF(C1225="","",IFERROR(IF(LEFT(C1225,1)="L",INDEX('Leads Pipeline'!$D$5:$D$1004,MATCH(C1225,'Leads Pipeline'!$A$5:$A$1004,0)),INDEX('Active Clients'!$B$5:$B$504,MATCH(C1225,'Active Clients'!$A$5:$A$504,0)))&amp;"","ID not found"))</f>
        <v/>
      </c>
      <c r="F1225" s="51" t="str">
        <f aca="false">IF(C1225="","",IFERROR(IF(LEFT(C1225,1)="L",INDEX('Leads Pipeline'!$E$5:$E$1004,MATCH(C1225,'Leads Pipeline'!$A$5:$A$1004,0)),INDEX('Active Clients'!$C$5:$C$504,MATCH(C1225,'Active Clients'!$A$5:$A$504,0)))&amp;"","ID not found"))</f>
        <v/>
      </c>
      <c r="G1225" s="16"/>
      <c r="H1225" s="16"/>
      <c r="I1225" s="16"/>
      <c r="J1225" s="16"/>
      <c r="K1225" s="16"/>
      <c r="L1225" s="18"/>
    </row>
    <row r="1226" customFormat="false" ht="15" hidden="false" customHeight="false" outlineLevel="0" collapsed="false">
      <c r="A1226" s="18"/>
      <c r="B1226" s="16"/>
      <c r="C1226" s="16"/>
      <c r="D1226" s="51" t="str">
        <f aca="false">IF(C1226="","",IFERROR(IF(LEFT(C1226,1)="L",INDEX('Leads Pipeline'!$F$5:$F$1004,MATCH(C1226,'Leads Pipeline'!$A$5:$A$1004,0)),INDEX('Active Clients'!$D$5:$D$504,MATCH(C1226,'Active Clients'!$A$5:$A$504,0)))&amp;"","ID not found"))</f>
        <v/>
      </c>
      <c r="E1226" s="51" t="str">
        <f aca="false">IF(C1226="","",IFERROR(IF(LEFT(C1226,1)="L",INDEX('Leads Pipeline'!$D$5:$D$1004,MATCH(C1226,'Leads Pipeline'!$A$5:$A$1004,0)),INDEX('Active Clients'!$B$5:$B$504,MATCH(C1226,'Active Clients'!$A$5:$A$504,0)))&amp;"","ID not found"))</f>
        <v/>
      </c>
      <c r="F1226" s="51" t="str">
        <f aca="false">IF(C1226="","",IFERROR(IF(LEFT(C1226,1)="L",INDEX('Leads Pipeline'!$E$5:$E$1004,MATCH(C1226,'Leads Pipeline'!$A$5:$A$1004,0)),INDEX('Active Clients'!$C$5:$C$504,MATCH(C1226,'Active Clients'!$A$5:$A$504,0)))&amp;"","ID not found"))</f>
        <v/>
      </c>
      <c r="G1226" s="16"/>
      <c r="H1226" s="16"/>
      <c r="I1226" s="16"/>
      <c r="J1226" s="16"/>
      <c r="K1226" s="16"/>
      <c r="L1226" s="18"/>
    </row>
    <row r="1227" customFormat="false" ht="15" hidden="false" customHeight="false" outlineLevel="0" collapsed="false">
      <c r="A1227" s="18"/>
      <c r="B1227" s="16"/>
      <c r="C1227" s="16"/>
      <c r="D1227" s="51" t="str">
        <f aca="false">IF(C1227="","",IFERROR(IF(LEFT(C1227,1)="L",INDEX('Leads Pipeline'!$F$5:$F$1004,MATCH(C1227,'Leads Pipeline'!$A$5:$A$1004,0)),INDEX('Active Clients'!$D$5:$D$504,MATCH(C1227,'Active Clients'!$A$5:$A$504,0)))&amp;"","ID not found"))</f>
        <v/>
      </c>
      <c r="E1227" s="51" t="str">
        <f aca="false">IF(C1227="","",IFERROR(IF(LEFT(C1227,1)="L",INDEX('Leads Pipeline'!$D$5:$D$1004,MATCH(C1227,'Leads Pipeline'!$A$5:$A$1004,0)),INDEX('Active Clients'!$B$5:$B$504,MATCH(C1227,'Active Clients'!$A$5:$A$504,0)))&amp;"","ID not found"))</f>
        <v/>
      </c>
      <c r="F1227" s="51" t="str">
        <f aca="false">IF(C1227="","",IFERROR(IF(LEFT(C1227,1)="L",INDEX('Leads Pipeline'!$E$5:$E$1004,MATCH(C1227,'Leads Pipeline'!$A$5:$A$1004,0)),INDEX('Active Clients'!$C$5:$C$504,MATCH(C1227,'Active Clients'!$A$5:$A$504,0)))&amp;"","ID not found"))</f>
        <v/>
      </c>
      <c r="G1227" s="16"/>
      <c r="H1227" s="16"/>
      <c r="I1227" s="16"/>
      <c r="J1227" s="16"/>
      <c r="K1227" s="16"/>
      <c r="L1227" s="18"/>
    </row>
    <row r="1228" customFormat="false" ht="15" hidden="false" customHeight="false" outlineLevel="0" collapsed="false">
      <c r="A1228" s="18"/>
      <c r="B1228" s="16"/>
      <c r="C1228" s="16"/>
      <c r="D1228" s="51" t="str">
        <f aca="false">IF(C1228="","",IFERROR(IF(LEFT(C1228,1)="L",INDEX('Leads Pipeline'!$F$5:$F$1004,MATCH(C1228,'Leads Pipeline'!$A$5:$A$1004,0)),INDEX('Active Clients'!$D$5:$D$504,MATCH(C1228,'Active Clients'!$A$5:$A$504,0)))&amp;"","ID not found"))</f>
        <v/>
      </c>
      <c r="E1228" s="51" t="str">
        <f aca="false">IF(C1228="","",IFERROR(IF(LEFT(C1228,1)="L",INDEX('Leads Pipeline'!$D$5:$D$1004,MATCH(C1228,'Leads Pipeline'!$A$5:$A$1004,0)),INDEX('Active Clients'!$B$5:$B$504,MATCH(C1228,'Active Clients'!$A$5:$A$504,0)))&amp;"","ID not found"))</f>
        <v/>
      </c>
      <c r="F1228" s="51" t="str">
        <f aca="false">IF(C1228="","",IFERROR(IF(LEFT(C1228,1)="L",INDEX('Leads Pipeline'!$E$5:$E$1004,MATCH(C1228,'Leads Pipeline'!$A$5:$A$1004,0)),INDEX('Active Clients'!$C$5:$C$504,MATCH(C1228,'Active Clients'!$A$5:$A$504,0)))&amp;"","ID not found"))</f>
        <v/>
      </c>
      <c r="G1228" s="16"/>
      <c r="H1228" s="16"/>
      <c r="I1228" s="16"/>
      <c r="J1228" s="16"/>
      <c r="K1228" s="16"/>
      <c r="L1228" s="18"/>
    </row>
    <row r="1229" customFormat="false" ht="15" hidden="false" customHeight="false" outlineLevel="0" collapsed="false">
      <c r="A1229" s="18"/>
      <c r="B1229" s="16"/>
      <c r="C1229" s="16"/>
      <c r="D1229" s="51" t="str">
        <f aca="false">IF(C1229="","",IFERROR(IF(LEFT(C1229,1)="L",INDEX('Leads Pipeline'!$F$5:$F$1004,MATCH(C1229,'Leads Pipeline'!$A$5:$A$1004,0)),INDEX('Active Clients'!$D$5:$D$504,MATCH(C1229,'Active Clients'!$A$5:$A$504,0)))&amp;"","ID not found"))</f>
        <v/>
      </c>
      <c r="E1229" s="51" t="str">
        <f aca="false">IF(C1229="","",IFERROR(IF(LEFT(C1229,1)="L",INDEX('Leads Pipeline'!$D$5:$D$1004,MATCH(C1229,'Leads Pipeline'!$A$5:$A$1004,0)),INDEX('Active Clients'!$B$5:$B$504,MATCH(C1229,'Active Clients'!$A$5:$A$504,0)))&amp;"","ID not found"))</f>
        <v/>
      </c>
      <c r="F1229" s="51" t="str">
        <f aca="false">IF(C1229="","",IFERROR(IF(LEFT(C1229,1)="L",INDEX('Leads Pipeline'!$E$5:$E$1004,MATCH(C1229,'Leads Pipeline'!$A$5:$A$1004,0)),INDEX('Active Clients'!$C$5:$C$504,MATCH(C1229,'Active Clients'!$A$5:$A$504,0)))&amp;"","ID not found"))</f>
        <v/>
      </c>
      <c r="G1229" s="16"/>
      <c r="H1229" s="16"/>
      <c r="I1229" s="16"/>
      <c r="J1229" s="16"/>
      <c r="K1229" s="16"/>
      <c r="L1229" s="18"/>
    </row>
    <row r="1230" customFormat="false" ht="15" hidden="false" customHeight="false" outlineLevel="0" collapsed="false">
      <c r="A1230" s="18"/>
      <c r="B1230" s="16"/>
      <c r="C1230" s="16"/>
      <c r="D1230" s="51" t="str">
        <f aca="false">IF(C1230="","",IFERROR(IF(LEFT(C1230,1)="L",INDEX('Leads Pipeline'!$F$5:$F$1004,MATCH(C1230,'Leads Pipeline'!$A$5:$A$1004,0)),INDEX('Active Clients'!$D$5:$D$504,MATCH(C1230,'Active Clients'!$A$5:$A$504,0)))&amp;"","ID not found"))</f>
        <v/>
      </c>
      <c r="E1230" s="51" t="str">
        <f aca="false">IF(C1230="","",IFERROR(IF(LEFT(C1230,1)="L",INDEX('Leads Pipeline'!$D$5:$D$1004,MATCH(C1230,'Leads Pipeline'!$A$5:$A$1004,0)),INDEX('Active Clients'!$B$5:$B$504,MATCH(C1230,'Active Clients'!$A$5:$A$504,0)))&amp;"","ID not found"))</f>
        <v/>
      </c>
      <c r="F1230" s="51" t="str">
        <f aca="false">IF(C1230="","",IFERROR(IF(LEFT(C1230,1)="L",INDEX('Leads Pipeline'!$E$5:$E$1004,MATCH(C1230,'Leads Pipeline'!$A$5:$A$1004,0)),INDEX('Active Clients'!$C$5:$C$504,MATCH(C1230,'Active Clients'!$A$5:$A$504,0)))&amp;"","ID not found"))</f>
        <v/>
      </c>
      <c r="G1230" s="16"/>
      <c r="H1230" s="16"/>
      <c r="I1230" s="16"/>
      <c r="J1230" s="16"/>
      <c r="K1230" s="16"/>
      <c r="L1230" s="18"/>
    </row>
    <row r="1231" customFormat="false" ht="15" hidden="false" customHeight="false" outlineLevel="0" collapsed="false">
      <c r="A1231" s="18"/>
      <c r="B1231" s="16"/>
      <c r="C1231" s="16"/>
      <c r="D1231" s="51" t="str">
        <f aca="false">IF(C1231="","",IFERROR(IF(LEFT(C1231,1)="L",INDEX('Leads Pipeline'!$F$5:$F$1004,MATCH(C1231,'Leads Pipeline'!$A$5:$A$1004,0)),INDEX('Active Clients'!$D$5:$D$504,MATCH(C1231,'Active Clients'!$A$5:$A$504,0)))&amp;"","ID not found"))</f>
        <v/>
      </c>
      <c r="E1231" s="51" t="str">
        <f aca="false">IF(C1231="","",IFERROR(IF(LEFT(C1231,1)="L",INDEX('Leads Pipeline'!$D$5:$D$1004,MATCH(C1231,'Leads Pipeline'!$A$5:$A$1004,0)),INDEX('Active Clients'!$B$5:$B$504,MATCH(C1231,'Active Clients'!$A$5:$A$504,0)))&amp;"","ID not found"))</f>
        <v/>
      </c>
      <c r="F1231" s="51" t="str">
        <f aca="false">IF(C1231="","",IFERROR(IF(LEFT(C1231,1)="L",INDEX('Leads Pipeline'!$E$5:$E$1004,MATCH(C1231,'Leads Pipeline'!$A$5:$A$1004,0)),INDEX('Active Clients'!$C$5:$C$504,MATCH(C1231,'Active Clients'!$A$5:$A$504,0)))&amp;"","ID not found"))</f>
        <v/>
      </c>
      <c r="G1231" s="16"/>
      <c r="H1231" s="16"/>
      <c r="I1231" s="16"/>
      <c r="J1231" s="16"/>
      <c r="K1231" s="16"/>
      <c r="L1231" s="18"/>
    </row>
    <row r="1232" customFormat="false" ht="15" hidden="false" customHeight="false" outlineLevel="0" collapsed="false">
      <c r="A1232" s="18"/>
      <c r="B1232" s="16"/>
      <c r="C1232" s="16"/>
      <c r="D1232" s="51" t="str">
        <f aca="false">IF(C1232="","",IFERROR(IF(LEFT(C1232,1)="L",INDEX('Leads Pipeline'!$F$5:$F$1004,MATCH(C1232,'Leads Pipeline'!$A$5:$A$1004,0)),INDEX('Active Clients'!$D$5:$D$504,MATCH(C1232,'Active Clients'!$A$5:$A$504,0)))&amp;"","ID not found"))</f>
        <v/>
      </c>
      <c r="E1232" s="51" t="str">
        <f aca="false">IF(C1232="","",IFERROR(IF(LEFT(C1232,1)="L",INDEX('Leads Pipeline'!$D$5:$D$1004,MATCH(C1232,'Leads Pipeline'!$A$5:$A$1004,0)),INDEX('Active Clients'!$B$5:$B$504,MATCH(C1232,'Active Clients'!$A$5:$A$504,0)))&amp;"","ID not found"))</f>
        <v/>
      </c>
      <c r="F1232" s="51" t="str">
        <f aca="false">IF(C1232="","",IFERROR(IF(LEFT(C1232,1)="L",INDEX('Leads Pipeline'!$E$5:$E$1004,MATCH(C1232,'Leads Pipeline'!$A$5:$A$1004,0)),INDEX('Active Clients'!$C$5:$C$504,MATCH(C1232,'Active Clients'!$A$5:$A$504,0)))&amp;"","ID not found"))</f>
        <v/>
      </c>
      <c r="G1232" s="16"/>
      <c r="H1232" s="16"/>
      <c r="I1232" s="16"/>
      <c r="J1232" s="16"/>
      <c r="K1232" s="16"/>
      <c r="L1232" s="18"/>
    </row>
    <row r="1233" customFormat="false" ht="15" hidden="false" customHeight="false" outlineLevel="0" collapsed="false">
      <c r="A1233" s="18"/>
      <c r="B1233" s="16"/>
      <c r="C1233" s="16"/>
      <c r="D1233" s="51" t="str">
        <f aca="false">IF(C1233="","",IFERROR(IF(LEFT(C1233,1)="L",INDEX('Leads Pipeline'!$F$5:$F$1004,MATCH(C1233,'Leads Pipeline'!$A$5:$A$1004,0)),INDEX('Active Clients'!$D$5:$D$504,MATCH(C1233,'Active Clients'!$A$5:$A$504,0)))&amp;"","ID not found"))</f>
        <v/>
      </c>
      <c r="E1233" s="51" t="str">
        <f aca="false">IF(C1233="","",IFERROR(IF(LEFT(C1233,1)="L",INDEX('Leads Pipeline'!$D$5:$D$1004,MATCH(C1233,'Leads Pipeline'!$A$5:$A$1004,0)),INDEX('Active Clients'!$B$5:$B$504,MATCH(C1233,'Active Clients'!$A$5:$A$504,0)))&amp;"","ID not found"))</f>
        <v/>
      </c>
      <c r="F1233" s="51" t="str">
        <f aca="false">IF(C1233="","",IFERROR(IF(LEFT(C1233,1)="L",INDEX('Leads Pipeline'!$E$5:$E$1004,MATCH(C1233,'Leads Pipeline'!$A$5:$A$1004,0)),INDEX('Active Clients'!$C$5:$C$504,MATCH(C1233,'Active Clients'!$A$5:$A$504,0)))&amp;"","ID not found"))</f>
        <v/>
      </c>
      <c r="G1233" s="16"/>
      <c r="H1233" s="16"/>
      <c r="I1233" s="16"/>
      <c r="J1233" s="16"/>
      <c r="K1233" s="16"/>
      <c r="L1233" s="18"/>
    </row>
    <row r="1234" customFormat="false" ht="15" hidden="false" customHeight="false" outlineLevel="0" collapsed="false">
      <c r="A1234" s="18"/>
      <c r="B1234" s="16"/>
      <c r="C1234" s="16"/>
      <c r="D1234" s="51" t="str">
        <f aca="false">IF(C1234="","",IFERROR(IF(LEFT(C1234,1)="L",INDEX('Leads Pipeline'!$F$5:$F$1004,MATCH(C1234,'Leads Pipeline'!$A$5:$A$1004,0)),INDEX('Active Clients'!$D$5:$D$504,MATCH(C1234,'Active Clients'!$A$5:$A$504,0)))&amp;"","ID not found"))</f>
        <v/>
      </c>
      <c r="E1234" s="51" t="str">
        <f aca="false">IF(C1234="","",IFERROR(IF(LEFT(C1234,1)="L",INDEX('Leads Pipeline'!$D$5:$D$1004,MATCH(C1234,'Leads Pipeline'!$A$5:$A$1004,0)),INDEX('Active Clients'!$B$5:$B$504,MATCH(C1234,'Active Clients'!$A$5:$A$504,0)))&amp;"","ID not found"))</f>
        <v/>
      </c>
      <c r="F1234" s="51" t="str">
        <f aca="false">IF(C1234="","",IFERROR(IF(LEFT(C1234,1)="L",INDEX('Leads Pipeline'!$E$5:$E$1004,MATCH(C1234,'Leads Pipeline'!$A$5:$A$1004,0)),INDEX('Active Clients'!$C$5:$C$504,MATCH(C1234,'Active Clients'!$A$5:$A$504,0)))&amp;"","ID not found"))</f>
        <v/>
      </c>
      <c r="G1234" s="16"/>
      <c r="H1234" s="16"/>
      <c r="I1234" s="16"/>
      <c r="J1234" s="16"/>
      <c r="K1234" s="16"/>
      <c r="L1234" s="18"/>
    </row>
    <row r="1235" customFormat="false" ht="15" hidden="false" customHeight="false" outlineLevel="0" collapsed="false">
      <c r="A1235" s="18"/>
      <c r="B1235" s="16"/>
      <c r="C1235" s="16"/>
      <c r="D1235" s="51" t="str">
        <f aca="false">IF(C1235="","",IFERROR(IF(LEFT(C1235,1)="L",INDEX('Leads Pipeline'!$F$5:$F$1004,MATCH(C1235,'Leads Pipeline'!$A$5:$A$1004,0)),INDEX('Active Clients'!$D$5:$D$504,MATCH(C1235,'Active Clients'!$A$5:$A$504,0)))&amp;"","ID not found"))</f>
        <v/>
      </c>
      <c r="E1235" s="51" t="str">
        <f aca="false">IF(C1235="","",IFERROR(IF(LEFT(C1235,1)="L",INDEX('Leads Pipeline'!$D$5:$D$1004,MATCH(C1235,'Leads Pipeline'!$A$5:$A$1004,0)),INDEX('Active Clients'!$B$5:$B$504,MATCH(C1235,'Active Clients'!$A$5:$A$504,0)))&amp;"","ID not found"))</f>
        <v/>
      </c>
      <c r="F1235" s="51" t="str">
        <f aca="false">IF(C1235="","",IFERROR(IF(LEFT(C1235,1)="L",INDEX('Leads Pipeline'!$E$5:$E$1004,MATCH(C1235,'Leads Pipeline'!$A$5:$A$1004,0)),INDEX('Active Clients'!$C$5:$C$504,MATCH(C1235,'Active Clients'!$A$5:$A$504,0)))&amp;"","ID not found"))</f>
        <v/>
      </c>
      <c r="G1235" s="16"/>
      <c r="H1235" s="16"/>
      <c r="I1235" s="16"/>
      <c r="J1235" s="16"/>
      <c r="K1235" s="16"/>
      <c r="L1235" s="18"/>
    </row>
    <row r="1236" customFormat="false" ht="15" hidden="false" customHeight="false" outlineLevel="0" collapsed="false">
      <c r="A1236" s="18"/>
      <c r="B1236" s="16"/>
      <c r="C1236" s="16"/>
      <c r="D1236" s="51" t="str">
        <f aca="false">IF(C1236="","",IFERROR(IF(LEFT(C1236,1)="L",INDEX('Leads Pipeline'!$F$5:$F$1004,MATCH(C1236,'Leads Pipeline'!$A$5:$A$1004,0)),INDEX('Active Clients'!$D$5:$D$504,MATCH(C1236,'Active Clients'!$A$5:$A$504,0)))&amp;"","ID not found"))</f>
        <v/>
      </c>
      <c r="E1236" s="51" t="str">
        <f aca="false">IF(C1236="","",IFERROR(IF(LEFT(C1236,1)="L",INDEX('Leads Pipeline'!$D$5:$D$1004,MATCH(C1236,'Leads Pipeline'!$A$5:$A$1004,0)),INDEX('Active Clients'!$B$5:$B$504,MATCH(C1236,'Active Clients'!$A$5:$A$504,0)))&amp;"","ID not found"))</f>
        <v/>
      </c>
      <c r="F1236" s="51" t="str">
        <f aca="false">IF(C1236="","",IFERROR(IF(LEFT(C1236,1)="L",INDEX('Leads Pipeline'!$E$5:$E$1004,MATCH(C1236,'Leads Pipeline'!$A$5:$A$1004,0)),INDEX('Active Clients'!$C$5:$C$504,MATCH(C1236,'Active Clients'!$A$5:$A$504,0)))&amp;"","ID not found"))</f>
        <v/>
      </c>
      <c r="G1236" s="16"/>
      <c r="H1236" s="16"/>
      <c r="I1236" s="16"/>
      <c r="J1236" s="16"/>
      <c r="K1236" s="16"/>
      <c r="L1236" s="18"/>
    </row>
    <row r="1237" customFormat="false" ht="15" hidden="false" customHeight="false" outlineLevel="0" collapsed="false">
      <c r="A1237" s="18"/>
      <c r="B1237" s="16"/>
      <c r="C1237" s="16"/>
      <c r="D1237" s="51" t="str">
        <f aca="false">IF(C1237="","",IFERROR(IF(LEFT(C1237,1)="L",INDEX('Leads Pipeline'!$F$5:$F$1004,MATCH(C1237,'Leads Pipeline'!$A$5:$A$1004,0)),INDEX('Active Clients'!$D$5:$D$504,MATCH(C1237,'Active Clients'!$A$5:$A$504,0)))&amp;"","ID not found"))</f>
        <v/>
      </c>
      <c r="E1237" s="51" t="str">
        <f aca="false">IF(C1237="","",IFERROR(IF(LEFT(C1237,1)="L",INDEX('Leads Pipeline'!$D$5:$D$1004,MATCH(C1237,'Leads Pipeline'!$A$5:$A$1004,0)),INDEX('Active Clients'!$B$5:$B$504,MATCH(C1237,'Active Clients'!$A$5:$A$504,0)))&amp;"","ID not found"))</f>
        <v/>
      </c>
      <c r="F1237" s="51" t="str">
        <f aca="false">IF(C1237="","",IFERROR(IF(LEFT(C1237,1)="L",INDEX('Leads Pipeline'!$E$5:$E$1004,MATCH(C1237,'Leads Pipeline'!$A$5:$A$1004,0)),INDEX('Active Clients'!$C$5:$C$504,MATCH(C1237,'Active Clients'!$A$5:$A$504,0)))&amp;"","ID not found"))</f>
        <v/>
      </c>
      <c r="G1237" s="16"/>
      <c r="H1237" s="16"/>
      <c r="I1237" s="16"/>
      <c r="J1237" s="16"/>
      <c r="K1237" s="16"/>
      <c r="L1237" s="18"/>
    </row>
    <row r="1238" customFormat="false" ht="15" hidden="false" customHeight="false" outlineLevel="0" collapsed="false">
      <c r="A1238" s="18"/>
      <c r="B1238" s="16"/>
      <c r="C1238" s="16"/>
      <c r="D1238" s="51" t="str">
        <f aca="false">IF(C1238="","",IFERROR(IF(LEFT(C1238,1)="L",INDEX('Leads Pipeline'!$F$5:$F$1004,MATCH(C1238,'Leads Pipeline'!$A$5:$A$1004,0)),INDEX('Active Clients'!$D$5:$D$504,MATCH(C1238,'Active Clients'!$A$5:$A$504,0)))&amp;"","ID not found"))</f>
        <v/>
      </c>
      <c r="E1238" s="51" t="str">
        <f aca="false">IF(C1238="","",IFERROR(IF(LEFT(C1238,1)="L",INDEX('Leads Pipeline'!$D$5:$D$1004,MATCH(C1238,'Leads Pipeline'!$A$5:$A$1004,0)),INDEX('Active Clients'!$B$5:$B$504,MATCH(C1238,'Active Clients'!$A$5:$A$504,0)))&amp;"","ID not found"))</f>
        <v/>
      </c>
      <c r="F1238" s="51" t="str">
        <f aca="false">IF(C1238="","",IFERROR(IF(LEFT(C1238,1)="L",INDEX('Leads Pipeline'!$E$5:$E$1004,MATCH(C1238,'Leads Pipeline'!$A$5:$A$1004,0)),INDEX('Active Clients'!$C$5:$C$504,MATCH(C1238,'Active Clients'!$A$5:$A$504,0)))&amp;"","ID not found"))</f>
        <v/>
      </c>
      <c r="G1238" s="16"/>
      <c r="H1238" s="16"/>
      <c r="I1238" s="16"/>
      <c r="J1238" s="16"/>
      <c r="K1238" s="16"/>
      <c r="L1238" s="18"/>
    </row>
    <row r="1239" customFormat="false" ht="15" hidden="false" customHeight="false" outlineLevel="0" collapsed="false">
      <c r="A1239" s="18"/>
      <c r="B1239" s="16"/>
      <c r="C1239" s="16"/>
      <c r="D1239" s="51" t="str">
        <f aca="false">IF(C1239="","",IFERROR(IF(LEFT(C1239,1)="L",INDEX('Leads Pipeline'!$F$5:$F$1004,MATCH(C1239,'Leads Pipeline'!$A$5:$A$1004,0)),INDEX('Active Clients'!$D$5:$D$504,MATCH(C1239,'Active Clients'!$A$5:$A$504,0)))&amp;"","ID not found"))</f>
        <v/>
      </c>
      <c r="E1239" s="51" t="str">
        <f aca="false">IF(C1239="","",IFERROR(IF(LEFT(C1239,1)="L",INDEX('Leads Pipeline'!$D$5:$D$1004,MATCH(C1239,'Leads Pipeline'!$A$5:$A$1004,0)),INDEX('Active Clients'!$B$5:$B$504,MATCH(C1239,'Active Clients'!$A$5:$A$504,0)))&amp;"","ID not found"))</f>
        <v/>
      </c>
      <c r="F1239" s="51" t="str">
        <f aca="false">IF(C1239="","",IFERROR(IF(LEFT(C1239,1)="L",INDEX('Leads Pipeline'!$E$5:$E$1004,MATCH(C1239,'Leads Pipeline'!$A$5:$A$1004,0)),INDEX('Active Clients'!$C$5:$C$504,MATCH(C1239,'Active Clients'!$A$5:$A$504,0)))&amp;"","ID not found"))</f>
        <v/>
      </c>
      <c r="G1239" s="16"/>
      <c r="H1239" s="16"/>
      <c r="I1239" s="16"/>
      <c r="J1239" s="16"/>
      <c r="K1239" s="16"/>
      <c r="L1239" s="18"/>
    </row>
    <row r="1240" customFormat="false" ht="15" hidden="false" customHeight="false" outlineLevel="0" collapsed="false">
      <c r="A1240" s="18"/>
      <c r="B1240" s="16"/>
      <c r="C1240" s="16"/>
      <c r="D1240" s="51" t="str">
        <f aca="false">IF(C1240="","",IFERROR(IF(LEFT(C1240,1)="L",INDEX('Leads Pipeline'!$F$5:$F$1004,MATCH(C1240,'Leads Pipeline'!$A$5:$A$1004,0)),INDEX('Active Clients'!$D$5:$D$504,MATCH(C1240,'Active Clients'!$A$5:$A$504,0)))&amp;"","ID not found"))</f>
        <v/>
      </c>
      <c r="E1240" s="51" t="str">
        <f aca="false">IF(C1240="","",IFERROR(IF(LEFT(C1240,1)="L",INDEX('Leads Pipeline'!$D$5:$D$1004,MATCH(C1240,'Leads Pipeline'!$A$5:$A$1004,0)),INDEX('Active Clients'!$B$5:$B$504,MATCH(C1240,'Active Clients'!$A$5:$A$504,0)))&amp;"","ID not found"))</f>
        <v/>
      </c>
      <c r="F1240" s="51" t="str">
        <f aca="false">IF(C1240="","",IFERROR(IF(LEFT(C1240,1)="L",INDEX('Leads Pipeline'!$E$5:$E$1004,MATCH(C1240,'Leads Pipeline'!$A$5:$A$1004,0)),INDEX('Active Clients'!$C$5:$C$504,MATCH(C1240,'Active Clients'!$A$5:$A$504,0)))&amp;"","ID not found"))</f>
        <v/>
      </c>
      <c r="G1240" s="16"/>
      <c r="H1240" s="16"/>
      <c r="I1240" s="16"/>
      <c r="J1240" s="16"/>
      <c r="K1240" s="16"/>
      <c r="L1240" s="18"/>
    </row>
    <row r="1241" customFormat="false" ht="15" hidden="false" customHeight="false" outlineLevel="0" collapsed="false">
      <c r="A1241" s="18"/>
      <c r="B1241" s="16"/>
      <c r="C1241" s="16"/>
      <c r="D1241" s="51" t="str">
        <f aca="false">IF(C1241="","",IFERROR(IF(LEFT(C1241,1)="L",INDEX('Leads Pipeline'!$F$5:$F$1004,MATCH(C1241,'Leads Pipeline'!$A$5:$A$1004,0)),INDEX('Active Clients'!$D$5:$D$504,MATCH(C1241,'Active Clients'!$A$5:$A$504,0)))&amp;"","ID not found"))</f>
        <v/>
      </c>
      <c r="E1241" s="51" t="str">
        <f aca="false">IF(C1241="","",IFERROR(IF(LEFT(C1241,1)="L",INDEX('Leads Pipeline'!$D$5:$D$1004,MATCH(C1241,'Leads Pipeline'!$A$5:$A$1004,0)),INDEX('Active Clients'!$B$5:$B$504,MATCH(C1241,'Active Clients'!$A$5:$A$504,0)))&amp;"","ID not found"))</f>
        <v/>
      </c>
      <c r="F1241" s="51" t="str">
        <f aca="false">IF(C1241="","",IFERROR(IF(LEFT(C1241,1)="L",INDEX('Leads Pipeline'!$E$5:$E$1004,MATCH(C1241,'Leads Pipeline'!$A$5:$A$1004,0)),INDEX('Active Clients'!$C$5:$C$504,MATCH(C1241,'Active Clients'!$A$5:$A$504,0)))&amp;"","ID not found"))</f>
        <v/>
      </c>
      <c r="G1241" s="16"/>
      <c r="H1241" s="16"/>
      <c r="I1241" s="16"/>
      <c r="J1241" s="16"/>
      <c r="K1241" s="16"/>
      <c r="L1241" s="18"/>
    </row>
    <row r="1242" customFormat="false" ht="15" hidden="false" customHeight="false" outlineLevel="0" collapsed="false">
      <c r="A1242" s="18"/>
      <c r="B1242" s="16"/>
      <c r="C1242" s="16"/>
      <c r="D1242" s="51" t="str">
        <f aca="false">IF(C1242="","",IFERROR(IF(LEFT(C1242,1)="L",INDEX('Leads Pipeline'!$F$5:$F$1004,MATCH(C1242,'Leads Pipeline'!$A$5:$A$1004,0)),INDEX('Active Clients'!$D$5:$D$504,MATCH(C1242,'Active Clients'!$A$5:$A$504,0)))&amp;"","ID not found"))</f>
        <v/>
      </c>
      <c r="E1242" s="51" t="str">
        <f aca="false">IF(C1242="","",IFERROR(IF(LEFT(C1242,1)="L",INDEX('Leads Pipeline'!$D$5:$D$1004,MATCH(C1242,'Leads Pipeline'!$A$5:$A$1004,0)),INDEX('Active Clients'!$B$5:$B$504,MATCH(C1242,'Active Clients'!$A$5:$A$504,0)))&amp;"","ID not found"))</f>
        <v/>
      </c>
      <c r="F1242" s="51" t="str">
        <f aca="false">IF(C1242="","",IFERROR(IF(LEFT(C1242,1)="L",INDEX('Leads Pipeline'!$E$5:$E$1004,MATCH(C1242,'Leads Pipeline'!$A$5:$A$1004,0)),INDEX('Active Clients'!$C$5:$C$504,MATCH(C1242,'Active Clients'!$A$5:$A$504,0)))&amp;"","ID not found"))</f>
        <v/>
      </c>
      <c r="G1242" s="16"/>
      <c r="H1242" s="16"/>
      <c r="I1242" s="16"/>
      <c r="J1242" s="16"/>
      <c r="K1242" s="16"/>
      <c r="L1242" s="18"/>
    </row>
    <row r="1243" customFormat="false" ht="15" hidden="false" customHeight="false" outlineLevel="0" collapsed="false">
      <c r="A1243" s="18"/>
      <c r="B1243" s="16"/>
      <c r="C1243" s="16"/>
      <c r="D1243" s="51" t="str">
        <f aca="false">IF(C1243="","",IFERROR(IF(LEFT(C1243,1)="L",INDEX('Leads Pipeline'!$F$5:$F$1004,MATCH(C1243,'Leads Pipeline'!$A$5:$A$1004,0)),INDEX('Active Clients'!$D$5:$D$504,MATCH(C1243,'Active Clients'!$A$5:$A$504,0)))&amp;"","ID not found"))</f>
        <v/>
      </c>
      <c r="E1243" s="51" t="str">
        <f aca="false">IF(C1243="","",IFERROR(IF(LEFT(C1243,1)="L",INDEX('Leads Pipeline'!$D$5:$D$1004,MATCH(C1243,'Leads Pipeline'!$A$5:$A$1004,0)),INDEX('Active Clients'!$B$5:$B$504,MATCH(C1243,'Active Clients'!$A$5:$A$504,0)))&amp;"","ID not found"))</f>
        <v/>
      </c>
      <c r="F1243" s="51" t="str">
        <f aca="false">IF(C1243="","",IFERROR(IF(LEFT(C1243,1)="L",INDEX('Leads Pipeline'!$E$5:$E$1004,MATCH(C1243,'Leads Pipeline'!$A$5:$A$1004,0)),INDEX('Active Clients'!$C$5:$C$504,MATCH(C1243,'Active Clients'!$A$5:$A$504,0)))&amp;"","ID not found"))</f>
        <v/>
      </c>
      <c r="G1243" s="16"/>
      <c r="H1243" s="16"/>
      <c r="I1243" s="16"/>
      <c r="J1243" s="16"/>
      <c r="K1243" s="16"/>
      <c r="L1243" s="18"/>
    </row>
    <row r="1244" customFormat="false" ht="15" hidden="false" customHeight="false" outlineLevel="0" collapsed="false">
      <c r="A1244" s="18"/>
      <c r="B1244" s="16"/>
      <c r="C1244" s="16"/>
      <c r="D1244" s="51" t="str">
        <f aca="false">IF(C1244="","",IFERROR(IF(LEFT(C1244,1)="L",INDEX('Leads Pipeline'!$F$5:$F$1004,MATCH(C1244,'Leads Pipeline'!$A$5:$A$1004,0)),INDEX('Active Clients'!$D$5:$D$504,MATCH(C1244,'Active Clients'!$A$5:$A$504,0)))&amp;"","ID not found"))</f>
        <v/>
      </c>
      <c r="E1244" s="51" t="str">
        <f aca="false">IF(C1244="","",IFERROR(IF(LEFT(C1244,1)="L",INDEX('Leads Pipeline'!$D$5:$D$1004,MATCH(C1244,'Leads Pipeline'!$A$5:$A$1004,0)),INDEX('Active Clients'!$B$5:$B$504,MATCH(C1244,'Active Clients'!$A$5:$A$504,0)))&amp;"","ID not found"))</f>
        <v/>
      </c>
      <c r="F1244" s="51" t="str">
        <f aca="false">IF(C1244="","",IFERROR(IF(LEFT(C1244,1)="L",INDEX('Leads Pipeline'!$E$5:$E$1004,MATCH(C1244,'Leads Pipeline'!$A$5:$A$1004,0)),INDEX('Active Clients'!$C$5:$C$504,MATCH(C1244,'Active Clients'!$A$5:$A$504,0)))&amp;"","ID not found"))</f>
        <v/>
      </c>
      <c r="G1244" s="16"/>
      <c r="H1244" s="16"/>
      <c r="I1244" s="16"/>
      <c r="J1244" s="16"/>
      <c r="K1244" s="16"/>
      <c r="L1244" s="18"/>
    </row>
    <row r="1245" customFormat="false" ht="15" hidden="false" customHeight="false" outlineLevel="0" collapsed="false">
      <c r="A1245" s="18"/>
      <c r="B1245" s="16"/>
      <c r="C1245" s="16"/>
      <c r="D1245" s="51" t="str">
        <f aca="false">IF(C1245="","",IFERROR(IF(LEFT(C1245,1)="L",INDEX('Leads Pipeline'!$F$5:$F$1004,MATCH(C1245,'Leads Pipeline'!$A$5:$A$1004,0)),INDEX('Active Clients'!$D$5:$D$504,MATCH(C1245,'Active Clients'!$A$5:$A$504,0)))&amp;"","ID not found"))</f>
        <v/>
      </c>
      <c r="E1245" s="51" t="str">
        <f aca="false">IF(C1245="","",IFERROR(IF(LEFT(C1245,1)="L",INDEX('Leads Pipeline'!$D$5:$D$1004,MATCH(C1245,'Leads Pipeline'!$A$5:$A$1004,0)),INDEX('Active Clients'!$B$5:$B$504,MATCH(C1245,'Active Clients'!$A$5:$A$504,0)))&amp;"","ID not found"))</f>
        <v/>
      </c>
      <c r="F1245" s="51" t="str">
        <f aca="false">IF(C1245="","",IFERROR(IF(LEFT(C1245,1)="L",INDEX('Leads Pipeline'!$E$5:$E$1004,MATCH(C1245,'Leads Pipeline'!$A$5:$A$1004,0)),INDEX('Active Clients'!$C$5:$C$504,MATCH(C1245,'Active Clients'!$A$5:$A$504,0)))&amp;"","ID not found"))</f>
        <v/>
      </c>
      <c r="G1245" s="16"/>
      <c r="H1245" s="16"/>
      <c r="I1245" s="16"/>
      <c r="J1245" s="16"/>
      <c r="K1245" s="16"/>
      <c r="L1245" s="18"/>
    </row>
    <row r="1246" customFormat="false" ht="15" hidden="false" customHeight="false" outlineLevel="0" collapsed="false">
      <c r="A1246" s="18"/>
      <c r="B1246" s="16"/>
      <c r="C1246" s="16"/>
      <c r="D1246" s="51" t="str">
        <f aca="false">IF(C1246="","",IFERROR(IF(LEFT(C1246,1)="L",INDEX('Leads Pipeline'!$F$5:$F$1004,MATCH(C1246,'Leads Pipeline'!$A$5:$A$1004,0)),INDEX('Active Clients'!$D$5:$D$504,MATCH(C1246,'Active Clients'!$A$5:$A$504,0)))&amp;"","ID not found"))</f>
        <v/>
      </c>
      <c r="E1246" s="51" t="str">
        <f aca="false">IF(C1246="","",IFERROR(IF(LEFT(C1246,1)="L",INDEX('Leads Pipeline'!$D$5:$D$1004,MATCH(C1246,'Leads Pipeline'!$A$5:$A$1004,0)),INDEX('Active Clients'!$B$5:$B$504,MATCH(C1246,'Active Clients'!$A$5:$A$504,0)))&amp;"","ID not found"))</f>
        <v/>
      </c>
      <c r="F1246" s="51" t="str">
        <f aca="false">IF(C1246="","",IFERROR(IF(LEFT(C1246,1)="L",INDEX('Leads Pipeline'!$E$5:$E$1004,MATCH(C1246,'Leads Pipeline'!$A$5:$A$1004,0)),INDEX('Active Clients'!$C$5:$C$504,MATCH(C1246,'Active Clients'!$A$5:$A$504,0)))&amp;"","ID not found"))</f>
        <v/>
      </c>
      <c r="G1246" s="16"/>
      <c r="H1246" s="16"/>
      <c r="I1246" s="16"/>
      <c r="J1246" s="16"/>
      <c r="K1246" s="16"/>
      <c r="L1246" s="18"/>
    </row>
    <row r="1247" customFormat="false" ht="15" hidden="false" customHeight="false" outlineLevel="0" collapsed="false">
      <c r="A1247" s="18"/>
      <c r="B1247" s="16"/>
      <c r="C1247" s="16"/>
      <c r="D1247" s="51" t="str">
        <f aca="false">IF(C1247="","",IFERROR(IF(LEFT(C1247,1)="L",INDEX('Leads Pipeline'!$F$5:$F$1004,MATCH(C1247,'Leads Pipeline'!$A$5:$A$1004,0)),INDEX('Active Clients'!$D$5:$D$504,MATCH(C1247,'Active Clients'!$A$5:$A$504,0)))&amp;"","ID not found"))</f>
        <v/>
      </c>
      <c r="E1247" s="51" t="str">
        <f aca="false">IF(C1247="","",IFERROR(IF(LEFT(C1247,1)="L",INDEX('Leads Pipeline'!$D$5:$D$1004,MATCH(C1247,'Leads Pipeline'!$A$5:$A$1004,0)),INDEX('Active Clients'!$B$5:$B$504,MATCH(C1247,'Active Clients'!$A$5:$A$504,0)))&amp;"","ID not found"))</f>
        <v/>
      </c>
      <c r="F1247" s="51" t="str">
        <f aca="false">IF(C1247="","",IFERROR(IF(LEFT(C1247,1)="L",INDEX('Leads Pipeline'!$E$5:$E$1004,MATCH(C1247,'Leads Pipeline'!$A$5:$A$1004,0)),INDEX('Active Clients'!$C$5:$C$504,MATCH(C1247,'Active Clients'!$A$5:$A$504,0)))&amp;"","ID not found"))</f>
        <v/>
      </c>
      <c r="G1247" s="16"/>
      <c r="H1247" s="16"/>
      <c r="I1247" s="16"/>
      <c r="J1247" s="16"/>
      <c r="K1247" s="16"/>
      <c r="L1247" s="18"/>
    </row>
    <row r="1248" customFormat="false" ht="15" hidden="false" customHeight="false" outlineLevel="0" collapsed="false">
      <c r="A1248" s="18"/>
      <c r="B1248" s="16"/>
      <c r="C1248" s="16"/>
      <c r="D1248" s="51" t="str">
        <f aca="false">IF(C1248="","",IFERROR(IF(LEFT(C1248,1)="L",INDEX('Leads Pipeline'!$F$5:$F$1004,MATCH(C1248,'Leads Pipeline'!$A$5:$A$1004,0)),INDEX('Active Clients'!$D$5:$D$504,MATCH(C1248,'Active Clients'!$A$5:$A$504,0)))&amp;"","ID not found"))</f>
        <v/>
      </c>
      <c r="E1248" s="51" t="str">
        <f aca="false">IF(C1248="","",IFERROR(IF(LEFT(C1248,1)="L",INDEX('Leads Pipeline'!$D$5:$D$1004,MATCH(C1248,'Leads Pipeline'!$A$5:$A$1004,0)),INDEX('Active Clients'!$B$5:$B$504,MATCH(C1248,'Active Clients'!$A$5:$A$504,0)))&amp;"","ID not found"))</f>
        <v/>
      </c>
      <c r="F1248" s="51" t="str">
        <f aca="false">IF(C1248="","",IFERROR(IF(LEFT(C1248,1)="L",INDEX('Leads Pipeline'!$E$5:$E$1004,MATCH(C1248,'Leads Pipeline'!$A$5:$A$1004,0)),INDEX('Active Clients'!$C$5:$C$504,MATCH(C1248,'Active Clients'!$A$5:$A$504,0)))&amp;"","ID not found"))</f>
        <v/>
      </c>
      <c r="G1248" s="16"/>
      <c r="H1248" s="16"/>
      <c r="I1248" s="16"/>
      <c r="J1248" s="16"/>
      <c r="K1248" s="16"/>
      <c r="L1248" s="18"/>
    </row>
    <row r="1249" customFormat="false" ht="15" hidden="false" customHeight="false" outlineLevel="0" collapsed="false">
      <c r="A1249" s="18"/>
      <c r="B1249" s="16"/>
      <c r="C1249" s="16"/>
      <c r="D1249" s="51" t="str">
        <f aca="false">IF(C1249="","",IFERROR(IF(LEFT(C1249,1)="L",INDEX('Leads Pipeline'!$F$5:$F$1004,MATCH(C1249,'Leads Pipeline'!$A$5:$A$1004,0)),INDEX('Active Clients'!$D$5:$D$504,MATCH(C1249,'Active Clients'!$A$5:$A$504,0)))&amp;"","ID not found"))</f>
        <v/>
      </c>
      <c r="E1249" s="51" t="str">
        <f aca="false">IF(C1249="","",IFERROR(IF(LEFT(C1249,1)="L",INDEX('Leads Pipeline'!$D$5:$D$1004,MATCH(C1249,'Leads Pipeline'!$A$5:$A$1004,0)),INDEX('Active Clients'!$B$5:$B$504,MATCH(C1249,'Active Clients'!$A$5:$A$504,0)))&amp;"","ID not found"))</f>
        <v/>
      </c>
      <c r="F1249" s="51" t="str">
        <f aca="false">IF(C1249="","",IFERROR(IF(LEFT(C1249,1)="L",INDEX('Leads Pipeline'!$E$5:$E$1004,MATCH(C1249,'Leads Pipeline'!$A$5:$A$1004,0)),INDEX('Active Clients'!$C$5:$C$504,MATCH(C1249,'Active Clients'!$A$5:$A$504,0)))&amp;"","ID not found"))</f>
        <v/>
      </c>
      <c r="G1249" s="16"/>
      <c r="H1249" s="16"/>
      <c r="I1249" s="16"/>
      <c r="J1249" s="16"/>
      <c r="K1249" s="16"/>
      <c r="L1249" s="18"/>
    </row>
    <row r="1250" customFormat="false" ht="15" hidden="false" customHeight="false" outlineLevel="0" collapsed="false">
      <c r="A1250" s="18"/>
      <c r="B1250" s="16"/>
      <c r="C1250" s="16"/>
      <c r="D1250" s="51" t="str">
        <f aca="false">IF(C1250="","",IFERROR(IF(LEFT(C1250,1)="L",INDEX('Leads Pipeline'!$F$5:$F$1004,MATCH(C1250,'Leads Pipeline'!$A$5:$A$1004,0)),INDEX('Active Clients'!$D$5:$D$504,MATCH(C1250,'Active Clients'!$A$5:$A$504,0)))&amp;"","ID not found"))</f>
        <v/>
      </c>
      <c r="E1250" s="51" t="str">
        <f aca="false">IF(C1250="","",IFERROR(IF(LEFT(C1250,1)="L",INDEX('Leads Pipeline'!$D$5:$D$1004,MATCH(C1250,'Leads Pipeline'!$A$5:$A$1004,0)),INDEX('Active Clients'!$B$5:$B$504,MATCH(C1250,'Active Clients'!$A$5:$A$504,0)))&amp;"","ID not found"))</f>
        <v/>
      </c>
      <c r="F1250" s="51" t="str">
        <f aca="false">IF(C1250="","",IFERROR(IF(LEFT(C1250,1)="L",INDEX('Leads Pipeline'!$E$5:$E$1004,MATCH(C1250,'Leads Pipeline'!$A$5:$A$1004,0)),INDEX('Active Clients'!$C$5:$C$504,MATCH(C1250,'Active Clients'!$A$5:$A$504,0)))&amp;"","ID not found"))</f>
        <v/>
      </c>
      <c r="G1250" s="16"/>
      <c r="H1250" s="16"/>
      <c r="I1250" s="16"/>
      <c r="J1250" s="16"/>
      <c r="K1250" s="16"/>
      <c r="L1250" s="18"/>
    </row>
    <row r="1251" customFormat="false" ht="15" hidden="false" customHeight="false" outlineLevel="0" collapsed="false">
      <c r="A1251" s="18"/>
      <c r="B1251" s="16"/>
      <c r="C1251" s="16"/>
      <c r="D1251" s="51" t="str">
        <f aca="false">IF(C1251="","",IFERROR(IF(LEFT(C1251,1)="L",INDEX('Leads Pipeline'!$F$5:$F$1004,MATCH(C1251,'Leads Pipeline'!$A$5:$A$1004,0)),INDEX('Active Clients'!$D$5:$D$504,MATCH(C1251,'Active Clients'!$A$5:$A$504,0)))&amp;"","ID not found"))</f>
        <v/>
      </c>
      <c r="E1251" s="51" t="str">
        <f aca="false">IF(C1251="","",IFERROR(IF(LEFT(C1251,1)="L",INDEX('Leads Pipeline'!$D$5:$D$1004,MATCH(C1251,'Leads Pipeline'!$A$5:$A$1004,0)),INDEX('Active Clients'!$B$5:$B$504,MATCH(C1251,'Active Clients'!$A$5:$A$504,0)))&amp;"","ID not found"))</f>
        <v/>
      </c>
      <c r="F1251" s="51" t="str">
        <f aca="false">IF(C1251="","",IFERROR(IF(LEFT(C1251,1)="L",INDEX('Leads Pipeline'!$E$5:$E$1004,MATCH(C1251,'Leads Pipeline'!$A$5:$A$1004,0)),INDEX('Active Clients'!$C$5:$C$504,MATCH(C1251,'Active Clients'!$A$5:$A$504,0)))&amp;"","ID not found"))</f>
        <v/>
      </c>
      <c r="G1251" s="16"/>
      <c r="H1251" s="16"/>
      <c r="I1251" s="16"/>
      <c r="J1251" s="16"/>
      <c r="K1251" s="16"/>
      <c r="L1251" s="18"/>
    </row>
    <row r="1252" customFormat="false" ht="15" hidden="false" customHeight="false" outlineLevel="0" collapsed="false">
      <c r="A1252" s="18"/>
      <c r="B1252" s="16"/>
      <c r="C1252" s="16"/>
      <c r="D1252" s="51" t="str">
        <f aca="false">IF(C1252="","",IFERROR(IF(LEFT(C1252,1)="L",INDEX('Leads Pipeline'!$F$5:$F$1004,MATCH(C1252,'Leads Pipeline'!$A$5:$A$1004,0)),INDEX('Active Clients'!$D$5:$D$504,MATCH(C1252,'Active Clients'!$A$5:$A$504,0)))&amp;"","ID not found"))</f>
        <v/>
      </c>
      <c r="E1252" s="51" t="str">
        <f aca="false">IF(C1252="","",IFERROR(IF(LEFT(C1252,1)="L",INDEX('Leads Pipeline'!$D$5:$D$1004,MATCH(C1252,'Leads Pipeline'!$A$5:$A$1004,0)),INDEX('Active Clients'!$B$5:$B$504,MATCH(C1252,'Active Clients'!$A$5:$A$504,0)))&amp;"","ID not found"))</f>
        <v/>
      </c>
      <c r="F1252" s="51" t="str">
        <f aca="false">IF(C1252="","",IFERROR(IF(LEFT(C1252,1)="L",INDEX('Leads Pipeline'!$E$5:$E$1004,MATCH(C1252,'Leads Pipeline'!$A$5:$A$1004,0)),INDEX('Active Clients'!$C$5:$C$504,MATCH(C1252,'Active Clients'!$A$5:$A$504,0)))&amp;"","ID not found"))</f>
        <v/>
      </c>
      <c r="G1252" s="16"/>
      <c r="H1252" s="16"/>
      <c r="I1252" s="16"/>
      <c r="J1252" s="16"/>
      <c r="K1252" s="16"/>
      <c r="L1252" s="18"/>
    </row>
    <row r="1253" customFormat="false" ht="15" hidden="false" customHeight="false" outlineLevel="0" collapsed="false">
      <c r="A1253" s="18"/>
      <c r="B1253" s="16"/>
      <c r="C1253" s="16"/>
      <c r="D1253" s="51" t="str">
        <f aca="false">IF(C1253="","",IFERROR(IF(LEFT(C1253,1)="L",INDEX('Leads Pipeline'!$F$5:$F$1004,MATCH(C1253,'Leads Pipeline'!$A$5:$A$1004,0)),INDEX('Active Clients'!$D$5:$D$504,MATCH(C1253,'Active Clients'!$A$5:$A$504,0)))&amp;"","ID not found"))</f>
        <v/>
      </c>
      <c r="E1253" s="51" t="str">
        <f aca="false">IF(C1253="","",IFERROR(IF(LEFT(C1253,1)="L",INDEX('Leads Pipeline'!$D$5:$D$1004,MATCH(C1253,'Leads Pipeline'!$A$5:$A$1004,0)),INDEX('Active Clients'!$B$5:$B$504,MATCH(C1253,'Active Clients'!$A$5:$A$504,0)))&amp;"","ID not found"))</f>
        <v/>
      </c>
      <c r="F1253" s="51" t="str">
        <f aca="false">IF(C1253="","",IFERROR(IF(LEFT(C1253,1)="L",INDEX('Leads Pipeline'!$E$5:$E$1004,MATCH(C1253,'Leads Pipeline'!$A$5:$A$1004,0)),INDEX('Active Clients'!$C$5:$C$504,MATCH(C1253,'Active Clients'!$A$5:$A$504,0)))&amp;"","ID not found"))</f>
        <v/>
      </c>
      <c r="G1253" s="16"/>
      <c r="H1253" s="16"/>
      <c r="I1253" s="16"/>
      <c r="J1253" s="16"/>
      <c r="K1253" s="16"/>
      <c r="L1253" s="18"/>
    </row>
    <row r="1254" customFormat="false" ht="15" hidden="false" customHeight="false" outlineLevel="0" collapsed="false">
      <c r="A1254" s="18"/>
      <c r="B1254" s="16"/>
      <c r="C1254" s="16"/>
      <c r="D1254" s="51" t="str">
        <f aca="false">IF(C1254="","",IFERROR(IF(LEFT(C1254,1)="L",INDEX('Leads Pipeline'!$F$5:$F$1004,MATCH(C1254,'Leads Pipeline'!$A$5:$A$1004,0)),INDEX('Active Clients'!$D$5:$D$504,MATCH(C1254,'Active Clients'!$A$5:$A$504,0)))&amp;"","ID not found"))</f>
        <v/>
      </c>
      <c r="E1254" s="51" t="str">
        <f aca="false">IF(C1254="","",IFERROR(IF(LEFT(C1254,1)="L",INDEX('Leads Pipeline'!$D$5:$D$1004,MATCH(C1254,'Leads Pipeline'!$A$5:$A$1004,0)),INDEX('Active Clients'!$B$5:$B$504,MATCH(C1254,'Active Clients'!$A$5:$A$504,0)))&amp;"","ID not found"))</f>
        <v/>
      </c>
      <c r="F1254" s="51" t="str">
        <f aca="false">IF(C1254="","",IFERROR(IF(LEFT(C1254,1)="L",INDEX('Leads Pipeline'!$E$5:$E$1004,MATCH(C1254,'Leads Pipeline'!$A$5:$A$1004,0)),INDEX('Active Clients'!$C$5:$C$504,MATCH(C1254,'Active Clients'!$A$5:$A$504,0)))&amp;"","ID not found"))</f>
        <v/>
      </c>
      <c r="G1254" s="16"/>
      <c r="H1254" s="16"/>
      <c r="I1254" s="16"/>
      <c r="J1254" s="16"/>
      <c r="K1254" s="16"/>
      <c r="L1254" s="18"/>
    </row>
    <row r="1255" customFormat="false" ht="15" hidden="false" customHeight="false" outlineLevel="0" collapsed="false">
      <c r="A1255" s="18"/>
      <c r="B1255" s="16"/>
      <c r="C1255" s="16"/>
      <c r="D1255" s="51" t="str">
        <f aca="false">IF(C1255="","",IFERROR(IF(LEFT(C1255,1)="L",INDEX('Leads Pipeline'!$F$5:$F$1004,MATCH(C1255,'Leads Pipeline'!$A$5:$A$1004,0)),INDEX('Active Clients'!$D$5:$D$504,MATCH(C1255,'Active Clients'!$A$5:$A$504,0)))&amp;"","ID not found"))</f>
        <v/>
      </c>
      <c r="E1255" s="51" t="str">
        <f aca="false">IF(C1255="","",IFERROR(IF(LEFT(C1255,1)="L",INDEX('Leads Pipeline'!$D$5:$D$1004,MATCH(C1255,'Leads Pipeline'!$A$5:$A$1004,0)),INDEX('Active Clients'!$B$5:$B$504,MATCH(C1255,'Active Clients'!$A$5:$A$504,0)))&amp;"","ID not found"))</f>
        <v/>
      </c>
      <c r="F1255" s="51" t="str">
        <f aca="false">IF(C1255="","",IFERROR(IF(LEFT(C1255,1)="L",INDEX('Leads Pipeline'!$E$5:$E$1004,MATCH(C1255,'Leads Pipeline'!$A$5:$A$1004,0)),INDEX('Active Clients'!$C$5:$C$504,MATCH(C1255,'Active Clients'!$A$5:$A$504,0)))&amp;"","ID not found"))</f>
        <v/>
      </c>
      <c r="G1255" s="16"/>
      <c r="H1255" s="16"/>
      <c r="I1255" s="16"/>
      <c r="J1255" s="16"/>
      <c r="K1255" s="16"/>
      <c r="L1255" s="18"/>
    </row>
    <row r="1256" customFormat="false" ht="15" hidden="false" customHeight="false" outlineLevel="0" collapsed="false">
      <c r="A1256" s="18"/>
      <c r="B1256" s="16"/>
      <c r="C1256" s="16"/>
      <c r="D1256" s="51" t="str">
        <f aca="false">IF(C1256="","",IFERROR(IF(LEFT(C1256,1)="L",INDEX('Leads Pipeline'!$F$5:$F$1004,MATCH(C1256,'Leads Pipeline'!$A$5:$A$1004,0)),INDEX('Active Clients'!$D$5:$D$504,MATCH(C1256,'Active Clients'!$A$5:$A$504,0)))&amp;"","ID not found"))</f>
        <v/>
      </c>
      <c r="E1256" s="51" t="str">
        <f aca="false">IF(C1256="","",IFERROR(IF(LEFT(C1256,1)="L",INDEX('Leads Pipeline'!$D$5:$D$1004,MATCH(C1256,'Leads Pipeline'!$A$5:$A$1004,0)),INDEX('Active Clients'!$B$5:$B$504,MATCH(C1256,'Active Clients'!$A$5:$A$504,0)))&amp;"","ID not found"))</f>
        <v/>
      </c>
      <c r="F1256" s="51" t="str">
        <f aca="false">IF(C1256="","",IFERROR(IF(LEFT(C1256,1)="L",INDEX('Leads Pipeline'!$E$5:$E$1004,MATCH(C1256,'Leads Pipeline'!$A$5:$A$1004,0)),INDEX('Active Clients'!$C$5:$C$504,MATCH(C1256,'Active Clients'!$A$5:$A$504,0)))&amp;"","ID not found"))</f>
        <v/>
      </c>
      <c r="G1256" s="16"/>
      <c r="H1256" s="16"/>
      <c r="I1256" s="16"/>
      <c r="J1256" s="16"/>
      <c r="K1256" s="16"/>
      <c r="L1256" s="18"/>
    </row>
    <row r="1257" customFormat="false" ht="15" hidden="false" customHeight="false" outlineLevel="0" collapsed="false">
      <c r="A1257" s="18"/>
      <c r="B1257" s="16"/>
      <c r="C1257" s="16"/>
      <c r="D1257" s="51" t="str">
        <f aca="false">IF(C1257="","",IFERROR(IF(LEFT(C1257,1)="L",INDEX('Leads Pipeline'!$F$5:$F$1004,MATCH(C1257,'Leads Pipeline'!$A$5:$A$1004,0)),INDEX('Active Clients'!$D$5:$D$504,MATCH(C1257,'Active Clients'!$A$5:$A$504,0)))&amp;"","ID not found"))</f>
        <v/>
      </c>
      <c r="E1257" s="51" t="str">
        <f aca="false">IF(C1257="","",IFERROR(IF(LEFT(C1257,1)="L",INDEX('Leads Pipeline'!$D$5:$D$1004,MATCH(C1257,'Leads Pipeline'!$A$5:$A$1004,0)),INDEX('Active Clients'!$B$5:$B$504,MATCH(C1257,'Active Clients'!$A$5:$A$504,0)))&amp;"","ID not found"))</f>
        <v/>
      </c>
      <c r="F1257" s="51" t="str">
        <f aca="false">IF(C1257="","",IFERROR(IF(LEFT(C1257,1)="L",INDEX('Leads Pipeline'!$E$5:$E$1004,MATCH(C1257,'Leads Pipeline'!$A$5:$A$1004,0)),INDEX('Active Clients'!$C$5:$C$504,MATCH(C1257,'Active Clients'!$A$5:$A$504,0)))&amp;"","ID not found"))</f>
        <v/>
      </c>
      <c r="G1257" s="16"/>
      <c r="H1257" s="16"/>
      <c r="I1257" s="16"/>
      <c r="J1257" s="16"/>
      <c r="K1257" s="16"/>
      <c r="L1257" s="18"/>
    </row>
    <row r="1258" customFormat="false" ht="15" hidden="false" customHeight="false" outlineLevel="0" collapsed="false">
      <c r="A1258" s="18"/>
      <c r="B1258" s="16"/>
      <c r="C1258" s="16"/>
      <c r="D1258" s="51" t="str">
        <f aca="false">IF(C1258="","",IFERROR(IF(LEFT(C1258,1)="L",INDEX('Leads Pipeline'!$F$5:$F$1004,MATCH(C1258,'Leads Pipeline'!$A$5:$A$1004,0)),INDEX('Active Clients'!$D$5:$D$504,MATCH(C1258,'Active Clients'!$A$5:$A$504,0)))&amp;"","ID not found"))</f>
        <v/>
      </c>
      <c r="E1258" s="51" t="str">
        <f aca="false">IF(C1258="","",IFERROR(IF(LEFT(C1258,1)="L",INDEX('Leads Pipeline'!$D$5:$D$1004,MATCH(C1258,'Leads Pipeline'!$A$5:$A$1004,0)),INDEX('Active Clients'!$B$5:$B$504,MATCH(C1258,'Active Clients'!$A$5:$A$504,0)))&amp;"","ID not found"))</f>
        <v/>
      </c>
      <c r="F1258" s="51" t="str">
        <f aca="false">IF(C1258="","",IFERROR(IF(LEFT(C1258,1)="L",INDEX('Leads Pipeline'!$E$5:$E$1004,MATCH(C1258,'Leads Pipeline'!$A$5:$A$1004,0)),INDEX('Active Clients'!$C$5:$C$504,MATCH(C1258,'Active Clients'!$A$5:$A$504,0)))&amp;"","ID not found"))</f>
        <v/>
      </c>
      <c r="G1258" s="16"/>
      <c r="H1258" s="16"/>
      <c r="I1258" s="16"/>
      <c r="J1258" s="16"/>
      <c r="K1258" s="16"/>
      <c r="L1258" s="18"/>
    </row>
    <row r="1259" customFormat="false" ht="15" hidden="false" customHeight="false" outlineLevel="0" collapsed="false">
      <c r="A1259" s="18"/>
      <c r="B1259" s="16"/>
      <c r="C1259" s="16"/>
      <c r="D1259" s="51" t="str">
        <f aca="false">IF(C1259="","",IFERROR(IF(LEFT(C1259,1)="L",INDEX('Leads Pipeline'!$F$5:$F$1004,MATCH(C1259,'Leads Pipeline'!$A$5:$A$1004,0)),INDEX('Active Clients'!$D$5:$D$504,MATCH(C1259,'Active Clients'!$A$5:$A$504,0)))&amp;"","ID not found"))</f>
        <v/>
      </c>
      <c r="E1259" s="51" t="str">
        <f aca="false">IF(C1259="","",IFERROR(IF(LEFT(C1259,1)="L",INDEX('Leads Pipeline'!$D$5:$D$1004,MATCH(C1259,'Leads Pipeline'!$A$5:$A$1004,0)),INDEX('Active Clients'!$B$5:$B$504,MATCH(C1259,'Active Clients'!$A$5:$A$504,0)))&amp;"","ID not found"))</f>
        <v/>
      </c>
      <c r="F1259" s="51" t="str">
        <f aca="false">IF(C1259="","",IFERROR(IF(LEFT(C1259,1)="L",INDEX('Leads Pipeline'!$E$5:$E$1004,MATCH(C1259,'Leads Pipeline'!$A$5:$A$1004,0)),INDEX('Active Clients'!$C$5:$C$504,MATCH(C1259,'Active Clients'!$A$5:$A$504,0)))&amp;"","ID not found"))</f>
        <v/>
      </c>
      <c r="G1259" s="16"/>
      <c r="H1259" s="16"/>
      <c r="I1259" s="16"/>
      <c r="J1259" s="16"/>
      <c r="K1259" s="16"/>
      <c r="L1259" s="18"/>
    </row>
    <row r="1260" customFormat="false" ht="15" hidden="false" customHeight="false" outlineLevel="0" collapsed="false">
      <c r="A1260" s="18"/>
      <c r="B1260" s="16"/>
      <c r="C1260" s="16"/>
      <c r="D1260" s="51" t="str">
        <f aca="false">IF(C1260="","",IFERROR(IF(LEFT(C1260,1)="L",INDEX('Leads Pipeline'!$F$5:$F$1004,MATCH(C1260,'Leads Pipeline'!$A$5:$A$1004,0)),INDEX('Active Clients'!$D$5:$D$504,MATCH(C1260,'Active Clients'!$A$5:$A$504,0)))&amp;"","ID not found"))</f>
        <v/>
      </c>
      <c r="E1260" s="51" t="str">
        <f aca="false">IF(C1260="","",IFERROR(IF(LEFT(C1260,1)="L",INDEX('Leads Pipeline'!$D$5:$D$1004,MATCH(C1260,'Leads Pipeline'!$A$5:$A$1004,0)),INDEX('Active Clients'!$B$5:$B$504,MATCH(C1260,'Active Clients'!$A$5:$A$504,0)))&amp;"","ID not found"))</f>
        <v/>
      </c>
      <c r="F1260" s="51" t="str">
        <f aca="false">IF(C1260="","",IFERROR(IF(LEFT(C1260,1)="L",INDEX('Leads Pipeline'!$E$5:$E$1004,MATCH(C1260,'Leads Pipeline'!$A$5:$A$1004,0)),INDEX('Active Clients'!$C$5:$C$504,MATCH(C1260,'Active Clients'!$A$5:$A$504,0)))&amp;"","ID not found"))</f>
        <v/>
      </c>
      <c r="G1260" s="16"/>
      <c r="H1260" s="16"/>
      <c r="I1260" s="16"/>
      <c r="J1260" s="16"/>
      <c r="K1260" s="16"/>
      <c r="L1260" s="18"/>
    </row>
    <row r="1261" customFormat="false" ht="15" hidden="false" customHeight="false" outlineLevel="0" collapsed="false">
      <c r="A1261" s="18"/>
      <c r="B1261" s="16"/>
      <c r="C1261" s="16"/>
      <c r="D1261" s="51" t="str">
        <f aca="false">IF(C1261="","",IFERROR(IF(LEFT(C1261,1)="L",INDEX('Leads Pipeline'!$F$5:$F$1004,MATCH(C1261,'Leads Pipeline'!$A$5:$A$1004,0)),INDEX('Active Clients'!$D$5:$D$504,MATCH(C1261,'Active Clients'!$A$5:$A$504,0)))&amp;"","ID not found"))</f>
        <v/>
      </c>
      <c r="E1261" s="51" t="str">
        <f aca="false">IF(C1261="","",IFERROR(IF(LEFT(C1261,1)="L",INDEX('Leads Pipeline'!$D$5:$D$1004,MATCH(C1261,'Leads Pipeline'!$A$5:$A$1004,0)),INDEX('Active Clients'!$B$5:$B$504,MATCH(C1261,'Active Clients'!$A$5:$A$504,0)))&amp;"","ID not found"))</f>
        <v/>
      </c>
      <c r="F1261" s="51" t="str">
        <f aca="false">IF(C1261="","",IFERROR(IF(LEFT(C1261,1)="L",INDEX('Leads Pipeline'!$E$5:$E$1004,MATCH(C1261,'Leads Pipeline'!$A$5:$A$1004,0)),INDEX('Active Clients'!$C$5:$C$504,MATCH(C1261,'Active Clients'!$A$5:$A$504,0)))&amp;"","ID not found"))</f>
        <v/>
      </c>
      <c r="G1261" s="16"/>
      <c r="H1261" s="16"/>
      <c r="I1261" s="16"/>
      <c r="J1261" s="16"/>
      <c r="K1261" s="16"/>
      <c r="L1261" s="18"/>
    </row>
    <row r="1262" customFormat="false" ht="15" hidden="false" customHeight="false" outlineLevel="0" collapsed="false">
      <c r="A1262" s="18"/>
      <c r="B1262" s="16"/>
      <c r="C1262" s="16"/>
      <c r="D1262" s="51" t="str">
        <f aca="false">IF(C1262="","",IFERROR(IF(LEFT(C1262,1)="L",INDEX('Leads Pipeline'!$F$5:$F$1004,MATCH(C1262,'Leads Pipeline'!$A$5:$A$1004,0)),INDEX('Active Clients'!$D$5:$D$504,MATCH(C1262,'Active Clients'!$A$5:$A$504,0)))&amp;"","ID not found"))</f>
        <v/>
      </c>
      <c r="E1262" s="51" t="str">
        <f aca="false">IF(C1262="","",IFERROR(IF(LEFT(C1262,1)="L",INDEX('Leads Pipeline'!$D$5:$D$1004,MATCH(C1262,'Leads Pipeline'!$A$5:$A$1004,0)),INDEX('Active Clients'!$B$5:$B$504,MATCH(C1262,'Active Clients'!$A$5:$A$504,0)))&amp;"","ID not found"))</f>
        <v/>
      </c>
      <c r="F1262" s="51" t="str">
        <f aca="false">IF(C1262="","",IFERROR(IF(LEFT(C1262,1)="L",INDEX('Leads Pipeline'!$E$5:$E$1004,MATCH(C1262,'Leads Pipeline'!$A$5:$A$1004,0)),INDEX('Active Clients'!$C$5:$C$504,MATCH(C1262,'Active Clients'!$A$5:$A$504,0)))&amp;"","ID not found"))</f>
        <v/>
      </c>
      <c r="G1262" s="16"/>
      <c r="H1262" s="16"/>
      <c r="I1262" s="16"/>
      <c r="J1262" s="16"/>
      <c r="K1262" s="16"/>
      <c r="L1262" s="18"/>
    </row>
    <row r="1263" customFormat="false" ht="15" hidden="false" customHeight="false" outlineLevel="0" collapsed="false">
      <c r="A1263" s="18"/>
      <c r="B1263" s="16"/>
      <c r="C1263" s="16"/>
      <c r="D1263" s="51" t="str">
        <f aca="false">IF(C1263="","",IFERROR(IF(LEFT(C1263,1)="L",INDEX('Leads Pipeline'!$F$5:$F$1004,MATCH(C1263,'Leads Pipeline'!$A$5:$A$1004,0)),INDEX('Active Clients'!$D$5:$D$504,MATCH(C1263,'Active Clients'!$A$5:$A$504,0)))&amp;"","ID not found"))</f>
        <v/>
      </c>
      <c r="E1263" s="51" t="str">
        <f aca="false">IF(C1263="","",IFERROR(IF(LEFT(C1263,1)="L",INDEX('Leads Pipeline'!$D$5:$D$1004,MATCH(C1263,'Leads Pipeline'!$A$5:$A$1004,0)),INDEX('Active Clients'!$B$5:$B$504,MATCH(C1263,'Active Clients'!$A$5:$A$504,0)))&amp;"","ID not found"))</f>
        <v/>
      </c>
      <c r="F1263" s="51" t="str">
        <f aca="false">IF(C1263="","",IFERROR(IF(LEFT(C1263,1)="L",INDEX('Leads Pipeline'!$E$5:$E$1004,MATCH(C1263,'Leads Pipeline'!$A$5:$A$1004,0)),INDEX('Active Clients'!$C$5:$C$504,MATCH(C1263,'Active Clients'!$A$5:$A$504,0)))&amp;"","ID not found"))</f>
        <v/>
      </c>
      <c r="G1263" s="16"/>
      <c r="H1263" s="16"/>
      <c r="I1263" s="16"/>
      <c r="J1263" s="16"/>
      <c r="K1263" s="16"/>
      <c r="L1263" s="18"/>
    </row>
    <row r="1264" customFormat="false" ht="15" hidden="false" customHeight="false" outlineLevel="0" collapsed="false">
      <c r="A1264" s="18"/>
      <c r="B1264" s="16"/>
      <c r="C1264" s="16"/>
      <c r="D1264" s="51" t="str">
        <f aca="false">IF(C1264="","",IFERROR(IF(LEFT(C1264,1)="L",INDEX('Leads Pipeline'!$F$5:$F$1004,MATCH(C1264,'Leads Pipeline'!$A$5:$A$1004,0)),INDEX('Active Clients'!$D$5:$D$504,MATCH(C1264,'Active Clients'!$A$5:$A$504,0)))&amp;"","ID not found"))</f>
        <v/>
      </c>
      <c r="E1264" s="51" t="str">
        <f aca="false">IF(C1264="","",IFERROR(IF(LEFT(C1264,1)="L",INDEX('Leads Pipeline'!$D$5:$D$1004,MATCH(C1264,'Leads Pipeline'!$A$5:$A$1004,0)),INDEX('Active Clients'!$B$5:$B$504,MATCH(C1264,'Active Clients'!$A$5:$A$504,0)))&amp;"","ID not found"))</f>
        <v/>
      </c>
      <c r="F1264" s="51" t="str">
        <f aca="false">IF(C1264="","",IFERROR(IF(LEFT(C1264,1)="L",INDEX('Leads Pipeline'!$E$5:$E$1004,MATCH(C1264,'Leads Pipeline'!$A$5:$A$1004,0)),INDEX('Active Clients'!$C$5:$C$504,MATCH(C1264,'Active Clients'!$A$5:$A$504,0)))&amp;"","ID not found"))</f>
        <v/>
      </c>
      <c r="G1264" s="16"/>
      <c r="H1264" s="16"/>
      <c r="I1264" s="16"/>
      <c r="J1264" s="16"/>
      <c r="K1264" s="16"/>
      <c r="L1264" s="18"/>
    </row>
    <row r="1265" customFormat="false" ht="15" hidden="false" customHeight="false" outlineLevel="0" collapsed="false">
      <c r="A1265" s="18"/>
      <c r="B1265" s="16"/>
      <c r="C1265" s="16"/>
      <c r="D1265" s="51" t="str">
        <f aca="false">IF(C1265="","",IFERROR(IF(LEFT(C1265,1)="L",INDEX('Leads Pipeline'!$F$5:$F$1004,MATCH(C1265,'Leads Pipeline'!$A$5:$A$1004,0)),INDEX('Active Clients'!$D$5:$D$504,MATCH(C1265,'Active Clients'!$A$5:$A$504,0)))&amp;"","ID not found"))</f>
        <v/>
      </c>
      <c r="E1265" s="51" t="str">
        <f aca="false">IF(C1265="","",IFERROR(IF(LEFT(C1265,1)="L",INDEX('Leads Pipeline'!$D$5:$D$1004,MATCH(C1265,'Leads Pipeline'!$A$5:$A$1004,0)),INDEX('Active Clients'!$B$5:$B$504,MATCH(C1265,'Active Clients'!$A$5:$A$504,0)))&amp;"","ID not found"))</f>
        <v/>
      </c>
      <c r="F1265" s="51" t="str">
        <f aca="false">IF(C1265="","",IFERROR(IF(LEFT(C1265,1)="L",INDEX('Leads Pipeline'!$E$5:$E$1004,MATCH(C1265,'Leads Pipeline'!$A$5:$A$1004,0)),INDEX('Active Clients'!$C$5:$C$504,MATCH(C1265,'Active Clients'!$A$5:$A$504,0)))&amp;"","ID not found"))</f>
        <v/>
      </c>
      <c r="G1265" s="16"/>
      <c r="H1265" s="16"/>
      <c r="I1265" s="16"/>
      <c r="J1265" s="16"/>
      <c r="K1265" s="16"/>
      <c r="L1265" s="18"/>
    </row>
    <row r="1266" customFormat="false" ht="15" hidden="false" customHeight="false" outlineLevel="0" collapsed="false">
      <c r="A1266" s="18"/>
      <c r="B1266" s="16"/>
      <c r="C1266" s="16"/>
      <c r="D1266" s="51" t="str">
        <f aca="false">IF(C1266="","",IFERROR(IF(LEFT(C1266,1)="L",INDEX('Leads Pipeline'!$F$5:$F$1004,MATCH(C1266,'Leads Pipeline'!$A$5:$A$1004,0)),INDEX('Active Clients'!$D$5:$D$504,MATCH(C1266,'Active Clients'!$A$5:$A$504,0)))&amp;"","ID not found"))</f>
        <v/>
      </c>
      <c r="E1266" s="51" t="str">
        <f aca="false">IF(C1266="","",IFERROR(IF(LEFT(C1266,1)="L",INDEX('Leads Pipeline'!$D$5:$D$1004,MATCH(C1266,'Leads Pipeline'!$A$5:$A$1004,0)),INDEX('Active Clients'!$B$5:$B$504,MATCH(C1266,'Active Clients'!$A$5:$A$504,0)))&amp;"","ID not found"))</f>
        <v/>
      </c>
      <c r="F1266" s="51" t="str">
        <f aca="false">IF(C1266="","",IFERROR(IF(LEFT(C1266,1)="L",INDEX('Leads Pipeline'!$E$5:$E$1004,MATCH(C1266,'Leads Pipeline'!$A$5:$A$1004,0)),INDEX('Active Clients'!$C$5:$C$504,MATCH(C1266,'Active Clients'!$A$5:$A$504,0)))&amp;"","ID not found"))</f>
        <v/>
      </c>
      <c r="G1266" s="16"/>
      <c r="H1266" s="16"/>
      <c r="I1266" s="16"/>
      <c r="J1266" s="16"/>
      <c r="K1266" s="16"/>
      <c r="L1266" s="18"/>
    </row>
    <row r="1267" customFormat="false" ht="15" hidden="false" customHeight="false" outlineLevel="0" collapsed="false">
      <c r="A1267" s="18"/>
      <c r="B1267" s="16"/>
      <c r="C1267" s="16"/>
      <c r="D1267" s="51" t="str">
        <f aca="false">IF(C1267="","",IFERROR(IF(LEFT(C1267,1)="L",INDEX('Leads Pipeline'!$F$5:$F$1004,MATCH(C1267,'Leads Pipeline'!$A$5:$A$1004,0)),INDEX('Active Clients'!$D$5:$D$504,MATCH(C1267,'Active Clients'!$A$5:$A$504,0)))&amp;"","ID not found"))</f>
        <v/>
      </c>
      <c r="E1267" s="51" t="str">
        <f aca="false">IF(C1267="","",IFERROR(IF(LEFT(C1267,1)="L",INDEX('Leads Pipeline'!$D$5:$D$1004,MATCH(C1267,'Leads Pipeline'!$A$5:$A$1004,0)),INDEX('Active Clients'!$B$5:$B$504,MATCH(C1267,'Active Clients'!$A$5:$A$504,0)))&amp;"","ID not found"))</f>
        <v/>
      </c>
      <c r="F1267" s="51" t="str">
        <f aca="false">IF(C1267="","",IFERROR(IF(LEFT(C1267,1)="L",INDEX('Leads Pipeline'!$E$5:$E$1004,MATCH(C1267,'Leads Pipeline'!$A$5:$A$1004,0)),INDEX('Active Clients'!$C$5:$C$504,MATCH(C1267,'Active Clients'!$A$5:$A$504,0)))&amp;"","ID not found"))</f>
        <v/>
      </c>
      <c r="G1267" s="16"/>
      <c r="H1267" s="16"/>
      <c r="I1267" s="16"/>
      <c r="J1267" s="16"/>
      <c r="K1267" s="16"/>
      <c r="L1267" s="18"/>
    </row>
    <row r="1268" customFormat="false" ht="15" hidden="false" customHeight="false" outlineLevel="0" collapsed="false">
      <c r="A1268" s="18"/>
      <c r="B1268" s="16"/>
      <c r="C1268" s="16"/>
      <c r="D1268" s="51" t="str">
        <f aca="false">IF(C1268="","",IFERROR(IF(LEFT(C1268,1)="L",INDEX('Leads Pipeline'!$F$5:$F$1004,MATCH(C1268,'Leads Pipeline'!$A$5:$A$1004,0)),INDEX('Active Clients'!$D$5:$D$504,MATCH(C1268,'Active Clients'!$A$5:$A$504,0)))&amp;"","ID not found"))</f>
        <v/>
      </c>
      <c r="E1268" s="51" t="str">
        <f aca="false">IF(C1268="","",IFERROR(IF(LEFT(C1268,1)="L",INDEX('Leads Pipeline'!$D$5:$D$1004,MATCH(C1268,'Leads Pipeline'!$A$5:$A$1004,0)),INDEX('Active Clients'!$B$5:$B$504,MATCH(C1268,'Active Clients'!$A$5:$A$504,0)))&amp;"","ID not found"))</f>
        <v/>
      </c>
      <c r="F1268" s="51" t="str">
        <f aca="false">IF(C1268="","",IFERROR(IF(LEFT(C1268,1)="L",INDEX('Leads Pipeline'!$E$5:$E$1004,MATCH(C1268,'Leads Pipeline'!$A$5:$A$1004,0)),INDEX('Active Clients'!$C$5:$C$504,MATCH(C1268,'Active Clients'!$A$5:$A$504,0)))&amp;"","ID not found"))</f>
        <v/>
      </c>
      <c r="G1268" s="16"/>
      <c r="H1268" s="16"/>
      <c r="I1268" s="16"/>
      <c r="J1268" s="16"/>
      <c r="K1268" s="16"/>
      <c r="L1268" s="18"/>
    </row>
    <row r="1269" customFormat="false" ht="15" hidden="false" customHeight="false" outlineLevel="0" collapsed="false">
      <c r="A1269" s="18"/>
      <c r="B1269" s="16"/>
      <c r="C1269" s="16"/>
      <c r="D1269" s="51" t="str">
        <f aca="false">IF(C1269="","",IFERROR(IF(LEFT(C1269,1)="L",INDEX('Leads Pipeline'!$F$5:$F$1004,MATCH(C1269,'Leads Pipeline'!$A$5:$A$1004,0)),INDEX('Active Clients'!$D$5:$D$504,MATCH(C1269,'Active Clients'!$A$5:$A$504,0)))&amp;"","ID not found"))</f>
        <v/>
      </c>
      <c r="E1269" s="51" t="str">
        <f aca="false">IF(C1269="","",IFERROR(IF(LEFT(C1269,1)="L",INDEX('Leads Pipeline'!$D$5:$D$1004,MATCH(C1269,'Leads Pipeline'!$A$5:$A$1004,0)),INDEX('Active Clients'!$B$5:$B$504,MATCH(C1269,'Active Clients'!$A$5:$A$504,0)))&amp;"","ID not found"))</f>
        <v/>
      </c>
      <c r="F1269" s="51" t="str">
        <f aca="false">IF(C1269="","",IFERROR(IF(LEFT(C1269,1)="L",INDEX('Leads Pipeline'!$E$5:$E$1004,MATCH(C1269,'Leads Pipeline'!$A$5:$A$1004,0)),INDEX('Active Clients'!$C$5:$C$504,MATCH(C1269,'Active Clients'!$A$5:$A$504,0)))&amp;"","ID not found"))</f>
        <v/>
      </c>
      <c r="G1269" s="16"/>
      <c r="H1269" s="16"/>
      <c r="I1269" s="16"/>
      <c r="J1269" s="16"/>
      <c r="K1269" s="16"/>
      <c r="L1269" s="18"/>
    </row>
    <row r="1270" customFormat="false" ht="15" hidden="false" customHeight="false" outlineLevel="0" collapsed="false">
      <c r="A1270" s="18"/>
      <c r="B1270" s="16"/>
      <c r="C1270" s="16"/>
      <c r="D1270" s="51" t="str">
        <f aca="false">IF(C1270="","",IFERROR(IF(LEFT(C1270,1)="L",INDEX('Leads Pipeline'!$F$5:$F$1004,MATCH(C1270,'Leads Pipeline'!$A$5:$A$1004,0)),INDEX('Active Clients'!$D$5:$D$504,MATCH(C1270,'Active Clients'!$A$5:$A$504,0)))&amp;"","ID not found"))</f>
        <v/>
      </c>
      <c r="E1270" s="51" t="str">
        <f aca="false">IF(C1270="","",IFERROR(IF(LEFT(C1270,1)="L",INDEX('Leads Pipeline'!$D$5:$D$1004,MATCH(C1270,'Leads Pipeline'!$A$5:$A$1004,0)),INDEX('Active Clients'!$B$5:$B$504,MATCH(C1270,'Active Clients'!$A$5:$A$504,0)))&amp;"","ID not found"))</f>
        <v/>
      </c>
      <c r="F1270" s="51" t="str">
        <f aca="false">IF(C1270="","",IFERROR(IF(LEFT(C1270,1)="L",INDEX('Leads Pipeline'!$E$5:$E$1004,MATCH(C1270,'Leads Pipeline'!$A$5:$A$1004,0)),INDEX('Active Clients'!$C$5:$C$504,MATCH(C1270,'Active Clients'!$A$5:$A$504,0)))&amp;"","ID not found"))</f>
        <v/>
      </c>
      <c r="G1270" s="16"/>
      <c r="H1270" s="16"/>
      <c r="I1270" s="16"/>
      <c r="J1270" s="16"/>
      <c r="K1270" s="16"/>
      <c r="L1270" s="18"/>
    </row>
    <row r="1271" customFormat="false" ht="15" hidden="false" customHeight="false" outlineLevel="0" collapsed="false">
      <c r="A1271" s="18"/>
      <c r="B1271" s="16"/>
      <c r="C1271" s="16"/>
      <c r="D1271" s="51" t="str">
        <f aca="false">IF(C1271="","",IFERROR(IF(LEFT(C1271,1)="L",INDEX('Leads Pipeline'!$F$5:$F$1004,MATCH(C1271,'Leads Pipeline'!$A$5:$A$1004,0)),INDEX('Active Clients'!$D$5:$D$504,MATCH(C1271,'Active Clients'!$A$5:$A$504,0)))&amp;"","ID not found"))</f>
        <v/>
      </c>
      <c r="E1271" s="51" t="str">
        <f aca="false">IF(C1271="","",IFERROR(IF(LEFT(C1271,1)="L",INDEX('Leads Pipeline'!$D$5:$D$1004,MATCH(C1271,'Leads Pipeline'!$A$5:$A$1004,0)),INDEX('Active Clients'!$B$5:$B$504,MATCH(C1271,'Active Clients'!$A$5:$A$504,0)))&amp;"","ID not found"))</f>
        <v/>
      </c>
      <c r="F1271" s="51" t="str">
        <f aca="false">IF(C1271="","",IFERROR(IF(LEFT(C1271,1)="L",INDEX('Leads Pipeline'!$E$5:$E$1004,MATCH(C1271,'Leads Pipeline'!$A$5:$A$1004,0)),INDEX('Active Clients'!$C$5:$C$504,MATCH(C1271,'Active Clients'!$A$5:$A$504,0)))&amp;"","ID not found"))</f>
        <v/>
      </c>
      <c r="G1271" s="16"/>
      <c r="H1271" s="16"/>
      <c r="I1271" s="16"/>
      <c r="J1271" s="16"/>
      <c r="K1271" s="16"/>
      <c r="L1271" s="18"/>
    </row>
    <row r="1272" customFormat="false" ht="15" hidden="false" customHeight="false" outlineLevel="0" collapsed="false">
      <c r="A1272" s="18"/>
      <c r="B1272" s="16"/>
      <c r="C1272" s="16"/>
      <c r="D1272" s="51" t="str">
        <f aca="false">IF(C1272="","",IFERROR(IF(LEFT(C1272,1)="L",INDEX('Leads Pipeline'!$F$5:$F$1004,MATCH(C1272,'Leads Pipeline'!$A$5:$A$1004,0)),INDEX('Active Clients'!$D$5:$D$504,MATCH(C1272,'Active Clients'!$A$5:$A$504,0)))&amp;"","ID not found"))</f>
        <v/>
      </c>
      <c r="E1272" s="51" t="str">
        <f aca="false">IF(C1272="","",IFERROR(IF(LEFT(C1272,1)="L",INDEX('Leads Pipeline'!$D$5:$D$1004,MATCH(C1272,'Leads Pipeline'!$A$5:$A$1004,0)),INDEX('Active Clients'!$B$5:$B$504,MATCH(C1272,'Active Clients'!$A$5:$A$504,0)))&amp;"","ID not found"))</f>
        <v/>
      </c>
      <c r="F1272" s="51" t="str">
        <f aca="false">IF(C1272="","",IFERROR(IF(LEFT(C1272,1)="L",INDEX('Leads Pipeline'!$E$5:$E$1004,MATCH(C1272,'Leads Pipeline'!$A$5:$A$1004,0)),INDEX('Active Clients'!$C$5:$C$504,MATCH(C1272,'Active Clients'!$A$5:$A$504,0)))&amp;"","ID not found"))</f>
        <v/>
      </c>
      <c r="G1272" s="16"/>
      <c r="H1272" s="16"/>
      <c r="I1272" s="16"/>
      <c r="J1272" s="16"/>
      <c r="K1272" s="16"/>
      <c r="L1272" s="18"/>
    </row>
    <row r="1273" customFormat="false" ht="15" hidden="false" customHeight="false" outlineLevel="0" collapsed="false">
      <c r="A1273" s="18"/>
      <c r="B1273" s="16"/>
      <c r="C1273" s="16"/>
      <c r="D1273" s="51" t="str">
        <f aca="false">IF(C1273="","",IFERROR(IF(LEFT(C1273,1)="L",INDEX('Leads Pipeline'!$F$5:$F$1004,MATCH(C1273,'Leads Pipeline'!$A$5:$A$1004,0)),INDEX('Active Clients'!$D$5:$D$504,MATCH(C1273,'Active Clients'!$A$5:$A$504,0)))&amp;"","ID not found"))</f>
        <v/>
      </c>
      <c r="E1273" s="51" t="str">
        <f aca="false">IF(C1273="","",IFERROR(IF(LEFT(C1273,1)="L",INDEX('Leads Pipeline'!$D$5:$D$1004,MATCH(C1273,'Leads Pipeline'!$A$5:$A$1004,0)),INDEX('Active Clients'!$B$5:$B$504,MATCH(C1273,'Active Clients'!$A$5:$A$504,0)))&amp;"","ID not found"))</f>
        <v/>
      </c>
      <c r="F1273" s="51" t="str">
        <f aca="false">IF(C1273="","",IFERROR(IF(LEFT(C1273,1)="L",INDEX('Leads Pipeline'!$E$5:$E$1004,MATCH(C1273,'Leads Pipeline'!$A$5:$A$1004,0)),INDEX('Active Clients'!$C$5:$C$504,MATCH(C1273,'Active Clients'!$A$5:$A$504,0)))&amp;"","ID not found"))</f>
        <v/>
      </c>
      <c r="G1273" s="16"/>
      <c r="H1273" s="16"/>
      <c r="I1273" s="16"/>
      <c r="J1273" s="16"/>
      <c r="K1273" s="16"/>
      <c r="L1273" s="18"/>
    </row>
    <row r="1274" customFormat="false" ht="15" hidden="false" customHeight="false" outlineLevel="0" collapsed="false">
      <c r="A1274" s="18"/>
      <c r="B1274" s="16"/>
      <c r="C1274" s="16"/>
      <c r="D1274" s="51" t="str">
        <f aca="false">IF(C1274="","",IFERROR(IF(LEFT(C1274,1)="L",INDEX('Leads Pipeline'!$F$5:$F$1004,MATCH(C1274,'Leads Pipeline'!$A$5:$A$1004,0)),INDEX('Active Clients'!$D$5:$D$504,MATCH(C1274,'Active Clients'!$A$5:$A$504,0)))&amp;"","ID not found"))</f>
        <v/>
      </c>
      <c r="E1274" s="51" t="str">
        <f aca="false">IF(C1274="","",IFERROR(IF(LEFT(C1274,1)="L",INDEX('Leads Pipeline'!$D$5:$D$1004,MATCH(C1274,'Leads Pipeline'!$A$5:$A$1004,0)),INDEX('Active Clients'!$B$5:$B$504,MATCH(C1274,'Active Clients'!$A$5:$A$504,0)))&amp;"","ID not found"))</f>
        <v/>
      </c>
      <c r="F1274" s="51" t="str">
        <f aca="false">IF(C1274="","",IFERROR(IF(LEFT(C1274,1)="L",INDEX('Leads Pipeline'!$E$5:$E$1004,MATCH(C1274,'Leads Pipeline'!$A$5:$A$1004,0)),INDEX('Active Clients'!$C$5:$C$504,MATCH(C1274,'Active Clients'!$A$5:$A$504,0)))&amp;"","ID not found"))</f>
        <v/>
      </c>
      <c r="G1274" s="16"/>
      <c r="H1274" s="16"/>
      <c r="I1274" s="16"/>
      <c r="J1274" s="16"/>
      <c r="K1274" s="16"/>
      <c r="L1274" s="18"/>
    </row>
    <row r="1275" customFormat="false" ht="15" hidden="false" customHeight="false" outlineLevel="0" collapsed="false">
      <c r="A1275" s="18"/>
      <c r="B1275" s="16"/>
      <c r="C1275" s="16"/>
      <c r="D1275" s="51" t="str">
        <f aca="false">IF(C1275="","",IFERROR(IF(LEFT(C1275,1)="L",INDEX('Leads Pipeline'!$F$5:$F$1004,MATCH(C1275,'Leads Pipeline'!$A$5:$A$1004,0)),INDEX('Active Clients'!$D$5:$D$504,MATCH(C1275,'Active Clients'!$A$5:$A$504,0)))&amp;"","ID not found"))</f>
        <v/>
      </c>
      <c r="E1275" s="51" t="str">
        <f aca="false">IF(C1275="","",IFERROR(IF(LEFT(C1275,1)="L",INDEX('Leads Pipeline'!$D$5:$D$1004,MATCH(C1275,'Leads Pipeline'!$A$5:$A$1004,0)),INDEX('Active Clients'!$B$5:$B$504,MATCH(C1275,'Active Clients'!$A$5:$A$504,0)))&amp;"","ID not found"))</f>
        <v/>
      </c>
      <c r="F1275" s="51" t="str">
        <f aca="false">IF(C1275="","",IFERROR(IF(LEFT(C1275,1)="L",INDEX('Leads Pipeline'!$E$5:$E$1004,MATCH(C1275,'Leads Pipeline'!$A$5:$A$1004,0)),INDEX('Active Clients'!$C$5:$C$504,MATCH(C1275,'Active Clients'!$A$5:$A$504,0)))&amp;"","ID not found"))</f>
        <v/>
      </c>
      <c r="G1275" s="16"/>
      <c r="H1275" s="16"/>
      <c r="I1275" s="16"/>
      <c r="J1275" s="16"/>
      <c r="K1275" s="16"/>
      <c r="L1275" s="18"/>
    </row>
    <row r="1276" customFormat="false" ht="15" hidden="false" customHeight="false" outlineLevel="0" collapsed="false">
      <c r="A1276" s="18"/>
      <c r="B1276" s="16"/>
      <c r="C1276" s="16"/>
      <c r="D1276" s="51" t="str">
        <f aca="false">IF(C1276="","",IFERROR(IF(LEFT(C1276,1)="L",INDEX('Leads Pipeline'!$F$5:$F$1004,MATCH(C1276,'Leads Pipeline'!$A$5:$A$1004,0)),INDEX('Active Clients'!$D$5:$D$504,MATCH(C1276,'Active Clients'!$A$5:$A$504,0)))&amp;"","ID not found"))</f>
        <v/>
      </c>
      <c r="E1276" s="51" t="str">
        <f aca="false">IF(C1276="","",IFERROR(IF(LEFT(C1276,1)="L",INDEX('Leads Pipeline'!$D$5:$D$1004,MATCH(C1276,'Leads Pipeline'!$A$5:$A$1004,0)),INDEX('Active Clients'!$B$5:$B$504,MATCH(C1276,'Active Clients'!$A$5:$A$504,0)))&amp;"","ID not found"))</f>
        <v/>
      </c>
      <c r="F1276" s="51" t="str">
        <f aca="false">IF(C1276="","",IFERROR(IF(LEFT(C1276,1)="L",INDEX('Leads Pipeline'!$E$5:$E$1004,MATCH(C1276,'Leads Pipeline'!$A$5:$A$1004,0)),INDEX('Active Clients'!$C$5:$C$504,MATCH(C1276,'Active Clients'!$A$5:$A$504,0)))&amp;"","ID not found"))</f>
        <v/>
      </c>
      <c r="G1276" s="16"/>
      <c r="H1276" s="16"/>
      <c r="I1276" s="16"/>
      <c r="J1276" s="16"/>
      <c r="K1276" s="16"/>
      <c r="L1276" s="18"/>
    </row>
    <row r="1277" customFormat="false" ht="15" hidden="false" customHeight="false" outlineLevel="0" collapsed="false">
      <c r="A1277" s="18"/>
      <c r="B1277" s="16"/>
      <c r="C1277" s="16"/>
      <c r="D1277" s="51" t="str">
        <f aca="false">IF(C1277="","",IFERROR(IF(LEFT(C1277,1)="L",INDEX('Leads Pipeline'!$F$5:$F$1004,MATCH(C1277,'Leads Pipeline'!$A$5:$A$1004,0)),INDEX('Active Clients'!$D$5:$D$504,MATCH(C1277,'Active Clients'!$A$5:$A$504,0)))&amp;"","ID not found"))</f>
        <v/>
      </c>
      <c r="E1277" s="51" t="str">
        <f aca="false">IF(C1277="","",IFERROR(IF(LEFT(C1277,1)="L",INDEX('Leads Pipeline'!$D$5:$D$1004,MATCH(C1277,'Leads Pipeline'!$A$5:$A$1004,0)),INDEX('Active Clients'!$B$5:$B$504,MATCH(C1277,'Active Clients'!$A$5:$A$504,0)))&amp;"","ID not found"))</f>
        <v/>
      </c>
      <c r="F1277" s="51" t="str">
        <f aca="false">IF(C1277="","",IFERROR(IF(LEFT(C1277,1)="L",INDEX('Leads Pipeline'!$E$5:$E$1004,MATCH(C1277,'Leads Pipeline'!$A$5:$A$1004,0)),INDEX('Active Clients'!$C$5:$C$504,MATCH(C1277,'Active Clients'!$A$5:$A$504,0)))&amp;"","ID not found"))</f>
        <v/>
      </c>
      <c r="G1277" s="16"/>
      <c r="H1277" s="16"/>
      <c r="I1277" s="16"/>
      <c r="J1277" s="16"/>
      <c r="K1277" s="16"/>
      <c r="L1277" s="18"/>
    </row>
    <row r="1278" customFormat="false" ht="15" hidden="false" customHeight="false" outlineLevel="0" collapsed="false">
      <c r="A1278" s="18"/>
      <c r="B1278" s="16"/>
      <c r="C1278" s="16"/>
      <c r="D1278" s="51" t="str">
        <f aca="false">IF(C1278="","",IFERROR(IF(LEFT(C1278,1)="L",INDEX('Leads Pipeline'!$F$5:$F$1004,MATCH(C1278,'Leads Pipeline'!$A$5:$A$1004,0)),INDEX('Active Clients'!$D$5:$D$504,MATCH(C1278,'Active Clients'!$A$5:$A$504,0)))&amp;"","ID not found"))</f>
        <v/>
      </c>
      <c r="E1278" s="51" t="str">
        <f aca="false">IF(C1278="","",IFERROR(IF(LEFT(C1278,1)="L",INDEX('Leads Pipeline'!$D$5:$D$1004,MATCH(C1278,'Leads Pipeline'!$A$5:$A$1004,0)),INDEX('Active Clients'!$B$5:$B$504,MATCH(C1278,'Active Clients'!$A$5:$A$504,0)))&amp;"","ID not found"))</f>
        <v/>
      </c>
      <c r="F1278" s="51" t="str">
        <f aca="false">IF(C1278="","",IFERROR(IF(LEFT(C1278,1)="L",INDEX('Leads Pipeline'!$E$5:$E$1004,MATCH(C1278,'Leads Pipeline'!$A$5:$A$1004,0)),INDEX('Active Clients'!$C$5:$C$504,MATCH(C1278,'Active Clients'!$A$5:$A$504,0)))&amp;"","ID not found"))</f>
        <v/>
      </c>
      <c r="G1278" s="16"/>
      <c r="H1278" s="16"/>
      <c r="I1278" s="16"/>
      <c r="J1278" s="16"/>
      <c r="K1278" s="16"/>
      <c r="L1278" s="18"/>
    </row>
    <row r="1279" customFormat="false" ht="15" hidden="false" customHeight="false" outlineLevel="0" collapsed="false">
      <c r="A1279" s="18"/>
      <c r="B1279" s="16"/>
      <c r="C1279" s="16"/>
      <c r="D1279" s="51" t="str">
        <f aca="false">IF(C1279="","",IFERROR(IF(LEFT(C1279,1)="L",INDEX('Leads Pipeline'!$F$5:$F$1004,MATCH(C1279,'Leads Pipeline'!$A$5:$A$1004,0)),INDEX('Active Clients'!$D$5:$D$504,MATCH(C1279,'Active Clients'!$A$5:$A$504,0)))&amp;"","ID not found"))</f>
        <v/>
      </c>
      <c r="E1279" s="51" t="str">
        <f aca="false">IF(C1279="","",IFERROR(IF(LEFT(C1279,1)="L",INDEX('Leads Pipeline'!$D$5:$D$1004,MATCH(C1279,'Leads Pipeline'!$A$5:$A$1004,0)),INDEX('Active Clients'!$B$5:$B$504,MATCH(C1279,'Active Clients'!$A$5:$A$504,0)))&amp;"","ID not found"))</f>
        <v/>
      </c>
      <c r="F1279" s="51" t="str">
        <f aca="false">IF(C1279="","",IFERROR(IF(LEFT(C1279,1)="L",INDEX('Leads Pipeline'!$E$5:$E$1004,MATCH(C1279,'Leads Pipeline'!$A$5:$A$1004,0)),INDEX('Active Clients'!$C$5:$C$504,MATCH(C1279,'Active Clients'!$A$5:$A$504,0)))&amp;"","ID not found"))</f>
        <v/>
      </c>
      <c r="G1279" s="16"/>
      <c r="H1279" s="16"/>
      <c r="I1279" s="16"/>
      <c r="J1279" s="16"/>
      <c r="K1279" s="16"/>
      <c r="L1279" s="18"/>
    </row>
    <row r="1280" customFormat="false" ht="15" hidden="false" customHeight="false" outlineLevel="0" collapsed="false">
      <c r="A1280" s="18"/>
      <c r="B1280" s="16"/>
      <c r="C1280" s="16"/>
      <c r="D1280" s="51" t="str">
        <f aca="false">IF(C1280="","",IFERROR(IF(LEFT(C1280,1)="L",INDEX('Leads Pipeline'!$F$5:$F$1004,MATCH(C1280,'Leads Pipeline'!$A$5:$A$1004,0)),INDEX('Active Clients'!$D$5:$D$504,MATCH(C1280,'Active Clients'!$A$5:$A$504,0)))&amp;"","ID not found"))</f>
        <v/>
      </c>
      <c r="E1280" s="51" t="str">
        <f aca="false">IF(C1280="","",IFERROR(IF(LEFT(C1280,1)="L",INDEX('Leads Pipeline'!$D$5:$D$1004,MATCH(C1280,'Leads Pipeline'!$A$5:$A$1004,0)),INDEX('Active Clients'!$B$5:$B$504,MATCH(C1280,'Active Clients'!$A$5:$A$504,0)))&amp;"","ID not found"))</f>
        <v/>
      </c>
      <c r="F1280" s="51" t="str">
        <f aca="false">IF(C1280="","",IFERROR(IF(LEFT(C1280,1)="L",INDEX('Leads Pipeline'!$E$5:$E$1004,MATCH(C1280,'Leads Pipeline'!$A$5:$A$1004,0)),INDEX('Active Clients'!$C$5:$C$504,MATCH(C1280,'Active Clients'!$A$5:$A$504,0)))&amp;"","ID not found"))</f>
        <v/>
      </c>
      <c r="G1280" s="16"/>
      <c r="H1280" s="16"/>
      <c r="I1280" s="16"/>
      <c r="J1280" s="16"/>
      <c r="K1280" s="16"/>
      <c r="L1280" s="18"/>
    </row>
    <row r="1281" customFormat="false" ht="15" hidden="false" customHeight="false" outlineLevel="0" collapsed="false">
      <c r="A1281" s="18"/>
      <c r="B1281" s="16"/>
      <c r="C1281" s="16"/>
      <c r="D1281" s="51" t="str">
        <f aca="false">IF(C1281="","",IFERROR(IF(LEFT(C1281,1)="L",INDEX('Leads Pipeline'!$F$5:$F$1004,MATCH(C1281,'Leads Pipeline'!$A$5:$A$1004,0)),INDEX('Active Clients'!$D$5:$D$504,MATCH(C1281,'Active Clients'!$A$5:$A$504,0)))&amp;"","ID not found"))</f>
        <v/>
      </c>
      <c r="E1281" s="51" t="str">
        <f aca="false">IF(C1281="","",IFERROR(IF(LEFT(C1281,1)="L",INDEX('Leads Pipeline'!$D$5:$D$1004,MATCH(C1281,'Leads Pipeline'!$A$5:$A$1004,0)),INDEX('Active Clients'!$B$5:$B$504,MATCH(C1281,'Active Clients'!$A$5:$A$504,0)))&amp;"","ID not found"))</f>
        <v/>
      </c>
      <c r="F1281" s="51" t="str">
        <f aca="false">IF(C1281="","",IFERROR(IF(LEFT(C1281,1)="L",INDEX('Leads Pipeline'!$E$5:$E$1004,MATCH(C1281,'Leads Pipeline'!$A$5:$A$1004,0)),INDEX('Active Clients'!$C$5:$C$504,MATCH(C1281,'Active Clients'!$A$5:$A$504,0)))&amp;"","ID not found"))</f>
        <v/>
      </c>
      <c r="G1281" s="16"/>
      <c r="H1281" s="16"/>
      <c r="I1281" s="16"/>
      <c r="J1281" s="16"/>
      <c r="K1281" s="16"/>
      <c r="L1281" s="18"/>
    </row>
    <row r="1282" customFormat="false" ht="15" hidden="false" customHeight="false" outlineLevel="0" collapsed="false">
      <c r="A1282" s="18"/>
      <c r="B1282" s="16"/>
      <c r="C1282" s="16"/>
      <c r="D1282" s="51" t="str">
        <f aca="false">IF(C1282="","",IFERROR(IF(LEFT(C1282,1)="L",INDEX('Leads Pipeline'!$F$5:$F$1004,MATCH(C1282,'Leads Pipeline'!$A$5:$A$1004,0)),INDEX('Active Clients'!$D$5:$D$504,MATCH(C1282,'Active Clients'!$A$5:$A$504,0)))&amp;"","ID not found"))</f>
        <v/>
      </c>
      <c r="E1282" s="51" t="str">
        <f aca="false">IF(C1282="","",IFERROR(IF(LEFT(C1282,1)="L",INDEX('Leads Pipeline'!$D$5:$D$1004,MATCH(C1282,'Leads Pipeline'!$A$5:$A$1004,0)),INDEX('Active Clients'!$B$5:$B$504,MATCH(C1282,'Active Clients'!$A$5:$A$504,0)))&amp;"","ID not found"))</f>
        <v/>
      </c>
      <c r="F1282" s="51" t="str">
        <f aca="false">IF(C1282="","",IFERROR(IF(LEFT(C1282,1)="L",INDEX('Leads Pipeline'!$E$5:$E$1004,MATCH(C1282,'Leads Pipeline'!$A$5:$A$1004,0)),INDEX('Active Clients'!$C$5:$C$504,MATCH(C1282,'Active Clients'!$A$5:$A$504,0)))&amp;"","ID not found"))</f>
        <v/>
      </c>
      <c r="G1282" s="16"/>
      <c r="H1282" s="16"/>
      <c r="I1282" s="16"/>
      <c r="J1282" s="16"/>
      <c r="K1282" s="16"/>
      <c r="L1282" s="18"/>
    </row>
    <row r="1283" customFormat="false" ht="15" hidden="false" customHeight="false" outlineLevel="0" collapsed="false">
      <c r="A1283" s="18"/>
      <c r="B1283" s="16"/>
      <c r="C1283" s="16"/>
      <c r="D1283" s="51" t="str">
        <f aca="false">IF(C1283="","",IFERROR(IF(LEFT(C1283,1)="L",INDEX('Leads Pipeline'!$F$5:$F$1004,MATCH(C1283,'Leads Pipeline'!$A$5:$A$1004,0)),INDEX('Active Clients'!$D$5:$D$504,MATCH(C1283,'Active Clients'!$A$5:$A$504,0)))&amp;"","ID not found"))</f>
        <v/>
      </c>
      <c r="E1283" s="51" t="str">
        <f aca="false">IF(C1283="","",IFERROR(IF(LEFT(C1283,1)="L",INDEX('Leads Pipeline'!$D$5:$D$1004,MATCH(C1283,'Leads Pipeline'!$A$5:$A$1004,0)),INDEX('Active Clients'!$B$5:$B$504,MATCH(C1283,'Active Clients'!$A$5:$A$504,0)))&amp;"","ID not found"))</f>
        <v/>
      </c>
      <c r="F1283" s="51" t="str">
        <f aca="false">IF(C1283="","",IFERROR(IF(LEFT(C1283,1)="L",INDEX('Leads Pipeline'!$E$5:$E$1004,MATCH(C1283,'Leads Pipeline'!$A$5:$A$1004,0)),INDEX('Active Clients'!$C$5:$C$504,MATCH(C1283,'Active Clients'!$A$5:$A$504,0)))&amp;"","ID not found"))</f>
        <v/>
      </c>
      <c r="G1283" s="16"/>
      <c r="H1283" s="16"/>
      <c r="I1283" s="16"/>
      <c r="J1283" s="16"/>
      <c r="K1283" s="16"/>
      <c r="L1283" s="18"/>
    </row>
    <row r="1284" customFormat="false" ht="15" hidden="false" customHeight="false" outlineLevel="0" collapsed="false">
      <c r="A1284" s="18"/>
      <c r="B1284" s="16"/>
      <c r="C1284" s="16"/>
      <c r="D1284" s="51" t="str">
        <f aca="false">IF(C1284="","",IFERROR(IF(LEFT(C1284,1)="L",INDEX('Leads Pipeline'!$F$5:$F$1004,MATCH(C1284,'Leads Pipeline'!$A$5:$A$1004,0)),INDEX('Active Clients'!$D$5:$D$504,MATCH(C1284,'Active Clients'!$A$5:$A$504,0)))&amp;"","ID not found"))</f>
        <v/>
      </c>
      <c r="E1284" s="51" t="str">
        <f aca="false">IF(C1284="","",IFERROR(IF(LEFT(C1284,1)="L",INDEX('Leads Pipeline'!$D$5:$D$1004,MATCH(C1284,'Leads Pipeline'!$A$5:$A$1004,0)),INDEX('Active Clients'!$B$5:$B$504,MATCH(C1284,'Active Clients'!$A$5:$A$504,0)))&amp;"","ID not found"))</f>
        <v/>
      </c>
      <c r="F1284" s="51" t="str">
        <f aca="false">IF(C1284="","",IFERROR(IF(LEFT(C1284,1)="L",INDEX('Leads Pipeline'!$E$5:$E$1004,MATCH(C1284,'Leads Pipeline'!$A$5:$A$1004,0)),INDEX('Active Clients'!$C$5:$C$504,MATCH(C1284,'Active Clients'!$A$5:$A$504,0)))&amp;"","ID not found"))</f>
        <v/>
      </c>
      <c r="G1284" s="16"/>
      <c r="H1284" s="16"/>
      <c r="I1284" s="16"/>
      <c r="J1284" s="16"/>
      <c r="K1284" s="16"/>
      <c r="L1284" s="18"/>
    </row>
    <row r="1285" customFormat="false" ht="15" hidden="false" customHeight="false" outlineLevel="0" collapsed="false">
      <c r="A1285" s="18"/>
      <c r="B1285" s="16"/>
      <c r="C1285" s="16"/>
      <c r="D1285" s="51" t="str">
        <f aca="false">IF(C1285="","",IFERROR(IF(LEFT(C1285,1)="L",INDEX('Leads Pipeline'!$F$5:$F$1004,MATCH(C1285,'Leads Pipeline'!$A$5:$A$1004,0)),INDEX('Active Clients'!$D$5:$D$504,MATCH(C1285,'Active Clients'!$A$5:$A$504,0)))&amp;"","ID not found"))</f>
        <v/>
      </c>
      <c r="E1285" s="51" t="str">
        <f aca="false">IF(C1285="","",IFERROR(IF(LEFT(C1285,1)="L",INDEX('Leads Pipeline'!$D$5:$D$1004,MATCH(C1285,'Leads Pipeline'!$A$5:$A$1004,0)),INDEX('Active Clients'!$B$5:$B$504,MATCH(C1285,'Active Clients'!$A$5:$A$504,0)))&amp;"","ID not found"))</f>
        <v/>
      </c>
      <c r="F1285" s="51" t="str">
        <f aca="false">IF(C1285="","",IFERROR(IF(LEFT(C1285,1)="L",INDEX('Leads Pipeline'!$E$5:$E$1004,MATCH(C1285,'Leads Pipeline'!$A$5:$A$1004,0)),INDEX('Active Clients'!$C$5:$C$504,MATCH(C1285,'Active Clients'!$A$5:$A$504,0)))&amp;"","ID not found"))</f>
        <v/>
      </c>
      <c r="G1285" s="16"/>
      <c r="H1285" s="16"/>
      <c r="I1285" s="16"/>
      <c r="J1285" s="16"/>
      <c r="K1285" s="16"/>
      <c r="L1285" s="18"/>
    </row>
    <row r="1286" customFormat="false" ht="15" hidden="false" customHeight="false" outlineLevel="0" collapsed="false">
      <c r="A1286" s="18"/>
      <c r="B1286" s="16"/>
      <c r="C1286" s="16"/>
      <c r="D1286" s="51" t="str">
        <f aca="false">IF(C1286="","",IFERROR(IF(LEFT(C1286,1)="L",INDEX('Leads Pipeline'!$F$5:$F$1004,MATCH(C1286,'Leads Pipeline'!$A$5:$A$1004,0)),INDEX('Active Clients'!$D$5:$D$504,MATCH(C1286,'Active Clients'!$A$5:$A$504,0)))&amp;"","ID not found"))</f>
        <v/>
      </c>
      <c r="E1286" s="51" t="str">
        <f aca="false">IF(C1286="","",IFERROR(IF(LEFT(C1286,1)="L",INDEX('Leads Pipeline'!$D$5:$D$1004,MATCH(C1286,'Leads Pipeline'!$A$5:$A$1004,0)),INDEX('Active Clients'!$B$5:$B$504,MATCH(C1286,'Active Clients'!$A$5:$A$504,0)))&amp;"","ID not found"))</f>
        <v/>
      </c>
      <c r="F1286" s="51" t="str">
        <f aca="false">IF(C1286="","",IFERROR(IF(LEFT(C1286,1)="L",INDEX('Leads Pipeline'!$E$5:$E$1004,MATCH(C1286,'Leads Pipeline'!$A$5:$A$1004,0)),INDEX('Active Clients'!$C$5:$C$504,MATCH(C1286,'Active Clients'!$A$5:$A$504,0)))&amp;"","ID not found"))</f>
        <v/>
      </c>
      <c r="G1286" s="16"/>
      <c r="H1286" s="16"/>
      <c r="I1286" s="16"/>
      <c r="J1286" s="16"/>
      <c r="K1286" s="16"/>
      <c r="L1286" s="18"/>
    </row>
    <row r="1287" customFormat="false" ht="15" hidden="false" customHeight="false" outlineLevel="0" collapsed="false">
      <c r="A1287" s="18"/>
      <c r="B1287" s="16"/>
      <c r="C1287" s="16"/>
      <c r="D1287" s="51" t="str">
        <f aca="false">IF(C1287="","",IFERROR(IF(LEFT(C1287,1)="L",INDEX('Leads Pipeline'!$F$5:$F$1004,MATCH(C1287,'Leads Pipeline'!$A$5:$A$1004,0)),INDEX('Active Clients'!$D$5:$D$504,MATCH(C1287,'Active Clients'!$A$5:$A$504,0)))&amp;"","ID not found"))</f>
        <v/>
      </c>
      <c r="E1287" s="51" t="str">
        <f aca="false">IF(C1287="","",IFERROR(IF(LEFT(C1287,1)="L",INDEX('Leads Pipeline'!$D$5:$D$1004,MATCH(C1287,'Leads Pipeline'!$A$5:$A$1004,0)),INDEX('Active Clients'!$B$5:$B$504,MATCH(C1287,'Active Clients'!$A$5:$A$504,0)))&amp;"","ID not found"))</f>
        <v/>
      </c>
      <c r="F1287" s="51" t="str">
        <f aca="false">IF(C1287="","",IFERROR(IF(LEFT(C1287,1)="L",INDEX('Leads Pipeline'!$E$5:$E$1004,MATCH(C1287,'Leads Pipeline'!$A$5:$A$1004,0)),INDEX('Active Clients'!$C$5:$C$504,MATCH(C1287,'Active Clients'!$A$5:$A$504,0)))&amp;"","ID not found"))</f>
        <v/>
      </c>
      <c r="G1287" s="16"/>
      <c r="H1287" s="16"/>
      <c r="I1287" s="16"/>
      <c r="J1287" s="16"/>
      <c r="K1287" s="16"/>
      <c r="L1287" s="18"/>
    </row>
    <row r="1288" customFormat="false" ht="15" hidden="false" customHeight="false" outlineLevel="0" collapsed="false">
      <c r="A1288" s="18"/>
      <c r="B1288" s="16"/>
      <c r="C1288" s="16"/>
      <c r="D1288" s="51" t="str">
        <f aca="false">IF(C1288="","",IFERROR(IF(LEFT(C1288,1)="L",INDEX('Leads Pipeline'!$F$5:$F$1004,MATCH(C1288,'Leads Pipeline'!$A$5:$A$1004,0)),INDEX('Active Clients'!$D$5:$D$504,MATCH(C1288,'Active Clients'!$A$5:$A$504,0)))&amp;"","ID not found"))</f>
        <v/>
      </c>
      <c r="E1288" s="51" t="str">
        <f aca="false">IF(C1288="","",IFERROR(IF(LEFT(C1288,1)="L",INDEX('Leads Pipeline'!$D$5:$D$1004,MATCH(C1288,'Leads Pipeline'!$A$5:$A$1004,0)),INDEX('Active Clients'!$B$5:$B$504,MATCH(C1288,'Active Clients'!$A$5:$A$504,0)))&amp;"","ID not found"))</f>
        <v/>
      </c>
      <c r="F1288" s="51" t="str">
        <f aca="false">IF(C1288="","",IFERROR(IF(LEFT(C1288,1)="L",INDEX('Leads Pipeline'!$E$5:$E$1004,MATCH(C1288,'Leads Pipeline'!$A$5:$A$1004,0)),INDEX('Active Clients'!$C$5:$C$504,MATCH(C1288,'Active Clients'!$A$5:$A$504,0)))&amp;"","ID not found"))</f>
        <v/>
      </c>
      <c r="G1288" s="16"/>
      <c r="H1288" s="16"/>
      <c r="I1288" s="16"/>
      <c r="J1288" s="16"/>
      <c r="K1288" s="16"/>
      <c r="L1288" s="18"/>
    </row>
    <row r="1289" customFormat="false" ht="15" hidden="false" customHeight="false" outlineLevel="0" collapsed="false">
      <c r="A1289" s="18"/>
      <c r="B1289" s="16"/>
      <c r="C1289" s="16"/>
      <c r="D1289" s="51" t="str">
        <f aca="false">IF(C1289="","",IFERROR(IF(LEFT(C1289,1)="L",INDEX('Leads Pipeline'!$F$5:$F$1004,MATCH(C1289,'Leads Pipeline'!$A$5:$A$1004,0)),INDEX('Active Clients'!$D$5:$D$504,MATCH(C1289,'Active Clients'!$A$5:$A$504,0)))&amp;"","ID not found"))</f>
        <v/>
      </c>
      <c r="E1289" s="51" t="str">
        <f aca="false">IF(C1289="","",IFERROR(IF(LEFT(C1289,1)="L",INDEX('Leads Pipeline'!$D$5:$D$1004,MATCH(C1289,'Leads Pipeline'!$A$5:$A$1004,0)),INDEX('Active Clients'!$B$5:$B$504,MATCH(C1289,'Active Clients'!$A$5:$A$504,0)))&amp;"","ID not found"))</f>
        <v/>
      </c>
      <c r="F1289" s="51" t="str">
        <f aca="false">IF(C1289="","",IFERROR(IF(LEFT(C1289,1)="L",INDEX('Leads Pipeline'!$E$5:$E$1004,MATCH(C1289,'Leads Pipeline'!$A$5:$A$1004,0)),INDEX('Active Clients'!$C$5:$C$504,MATCH(C1289,'Active Clients'!$A$5:$A$504,0)))&amp;"","ID not found"))</f>
        <v/>
      </c>
      <c r="G1289" s="16"/>
      <c r="H1289" s="16"/>
      <c r="I1289" s="16"/>
      <c r="J1289" s="16"/>
      <c r="K1289" s="16"/>
      <c r="L1289" s="18"/>
    </row>
    <row r="1290" customFormat="false" ht="15" hidden="false" customHeight="false" outlineLevel="0" collapsed="false">
      <c r="A1290" s="18"/>
      <c r="B1290" s="16"/>
      <c r="C1290" s="16"/>
      <c r="D1290" s="51" t="str">
        <f aca="false">IF(C1290="","",IFERROR(IF(LEFT(C1290,1)="L",INDEX('Leads Pipeline'!$F$5:$F$1004,MATCH(C1290,'Leads Pipeline'!$A$5:$A$1004,0)),INDEX('Active Clients'!$D$5:$D$504,MATCH(C1290,'Active Clients'!$A$5:$A$504,0)))&amp;"","ID not found"))</f>
        <v/>
      </c>
      <c r="E1290" s="51" t="str">
        <f aca="false">IF(C1290="","",IFERROR(IF(LEFT(C1290,1)="L",INDEX('Leads Pipeline'!$D$5:$D$1004,MATCH(C1290,'Leads Pipeline'!$A$5:$A$1004,0)),INDEX('Active Clients'!$B$5:$B$504,MATCH(C1290,'Active Clients'!$A$5:$A$504,0)))&amp;"","ID not found"))</f>
        <v/>
      </c>
      <c r="F1290" s="51" t="str">
        <f aca="false">IF(C1290="","",IFERROR(IF(LEFT(C1290,1)="L",INDEX('Leads Pipeline'!$E$5:$E$1004,MATCH(C1290,'Leads Pipeline'!$A$5:$A$1004,0)),INDEX('Active Clients'!$C$5:$C$504,MATCH(C1290,'Active Clients'!$A$5:$A$504,0)))&amp;"","ID not found"))</f>
        <v/>
      </c>
      <c r="G1290" s="16"/>
      <c r="H1290" s="16"/>
      <c r="I1290" s="16"/>
      <c r="J1290" s="16"/>
      <c r="K1290" s="16"/>
      <c r="L1290" s="18"/>
    </row>
    <row r="1291" customFormat="false" ht="15" hidden="false" customHeight="false" outlineLevel="0" collapsed="false">
      <c r="A1291" s="18"/>
      <c r="B1291" s="16"/>
      <c r="C1291" s="16"/>
      <c r="D1291" s="51" t="str">
        <f aca="false">IF(C1291="","",IFERROR(IF(LEFT(C1291,1)="L",INDEX('Leads Pipeline'!$F$5:$F$1004,MATCH(C1291,'Leads Pipeline'!$A$5:$A$1004,0)),INDEX('Active Clients'!$D$5:$D$504,MATCH(C1291,'Active Clients'!$A$5:$A$504,0)))&amp;"","ID not found"))</f>
        <v/>
      </c>
      <c r="E1291" s="51" t="str">
        <f aca="false">IF(C1291="","",IFERROR(IF(LEFT(C1291,1)="L",INDEX('Leads Pipeline'!$D$5:$D$1004,MATCH(C1291,'Leads Pipeline'!$A$5:$A$1004,0)),INDEX('Active Clients'!$B$5:$B$504,MATCH(C1291,'Active Clients'!$A$5:$A$504,0)))&amp;"","ID not found"))</f>
        <v/>
      </c>
      <c r="F1291" s="51" t="str">
        <f aca="false">IF(C1291="","",IFERROR(IF(LEFT(C1291,1)="L",INDEX('Leads Pipeline'!$E$5:$E$1004,MATCH(C1291,'Leads Pipeline'!$A$5:$A$1004,0)),INDEX('Active Clients'!$C$5:$C$504,MATCH(C1291,'Active Clients'!$A$5:$A$504,0)))&amp;"","ID not found"))</f>
        <v/>
      </c>
      <c r="G1291" s="16"/>
      <c r="H1291" s="16"/>
      <c r="I1291" s="16"/>
      <c r="J1291" s="16"/>
      <c r="K1291" s="16"/>
      <c r="L1291" s="18"/>
    </row>
    <row r="1292" customFormat="false" ht="15" hidden="false" customHeight="false" outlineLevel="0" collapsed="false">
      <c r="A1292" s="18"/>
      <c r="B1292" s="16"/>
      <c r="C1292" s="16"/>
      <c r="D1292" s="51" t="str">
        <f aca="false">IF(C1292="","",IFERROR(IF(LEFT(C1292,1)="L",INDEX('Leads Pipeline'!$F$5:$F$1004,MATCH(C1292,'Leads Pipeline'!$A$5:$A$1004,0)),INDEX('Active Clients'!$D$5:$D$504,MATCH(C1292,'Active Clients'!$A$5:$A$504,0)))&amp;"","ID not found"))</f>
        <v/>
      </c>
      <c r="E1292" s="51" t="str">
        <f aca="false">IF(C1292="","",IFERROR(IF(LEFT(C1292,1)="L",INDEX('Leads Pipeline'!$D$5:$D$1004,MATCH(C1292,'Leads Pipeline'!$A$5:$A$1004,0)),INDEX('Active Clients'!$B$5:$B$504,MATCH(C1292,'Active Clients'!$A$5:$A$504,0)))&amp;"","ID not found"))</f>
        <v/>
      </c>
      <c r="F1292" s="51" t="str">
        <f aca="false">IF(C1292="","",IFERROR(IF(LEFT(C1292,1)="L",INDEX('Leads Pipeline'!$E$5:$E$1004,MATCH(C1292,'Leads Pipeline'!$A$5:$A$1004,0)),INDEX('Active Clients'!$C$5:$C$504,MATCH(C1292,'Active Clients'!$A$5:$A$504,0)))&amp;"","ID not found"))</f>
        <v/>
      </c>
      <c r="G1292" s="16"/>
      <c r="H1292" s="16"/>
      <c r="I1292" s="16"/>
      <c r="J1292" s="16"/>
      <c r="K1292" s="16"/>
      <c r="L1292" s="18"/>
    </row>
    <row r="1293" customFormat="false" ht="15" hidden="false" customHeight="false" outlineLevel="0" collapsed="false">
      <c r="A1293" s="18"/>
      <c r="B1293" s="16"/>
      <c r="C1293" s="16"/>
      <c r="D1293" s="51" t="str">
        <f aca="false">IF(C1293="","",IFERROR(IF(LEFT(C1293,1)="L",INDEX('Leads Pipeline'!$F$5:$F$1004,MATCH(C1293,'Leads Pipeline'!$A$5:$A$1004,0)),INDEX('Active Clients'!$D$5:$D$504,MATCH(C1293,'Active Clients'!$A$5:$A$504,0)))&amp;"","ID not found"))</f>
        <v/>
      </c>
      <c r="E1293" s="51" t="str">
        <f aca="false">IF(C1293="","",IFERROR(IF(LEFT(C1293,1)="L",INDEX('Leads Pipeline'!$D$5:$D$1004,MATCH(C1293,'Leads Pipeline'!$A$5:$A$1004,0)),INDEX('Active Clients'!$B$5:$B$504,MATCH(C1293,'Active Clients'!$A$5:$A$504,0)))&amp;"","ID not found"))</f>
        <v/>
      </c>
      <c r="F1293" s="51" t="str">
        <f aca="false">IF(C1293="","",IFERROR(IF(LEFT(C1293,1)="L",INDEX('Leads Pipeline'!$E$5:$E$1004,MATCH(C1293,'Leads Pipeline'!$A$5:$A$1004,0)),INDEX('Active Clients'!$C$5:$C$504,MATCH(C1293,'Active Clients'!$A$5:$A$504,0)))&amp;"","ID not found"))</f>
        <v/>
      </c>
      <c r="G1293" s="16"/>
      <c r="H1293" s="16"/>
      <c r="I1293" s="16"/>
      <c r="J1293" s="16"/>
      <c r="K1293" s="16"/>
      <c r="L1293" s="18"/>
    </row>
    <row r="1294" customFormat="false" ht="15" hidden="false" customHeight="false" outlineLevel="0" collapsed="false">
      <c r="A1294" s="18"/>
      <c r="B1294" s="16"/>
      <c r="C1294" s="16"/>
      <c r="D1294" s="51" t="str">
        <f aca="false">IF(C1294="","",IFERROR(IF(LEFT(C1294,1)="L",INDEX('Leads Pipeline'!$F$5:$F$1004,MATCH(C1294,'Leads Pipeline'!$A$5:$A$1004,0)),INDEX('Active Clients'!$D$5:$D$504,MATCH(C1294,'Active Clients'!$A$5:$A$504,0)))&amp;"","ID not found"))</f>
        <v/>
      </c>
      <c r="E1294" s="51" t="str">
        <f aca="false">IF(C1294="","",IFERROR(IF(LEFT(C1294,1)="L",INDEX('Leads Pipeline'!$D$5:$D$1004,MATCH(C1294,'Leads Pipeline'!$A$5:$A$1004,0)),INDEX('Active Clients'!$B$5:$B$504,MATCH(C1294,'Active Clients'!$A$5:$A$504,0)))&amp;"","ID not found"))</f>
        <v/>
      </c>
      <c r="F1294" s="51" t="str">
        <f aca="false">IF(C1294="","",IFERROR(IF(LEFT(C1294,1)="L",INDEX('Leads Pipeline'!$E$5:$E$1004,MATCH(C1294,'Leads Pipeline'!$A$5:$A$1004,0)),INDEX('Active Clients'!$C$5:$C$504,MATCH(C1294,'Active Clients'!$A$5:$A$504,0)))&amp;"","ID not found"))</f>
        <v/>
      </c>
      <c r="G1294" s="16"/>
      <c r="H1294" s="16"/>
      <c r="I1294" s="16"/>
      <c r="J1294" s="16"/>
      <c r="K1294" s="16"/>
      <c r="L1294" s="18"/>
    </row>
    <row r="1295" customFormat="false" ht="15" hidden="false" customHeight="false" outlineLevel="0" collapsed="false">
      <c r="A1295" s="18"/>
      <c r="B1295" s="16"/>
      <c r="C1295" s="16"/>
      <c r="D1295" s="51" t="str">
        <f aca="false">IF(C1295="","",IFERROR(IF(LEFT(C1295,1)="L",INDEX('Leads Pipeline'!$F$5:$F$1004,MATCH(C1295,'Leads Pipeline'!$A$5:$A$1004,0)),INDEX('Active Clients'!$D$5:$D$504,MATCH(C1295,'Active Clients'!$A$5:$A$504,0)))&amp;"","ID not found"))</f>
        <v/>
      </c>
      <c r="E1295" s="51" t="str">
        <f aca="false">IF(C1295="","",IFERROR(IF(LEFT(C1295,1)="L",INDEX('Leads Pipeline'!$D$5:$D$1004,MATCH(C1295,'Leads Pipeline'!$A$5:$A$1004,0)),INDEX('Active Clients'!$B$5:$B$504,MATCH(C1295,'Active Clients'!$A$5:$A$504,0)))&amp;"","ID not found"))</f>
        <v/>
      </c>
      <c r="F1295" s="51" t="str">
        <f aca="false">IF(C1295="","",IFERROR(IF(LEFT(C1295,1)="L",INDEX('Leads Pipeline'!$E$5:$E$1004,MATCH(C1295,'Leads Pipeline'!$A$5:$A$1004,0)),INDEX('Active Clients'!$C$5:$C$504,MATCH(C1295,'Active Clients'!$A$5:$A$504,0)))&amp;"","ID not found"))</f>
        <v/>
      </c>
      <c r="G1295" s="16"/>
      <c r="H1295" s="16"/>
      <c r="I1295" s="16"/>
      <c r="J1295" s="16"/>
      <c r="K1295" s="16"/>
      <c r="L1295" s="18"/>
    </row>
    <row r="1296" customFormat="false" ht="15" hidden="false" customHeight="false" outlineLevel="0" collapsed="false">
      <c r="A1296" s="18"/>
      <c r="B1296" s="16"/>
      <c r="C1296" s="16"/>
      <c r="D1296" s="51" t="str">
        <f aca="false">IF(C1296="","",IFERROR(IF(LEFT(C1296,1)="L",INDEX('Leads Pipeline'!$F$5:$F$1004,MATCH(C1296,'Leads Pipeline'!$A$5:$A$1004,0)),INDEX('Active Clients'!$D$5:$D$504,MATCH(C1296,'Active Clients'!$A$5:$A$504,0)))&amp;"","ID not found"))</f>
        <v/>
      </c>
      <c r="E1296" s="51" t="str">
        <f aca="false">IF(C1296="","",IFERROR(IF(LEFT(C1296,1)="L",INDEX('Leads Pipeline'!$D$5:$D$1004,MATCH(C1296,'Leads Pipeline'!$A$5:$A$1004,0)),INDEX('Active Clients'!$B$5:$B$504,MATCH(C1296,'Active Clients'!$A$5:$A$504,0)))&amp;"","ID not found"))</f>
        <v/>
      </c>
      <c r="F1296" s="51" t="str">
        <f aca="false">IF(C1296="","",IFERROR(IF(LEFT(C1296,1)="L",INDEX('Leads Pipeline'!$E$5:$E$1004,MATCH(C1296,'Leads Pipeline'!$A$5:$A$1004,0)),INDEX('Active Clients'!$C$5:$C$504,MATCH(C1296,'Active Clients'!$A$5:$A$504,0)))&amp;"","ID not found"))</f>
        <v/>
      </c>
      <c r="G1296" s="16"/>
      <c r="H1296" s="16"/>
      <c r="I1296" s="16"/>
      <c r="J1296" s="16"/>
      <c r="K1296" s="16"/>
      <c r="L1296" s="18"/>
    </row>
    <row r="1297" customFormat="false" ht="15" hidden="false" customHeight="false" outlineLevel="0" collapsed="false">
      <c r="A1297" s="18"/>
      <c r="B1297" s="16"/>
      <c r="C1297" s="16"/>
      <c r="D1297" s="51" t="str">
        <f aca="false">IF(C1297="","",IFERROR(IF(LEFT(C1297,1)="L",INDEX('Leads Pipeline'!$F$5:$F$1004,MATCH(C1297,'Leads Pipeline'!$A$5:$A$1004,0)),INDEX('Active Clients'!$D$5:$D$504,MATCH(C1297,'Active Clients'!$A$5:$A$504,0)))&amp;"","ID not found"))</f>
        <v/>
      </c>
      <c r="E1297" s="51" t="str">
        <f aca="false">IF(C1297="","",IFERROR(IF(LEFT(C1297,1)="L",INDEX('Leads Pipeline'!$D$5:$D$1004,MATCH(C1297,'Leads Pipeline'!$A$5:$A$1004,0)),INDEX('Active Clients'!$B$5:$B$504,MATCH(C1297,'Active Clients'!$A$5:$A$504,0)))&amp;"","ID not found"))</f>
        <v/>
      </c>
      <c r="F1297" s="51" t="str">
        <f aca="false">IF(C1297="","",IFERROR(IF(LEFT(C1297,1)="L",INDEX('Leads Pipeline'!$E$5:$E$1004,MATCH(C1297,'Leads Pipeline'!$A$5:$A$1004,0)),INDEX('Active Clients'!$C$5:$C$504,MATCH(C1297,'Active Clients'!$A$5:$A$504,0)))&amp;"","ID not found"))</f>
        <v/>
      </c>
      <c r="G1297" s="16"/>
      <c r="H1297" s="16"/>
      <c r="I1297" s="16"/>
      <c r="J1297" s="16"/>
      <c r="K1297" s="16"/>
      <c r="L1297" s="18"/>
    </row>
    <row r="1298" customFormat="false" ht="15" hidden="false" customHeight="false" outlineLevel="0" collapsed="false">
      <c r="A1298" s="18"/>
      <c r="B1298" s="16"/>
      <c r="C1298" s="16"/>
      <c r="D1298" s="51" t="str">
        <f aca="false">IF(C1298="","",IFERROR(IF(LEFT(C1298,1)="L",INDEX('Leads Pipeline'!$F$5:$F$1004,MATCH(C1298,'Leads Pipeline'!$A$5:$A$1004,0)),INDEX('Active Clients'!$D$5:$D$504,MATCH(C1298,'Active Clients'!$A$5:$A$504,0)))&amp;"","ID not found"))</f>
        <v/>
      </c>
      <c r="E1298" s="51" t="str">
        <f aca="false">IF(C1298="","",IFERROR(IF(LEFT(C1298,1)="L",INDEX('Leads Pipeline'!$D$5:$D$1004,MATCH(C1298,'Leads Pipeline'!$A$5:$A$1004,0)),INDEX('Active Clients'!$B$5:$B$504,MATCH(C1298,'Active Clients'!$A$5:$A$504,0)))&amp;"","ID not found"))</f>
        <v/>
      </c>
      <c r="F1298" s="51" t="str">
        <f aca="false">IF(C1298="","",IFERROR(IF(LEFT(C1298,1)="L",INDEX('Leads Pipeline'!$E$5:$E$1004,MATCH(C1298,'Leads Pipeline'!$A$5:$A$1004,0)),INDEX('Active Clients'!$C$5:$C$504,MATCH(C1298,'Active Clients'!$A$5:$A$504,0)))&amp;"","ID not found"))</f>
        <v/>
      </c>
      <c r="G1298" s="16"/>
      <c r="H1298" s="16"/>
      <c r="I1298" s="16"/>
      <c r="J1298" s="16"/>
      <c r="K1298" s="16"/>
      <c r="L1298" s="18"/>
    </row>
    <row r="1299" customFormat="false" ht="15" hidden="false" customHeight="false" outlineLevel="0" collapsed="false">
      <c r="A1299" s="18"/>
      <c r="B1299" s="16"/>
      <c r="C1299" s="16"/>
      <c r="D1299" s="51" t="str">
        <f aca="false">IF(C1299="","",IFERROR(IF(LEFT(C1299,1)="L",INDEX('Leads Pipeline'!$F$5:$F$1004,MATCH(C1299,'Leads Pipeline'!$A$5:$A$1004,0)),INDEX('Active Clients'!$D$5:$D$504,MATCH(C1299,'Active Clients'!$A$5:$A$504,0)))&amp;"","ID not found"))</f>
        <v/>
      </c>
      <c r="E1299" s="51" t="str">
        <f aca="false">IF(C1299="","",IFERROR(IF(LEFT(C1299,1)="L",INDEX('Leads Pipeline'!$D$5:$D$1004,MATCH(C1299,'Leads Pipeline'!$A$5:$A$1004,0)),INDEX('Active Clients'!$B$5:$B$504,MATCH(C1299,'Active Clients'!$A$5:$A$504,0)))&amp;"","ID not found"))</f>
        <v/>
      </c>
      <c r="F1299" s="51" t="str">
        <f aca="false">IF(C1299="","",IFERROR(IF(LEFT(C1299,1)="L",INDEX('Leads Pipeline'!$E$5:$E$1004,MATCH(C1299,'Leads Pipeline'!$A$5:$A$1004,0)),INDEX('Active Clients'!$C$5:$C$504,MATCH(C1299,'Active Clients'!$A$5:$A$504,0)))&amp;"","ID not found"))</f>
        <v/>
      </c>
      <c r="G1299" s="16"/>
      <c r="H1299" s="16"/>
      <c r="I1299" s="16"/>
      <c r="J1299" s="16"/>
      <c r="K1299" s="16"/>
      <c r="L1299" s="18"/>
    </row>
    <row r="1300" customFormat="false" ht="15" hidden="false" customHeight="false" outlineLevel="0" collapsed="false">
      <c r="A1300" s="18"/>
      <c r="B1300" s="16"/>
      <c r="C1300" s="16"/>
      <c r="D1300" s="51" t="str">
        <f aca="false">IF(C1300="","",IFERROR(IF(LEFT(C1300,1)="L",INDEX('Leads Pipeline'!$F$5:$F$1004,MATCH(C1300,'Leads Pipeline'!$A$5:$A$1004,0)),INDEX('Active Clients'!$D$5:$D$504,MATCH(C1300,'Active Clients'!$A$5:$A$504,0)))&amp;"","ID not found"))</f>
        <v/>
      </c>
      <c r="E1300" s="51" t="str">
        <f aca="false">IF(C1300="","",IFERROR(IF(LEFT(C1300,1)="L",INDEX('Leads Pipeline'!$D$5:$D$1004,MATCH(C1300,'Leads Pipeline'!$A$5:$A$1004,0)),INDEX('Active Clients'!$B$5:$B$504,MATCH(C1300,'Active Clients'!$A$5:$A$504,0)))&amp;"","ID not found"))</f>
        <v/>
      </c>
      <c r="F1300" s="51" t="str">
        <f aca="false">IF(C1300="","",IFERROR(IF(LEFT(C1300,1)="L",INDEX('Leads Pipeline'!$E$5:$E$1004,MATCH(C1300,'Leads Pipeline'!$A$5:$A$1004,0)),INDEX('Active Clients'!$C$5:$C$504,MATCH(C1300,'Active Clients'!$A$5:$A$504,0)))&amp;"","ID not found"))</f>
        <v/>
      </c>
      <c r="G1300" s="16"/>
      <c r="H1300" s="16"/>
      <c r="I1300" s="16"/>
      <c r="J1300" s="16"/>
      <c r="K1300" s="16"/>
      <c r="L1300" s="18"/>
    </row>
    <row r="1301" customFormat="false" ht="15" hidden="false" customHeight="false" outlineLevel="0" collapsed="false">
      <c r="A1301" s="18"/>
      <c r="B1301" s="16"/>
      <c r="C1301" s="16"/>
      <c r="D1301" s="51" t="str">
        <f aca="false">IF(C1301="","",IFERROR(IF(LEFT(C1301,1)="L",INDEX('Leads Pipeline'!$F$5:$F$1004,MATCH(C1301,'Leads Pipeline'!$A$5:$A$1004,0)),INDEX('Active Clients'!$D$5:$D$504,MATCH(C1301,'Active Clients'!$A$5:$A$504,0)))&amp;"","ID not found"))</f>
        <v/>
      </c>
      <c r="E1301" s="51" t="str">
        <f aca="false">IF(C1301="","",IFERROR(IF(LEFT(C1301,1)="L",INDEX('Leads Pipeline'!$D$5:$D$1004,MATCH(C1301,'Leads Pipeline'!$A$5:$A$1004,0)),INDEX('Active Clients'!$B$5:$B$504,MATCH(C1301,'Active Clients'!$A$5:$A$504,0)))&amp;"","ID not found"))</f>
        <v/>
      </c>
      <c r="F1301" s="51" t="str">
        <f aca="false">IF(C1301="","",IFERROR(IF(LEFT(C1301,1)="L",INDEX('Leads Pipeline'!$E$5:$E$1004,MATCH(C1301,'Leads Pipeline'!$A$5:$A$1004,0)),INDEX('Active Clients'!$C$5:$C$504,MATCH(C1301,'Active Clients'!$A$5:$A$504,0)))&amp;"","ID not found"))</f>
        <v/>
      </c>
      <c r="G1301" s="16"/>
      <c r="H1301" s="16"/>
      <c r="I1301" s="16"/>
      <c r="J1301" s="16"/>
      <c r="K1301" s="16"/>
      <c r="L1301" s="18"/>
    </row>
    <row r="1302" customFormat="false" ht="15" hidden="false" customHeight="false" outlineLevel="0" collapsed="false">
      <c r="A1302" s="18"/>
      <c r="B1302" s="16"/>
      <c r="C1302" s="16"/>
      <c r="D1302" s="51" t="str">
        <f aca="false">IF(C1302="","",IFERROR(IF(LEFT(C1302,1)="L",INDEX('Leads Pipeline'!$F$5:$F$1004,MATCH(C1302,'Leads Pipeline'!$A$5:$A$1004,0)),INDEX('Active Clients'!$D$5:$D$504,MATCH(C1302,'Active Clients'!$A$5:$A$504,0)))&amp;"","ID not found"))</f>
        <v/>
      </c>
      <c r="E1302" s="51" t="str">
        <f aca="false">IF(C1302="","",IFERROR(IF(LEFT(C1302,1)="L",INDEX('Leads Pipeline'!$D$5:$D$1004,MATCH(C1302,'Leads Pipeline'!$A$5:$A$1004,0)),INDEX('Active Clients'!$B$5:$B$504,MATCH(C1302,'Active Clients'!$A$5:$A$504,0)))&amp;"","ID not found"))</f>
        <v/>
      </c>
      <c r="F1302" s="51" t="str">
        <f aca="false">IF(C1302="","",IFERROR(IF(LEFT(C1302,1)="L",INDEX('Leads Pipeline'!$E$5:$E$1004,MATCH(C1302,'Leads Pipeline'!$A$5:$A$1004,0)),INDEX('Active Clients'!$C$5:$C$504,MATCH(C1302,'Active Clients'!$A$5:$A$504,0)))&amp;"","ID not found"))</f>
        <v/>
      </c>
      <c r="G1302" s="16"/>
      <c r="H1302" s="16"/>
      <c r="I1302" s="16"/>
      <c r="J1302" s="16"/>
      <c r="K1302" s="16"/>
      <c r="L1302" s="18"/>
    </row>
    <row r="1303" customFormat="false" ht="15" hidden="false" customHeight="false" outlineLevel="0" collapsed="false">
      <c r="A1303" s="18"/>
      <c r="B1303" s="16"/>
      <c r="C1303" s="16"/>
      <c r="D1303" s="51" t="str">
        <f aca="false">IF(C1303="","",IFERROR(IF(LEFT(C1303,1)="L",INDEX('Leads Pipeline'!$F$5:$F$1004,MATCH(C1303,'Leads Pipeline'!$A$5:$A$1004,0)),INDEX('Active Clients'!$D$5:$D$504,MATCH(C1303,'Active Clients'!$A$5:$A$504,0)))&amp;"","ID not found"))</f>
        <v/>
      </c>
      <c r="E1303" s="51" t="str">
        <f aca="false">IF(C1303="","",IFERROR(IF(LEFT(C1303,1)="L",INDEX('Leads Pipeline'!$D$5:$D$1004,MATCH(C1303,'Leads Pipeline'!$A$5:$A$1004,0)),INDEX('Active Clients'!$B$5:$B$504,MATCH(C1303,'Active Clients'!$A$5:$A$504,0)))&amp;"","ID not found"))</f>
        <v/>
      </c>
      <c r="F1303" s="51" t="str">
        <f aca="false">IF(C1303="","",IFERROR(IF(LEFT(C1303,1)="L",INDEX('Leads Pipeline'!$E$5:$E$1004,MATCH(C1303,'Leads Pipeline'!$A$5:$A$1004,0)),INDEX('Active Clients'!$C$5:$C$504,MATCH(C1303,'Active Clients'!$A$5:$A$504,0)))&amp;"","ID not found"))</f>
        <v/>
      </c>
      <c r="G1303" s="16"/>
      <c r="H1303" s="16"/>
      <c r="I1303" s="16"/>
      <c r="J1303" s="16"/>
      <c r="K1303" s="16"/>
      <c r="L1303" s="18"/>
    </row>
    <row r="1304" customFormat="false" ht="15" hidden="false" customHeight="false" outlineLevel="0" collapsed="false">
      <c r="A1304" s="18"/>
      <c r="B1304" s="16"/>
      <c r="C1304" s="16"/>
      <c r="D1304" s="51" t="str">
        <f aca="false">IF(C1304="","",IFERROR(IF(LEFT(C1304,1)="L",INDEX('Leads Pipeline'!$F$5:$F$1004,MATCH(C1304,'Leads Pipeline'!$A$5:$A$1004,0)),INDEX('Active Clients'!$D$5:$D$504,MATCH(C1304,'Active Clients'!$A$5:$A$504,0)))&amp;"","ID not found"))</f>
        <v/>
      </c>
      <c r="E1304" s="51" t="str">
        <f aca="false">IF(C1304="","",IFERROR(IF(LEFT(C1304,1)="L",INDEX('Leads Pipeline'!$D$5:$D$1004,MATCH(C1304,'Leads Pipeline'!$A$5:$A$1004,0)),INDEX('Active Clients'!$B$5:$B$504,MATCH(C1304,'Active Clients'!$A$5:$A$504,0)))&amp;"","ID not found"))</f>
        <v/>
      </c>
      <c r="F1304" s="51" t="str">
        <f aca="false">IF(C1304="","",IFERROR(IF(LEFT(C1304,1)="L",INDEX('Leads Pipeline'!$E$5:$E$1004,MATCH(C1304,'Leads Pipeline'!$A$5:$A$1004,0)),INDEX('Active Clients'!$C$5:$C$504,MATCH(C1304,'Active Clients'!$A$5:$A$504,0)))&amp;"","ID not found"))</f>
        <v/>
      </c>
      <c r="G1304" s="16"/>
      <c r="H1304" s="16"/>
      <c r="I1304" s="16"/>
      <c r="J1304" s="16"/>
      <c r="K1304" s="16"/>
      <c r="L1304" s="18"/>
    </row>
    <row r="1305" customFormat="false" ht="15" hidden="false" customHeight="false" outlineLevel="0" collapsed="false">
      <c r="A1305" s="18"/>
      <c r="B1305" s="16"/>
      <c r="C1305" s="16"/>
      <c r="D1305" s="51" t="str">
        <f aca="false">IF(C1305="","",IFERROR(IF(LEFT(C1305,1)="L",INDEX('Leads Pipeline'!$F$5:$F$1004,MATCH(C1305,'Leads Pipeline'!$A$5:$A$1004,0)),INDEX('Active Clients'!$D$5:$D$504,MATCH(C1305,'Active Clients'!$A$5:$A$504,0)))&amp;"","ID not found"))</f>
        <v/>
      </c>
      <c r="E1305" s="51" t="str">
        <f aca="false">IF(C1305="","",IFERROR(IF(LEFT(C1305,1)="L",INDEX('Leads Pipeline'!$D$5:$D$1004,MATCH(C1305,'Leads Pipeline'!$A$5:$A$1004,0)),INDEX('Active Clients'!$B$5:$B$504,MATCH(C1305,'Active Clients'!$A$5:$A$504,0)))&amp;"","ID not found"))</f>
        <v/>
      </c>
      <c r="F1305" s="51" t="str">
        <f aca="false">IF(C1305="","",IFERROR(IF(LEFT(C1305,1)="L",INDEX('Leads Pipeline'!$E$5:$E$1004,MATCH(C1305,'Leads Pipeline'!$A$5:$A$1004,0)),INDEX('Active Clients'!$C$5:$C$504,MATCH(C1305,'Active Clients'!$A$5:$A$504,0)))&amp;"","ID not found"))</f>
        <v/>
      </c>
      <c r="G1305" s="16"/>
      <c r="H1305" s="16"/>
      <c r="I1305" s="16"/>
      <c r="J1305" s="16"/>
      <c r="K1305" s="16"/>
      <c r="L1305" s="18"/>
    </row>
    <row r="1306" customFormat="false" ht="15" hidden="false" customHeight="false" outlineLevel="0" collapsed="false">
      <c r="A1306" s="18"/>
      <c r="B1306" s="16"/>
      <c r="C1306" s="16"/>
      <c r="D1306" s="51" t="str">
        <f aca="false">IF(C1306="","",IFERROR(IF(LEFT(C1306,1)="L",INDEX('Leads Pipeline'!$F$5:$F$1004,MATCH(C1306,'Leads Pipeline'!$A$5:$A$1004,0)),INDEX('Active Clients'!$D$5:$D$504,MATCH(C1306,'Active Clients'!$A$5:$A$504,0)))&amp;"","ID not found"))</f>
        <v/>
      </c>
      <c r="E1306" s="51" t="str">
        <f aca="false">IF(C1306="","",IFERROR(IF(LEFT(C1306,1)="L",INDEX('Leads Pipeline'!$D$5:$D$1004,MATCH(C1306,'Leads Pipeline'!$A$5:$A$1004,0)),INDEX('Active Clients'!$B$5:$B$504,MATCH(C1306,'Active Clients'!$A$5:$A$504,0)))&amp;"","ID not found"))</f>
        <v/>
      </c>
      <c r="F1306" s="51" t="str">
        <f aca="false">IF(C1306="","",IFERROR(IF(LEFT(C1306,1)="L",INDEX('Leads Pipeline'!$E$5:$E$1004,MATCH(C1306,'Leads Pipeline'!$A$5:$A$1004,0)),INDEX('Active Clients'!$C$5:$C$504,MATCH(C1306,'Active Clients'!$A$5:$A$504,0)))&amp;"","ID not found"))</f>
        <v/>
      </c>
      <c r="G1306" s="16"/>
      <c r="H1306" s="16"/>
      <c r="I1306" s="16"/>
      <c r="J1306" s="16"/>
      <c r="K1306" s="16"/>
      <c r="L1306" s="18"/>
    </row>
    <row r="1307" customFormat="false" ht="15" hidden="false" customHeight="false" outlineLevel="0" collapsed="false">
      <c r="A1307" s="18"/>
      <c r="B1307" s="16"/>
      <c r="C1307" s="16"/>
      <c r="D1307" s="51" t="str">
        <f aca="false">IF(C1307="","",IFERROR(IF(LEFT(C1307,1)="L",INDEX('Leads Pipeline'!$F$5:$F$1004,MATCH(C1307,'Leads Pipeline'!$A$5:$A$1004,0)),INDEX('Active Clients'!$D$5:$D$504,MATCH(C1307,'Active Clients'!$A$5:$A$504,0)))&amp;"","ID not found"))</f>
        <v/>
      </c>
      <c r="E1307" s="51" t="str">
        <f aca="false">IF(C1307="","",IFERROR(IF(LEFT(C1307,1)="L",INDEX('Leads Pipeline'!$D$5:$D$1004,MATCH(C1307,'Leads Pipeline'!$A$5:$A$1004,0)),INDEX('Active Clients'!$B$5:$B$504,MATCH(C1307,'Active Clients'!$A$5:$A$504,0)))&amp;"","ID not found"))</f>
        <v/>
      </c>
      <c r="F1307" s="51" t="str">
        <f aca="false">IF(C1307="","",IFERROR(IF(LEFT(C1307,1)="L",INDEX('Leads Pipeline'!$E$5:$E$1004,MATCH(C1307,'Leads Pipeline'!$A$5:$A$1004,0)),INDEX('Active Clients'!$C$5:$C$504,MATCH(C1307,'Active Clients'!$A$5:$A$504,0)))&amp;"","ID not found"))</f>
        <v/>
      </c>
      <c r="G1307" s="16"/>
      <c r="H1307" s="16"/>
      <c r="I1307" s="16"/>
      <c r="J1307" s="16"/>
      <c r="K1307" s="16"/>
      <c r="L1307" s="18"/>
    </row>
    <row r="1308" customFormat="false" ht="15" hidden="false" customHeight="false" outlineLevel="0" collapsed="false">
      <c r="A1308" s="18"/>
      <c r="B1308" s="16"/>
      <c r="C1308" s="16"/>
      <c r="D1308" s="51" t="str">
        <f aca="false">IF(C1308="","",IFERROR(IF(LEFT(C1308,1)="L",INDEX('Leads Pipeline'!$F$5:$F$1004,MATCH(C1308,'Leads Pipeline'!$A$5:$A$1004,0)),INDEX('Active Clients'!$D$5:$D$504,MATCH(C1308,'Active Clients'!$A$5:$A$504,0)))&amp;"","ID not found"))</f>
        <v/>
      </c>
      <c r="E1308" s="51" t="str">
        <f aca="false">IF(C1308="","",IFERROR(IF(LEFT(C1308,1)="L",INDEX('Leads Pipeline'!$D$5:$D$1004,MATCH(C1308,'Leads Pipeline'!$A$5:$A$1004,0)),INDEX('Active Clients'!$B$5:$B$504,MATCH(C1308,'Active Clients'!$A$5:$A$504,0)))&amp;"","ID not found"))</f>
        <v/>
      </c>
      <c r="F1308" s="51" t="str">
        <f aca="false">IF(C1308="","",IFERROR(IF(LEFT(C1308,1)="L",INDEX('Leads Pipeline'!$E$5:$E$1004,MATCH(C1308,'Leads Pipeline'!$A$5:$A$1004,0)),INDEX('Active Clients'!$C$5:$C$504,MATCH(C1308,'Active Clients'!$A$5:$A$504,0)))&amp;"","ID not found"))</f>
        <v/>
      </c>
      <c r="G1308" s="16"/>
      <c r="H1308" s="16"/>
      <c r="I1308" s="16"/>
      <c r="J1308" s="16"/>
      <c r="K1308" s="16"/>
      <c r="L1308" s="18"/>
    </row>
    <row r="1309" customFormat="false" ht="15" hidden="false" customHeight="false" outlineLevel="0" collapsed="false">
      <c r="A1309" s="18"/>
      <c r="B1309" s="16"/>
      <c r="C1309" s="16"/>
      <c r="D1309" s="51" t="str">
        <f aca="false">IF(C1309="","",IFERROR(IF(LEFT(C1309,1)="L",INDEX('Leads Pipeline'!$F$5:$F$1004,MATCH(C1309,'Leads Pipeline'!$A$5:$A$1004,0)),INDEX('Active Clients'!$D$5:$D$504,MATCH(C1309,'Active Clients'!$A$5:$A$504,0)))&amp;"","ID not found"))</f>
        <v/>
      </c>
      <c r="E1309" s="51" t="str">
        <f aca="false">IF(C1309="","",IFERROR(IF(LEFT(C1309,1)="L",INDEX('Leads Pipeline'!$D$5:$D$1004,MATCH(C1309,'Leads Pipeline'!$A$5:$A$1004,0)),INDEX('Active Clients'!$B$5:$B$504,MATCH(C1309,'Active Clients'!$A$5:$A$504,0)))&amp;"","ID not found"))</f>
        <v/>
      </c>
      <c r="F1309" s="51" t="str">
        <f aca="false">IF(C1309="","",IFERROR(IF(LEFT(C1309,1)="L",INDEX('Leads Pipeline'!$E$5:$E$1004,MATCH(C1309,'Leads Pipeline'!$A$5:$A$1004,0)),INDEX('Active Clients'!$C$5:$C$504,MATCH(C1309,'Active Clients'!$A$5:$A$504,0)))&amp;"","ID not found"))</f>
        <v/>
      </c>
      <c r="G1309" s="16"/>
      <c r="H1309" s="16"/>
      <c r="I1309" s="16"/>
      <c r="J1309" s="16"/>
      <c r="K1309" s="16"/>
      <c r="L1309" s="18"/>
    </row>
    <row r="1310" customFormat="false" ht="15" hidden="false" customHeight="false" outlineLevel="0" collapsed="false">
      <c r="A1310" s="18"/>
      <c r="B1310" s="16"/>
      <c r="C1310" s="16"/>
      <c r="D1310" s="51" t="str">
        <f aca="false">IF(C1310="","",IFERROR(IF(LEFT(C1310,1)="L",INDEX('Leads Pipeline'!$F$5:$F$1004,MATCH(C1310,'Leads Pipeline'!$A$5:$A$1004,0)),INDEX('Active Clients'!$D$5:$D$504,MATCH(C1310,'Active Clients'!$A$5:$A$504,0)))&amp;"","ID not found"))</f>
        <v/>
      </c>
      <c r="E1310" s="51" t="str">
        <f aca="false">IF(C1310="","",IFERROR(IF(LEFT(C1310,1)="L",INDEX('Leads Pipeline'!$D$5:$D$1004,MATCH(C1310,'Leads Pipeline'!$A$5:$A$1004,0)),INDEX('Active Clients'!$B$5:$B$504,MATCH(C1310,'Active Clients'!$A$5:$A$504,0)))&amp;"","ID not found"))</f>
        <v/>
      </c>
      <c r="F1310" s="51" t="str">
        <f aca="false">IF(C1310="","",IFERROR(IF(LEFT(C1310,1)="L",INDEX('Leads Pipeline'!$E$5:$E$1004,MATCH(C1310,'Leads Pipeline'!$A$5:$A$1004,0)),INDEX('Active Clients'!$C$5:$C$504,MATCH(C1310,'Active Clients'!$A$5:$A$504,0)))&amp;"","ID not found"))</f>
        <v/>
      </c>
      <c r="G1310" s="16"/>
      <c r="H1310" s="16"/>
      <c r="I1310" s="16"/>
      <c r="J1310" s="16"/>
      <c r="K1310" s="16"/>
      <c r="L1310" s="18"/>
    </row>
    <row r="1311" customFormat="false" ht="15" hidden="false" customHeight="false" outlineLevel="0" collapsed="false">
      <c r="A1311" s="18"/>
      <c r="B1311" s="16"/>
      <c r="C1311" s="16"/>
      <c r="D1311" s="51" t="str">
        <f aca="false">IF(C1311="","",IFERROR(IF(LEFT(C1311,1)="L",INDEX('Leads Pipeline'!$F$5:$F$1004,MATCH(C1311,'Leads Pipeline'!$A$5:$A$1004,0)),INDEX('Active Clients'!$D$5:$D$504,MATCH(C1311,'Active Clients'!$A$5:$A$504,0)))&amp;"","ID not found"))</f>
        <v/>
      </c>
      <c r="E1311" s="51" t="str">
        <f aca="false">IF(C1311="","",IFERROR(IF(LEFT(C1311,1)="L",INDEX('Leads Pipeline'!$D$5:$D$1004,MATCH(C1311,'Leads Pipeline'!$A$5:$A$1004,0)),INDEX('Active Clients'!$B$5:$B$504,MATCH(C1311,'Active Clients'!$A$5:$A$504,0)))&amp;"","ID not found"))</f>
        <v/>
      </c>
      <c r="F1311" s="51" t="str">
        <f aca="false">IF(C1311="","",IFERROR(IF(LEFT(C1311,1)="L",INDEX('Leads Pipeline'!$E$5:$E$1004,MATCH(C1311,'Leads Pipeline'!$A$5:$A$1004,0)),INDEX('Active Clients'!$C$5:$C$504,MATCH(C1311,'Active Clients'!$A$5:$A$504,0)))&amp;"","ID not found"))</f>
        <v/>
      </c>
      <c r="G1311" s="16"/>
      <c r="H1311" s="16"/>
      <c r="I1311" s="16"/>
      <c r="J1311" s="16"/>
      <c r="K1311" s="16"/>
      <c r="L1311" s="18"/>
    </row>
    <row r="1312" customFormat="false" ht="15" hidden="false" customHeight="false" outlineLevel="0" collapsed="false">
      <c r="A1312" s="18"/>
      <c r="B1312" s="16"/>
      <c r="C1312" s="16"/>
      <c r="D1312" s="51" t="str">
        <f aca="false">IF(C1312="","",IFERROR(IF(LEFT(C1312,1)="L",INDEX('Leads Pipeline'!$F$5:$F$1004,MATCH(C1312,'Leads Pipeline'!$A$5:$A$1004,0)),INDEX('Active Clients'!$D$5:$D$504,MATCH(C1312,'Active Clients'!$A$5:$A$504,0)))&amp;"","ID not found"))</f>
        <v/>
      </c>
      <c r="E1312" s="51" t="str">
        <f aca="false">IF(C1312="","",IFERROR(IF(LEFT(C1312,1)="L",INDEX('Leads Pipeline'!$D$5:$D$1004,MATCH(C1312,'Leads Pipeline'!$A$5:$A$1004,0)),INDEX('Active Clients'!$B$5:$B$504,MATCH(C1312,'Active Clients'!$A$5:$A$504,0)))&amp;"","ID not found"))</f>
        <v/>
      </c>
      <c r="F1312" s="51" t="str">
        <f aca="false">IF(C1312="","",IFERROR(IF(LEFT(C1312,1)="L",INDEX('Leads Pipeline'!$E$5:$E$1004,MATCH(C1312,'Leads Pipeline'!$A$5:$A$1004,0)),INDEX('Active Clients'!$C$5:$C$504,MATCH(C1312,'Active Clients'!$A$5:$A$504,0)))&amp;"","ID not found"))</f>
        <v/>
      </c>
      <c r="G1312" s="16"/>
      <c r="H1312" s="16"/>
      <c r="I1312" s="16"/>
      <c r="J1312" s="16"/>
      <c r="K1312" s="16"/>
      <c r="L1312" s="18"/>
    </row>
    <row r="1313" customFormat="false" ht="15" hidden="false" customHeight="false" outlineLevel="0" collapsed="false">
      <c r="A1313" s="18"/>
      <c r="B1313" s="16"/>
      <c r="C1313" s="16"/>
      <c r="D1313" s="51" t="str">
        <f aca="false">IF(C1313="","",IFERROR(IF(LEFT(C1313,1)="L",INDEX('Leads Pipeline'!$F$5:$F$1004,MATCH(C1313,'Leads Pipeline'!$A$5:$A$1004,0)),INDEX('Active Clients'!$D$5:$D$504,MATCH(C1313,'Active Clients'!$A$5:$A$504,0)))&amp;"","ID not found"))</f>
        <v/>
      </c>
      <c r="E1313" s="51" t="str">
        <f aca="false">IF(C1313="","",IFERROR(IF(LEFT(C1313,1)="L",INDEX('Leads Pipeline'!$D$5:$D$1004,MATCH(C1313,'Leads Pipeline'!$A$5:$A$1004,0)),INDEX('Active Clients'!$B$5:$B$504,MATCH(C1313,'Active Clients'!$A$5:$A$504,0)))&amp;"","ID not found"))</f>
        <v/>
      </c>
      <c r="F1313" s="51" t="str">
        <f aca="false">IF(C1313="","",IFERROR(IF(LEFT(C1313,1)="L",INDEX('Leads Pipeline'!$E$5:$E$1004,MATCH(C1313,'Leads Pipeline'!$A$5:$A$1004,0)),INDEX('Active Clients'!$C$5:$C$504,MATCH(C1313,'Active Clients'!$A$5:$A$504,0)))&amp;"","ID not found"))</f>
        <v/>
      </c>
      <c r="G1313" s="16"/>
      <c r="H1313" s="16"/>
      <c r="I1313" s="16"/>
      <c r="J1313" s="16"/>
      <c r="K1313" s="16"/>
      <c r="L1313" s="18"/>
    </row>
    <row r="1314" customFormat="false" ht="15" hidden="false" customHeight="false" outlineLevel="0" collapsed="false">
      <c r="A1314" s="18"/>
      <c r="B1314" s="16"/>
      <c r="C1314" s="16"/>
      <c r="D1314" s="51" t="str">
        <f aca="false">IF(C1314="","",IFERROR(IF(LEFT(C1314,1)="L",INDEX('Leads Pipeline'!$F$5:$F$1004,MATCH(C1314,'Leads Pipeline'!$A$5:$A$1004,0)),INDEX('Active Clients'!$D$5:$D$504,MATCH(C1314,'Active Clients'!$A$5:$A$504,0)))&amp;"","ID not found"))</f>
        <v/>
      </c>
      <c r="E1314" s="51" t="str">
        <f aca="false">IF(C1314="","",IFERROR(IF(LEFT(C1314,1)="L",INDEX('Leads Pipeline'!$D$5:$D$1004,MATCH(C1314,'Leads Pipeline'!$A$5:$A$1004,0)),INDEX('Active Clients'!$B$5:$B$504,MATCH(C1314,'Active Clients'!$A$5:$A$504,0)))&amp;"","ID not found"))</f>
        <v/>
      </c>
      <c r="F1314" s="51" t="str">
        <f aca="false">IF(C1314="","",IFERROR(IF(LEFT(C1314,1)="L",INDEX('Leads Pipeline'!$E$5:$E$1004,MATCH(C1314,'Leads Pipeline'!$A$5:$A$1004,0)),INDEX('Active Clients'!$C$5:$C$504,MATCH(C1314,'Active Clients'!$A$5:$A$504,0)))&amp;"","ID not found"))</f>
        <v/>
      </c>
      <c r="G1314" s="16"/>
      <c r="H1314" s="16"/>
      <c r="I1314" s="16"/>
      <c r="J1314" s="16"/>
      <c r="K1314" s="16"/>
      <c r="L1314" s="18"/>
    </row>
    <row r="1315" customFormat="false" ht="15" hidden="false" customHeight="false" outlineLevel="0" collapsed="false">
      <c r="A1315" s="18"/>
      <c r="B1315" s="16"/>
      <c r="C1315" s="16"/>
      <c r="D1315" s="51" t="str">
        <f aca="false">IF(C1315="","",IFERROR(IF(LEFT(C1315,1)="L",INDEX('Leads Pipeline'!$F$5:$F$1004,MATCH(C1315,'Leads Pipeline'!$A$5:$A$1004,0)),INDEX('Active Clients'!$D$5:$D$504,MATCH(C1315,'Active Clients'!$A$5:$A$504,0)))&amp;"","ID not found"))</f>
        <v/>
      </c>
      <c r="E1315" s="51" t="str">
        <f aca="false">IF(C1315="","",IFERROR(IF(LEFT(C1315,1)="L",INDEX('Leads Pipeline'!$D$5:$D$1004,MATCH(C1315,'Leads Pipeline'!$A$5:$A$1004,0)),INDEX('Active Clients'!$B$5:$B$504,MATCH(C1315,'Active Clients'!$A$5:$A$504,0)))&amp;"","ID not found"))</f>
        <v/>
      </c>
      <c r="F1315" s="51" t="str">
        <f aca="false">IF(C1315="","",IFERROR(IF(LEFT(C1315,1)="L",INDEX('Leads Pipeline'!$E$5:$E$1004,MATCH(C1315,'Leads Pipeline'!$A$5:$A$1004,0)),INDEX('Active Clients'!$C$5:$C$504,MATCH(C1315,'Active Clients'!$A$5:$A$504,0)))&amp;"","ID not found"))</f>
        <v/>
      </c>
      <c r="G1315" s="16"/>
      <c r="H1315" s="16"/>
      <c r="I1315" s="16"/>
      <c r="J1315" s="16"/>
      <c r="K1315" s="16"/>
      <c r="L1315" s="18"/>
    </row>
    <row r="1316" customFormat="false" ht="15" hidden="false" customHeight="false" outlineLevel="0" collapsed="false">
      <c r="A1316" s="18"/>
      <c r="B1316" s="16"/>
      <c r="C1316" s="16"/>
      <c r="D1316" s="51" t="str">
        <f aca="false">IF(C1316="","",IFERROR(IF(LEFT(C1316,1)="L",INDEX('Leads Pipeline'!$F$5:$F$1004,MATCH(C1316,'Leads Pipeline'!$A$5:$A$1004,0)),INDEX('Active Clients'!$D$5:$D$504,MATCH(C1316,'Active Clients'!$A$5:$A$504,0)))&amp;"","ID not found"))</f>
        <v/>
      </c>
      <c r="E1316" s="51" t="str">
        <f aca="false">IF(C1316="","",IFERROR(IF(LEFT(C1316,1)="L",INDEX('Leads Pipeline'!$D$5:$D$1004,MATCH(C1316,'Leads Pipeline'!$A$5:$A$1004,0)),INDEX('Active Clients'!$B$5:$B$504,MATCH(C1316,'Active Clients'!$A$5:$A$504,0)))&amp;"","ID not found"))</f>
        <v/>
      </c>
      <c r="F1316" s="51" t="str">
        <f aca="false">IF(C1316="","",IFERROR(IF(LEFT(C1316,1)="L",INDEX('Leads Pipeline'!$E$5:$E$1004,MATCH(C1316,'Leads Pipeline'!$A$5:$A$1004,0)),INDEX('Active Clients'!$C$5:$C$504,MATCH(C1316,'Active Clients'!$A$5:$A$504,0)))&amp;"","ID not found"))</f>
        <v/>
      </c>
      <c r="G1316" s="16"/>
      <c r="H1316" s="16"/>
      <c r="I1316" s="16"/>
      <c r="J1316" s="16"/>
      <c r="K1316" s="16"/>
      <c r="L1316" s="18"/>
    </row>
    <row r="1317" customFormat="false" ht="15" hidden="false" customHeight="false" outlineLevel="0" collapsed="false">
      <c r="A1317" s="18"/>
      <c r="B1317" s="16"/>
      <c r="C1317" s="16"/>
      <c r="D1317" s="51" t="str">
        <f aca="false">IF(C1317="","",IFERROR(IF(LEFT(C1317,1)="L",INDEX('Leads Pipeline'!$F$5:$F$1004,MATCH(C1317,'Leads Pipeline'!$A$5:$A$1004,0)),INDEX('Active Clients'!$D$5:$D$504,MATCH(C1317,'Active Clients'!$A$5:$A$504,0)))&amp;"","ID not found"))</f>
        <v/>
      </c>
      <c r="E1317" s="51" t="str">
        <f aca="false">IF(C1317="","",IFERROR(IF(LEFT(C1317,1)="L",INDEX('Leads Pipeline'!$D$5:$D$1004,MATCH(C1317,'Leads Pipeline'!$A$5:$A$1004,0)),INDEX('Active Clients'!$B$5:$B$504,MATCH(C1317,'Active Clients'!$A$5:$A$504,0)))&amp;"","ID not found"))</f>
        <v/>
      </c>
      <c r="F1317" s="51" t="str">
        <f aca="false">IF(C1317="","",IFERROR(IF(LEFT(C1317,1)="L",INDEX('Leads Pipeline'!$E$5:$E$1004,MATCH(C1317,'Leads Pipeline'!$A$5:$A$1004,0)),INDEX('Active Clients'!$C$5:$C$504,MATCH(C1317,'Active Clients'!$A$5:$A$504,0)))&amp;"","ID not found"))</f>
        <v/>
      </c>
      <c r="G1317" s="16"/>
      <c r="H1317" s="16"/>
      <c r="I1317" s="16"/>
      <c r="J1317" s="16"/>
      <c r="K1317" s="16"/>
      <c r="L1317" s="18"/>
    </row>
    <row r="1318" customFormat="false" ht="15" hidden="false" customHeight="false" outlineLevel="0" collapsed="false">
      <c r="A1318" s="18"/>
      <c r="B1318" s="16"/>
      <c r="C1318" s="16"/>
      <c r="D1318" s="51" t="str">
        <f aca="false">IF(C1318="","",IFERROR(IF(LEFT(C1318,1)="L",INDEX('Leads Pipeline'!$F$5:$F$1004,MATCH(C1318,'Leads Pipeline'!$A$5:$A$1004,0)),INDEX('Active Clients'!$D$5:$D$504,MATCH(C1318,'Active Clients'!$A$5:$A$504,0)))&amp;"","ID not found"))</f>
        <v/>
      </c>
      <c r="E1318" s="51" t="str">
        <f aca="false">IF(C1318="","",IFERROR(IF(LEFT(C1318,1)="L",INDEX('Leads Pipeline'!$D$5:$D$1004,MATCH(C1318,'Leads Pipeline'!$A$5:$A$1004,0)),INDEX('Active Clients'!$B$5:$B$504,MATCH(C1318,'Active Clients'!$A$5:$A$504,0)))&amp;"","ID not found"))</f>
        <v/>
      </c>
      <c r="F1318" s="51" t="str">
        <f aca="false">IF(C1318="","",IFERROR(IF(LEFT(C1318,1)="L",INDEX('Leads Pipeline'!$E$5:$E$1004,MATCH(C1318,'Leads Pipeline'!$A$5:$A$1004,0)),INDEX('Active Clients'!$C$5:$C$504,MATCH(C1318,'Active Clients'!$A$5:$A$504,0)))&amp;"","ID not found"))</f>
        <v/>
      </c>
      <c r="G1318" s="16"/>
      <c r="H1318" s="16"/>
      <c r="I1318" s="16"/>
      <c r="J1318" s="16"/>
      <c r="K1318" s="16"/>
      <c r="L1318" s="18"/>
    </row>
    <row r="1319" customFormat="false" ht="15" hidden="false" customHeight="false" outlineLevel="0" collapsed="false">
      <c r="A1319" s="18"/>
      <c r="B1319" s="16"/>
      <c r="C1319" s="16"/>
      <c r="D1319" s="51" t="str">
        <f aca="false">IF(C1319="","",IFERROR(IF(LEFT(C1319,1)="L",INDEX('Leads Pipeline'!$F$5:$F$1004,MATCH(C1319,'Leads Pipeline'!$A$5:$A$1004,0)),INDEX('Active Clients'!$D$5:$D$504,MATCH(C1319,'Active Clients'!$A$5:$A$504,0)))&amp;"","ID not found"))</f>
        <v/>
      </c>
      <c r="E1319" s="51" t="str">
        <f aca="false">IF(C1319="","",IFERROR(IF(LEFT(C1319,1)="L",INDEX('Leads Pipeline'!$D$5:$D$1004,MATCH(C1319,'Leads Pipeline'!$A$5:$A$1004,0)),INDEX('Active Clients'!$B$5:$B$504,MATCH(C1319,'Active Clients'!$A$5:$A$504,0)))&amp;"","ID not found"))</f>
        <v/>
      </c>
      <c r="F1319" s="51" t="str">
        <f aca="false">IF(C1319="","",IFERROR(IF(LEFT(C1319,1)="L",INDEX('Leads Pipeline'!$E$5:$E$1004,MATCH(C1319,'Leads Pipeline'!$A$5:$A$1004,0)),INDEX('Active Clients'!$C$5:$C$504,MATCH(C1319,'Active Clients'!$A$5:$A$504,0)))&amp;"","ID not found"))</f>
        <v/>
      </c>
      <c r="G1319" s="16"/>
      <c r="H1319" s="16"/>
      <c r="I1319" s="16"/>
      <c r="J1319" s="16"/>
      <c r="K1319" s="16"/>
      <c r="L1319" s="18"/>
    </row>
    <row r="1320" customFormat="false" ht="15" hidden="false" customHeight="false" outlineLevel="0" collapsed="false">
      <c r="A1320" s="18"/>
      <c r="B1320" s="16"/>
      <c r="C1320" s="16"/>
      <c r="D1320" s="51" t="str">
        <f aca="false">IF(C1320="","",IFERROR(IF(LEFT(C1320,1)="L",INDEX('Leads Pipeline'!$F$5:$F$1004,MATCH(C1320,'Leads Pipeline'!$A$5:$A$1004,0)),INDEX('Active Clients'!$D$5:$D$504,MATCH(C1320,'Active Clients'!$A$5:$A$504,0)))&amp;"","ID not found"))</f>
        <v/>
      </c>
      <c r="E1320" s="51" t="str">
        <f aca="false">IF(C1320="","",IFERROR(IF(LEFT(C1320,1)="L",INDEX('Leads Pipeline'!$D$5:$D$1004,MATCH(C1320,'Leads Pipeline'!$A$5:$A$1004,0)),INDEX('Active Clients'!$B$5:$B$504,MATCH(C1320,'Active Clients'!$A$5:$A$504,0)))&amp;"","ID not found"))</f>
        <v/>
      </c>
      <c r="F1320" s="51" t="str">
        <f aca="false">IF(C1320="","",IFERROR(IF(LEFT(C1320,1)="L",INDEX('Leads Pipeline'!$E$5:$E$1004,MATCH(C1320,'Leads Pipeline'!$A$5:$A$1004,0)),INDEX('Active Clients'!$C$5:$C$504,MATCH(C1320,'Active Clients'!$A$5:$A$504,0)))&amp;"","ID not found"))</f>
        <v/>
      </c>
      <c r="G1320" s="16"/>
      <c r="H1320" s="16"/>
      <c r="I1320" s="16"/>
      <c r="J1320" s="16"/>
      <c r="K1320" s="16"/>
      <c r="L1320" s="18"/>
    </row>
    <row r="1321" customFormat="false" ht="15" hidden="false" customHeight="false" outlineLevel="0" collapsed="false">
      <c r="A1321" s="18"/>
      <c r="B1321" s="16"/>
      <c r="C1321" s="16"/>
      <c r="D1321" s="51" t="str">
        <f aca="false">IF(C1321="","",IFERROR(IF(LEFT(C1321,1)="L",INDEX('Leads Pipeline'!$F$5:$F$1004,MATCH(C1321,'Leads Pipeline'!$A$5:$A$1004,0)),INDEX('Active Clients'!$D$5:$D$504,MATCH(C1321,'Active Clients'!$A$5:$A$504,0)))&amp;"","ID not found"))</f>
        <v/>
      </c>
      <c r="E1321" s="51" t="str">
        <f aca="false">IF(C1321="","",IFERROR(IF(LEFT(C1321,1)="L",INDEX('Leads Pipeline'!$D$5:$D$1004,MATCH(C1321,'Leads Pipeline'!$A$5:$A$1004,0)),INDEX('Active Clients'!$B$5:$B$504,MATCH(C1321,'Active Clients'!$A$5:$A$504,0)))&amp;"","ID not found"))</f>
        <v/>
      </c>
      <c r="F1321" s="51" t="str">
        <f aca="false">IF(C1321="","",IFERROR(IF(LEFT(C1321,1)="L",INDEX('Leads Pipeline'!$E$5:$E$1004,MATCH(C1321,'Leads Pipeline'!$A$5:$A$1004,0)),INDEX('Active Clients'!$C$5:$C$504,MATCH(C1321,'Active Clients'!$A$5:$A$504,0)))&amp;"","ID not found"))</f>
        <v/>
      </c>
      <c r="G1321" s="16"/>
      <c r="H1321" s="16"/>
      <c r="I1321" s="16"/>
      <c r="J1321" s="16"/>
      <c r="K1321" s="16"/>
      <c r="L1321" s="18"/>
    </row>
    <row r="1322" customFormat="false" ht="15" hidden="false" customHeight="false" outlineLevel="0" collapsed="false">
      <c r="A1322" s="18"/>
      <c r="B1322" s="16"/>
      <c r="C1322" s="16"/>
      <c r="D1322" s="51" t="str">
        <f aca="false">IF(C1322="","",IFERROR(IF(LEFT(C1322,1)="L",INDEX('Leads Pipeline'!$F$5:$F$1004,MATCH(C1322,'Leads Pipeline'!$A$5:$A$1004,0)),INDEX('Active Clients'!$D$5:$D$504,MATCH(C1322,'Active Clients'!$A$5:$A$504,0)))&amp;"","ID not found"))</f>
        <v/>
      </c>
      <c r="E1322" s="51" t="str">
        <f aca="false">IF(C1322="","",IFERROR(IF(LEFT(C1322,1)="L",INDEX('Leads Pipeline'!$D$5:$D$1004,MATCH(C1322,'Leads Pipeline'!$A$5:$A$1004,0)),INDEX('Active Clients'!$B$5:$B$504,MATCH(C1322,'Active Clients'!$A$5:$A$504,0)))&amp;"","ID not found"))</f>
        <v/>
      </c>
      <c r="F1322" s="51" t="str">
        <f aca="false">IF(C1322="","",IFERROR(IF(LEFT(C1322,1)="L",INDEX('Leads Pipeline'!$E$5:$E$1004,MATCH(C1322,'Leads Pipeline'!$A$5:$A$1004,0)),INDEX('Active Clients'!$C$5:$C$504,MATCH(C1322,'Active Clients'!$A$5:$A$504,0)))&amp;"","ID not found"))</f>
        <v/>
      </c>
      <c r="G1322" s="16"/>
      <c r="H1322" s="16"/>
      <c r="I1322" s="16"/>
      <c r="J1322" s="16"/>
      <c r="K1322" s="16"/>
      <c r="L1322" s="18"/>
    </row>
    <row r="1323" customFormat="false" ht="15" hidden="false" customHeight="false" outlineLevel="0" collapsed="false">
      <c r="A1323" s="18"/>
      <c r="B1323" s="16"/>
      <c r="C1323" s="16"/>
      <c r="D1323" s="51" t="str">
        <f aca="false">IF(C1323="","",IFERROR(IF(LEFT(C1323,1)="L",INDEX('Leads Pipeline'!$F$5:$F$1004,MATCH(C1323,'Leads Pipeline'!$A$5:$A$1004,0)),INDEX('Active Clients'!$D$5:$D$504,MATCH(C1323,'Active Clients'!$A$5:$A$504,0)))&amp;"","ID not found"))</f>
        <v/>
      </c>
      <c r="E1323" s="51" t="str">
        <f aca="false">IF(C1323="","",IFERROR(IF(LEFT(C1323,1)="L",INDEX('Leads Pipeline'!$D$5:$D$1004,MATCH(C1323,'Leads Pipeline'!$A$5:$A$1004,0)),INDEX('Active Clients'!$B$5:$B$504,MATCH(C1323,'Active Clients'!$A$5:$A$504,0)))&amp;"","ID not found"))</f>
        <v/>
      </c>
      <c r="F1323" s="51" t="str">
        <f aca="false">IF(C1323="","",IFERROR(IF(LEFT(C1323,1)="L",INDEX('Leads Pipeline'!$E$5:$E$1004,MATCH(C1323,'Leads Pipeline'!$A$5:$A$1004,0)),INDEX('Active Clients'!$C$5:$C$504,MATCH(C1323,'Active Clients'!$A$5:$A$504,0)))&amp;"","ID not found"))</f>
        <v/>
      </c>
      <c r="G1323" s="16"/>
      <c r="H1323" s="16"/>
      <c r="I1323" s="16"/>
      <c r="J1323" s="16"/>
      <c r="K1323" s="16"/>
      <c r="L1323" s="18"/>
    </row>
    <row r="1324" customFormat="false" ht="15" hidden="false" customHeight="false" outlineLevel="0" collapsed="false">
      <c r="A1324" s="18"/>
      <c r="B1324" s="16"/>
      <c r="C1324" s="16"/>
      <c r="D1324" s="51" t="str">
        <f aca="false">IF(C1324="","",IFERROR(IF(LEFT(C1324,1)="L",INDEX('Leads Pipeline'!$F$5:$F$1004,MATCH(C1324,'Leads Pipeline'!$A$5:$A$1004,0)),INDEX('Active Clients'!$D$5:$D$504,MATCH(C1324,'Active Clients'!$A$5:$A$504,0)))&amp;"","ID not found"))</f>
        <v/>
      </c>
      <c r="E1324" s="51" t="str">
        <f aca="false">IF(C1324="","",IFERROR(IF(LEFT(C1324,1)="L",INDEX('Leads Pipeline'!$D$5:$D$1004,MATCH(C1324,'Leads Pipeline'!$A$5:$A$1004,0)),INDEX('Active Clients'!$B$5:$B$504,MATCH(C1324,'Active Clients'!$A$5:$A$504,0)))&amp;"","ID not found"))</f>
        <v/>
      </c>
      <c r="F1324" s="51" t="str">
        <f aca="false">IF(C1324="","",IFERROR(IF(LEFT(C1324,1)="L",INDEX('Leads Pipeline'!$E$5:$E$1004,MATCH(C1324,'Leads Pipeline'!$A$5:$A$1004,0)),INDEX('Active Clients'!$C$5:$C$504,MATCH(C1324,'Active Clients'!$A$5:$A$504,0)))&amp;"","ID not found"))</f>
        <v/>
      </c>
      <c r="G1324" s="16"/>
      <c r="H1324" s="16"/>
      <c r="I1324" s="16"/>
      <c r="J1324" s="16"/>
      <c r="K1324" s="16"/>
      <c r="L1324" s="18"/>
    </row>
    <row r="1325" customFormat="false" ht="15" hidden="false" customHeight="false" outlineLevel="0" collapsed="false">
      <c r="A1325" s="18"/>
      <c r="B1325" s="16"/>
      <c r="C1325" s="16"/>
      <c r="D1325" s="51" t="str">
        <f aca="false">IF(C1325="","",IFERROR(IF(LEFT(C1325,1)="L",INDEX('Leads Pipeline'!$F$5:$F$1004,MATCH(C1325,'Leads Pipeline'!$A$5:$A$1004,0)),INDEX('Active Clients'!$D$5:$D$504,MATCH(C1325,'Active Clients'!$A$5:$A$504,0)))&amp;"","ID not found"))</f>
        <v/>
      </c>
      <c r="E1325" s="51" t="str">
        <f aca="false">IF(C1325="","",IFERROR(IF(LEFT(C1325,1)="L",INDEX('Leads Pipeline'!$D$5:$D$1004,MATCH(C1325,'Leads Pipeline'!$A$5:$A$1004,0)),INDEX('Active Clients'!$B$5:$B$504,MATCH(C1325,'Active Clients'!$A$5:$A$504,0)))&amp;"","ID not found"))</f>
        <v/>
      </c>
      <c r="F1325" s="51" t="str">
        <f aca="false">IF(C1325="","",IFERROR(IF(LEFT(C1325,1)="L",INDEX('Leads Pipeline'!$E$5:$E$1004,MATCH(C1325,'Leads Pipeline'!$A$5:$A$1004,0)),INDEX('Active Clients'!$C$5:$C$504,MATCH(C1325,'Active Clients'!$A$5:$A$504,0)))&amp;"","ID not found"))</f>
        <v/>
      </c>
      <c r="G1325" s="16"/>
      <c r="H1325" s="16"/>
      <c r="I1325" s="16"/>
      <c r="J1325" s="16"/>
      <c r="K1325" s="16"/>
      <c r="L1325" s="18"/>
    </row>
    <row r="1326" customFormat="false" ht="15" hidden="false" customHeight="false" outlineLevel="0" collapsed="false">
      <c r="A1326" s="18"/>
      <c r="B1326" s="16"/>
      <c r="C1326" s="16"/>
      <c r="D1326" s="51" t="str">
        <f aca="false">IF(C1326="","",IFERROR(IF(LEFT(C1326,1)="L",INDEX('Leads Pipeline'!$F$5:$F$1004,MATCH(C1326,'Leads Pipeline'!$A$5:$A$1004,0)),INDEX('Active Clients'!$D$5:$D$504,MATCH(C1326,'Active Clients'!$A$5:$A$504,0)))&amp;"","ID not found"))</f>
        <v/>
      </c>
      <c r="E1326" s="51" t="str">
        <f aca="false">IF(C1326="","",IFERROR(IF(LEFT(C1326,1)="L",INDEX('Leads Pipeline'!$D$5:$D$1004,MATCH(C1326,'Leads Pipeline'!$A$5:$A$1004,0)),INDEX('Active Clients'!$B$5:$B$504,MATCH(C1326,'Active Clients'!$A$5:$A$504,0)))&amp;"","ID not found"))</f>
        <v/>
      </c>
      <c r="F1326" s="51" t="str">
        <f aca="false">IF(C1326="","",IFERROR(IF(LEFT(C1326,1)="L",INDEX('Leads Pipeline'!$E$5:$E$1004,MATCH(C1326,'Leads Pipeline'!$A$5:$A$1004,0)),INDEX('Active Clients'!$C$5:$C$504,MATCH(C1326,'Active Clients'!$A$5:$A$504,0)))&amp;"","ID not found"))</f>
        <v/>
      </c>
      <c r="G1326" s="16"/>
      <c r="H1326" s="16"/>
      <c r="I1326" s="16"/>
      <c r="J1326" s="16"/>
      <c r="K1326" s="16"/>
      <c r="L1326" s="18"/>
    </row>
    <row r="1327" customFormat="false" ht="15" hidden="false" customHeight="false" outlineLevel="0" collapsed="false">
      <c r="A1327" s="18"/>
      <c r="B1327" s="16"/>
      <c r="C1327" s="16"/>
      <c r="D1327" s="51" t="str">
        <f aca="false">IF(C1327="","",IFERROR(IF(LEFT(C1327,1)="L",INDEX('Leads Pipeline'!$F$5:$F$1004,MATCH(C1327,'Leads Pipeline'!$A$5:$A$1004,0)),INDEX('Active Clients'!$D$5:$D$504,MATCH(C1327,'Active Clients'!$A$5:$A$504,0)))&amp;"","ID not found"))</f>
        <v/>
      </c>
      <c r="E1327" s="51" t="str">
        <f aca="false">IF(C1327="","",IFERROR(IF(LEFT(C1327,1)="L",INDEX('Leads Pipeline'!$D$5:$D$1004,MATCH(C1327,'Leads Pipeline'!$A$5:$A$1004,0)),INDEX('Active Clients'!$B$5:$B$504,MATCH(C1327,'Active Clients'!$A$5:$A$504,0)))&amp;"","ID not found"))</f>
        <v/>
      </c>
      <c r="F1327" s="51" t="str">
        <f aca="false">IF(C1327="","",IFERROR(IF(LEFT(C1327,1)="L",INDEX('Leads Pipeline'!$E$5:$E$1004,MATCH(C1327,'Leads Pipeline'!$A$5:$A$1004,0)),INDEX('Active Clients'!$C$5:$C$504,MATCH(C1327,'Active Clients'!$A$5:$A$504,0)))&amp;"","ID not found"))</f>
        <v/>
      </c>
      <c r="G1327" s="16"/>
      <c r="H1327" s="16"/>
      <c r="I1327" s="16"/>
      <c r="J1327" s="16"/>
      <c r="K1327" s="16"/>
      <c r="L1327" s="18"/>
    </row>
    <row r="1328" customFormat="false" ht="15" hidden="false" customHeight="false" outlineLevel="0" collapsed="false">
      <c r="A1328" s="18"/>
      <c r="B1328" s="16"/>
      <c r="C1328" s="16"/>
      <c r="D1328" s="51" t="str">
        <f aca="false">IF(C1328="","",IFERROR(IF(LEFT(C1328,1)="L",INDEX('Leads Pipeline'!$F$5:$F$1004,MATCH(C1328,'Leads Pipeline'!$A$5:$A$1004,0)),INDEX('Active Clients'!$D$5:$D$504,MATCH(C1328,'Active Clients'!$A$5:$A$504,0)))&amp;"","ID not found"))</f>
        <v/>
      </c>
      <c r="E1328" s="51" t="str">
        <f aca="false">IF(C1328="","",IFERROR(IF(LEFT(C1328,1)="L",INDEX('Leads Pipeline'!$D$5:$D$1004,MATCH(C1328,'Leads Pipeline'!$A$5:$A$1004,0)),INDEX('Active Clients'!$B$5:$B$504,MATCH(C1328,'Active Clients'!$A$5:$A$504,0)))&amp;"","ID not found"))</f>
        <v/>
      </c>
      <c r="F1328" s="51" t="str">
        <f aca="false">IF(C1328="","",IFERROR(IF(LEFT(C1328,1)="L",INDEX('Leads Pipeline'!$E$5:$E$1004,MATCH(C1328,'Leads Pipeline'!$A$5:$A$1004,0)),INDEX('Active Clients'!$C$5:$C$504,MATCH(C1328,'Active Clients'!$A$5:$A$504,0)))&amp;"","ID not found"))</f>
        <v/>
      </c>
      <c r="G1328" s="16"/>
      <c r="H1328" s="16"/>
      <c r="I1328" s="16"/>
      <c r="J1328" s="16"/>
      <c r="K1328" s="16"/>
      <c r="L1328" s="18"/>
    </row>
    <row r="1329" customFormat="false" ht="15" hidden="false" customHeight="false" outlineLevel="0" collapsed="false">
      <c r="A1329" s="18"/>
      <c r="B1329" s="16"/>
      <c r="C1329" s="16"/>
      <c r="D1329" s="51" t="str">
        <f aca="false">IF(C1329="","",IFERROR(IF(LEFT(C1329,1)="L",INDEX('Leads Pipeline'!$F$5:$F$1004,MATCH(C1329,'Leads Pipeline'!$A$5:$A$1004,0)),INDEX('Active Clients'!$D$5:$D$504,MATCH(C1329,'Active Clients'!$A$5:$A$504,0)))&amp;"","ID not found"))</f>
        <v/>
      </c>
      <c r="E1329" s="51" t="str">
        <f aca="false">IF(C1329="","",IFERROR(IF(LEFT(C1329,1)="L",INDEX('Leads Pipeline'!$D$5:$D$1004,MATCH(C1329,'Leads Pipeline'!$A$5:$A$1004,0)),INDEX('Active Clients'!$B$5:$B$504,MATCH(C1329,'Active Clients'!$A$5:$A$504,0)))&amp;"","ID not found"))</f>
        <v/>
      </c>
      <c r="F1329" s="51" t="str">
        <f aca="false">IF(C1329="","",IFERROR(IF(LEFT(C1329,1)="L",INDEX('Leads Pipeline'!$E$5:$E$1004,MATCH(C1329,'Leads Pipeline'!$A$5:$A$1004,0)),INDEX('Active Clients'!$C$5:$C$504,MATCH(C1329,'Active Clients'!$A$5:$A$504,0)))&amp;"","ID not found"))</f>
        <v/>
      </c>
      <c r="G1329" s="16"/>
      <c r="H1329" s="16"/>
      <c r="I1329" s="16"/>
      <c r="J1329" s="16"/>
      <c r="K1329" s="16"/>
      <c r="L1329" s="18"/>
    </row>
    <row r="1330" customFormat="false" ht="15" hidden="false" customHeight="false" outlineLevel="0" collapsed="false">
      <c r="A1330" s="18"/>
      <c r="B1330" s="16"/>
      <c r="C1330" s="16"/>
      <c r="D1330" s="51" t="str">
        <f aca="false">IF(C1330="","",IFERROR(IF(LEFT(C1330,1)="L",INDEX('Leads Pipeline'!$F$5:$F$1004,MATCH(C1330,'Leads Pipeline'!$A$5:$A$1004,0)),INDEX('Active Clients'!$D$5:$D$504,MATCH(C1330,'Active Clients'!$A$5:$A$504,0)))&amp;"","ID not found"))</f>
        <v/>
      </c>
      <c r="E1330" s="51" t="str">
        <f aca="false">IF(C1330="","",IFERROR(IF(LEFT(C1330,1)="L",INDEX('Leads Pipeline'!$D$5:$D$1004,MATCH(C1330,'Leads Pipeline'!$A$5:$A$1004,0)),INDEX('Active Clients'!$B$5:$B$504,MATCH(C1330,'Active Clients'!$A$5:$A$504,0)))&amp;"","ID not found"))</f>
        <v/>
      </c>
      <c r="F1330" s="51" t="str">
        <f aca="false">IF(C1330="","",IFERROR(IF(LEFT(C1330,1)="L",INDEX('Leads Pipeline'!$E$5:$E$1004,MATCH(C1330,'Leads Pipeline'!$A$5:$A$1004,0)),INDEX('Active Clients'!$C$5:$C$504,MATCH(C1330,'Active Clients'!$A$5:$A$504,0)))&amp;"","ID not found"))</f>
        <v/>
      </c>
      <c r="G1330" s="16"/>
      <c r="H1330" s="16"/>
      <c r="I1330" s="16"/>
      <c r="J1330" s="16"/>
      <c r="K1330" s="16"/>
      <c r="L1330" s="18"/>
    </row>
    <row r="1331" customFormat="false" ht="15" hidden="false" customHeight="false" outlineLevel="0" collapsed="false">
      <c r="A1331" s="18"/>
      <c r="B1331" s="16"/>
      <c r="C1331" s="16"/>
      <c r="D1331" s="51" t="str">
        <f aca="false">IF(C1331="","",IFERROR(IF(LEFT(C1331,1)="L",INDEX('Leads Pipeline'!$F$5:$F$1004,MATCH(C1331,'Leads Pipeline'!$A$5:$A$1004,0)),INDEX('Active Clients'!$D$5:$D$504,MATCH(C1331,'Active Clients'!$A$5:$A$504,0)))&amp;"","ID not found"))</f>
        <v/>
      </c>
      <c r="E1331" s="51" t="str">
        <f aca="false">IF(C1331="","",IFERROR(IF(LEFT(C1331,1)="L",INDEX('Leads Pipeline'!$D$5:$D$1004,MATCH(C1331,'Leads Pipeline'!$A$5:$A$1004,0)),INDEX('Active Clients'!$B$5:$B$504,MATCH(C1331,'Active Clients'!$A$5:$A$504,0)))&amp;"","ID not found"))</f>
        <v/>
      </c>
      <c r="F1331" s="51" t="str">
        <f aca="false">IF(C1331="","",IFERROR(IF(LEFT(C1331,1)="L",INDEX('Leads Pipeline'!$E$5:$E$1004,MATCH(C1331,'Leads Pipeline'!$A$5:$A$1004,0)),INDEX('Active Clients'!$C$5:$C$504,MATCH(C1331,'Active Clients'!$A$5:$A$504,0)))&amp;"","ID not found"))</f>
        <v/>
      </c>
      <c r="G1331" s="16"/>
      <c r="H1331" s="16"/>
      <c r="I1331" s="16"/>
      <c r="J1331" s="16"/>
      <c r="K1331" s="16"/>
      <c r="L1331" s="18"/>
    </row>
    <row r="1332" customFormat="false" ht="15" hidden="false" customHeight="false" outlineLevel="0" collapsed="false">
      <c r="A1332" s="18"/>
      <c r="B1332" s="16"/>
      <c r="C1332" s="16"/>
      <c r="D1332" s="51" t="str">
        <f aca="false">IF(C1332="","",IFERROR(IF(LEFT(C1332,1)="L",INDEX('Leads Pipeline'!$F$5:$F$1004,MATCH(C1332,'Leads Pipeline'!$A$5:$A$1004,0)),INDEX('Active Clients'!$D$5:$D$504,MATCH(C1332,'Active Clients'!$A$5:$A$504,0)))&amp;"","ID not found"))</f>
        <v/>
      </c>
      <c r="E1332" s="51" t="str">
        <f aca="false">IF(C1332="","",IFERROR(IF(LEFT(C1332,1)="L",INDEX('Leads Pipeline'!$D$5:$D$1004,MATCH(C1332,'Leads Pipeline'!$A$5:$A$1004,0)),INDEX('Active Clients'!$B$5:$B$504,MATCH(C1332,'Active Clients'!$A$5:$A$504,0)))&amp;"","ID not found"))</f>
        <v/>
      </c>
      <c r="F1332" s="51" t="str">
        <f aca="false">IF(C1332="","",IFERROR(IF(LEFT(C1332,1)="L",INDEX('Leads Pipeline'!$E$5:$E$1004,MATCH(C1332,'Leads Pipeline'!$A$5:$A$1004,0)),INDEX('Active Clients'!$C$5:$C$504,MATCH(C1332,'Active Clients'!$A$5:$A$504,0)))&amp;"","ID not found"))</f>
        <v/>
      </c>
      <c r="G1332" s="16"/>
      <c r="H1332" s="16"/>
      <c r="I1332" s="16"/>
      <c r="J1332" s="16"/>
      <c r="K1332" s="16"/>
      <c r="L1332" s="18"/>
    </row>
    <row r="1333" customFormat="false" ht="15" hidden="false" customHeight="false" outlineLevel="0" collapsed="false">
      <c r="A1333" s="18"/>
      <c r="B1333" s="16"/>
      <c r="C1333" s="16"/>
      <c r="D1333" s="51" t="str">
        <f aca="false">IF(C1333="","",IFERROR(IF(LEFT(C1333,1)="L",INDEX('Leads Pipeline'!$F$5:$F$1004,MATCH(C1333,'Leads Pipeline'!$A$5:$A$1004,0)),INDEX('Active Clients'!$D$5:$D$504,MATCH(C1333,'Active Clients'!$A$5:$A$504,0)))&amp;"","ID not found"))</f>
        <v/>
      </c>
      <c r="E1333" s="51" t="str">
        <f aca="false">IF(C1333="","",IFERROR(IF(LEFT(C1333,1)="L",INDEX('Leads Pipeline'!$D$5:$D$1004,MATCH(C1333,'Leads Pipeline'!$A$5:$A$1004,0)),INDEX('Active Clients'!$B$5:$B$504,MATCH(C1333,'Active Clients'!$A$5:$A$504,0)))&amp;"","ID not found"))</f>
        <v/>
      </c>
      <c r="F1333" s="51" t="str">
        <f aca="false">IF(C1333="","",IFERROR(IF(LEFT(C1333,1)="L",INDEX('Leads Pipeline'!$E$5:$E$1004,MATCH(C1333,'Leads Pipeline'!$A$5:$A$1004,0)),INDEX('Active Clients'!$C$5:$C$504,MATCH(C1333,'Active Clients'!$A$5:$A$504,0)))&amp;"","ID not found"))</f>
        <v/>
      </c>
      <c r="G1333" s="16"/>
      <c r="H1333" s="16"/>
      <c r="I1333" s="16"/>
      <c r="J1333" s="16"/>
      <c r="K1333" s="16"/>
      <c r="L1333" s="18"/>
    </row>
    <row r="1334" customFormat="false" ht="15" hidden="false" customHeight="false" outlineLevel="0" collapsed="false">
      <c r="A1334" s="18"/>
      <c r="B1334" s="16"/>
      <c r="C1334" s="16"/>
      <c r="D1334" s="51" t="str">
        <f aca="false">IF(C1334="","",IFERROR(IF(LEFT(C1334,1)="L",INDEX('Leads Pipeline'!$F$5:$F$1004,MATCH(C1334,'Leads Pipeline'!$A$5:$A$1004,0)),INDEX('Active Clients'!$D$5:$D$504,MATCH(C1334,'Active Clients'!$A$5:$A$504,0)))&amp;"","ID not found"))</f>
        <v/>
      </c>
      <c r="E1334" s="51" t="str">
        <f aca="false">IF(C1334="","",IFERROR(IF(LEFT(C1334,1)="L",INDEX('Leads Pipeline'!$D$5:$D$1004,MATCH(C1334,'Leads Pipeline'!$A$5:$A$1004,0)),INDEX('Active Clients'!$B$5:$B$504,MATCH(C1334,'Active Clients'!$A$5:$A$504,0)))&amp;"","ID not found"))</f>
        <v/>
      </c>
      <c r="F1334" s="51" t="str">
        <f aca="false">IF(C1334="","",IFERROR(IF(LEFT(C1334,1)="L",INDEX('Leads Pipeline'!$E$5:$E$1004,MATCH(C1334,'Leads Pipeline'!$A$5:$A$1004,0)),INDEX('Active Clients'!$C$5:$C$504,MATCH(C1334,'Active Clients'!$A$5:$A$504,0)))&amp;"","ID not found"))</f>
        <v/>
      </c>
      <c r="G1334" s="16"/>
      <c r="H1334" s="16"/>
      <c r="I1334" s="16"/>
      <c r="J1334" s="16"/>
      <c r="K1334" s="16"/>
      <c r="L1334" s="18"/>
    </row>
    <row r="1335" customFormat="false" ht="15" hidden="false" customHeight="false" outlineLevel="0" collapsed="false">
      <c r="A1335" s="18"/>
      <c r="B1335" s="16"/>
      <c r="C1335" s="16"/>
      <c r="D1335" s="51" t="str">
        <f aca="false">IF(C1335="","",IFERROR(IF(LEFT(C1335,1)="L",INDEX('Leads Pipeline'!$F$5:$F$1004,MATCH(C1335,'Leads Pipeline'!$A$5:$A$1004,0)),INDEX('Active Clients'!$D$5:$D$504,MATCH(C1335,'Active Clients'!$A$5:$A$504,0)))&amp;"","ID not found"))</f>
        <v/>
      </c>
      <c r="E1335" s="51" t="str">
        <f aca="false">IF(C1335="","",IFERROR(IF(LEFT(C1335,1)="L",INDEX('Leads Pipeline'!$D$5:$D$1004,MATCH(C1335,'Leads Pipeline'!$A$5:$A$1004,0)),INDEX('Active Clients'!$B$5:$B$504,MATCH(C1335,'Active Clients'!$A$5:$A$504,0)))&amp;"","ID not found"))</f>
        <v/>
      </c>
      <c r="F1335" s="51" t="str">
        <f aca="false">IF(C1335="","",IFERROR(IF(LEFT(C1335,1)="L",INDEX('Leads Pipeline'!$E$5:$E$1004,MATCH(C1335,'Leads Pipeline'!$A$5:$A$1004,0)),INDEX('Active Clients'!$C$5:$C$504,MATCH(C1335,'Active Clients'!$A$5:$A$504,0)))&amp;"","ID not found"))</f>
        <v/>
      </c>
      <c r="G1335" s="16"/>
      <c r="H1335" s="16"/>
      <c r="I1335" s="16"/>
      <c r="J1335" s="16"/>
      <c r="K1335" s="16"/>
      <c r="L1335" s="18"/>
    </row>
    <row r="1336" customFormat="false" ht="15" hidden="false" customHeight="false" outlineLevel="0" collapsed="false">
      <c r="A1336" s="18"/>
      <c r="B1336" s="16"/>
      <c r="C1336" s="16"/>
      <c r="D1336" s="51" t="str">
        <f aca="false">IF(C1336="","",IFERROR(IF(LEFT(C1336,1)="L",INDEX('Leads Pipeline'!$F$5:$F$1004,MATCH(C1336,'Leads Pipeline'!$A$5:$A$1004,0)),INDEX('Active Clients'!$D$5:$D$504,MATCH(C1336,'Active Clients'!$A$5:$A$504,0)))&amp;"","ID not found"))</f>
        <v/>
      </c>
      <c r="E1336" s="51" t="str">
        <f aca="false">IF(C1336="","",IFERROR(IF(LEFT(C1336,1)="L",INDEX('Leads Pipeline'!$D$5:$D$1004,MATCH(C1336,'Leads Pipeline'!$A$5:$A$1004,0)),INDEX('Active Clients'!$B$5:$B$504,MATCH(C1336,'Active Clients'!$A$5:$A$504,0)))&amp;"","ID not found"))</f>
        <v/>
      </c>
      <c r="F1336" s="51" t="str">
        <f aca="false">IF(C1336="","",IFERROR(IF(LEFT(C1336,1)="L",INDEX('Leads Pipeline'!$E$5:$E$1004,MATCH(C1336,'Leads Pipeline'!$A$5:$A$1004,0)),INDEX('Active Clients'!$C$5:$C$504,MATCH(C1336,'Active Clients'!$A$5:$A$504,0)))&amp;"","ID not found"))</f>
        <v/>
      </c>
      <c r="G1336" s="16"/>
      <c r="H1336" s="16"/>
      <c r="I1336" s="16"/>
      <c r="J1336" s="16"/>
      <c r="K1336" s="16"/>
      <c r="L1336" s="18"/>
    </row>
    <row r="1337" customFormat="false" ht="15" hidden="false" customHeight="false" outlineLevel="0" collapsed="false">
      <c r="A1337" s="18"/>
      <c r="B1337" s="16"/>
      <c r="C1337" s="16"/>
      <c r="D1337" s="51" t="str">
        <f aca="false">IF(C1337="","",IFERROR(IF(LEFT(C1337,1)="L",INDEX('Leads Pipeline'!$F$5:$F$1004,MATCH(C1337,'Leads Pipeline'!$A$5:$A$1004,0)),INDEX('Active Clients'!$D$5:$D$504,MATCH(C1337,'Active Clients'!$A$5:$A$504,0)))&amp;"","ID not found"))</f>
        <v/>
      </c>
      <c r="E1337" s="51" t="str">
        <f aca="false">IF(C1337="","",IFERROR(IF(LEFT(C1337,1)="L",INDEX('Leads Pipeline'!$D$5:$D$1004,MATCH(C1337,'Leads Pipeline'!$A$5:$A$1004,0)),INDEX('Active Clients'!$B$5:$B$504,MATCH(C1337,'Active Clients'!$A$5:$A$504,0)))&amp;"","ID not found"))</f>
        <v/>
      </c>
      <c r="F1337" s="51" t="str">
        <f aca="false">IF(C1337="","",IFERROR(IF(LEFT(C1337,1)="L",INDEX('Leads Pipeline'!$E$5:$E$1004,MATCH(C1337,'Leads Pipeline'!$A$5:$A$1004,0)),INDEX('Active Clients'!$C$5:$C$504,MATCH(C1337,'Active Clients'!$A$5:$A$504,0)))&amp;"","ID not found"))</f>
        <v/>
      </c>
      <c r="G1337" s="16"/>
      <c r="H1337" s="16"/>
      <c r="I1337" s="16"/>
      <c r="J1337" s="16"/>
      <c r="K1337" s="16"/>
      <c r="L1337" s="18"/>
    </row>
    <row r="1338" customFormat="false" ht="15" hidden="false" customHeight="false" outlineLevel="0" collapsed="false">
      <c r="A1338" s="18"/>
      <c r="B1338" s="16"/>
      <c r="C1338" s="16"/>
      <c r="D1338" s="51" t="str">
        <f aca="false">IF(C1338="","",IFERROR(IF(LEFT(C1338,1)="L",INDEX('Leads Pipeline'!$F$5:$F$1004,MATCH(C1338,'Leads Pipeline'!$A$5:$A$1004,0)),INDEX('Active Clients'!$D$5:$D$504,MATCH(C1338,'Active Clients'!$A$5:$A$504,0)))&amp;"","ID not found"))</f>
        <v/>
      </c>
      <c r="E1338" s="51" t="str">
        <f aca="false">IF(C1338="","",IFERROR(IF(LEFT(C1338,1)="L",INDEX('Leads Pipeline'!$D$5:$D$1004,MATCH(C1338,'Leads Pipeline'!$A$5:$A$1004,0)),INDEX('Active Clients'!$B$5:$B$504,MATCH(C1338,'Active Clients'!$A$5:$A$504,0)))&amp;"","ID not found"))</f>
        <v/>
      </c>
      <c r="F1338" s="51" t="str">
        <f aca="false">IF(C1338="","",IFERROR(IF(LEFT(C1338,1)="L",INDEX('Leads Pipeline'!$E$5:$E$1004,MATCH(C1338,'Leads Pipeline'!$A$5:$A$1004,0)),INDEX('Active Clients'!$C$5:$C$504,MATCH(C1338,'Active Clients'!$A$5:$A$504,0)))&amp;"","ID not found"))</f>
        <v/>
      </c>
      <c r="G1338" s="16"/>
      <c r="H1338" s="16"/>
      <c r="I1338" s="16"/>
      <c r="J1338" s="16"/>
      <c r="K1338" s="16"/>
      <c r="L1338" s="18"/>
    </row>
    <row r="1339" customFormat="false" ht="15" hidden="false" customHeight="false" outlineLevel="0" collapsed="false">
      <c r="A1339" s="18"/>
      <c r="B1339" s="16"/>
      <c r="C1339" s="16"/>
      <c r="D1339" s="51" t="str">
        <f aca="false">IF(C1339="","",IFERROR(IF(LEFT(C1339,1)="L",INDEX('Leads Pipeline'!$F$5:$F$1004,MATCH(C1339,'Leads Pipeline'!$A$5:$A$1004,0)),INDEX('Active Clients'!$D$5:$D$504,MATCH(C1339,'Active Clients'!$A$5:$A$504,0)))&amp;"","ID not found"))</f>
        <v/>
      </c>
      <c r="E1339" s="51" t="str">
        <f aca="false">IF(C1339="","",IFERROR(IF(LEFT(C1339,1)="L",INDEX('Leads Pipeline'!$D$5:$D$1004,MATCH(C1339,'Leads Pipeline'!$A$5:$A$1004,0)),INDEX('Active Clients'!$B$5:$B$504,MATCH(C1339,'Active Clients'!$A$5:$A$504,0)))&amp;"","ID not found"))</f>
        <v/>
      </c>
      <c r="F1339" s="51" t="str">
        <f aca="false">IF(C1339="","",IFERROR(IF(LEFT(C1339,1)="L",INDEX('Leads Pipeline'!$E$5:$E$1004,MATCH(C1339,'Leads Pipeline'!$A$5:$A$1004,0)),INDEX('Active Clients'!$C$5:$C$504,MATCH(C1339,'Active Clients'!$A$5:$A$504,0)))&amp;"","ID not found"))</f>
        <v/>
      </c>
      <c r="G1339" s="16"/>
      <c r="H1339" s="16"/>
      <c r="I1339" s="16"/>
      <c r="J1339" s="16"/>
      <c r="K1339" s="16"/>
      <c r="L1339" s="18"/>
    </row>
    <row r="1340" customFormat="false" ht="15" hidden="false" customHeight="false" outlineLevel="0" collapsed="false">
      <c r="A1340" s="18"/>
      <c r="B1340" s="16"/>
      <c r="C1340" s="16"/>
      <c r="D1340" s="51" t="str">
        <f aca="false">IF(C1340="","",IFERROR(IF(LEFT(C1340,1)="L",INDEX('Leads Pipeline'!$F$5:$F$1004,MATCH(C1340,'Leads Pipeline'!$A$5:$A$1004,0)),INDEX('Active Clients'!$D$5:$D$504,MATCH(C1340,'Active Clients'!$A$5:$A$504,0)))&amp;"","ID not found"))</f>
        <v/>
      </c>
      <c r="E1340" s="51" t="str">
        <f aca="false">IF(C1340="","",IFERROR(IF(LEFT(C1340,1)="L",INDEX('Leads Pipeline'!$D$5:$D$1004,MATCH(C1340,'Leads Pipeline'!$A$5:$A$1004,0)),INDEX('Active Clients'!$B$5:$B$504,MATCH(C1340,'Active Clients'!$A$5:$A$504,0)))&amp;"","ID not found"))</f>
        <v/>
      </c>
      <c r="F1340" s="51" t="str">
        <f aca="false">IF(C1340="","",IFERROR(IF(LEFT(C1340,1)="L",INDEX('Leads Pipeline'!$E$5:$E$1004,MATCH(C1340,'Leads Pipeline'!$A$5:$A$1004,0)),INDEX('Active Clients'!$C$5:$C$504,MATCH(C1340,'Active Clients'!$A$5:$A$504,0)))&amp;"","ID not found"))</f>
        <v/>
      </c>
      <c r="G1340" s="16"/>
      <c r="H1340" s="16"/>
      <c r="I1340" s="16"/>
      <c r="J1340" s="16"/>
      <c r="K1340" s="16"/>
      <c r="L1340" s="18"/>
    </row>
    <row r="1341" customFormat="false" ht="15" hidden="false" customHeight="false" outlineLevel="0" collapsed="false">
      <c r="A1341" s="18"/>
      <c r="B1341" s="16"/>
      <c r="C1341" s="16"/>
      <c r="D1341" s="51" t="str">
        <f aca="false">IF(C1341="","",IFERROR(IF(LEFT(C1341,1)="L",INDEX('Leads Pipeline'!$F$5:$F$1004,MATCH(C1341,'Leads Pipeline'!$A$5:$A$1004,0)),INDEX('Active Clients'!$D$5:$D$504,MATCH(C1341,'Active Clients'!$A$5:$A$504,0)))&amp;"","ID not found"))</f>
        <v/>
      </c>
      <c r="E1341" s="51" t="str">
        <f aca="false">IF(C1341="","",IFERROR(IF(LEFT(C1341,1)="L",INDEX('Leads Pipeline'!$D$5:$D$1004,MATCH(C1341,'Leads Pipeline'!$A$5:$A$1004,0)),INDEX('Active Clients'!$B$5:$B$504,MATCH(C1341,'Active Clients'!$A$5:$A$504,0)))&amp;"","ID not found"))</f>
        <v/>
      </c>
      <c r="F1341" s="51" t="str">
        <f aca="false">IF(C1341="","",IFERROR(IF(LEFT(C1341,1)="L",INDEX('Leads Pipeline'!$E$5:$E$1004,MATCH(C1341,'Leads Pipeline'!$A$5:$A$1004,0)),INDEX('Active Clients'!$C$5:$C$504,MATCH(C1341,'Active Clients'!$A$5:$A$504,0)))&amp;"","ID not found"))</f>
        <v/>
      </c>
      <c r="G1341" s="16"/>
      <c r="H1341" s="16"/>
      <c r="I1341" s="16"/>
      <c r="J1341" s="16"/>
      <c r="K1341" s="16"/>
      <c r="L1341" s="18"/>
    </row>
    <row r="1342" customFormat="false" ht="15" hidden="false" customHeight="false" outlineLevel="0" collapsed="false">
      <c r="A1342" s="18"/>
      <c r="B1342" s="16"/>
      <c r="C1342" s="16"/>
      <c r="D1342" s="51" t="str">
        <f aca="false">IF(C1342="","",IFERROR(IF(LEFT(C1342,1)="L",INDEX('Leads Pipeline'!$F$5:$F$1004,MATCH(C1342,'Leads Pipeline'!$A$5:$A$1004,0)),INDEX('Active Clients'!$D$5:$D$504,MATCH(C1342,'Active Clients'!$A$5:$A$504,0)))&amp;"","ID not found"))</f>
        <v/>
      </c>
      <c r="E1342" s="51" t="str">
        <f aca="false">IF(C1342="","",IFERROR(IF(LEFT(C1342,1)="L",INDEX('Leads Pipeline'!$D$5:$D$1004,MATCH(C1342,'Leads Pipeline'!$A$5:$A$1004,0)),INDEX('Active Clients'!$B$5:$B$504,MATCH(C1342,'Active Clients'!$A$5:$A$504,0)))&amp;"","ID not found"))</f>
        <v/>
      </c>
      <c r="F1342" s="51" t="str">
        <f aca="false">IF(C1342="","",IFERROR(IF(LEFT(C1342,1)="L",INDEX('Leads Pipeline'!$E$5:$E$1004,MATCH(C1342,'Leads Pipeline'!$A$5:$A$1004,0)),INDEX('Active Clients'!$C$5:$C$504,MATCH(C1342,'Active Clients'!$A$5:$A$504,0)))&amp;"","ID not found"))</f>
        <v/>
      </c>
      <c r="G1342" s="16"/>
      <c r="H1342" s="16"/>
      <c r="I1342" s="16"/>
      <c r="J1342" s="16"/>
      <c r="K1342" s="16"/>
      <c r="L1342" s="18"/>
    </row>
    <row r="1343" customFormat="false" ht="15" hidden="false" customHeight="false" outlineLevel="0" collapsed="false">
      <c r="A1343" s="18"/>
      <c r="B1343" s="16"/>
      <c r="C1343" s="16"/>
      <c r="D1343" s="51" t="str">
        <f aca="false">IF(C1343="","",IFERROR(IF(LEFT(C1343,1)="L",INDEX('Leads Pipeline'!$F$5:$F$1004,MATCH(C1343,'Leads Pipeline'!$A$5:$A$1004,0)),INDEX('Active Clients'!$D$5:$D$504,MATCH(C1343,'Active Clients'!$A$5:$A$504,0)))&amp;"","ID not found"))</f>
        <v/>
      </c>
      <c r="E1343" s="51" t="str">
        <f aca="false">IF(C1343="","",IFERROR(IF(LEFT(C1343,1)="L",INDEX('Leads Pipeline'!$D$5:$D$1004,MATCH(C1343,'Leads Pipeline'!$A$5:$A$1004,0)),INDEX('Active Clients'!$B$5:$B$504,MATCH(C1343,'Active Clients'!$A$5:$A$504,0)))&amp;"","ID not found"))</f>
        <v/>
      </c>
      <c r="F1343" s="51" t="str">
        <f aca="false">IF(C1343="","",IFERROR(IF(LEFT(C1343,1)="L",INDEX('Leads Pipeline'!$E$5:$E$1004,MATCH(C1343,'Leads Pipeline'!$A$5:$A$1004,0)),INDEX('Active Clients'!$C$5:$C$504,MATCH(C1343,'Active Clients'!$A$5:$A$504,0)))&amp;"","ID not found"))</f>
        <v/>
      </c>
      <c r="G1343" s="16"/>
      <c r="H1343" s="16"/>
      <c r="I1343" s="16"/>
      <c r="J1343" s="16"/>
      <c r="K1343" s="16"/>
      <c r="L1343" s="18"/>
    </row>
    <row r="1344" customFormat="false" ht="15" hidden="false" customHeight="false" outlineLevel="0" collapsed="false">
      <c r="A1344" s="18"/>
      <c r="B1344" s="16"/>
      <c r="C1344" s="16"/>
      <c r="D1344" s="51" t="str">
        <f aca="false">IF(C1344="","",IFERROR(IF(LEFT(C1344,1)="L",INDEX('Leads Pipeline'!$F$5:$F$1004,MATCH(C1344,'Leads Pipeline'!$A$5:$A$1004,0)),INDEX('Active Clients'!$D$5:$D$504,MATCH(C1344,'Active Clients'!$A$5:$A$504,0)))&amp;"","ID not found"))</f>
        <v/>
      </c>
      <c r="E1344" s="51" t="str">
        <f aca="false">IF(C1344="","",IFERROR(IF(LEFT(C1344,1)="L",INDEX('Leads Pipeline'!$D$5:$D$1004,MATCH(C1344,'Leads Pipeline'!$A$5:$A$1004,0)),INDEX('Active Clients'!$B$5:$B$504,MATCH(C1344,'Active Clients'!$A$5:$A$504,0)))&amp;"","ID not found"))</f>
        <v/>
      </c>
      <c r="F1344" s="51" t="str">
        <f aca="false">IF(C1344="","",IFERROR(IF(LEFT(C1344,1)="L",INDEX('Leads Pipeline'!$E$5:$E$1004,MATCH(C1344,'Leads Pipeline'!$A$5:$A$1004,0)),INDEX('Active Clients'!$C$5:$C$504,MATCH(C1344,'Active Clients'!$A$5:$A$504,0)))&amp;"","ID not found"))</f>
        <v/>
      </c>
      <c r="G1344" s="16"/>
      <c r="H1344" s="16"/>
      <c r="I1344" s="16"/>
      <c r="J1344" s="16"/>
      <c r="K1344" s="16"/>
      <c r="L1344" s="18"/>
    </row>
    <row r="1345" customFormat="false" ht="15" hidden="false" customHeight="false" outlineLevel="0" collapsed="false">
      <c r="A1345" s="18"/>
      <c r="B1345" s="16"/>
      <c r="C1345" s="16"/>
      <c r="D1345" s="51" t="str">
        <f aca="false">IF(C1345="","",IFERROR(IF(LEFT(C1345,1)="L",INDEX('Leads Pipeline'!$F$5:$F$1004,MATCH(C1345,'Leads Pipeline'!$A$5:$A$1004,0)),INDEX('Active Clients'!$D$5:$D$504,MATCH(C1345,'Active Clients'!$A$5:$A$504,0)))&amp;"","ID not found"))</f>
        <v/>
      </c>
      <c r="E1345" s="51" t="str">
        <f aca="false">IF(C1345="","",IFERROR(IF(LEFT(C1345,1)="L",INDEX('Leads Pipeline'!$D$5:$D$1004,MATCH(C1345,'Leads Pipeline'!$A$5:$A$1004,0)),INDEX('Active Clients'!$B$5:$B$504,MATCH(C1345,'Active Clients'!$A$5:$A$504,0)))&amp;"","ID not found"))</f>
        <v/>
      </c>
      <c r="F1345" s="51" t="str">
        <f aca="false">IF(C1345="","",IFERROR(IF(LEFT(C1345,1)="L",INDEX('Leads Pipeline'!$E$5:$E$1004,MATCH(C1345,'Leads Pipeline'!$A$5:$A$1004,0)),INDEX('Active Clients'!$C$5:$C$504,MATCH(C1345,'Active Clients'!$A$5:$A$504,0)))&amp;"","ID not found"))</f>
        <v/>
      </c>
      <c r="G1345" s="16"/>
      <c r="H1345" s="16"/>
      <c r="I1345" s="16"/>
      <c r="J1345" s="16"/>
      <c r="K1345" s="16"/>
      <c r="L1345" s="18"/>
    </row>
    <row r="1346" customFormat="false" ht="15" hidden="false" customHeight="false" outlineLevel="0" collapsed="false">
      <c r="A1346" s="18"/>
      <c r="B1346" s="16"/>
      <c r="C1346" s="16"/>
      <c r="D1346" s="51" t="str">
        <f aca="false">IF(C1346="","",IFERROR(IF(LEFT(C1346,1)="L",INDEX('Leads Pipeline'!$F$5:$F$1004,MATCH(C1346,'Leads Pipeline'!$A$5:$A$1004,0)),INDEX('Active Clients'!$D$5:$D$504,MATCH(C1346,'Active Clients'!$A$5:$A$504,0)))&amp;"","ID not found"))</f>
        <v/>
      </c>
      <c r="E1346" s="51" t="str">
        <f aca="false">IF(C1346="","",IFERROR(IF(LEFT(C1346,1)="L",INDEX('Leads Pipeline'!$D$5:$D$1004,MATCH(C1346,'Leads Pipeline'!$A$5:$A$1004,0)),INDEX('Active Clients'!$B$5:$B$504,MATCH(C1346,'Active Clients'!$A$5:$A$504,0)))&amp;"","ID not found"))</f>
        <v/>
      </c>
      <c r="F1346" s="51" t="str">
        <f aca="false">IF(C1346="","",IFERROR(IF(LEFT(C1346,1)="L",INDEX('Leads Pipeline'!$E$5:$E$1004,MATCH(C1346,'Leads Pipeline'!$A$5:$A$1004,0)),INDEX('Active Clients'!$C$5:$C$504,MATCH(C1346,'Active Clients'!$A$5:$A$504,0)))&amp;"","ID not found"))</f>
        <v/>
      </c>
      <c r="G1346" s="16"/>
      <c r="H1346" s="16"/>
      <c r="I1346" s="16"/>
      <c r="J1346" s="16"/>
      <c r="K1346" s="16"/>
      <c r="L1346" s="18"/>
    </row>
    <row r="1347" customFormat="false" ht="15" hidden="false" customHeight="false" outlineLevel="0" collapsed="false">
      <c r="A1347" s="18"/>
      <c r="B1347" s="16"/>
      <c r="C1347" s="16"/>
      <c r="D1347" s="51" t="str">
        <f aca="false">IF(C1347="","",IFERROR(IF(LEFT(C1347,1)="L",INDEX('Leads Pipeline'!$F$5:$F$1004,MATCH(C1347,'Leads Pipeline'!$A$5:$A$1004,0)),INDEX('Active Clients'!$D$5:$D$504,MATCH(C1347,'Active Clients'!$A$5:$A$504,0)))&amp;"","ID not found"))</f>
        <v/>
      </c>
      <c r="E1347" s="51" t="str">
        <f aca="false">IF(C1347="","",IFERROR(IF(LEFT(C1347,1)="L",INDEX('Leads Pipeline'!$D$5:$D$1004,MATCH(C1347,'Leads Pipeline'!$A$5:$A$1004,0)),INDEX('Active Clients'!$B$5:$B$504,MATCH(C1347,'Active Clients'!$A$5:$A$504,0)))&amp;"","ID not found"))</f>
        <v/>
      </c>
      <c r="F1347" s="51" t="str">
        <f aca="false">IF(C1347="","",IFERROR(IF(LEFT(C1347,1)="L",INDEX('Leads Pipeline'!$E$5:$E$1004,MATCH(C1347,'Leads Pipeline'!$A$5:$A$1004,0)),INDEX('Active Clients'!$C$5:$C$504,MATCH(C1347,'Active Clients'!$A$5:$A$504,0)))&amp;"","ID not found"))</f>
        <v/>
      </c>
      <c r="G1347" s="16"/>
      <c r="H1347" s="16"/>
      <c r="I1347" s="16"/>
      <c r="J1347" s="16"/>
      <c r="K1347" s="16"/>
      <c r="L1347" s="18"/>
    </row>
    <row r="1348" customFormat="false" ht="15" hidden="false" customHeight="false" outlineLevel="0" collapsed="false">
      <c r="A1348" s="18"/>
      <c r="B1348" s="16"/>
      <c r="C1348" s="16"/>
      <c r="D1348" s="51" t="str">
        <f aca="false">IF(C1348="","",IFERROR(IF(LEFT(C1348,1)="L",INDEX('Leads Pipeline'!$F$5:$F$1004,MATCH(C1348,'Leads Pipeline'!$A$5:$A$1004,0)),INDEX('Active Clients'!$D$5:$D$504,MATCH(C1348,'Active Clients'!$A$5:$A$504,0)))&amp;"","ID not found"))</f>
        <v/>
      </c>
      <c r="E1348" s="51" t="str">
        <f aca="false">IF(C1348="","",IFERROR(IF(LEFT(C1348,1)="L",INDEX('Leads Pipeline'!$D$5:$D$1004,MATCH(C1348,'Leads Pipeline'!$A$5:$A$1004,0)),INDEX('Active Clients'!$B$5:$B$504,MATCH(C1348,'Active Clients'!$A$5:$A$504,0)))&amp;"","ID not found"))</f>
        <v/>
      </c>
      <c r="F1348" s="51" t="str">
        <f aca="false">IF(C1348="","",IFERROR(IF(LEFT(C1348,1)="L",INDEX('Leads Pipeline'!$E$5:$E$1004,MATCH(C1348,'Leads Pipeline'!$A$5:$A$1004,0)),INDEX('Active Clients'!$C$5:$C$504,MATCH(C1348,'Active Clients'!$A$5:$A$504,0)))&amp;"","ID not found"))</f>
        <v/>
      </c>
      <c r="G1348" s="16"/>
      <c r="H1348" s="16"/>
      <c r="I1348" s="16"/>
      <c r="J1348" s="16"/>
      <c r="K1348" s="16"/>
      <c r="L1348" s="18"/>
    </row>
    <row r="1349" customFormat="false" ht="15" hidden="false" customHeight="false" outlineLevel="0" collapsed="false">
      <c r="A1349" s="18"/>
      <c r="B1349" s="16"/>
      <c r="C1349" s="16"/>
      <c r="D1349" s="51" t="str">
        <f aca="false">IF(C1349="","",IFERROR(IF(LEFT(C1349,1)="L",INDEX('Leads Pipeline'!$F$5:$F$1004,MATCH(C1349,'Leads Pipeline'!$A$5:$A$1004,0)),INDEX('Active Clients'!$D$5:$D$504,MATCH(C1349,'Active Clients'!$A$5:$A$504,0)))&amp;"","ID not found"))</f>
        <v/>
      </c>
      <c r="E1349" s="51" t="str">
        <f aca="false">IF(C1349="","",IFERROR(IF(LEFT(C1349,1)="L",INDEX('Leads Pipeline'!$D$5:$D$1004,MATCH(C1349,'Leads Pipeline'!$A$5:$A$1004,0)),INDEX('Active Clients'!$B$5:$B$504,MATCH(C1349,'Active Clients'!$A$5:$A$504,0)))&amp;"","ID not found"))</f>
        <v/>
      </c>
      <c r="F1349" s="51" t="str">
        <f aca="false">IF(C1349="","",IFERROR(IF(LEFT(C1349,1)="L",INDEX('Leads Pipeline'!$E$5:$E$1004,MATCH(C1349,'Leads Pipeline'!$A$5:$A$1004,0)),INDEX('Active Clients'!$C$5:$C$504,MATCH(C1349,'Active Clients'!$A$5:$A$504,0)))&amp;"","ID not found"))</f>
        <v/>
      </c>
      <c r="G1349" s="16"/>
      <c r="H1349" s="16"/>
      <c r="I1349" s="16"/>
      <c r="J1349" s="16"/>
      <c r="K1349" s="16"/>
      <c r="L1349" s="18"/>
    </row>
    <row r="1350" customFormat="false" ht="15" hidden="false" customHeight="false" outlineLevel="0" collapsed="false">
      <c r="A1350" s="18"/>
      <c r="B1350" s="16"/>
      <c r="C1350" s="16"/>
      <c r="D1350" s="51" t="str">
        <f aca="false">IF(C1350="","",IFERROR(IF(LEFT(C1350,1)="L",INDEX('Leads Pipeline'!$F$5:$F$1004,MATCH(C1350,'Leads Pipeline'!$A$5:$A$1004,0)),INDEX('Active Clients'!$D$5:$D$504,MATCH(C1350,'Active Clients'!$A$5:$A$504,0)))&amp;"","ID not found"))</f>
        <v/>
      </c>
      <c r="E1350" s="51" t="str">
        <f aca="false">IF(C1350="","",IFERROR(IF(LEFT(C1350,1)="L",INDEX('Leads Pipeline'!$D$5:$D$1004,MATCH(C1350,'Leads Pipeline'!$A$5:$A$1004,0)),INDEX('Active Clients'!$B$5:$B$504,MATCH(C1350,'Active Clients'!$A$5:$A$504,0)))&amp;"","ID not found"))</f>
        <v/>
      </c>
      <c r="F1350" s="51" t="str">
        <f aca="false">IF(C1350="","",IFERROR(IF(LEFT(C1350,1)="L",INDEX('Leads Pipeline'!$E$5:$E$1004,MATCH(C1350,'Leads Pipeline'!$A$5:$A$1004,0)),INDEX('Active Clients'!$C$5:$C$504,MATCH(C1350,'Active Clients'!$A$5:$A$504,0)))&amp;"","ID not found"))</f>
        <v/>
      </c>
      <c r="G1350" s="16"/>
      <c r="H1350" s="16"/>
      <c r="I1350" s="16"/>
      <c r="J1350" s="16"/>
      <c r="K1350" s="16"/>
      <c r="L1350" s="18"/>
    </row>
    <row r="1351" customFormat="false" ht="15" hidden="false" customHeight="false" outlineLevel="0" collapsed="false">
      <c r="A1351" s="18"/>
      <c r="B1351" s="16"/>
      <c r="C1351" s="16"/>
      <c r="D1351" s="51" t="str">
        <f aca="false">IF(C1351="","",IFERROR(IF(LEFT(C1351,1)="L",INDEX('Leads Pipeline'!$F$5:$F$1004,MATCH(C1351,'Leads Pipeline'!$A$5:$A$1004,0)),INDEX('Active Clients'!$D$5:$D$504,MATCH(C1351,'Active Clients'!$A$5:$A$504,0)))&amp;"","ID not found"))</f>
        <v/>
      </c>
      <c r="E1351" s="51" t="str">
        <f aca="false">IF(C1351="","",IFERROR(IF(LEFT(C1351,1)="L",INDEX('Leads Pipeline'!$D$5:$D$1004,MATCH(C1351,'Leads Pipeline'!$A$5:$A$1004,0)),INDEX('Active Clients'!$B$5:$B$504,MATCH(C1351,'Active Clients'!$A$5:$A$504,0)))&amp;"","ID not found"))</f>
        <v/>
      </c>
      <c r="F1351" s="51" t="str">
        <f aca="false">IF(C1351="","",IFERROR(IF(LEFT(C1351,1)="L",INDEX('Leads Pipeline'!$E$5:$E$1004,MATCH(C1351,'Leads Pipeline'!$A$5:$A$1004,0)),INDEX('Active Clients'!$C$5:$C$504,MATCH(C1351,'Active Clients'!$A$5:$A$504,0)))&amp;"","ID not found"))</f>
        <v/>
      </c>
      <c r="G1351" s="16"/>
      <c r="H1351" s="16"/>
      <c r="I1351" s="16"/>
      <c r="J1351" s="16"/>
      <c r="K1351" s="16"/>
      <c r="L1351" s="18"/>
    </row>
    <row r="1352" customFormat="false" ht="15" hidden="false" customHeight="false" outlineLevel="0" collapsed="false">
      <c r="A1352" s="18"/>
      <c r="B1352" s="16"/>
      <c r="C1352" s="16"/>
      <c r="D1352" s="51" t="str">
        <f aca="false">IF(C1352="","",IFERROR(IF(LEFT(C1352,1)="L",INDEX('Leads Pipeline'!$F$5:$F$1004,MATCH(C1352,'Leads Pipeline'!$A$5:$A$1004,0)),INDEX('Active Clients'!$D$5:$D$504,MATCH(C1352,'Active Clients'!$A$5:$A$504,0)))&amp;"","ID not found"))</f>
        <v/>
      </c>
      <c r="E1352" s="51" t="str">
        <f aca="false">IF(C1352="","",IFERROR(IF(LEFT(C1352,1)="L",INDEX('Leads Pipeline'!$D$5:$D$1004,MATCH(C1352,'Leads Pipeline'!$A$5:$A$1004,0)),INDEX('Active Clients'!$B$5:$B$504,MATCH(C1352,'Active Clients'!$A$5:$A$504,0)))&amp;"","ID not found"))</f>
        <v/>
      </c>
      <c r="F1352" s="51" t="str">
        <f aca="false">IF(C1352="","",IFERROR(IF(LEFT(C1352,1)="L",INDEX('Leads Pipeline'!$E$5:$E$1004,MATCH(C1352,'Leads Pipeline'!$A$5:$A$1004,0)),INDEX('Active Clients'!$C$5:$C$504,MATCH(C1352,'Active Clients'!$A$5:$A$504,0)))&amp;"","ID not found"))</f>
        <v/>
      </c>
      <c r="G1352" s="16"/>
      <c r="H1352" s="16"/>
      <c r="I1352" s="16"/>
      <c r="J1352" s="16"/>
      <c r="K1352" s="16"/>
      <c r="L1352" s="18"/>
    </row>
    <row r="1353" customFormat="false" ht="15" hidden="false" customHeight="false" outlineLevel="0" collapsed="false">
      <c r="A1353" s="18"/>
      <c r="B1353" s="16"/>
      <c r="C1353" s="16"/>
      <c r="D1353" s="51" t="str">
        <f aca="false">IF(C1353="","",IFERROR(IF(LEFT(C1353,1)="L",INDEX('Leads Pipeline'!$F$5:$F$1004,MATCH(C1353,'Leads Pipeline'!$A$5:$A$1004,0)),INDEX('Active Clients'!$D$5:$D$504,MATCH(C1353,'Active Clients'!$A$5:$A$504,0)))&amp;"","ID not found"))</f>
        <v/>
      </c>
      <c r="E1353" s="51" t="str">
        <f aca="false">IF(C1353="","",IFERROR(IF(LEFT(C1353,1)="L",INDEX('Leads Pipeline'!$D$5:$D$1004,MATCH(C1353,'Leads Pipeline'!$A$5:$A$1004,0)),INDEX('Active Clients'!$B$5:$B$504,MATCH(C1353,'Active Clients'!$A$5:$A$504,0)))&amp;"","ID not found"))</f>
        <v/>
      </c>
      <c r="F1353" s="51" t="str">
        <f aca="false">IF(C1353="","",IFERROR(IF(LEFT(C1353,1)="L",INDEX('Leads Pipeline'!$E$5:$E$1004,MATCH(C1353,'Leads Pipeline'!$A$5:$A$1004,0)),INDEX('Active Clients'!$C$5:$C$504,MATCH(C1353,'Active Clients'!$A$5:$A$504,0)))&amp;"","ID not found"))</f>
        <v/>
      </c>
      <c r="G1353" s="16"/>
      <c r="H1353" s="16"/>
      <c r="I1353" s="16"/>
      <c r="J1353" s="16"/>
      <c r="K1353" s="16"/>
      <c r="L1353" s="18"/>
    </row>
    <row r="1354" customFormat="false" ht="15" hidden="false" customHeight="false" outlineLevel="0" collapsed="false">
      <c r="A1354" s="18"/>
      <c r="B1354" s="16"/>
      <c r="C1354" s="16"/>
      <c r="D1354" s="51" t="str">
        <f aca="false">IF(C1354="","",IFERROR(IF(LEFT(C1354,1)="L",INDEX('Leads Pipeline'!$F$5:$F$1004,MATCH(C1354,'Leads Pipeline'!$A$5:$A$1004,0)),INDEX('Active Clients'!$D$5:$D$504,MATCH(C1354,'Active Clients'!$A$5:$A$504,0)))&amp;"","ID not found"))</f>
        <v/>
      </c>
      <c r="E1354" s="51" t="str">
        <f aca="false">IF(C1354="","",IFERROR(IF(LEFT(C1354,1)="L",INDEX('Leads Pipeline'!$D$5:$D$1004,MATCH(C1354,'Leads Pipeline'!$A$5:$A$1004,0)),INDEX('Active Clients'!$B$5:$B$504,MATCH(C1354,'Active Clients'!$A$5:$A$504,0)))&amp;"","ID not found"))</f>
        <v/>
      </c>
      <c r="F1354" s="51" t="str">
        <f aca="false">IF(C1354="","",IFERROR(IF(LEFT(C1354,1)="L",INDEX('Leads Pipeline'!$E$5:$E$1004,MATCH(C1354,'Leads Pipeline'!$A$5:$A$1004,0)),INDEX('Active Clients'!$C$5:$C$504,MATCH(C1354,'Active Clients'!$A$5:$A$504,0)))&amp;"","ID not found"))</f>
        <v/>
      </c>
      <c r="G1354" s="16"/>
      <c r="H1354" s="16"/>
      <c r="I1354" s="16"/>
      <c r="J1354" s="16"/>
      <c r="K1354" s="16"/>
      <c r="L1354" s="18"/>
    </row>
    <row r="1355" customFormat="false" ht="15" hidden="false" customHeight="false" outlineLevel="0" collapsed="false">
      <c r="A1355" s="18"/>
      <c r="B1355" s="16"/>
      <c r="C1355" s="16"/>
      <c r="D1355" s="51" t="str">
        <f aca="false">IF(C1355="","",IFERROR(IF(LEFT(C1355,1)="L",INDEX('Leads Pipeline'!$F$5:$F$1004,MATCH(C1355,'Leads Pipeline'!$A$5:$A$1004,0)),INDEX('Active Clients'!$D$5:$D$504,MATCH(C1355,'Active Clients'!$A$5:$A$504,0)))&amp;"","ID not found"))</f>
        <v/>
      </c>
      <c r="E1355" s="51" t="str">
        <f aca="false">IF(C1355="","",IFERROR(IF(LEFT(C1355,1)="L",INDEX('Leads Pipeline'!$D$5:$D$1004,MATCH(C1355,'Leads Pipeline'!$A$5:$A$1004,0)),INDEX('Active Clients'!$B$5:$B$504,MATCH(C1355,'Active Clients'!$A$5:$A$504,0)))&amp;"","ID not found"))</f>
        <v/>
      </c>
      <c r="F1355" s="51" t="str">
        <f aca="false">IF(C1355="","",IFERROR(IF(LEFT(C1355,1)="L",INDEX('Leads Pipeline'!$E$5:$E$1004,MATCH(C1355,'Leads Pipeline'!$A$5:$A$1004,0)),INDEX('Active Clients'!$C$5:$C$504,MATCH(C1355,'Active Clients'!$A$5:$A$504,0)))&amp;"","ID not found"))</f>
        <v/>
      </c>
      <c r="G1355" s="16"/>
      <c r="H1355" s="16"/>
      <c r="I1355" s="16"/>
      <c r="J1355" s="16"/>
      <c r="K1355" s="16"/>
      <c r="L1355" s="18"/>
    </row>
    <row r="1356" customFormat="false" ht="15" hidden="false" customHeight="false" outlineLevel="0" collapsed="false">
      <c r="A1356" s="18"/>
      <c r="B1356" s="16"/>
      <c r="C1356" s="16"/>
      <c r="D1356" s="51" t="str">
        <f aca="false">IF(C1356="","",IFERROR(IF(LEFT(C1356,1)="L",INDEX('Leads Pipeline'!$F$5:$F$1004,MATCH(C1356,'Leads Pipeline'!$A$5:$A$1004,0)),INDEX('Active Clients'!$D$5:$D$504,MATCH(C1356,'Active Clients'!$A$5:$A$504,0)))&amp;"","ID not found"))</f>
        <v/>
      </c>
      <c r="E1356" s="51" t="str">
        <f aca="false">IF(C1356="","",IFERROR(IF(LEFT(C1356,1)="L",INDEX('Leads Pipeline'!$D$5:$D$1004,MATCH(C1356,'Leads Pipeline'!$A$5:$A$1004,0)),INDEX('Active Clients'!$B$5:$B$504,MATCH(C1356,'Active Clients'!$A$5:$A$504,0)))&amp;"","ID not found"))</f>
        <v/>
      </c>
      <c r="F1356" s="51" t="str">
        <f aca="false">IF(C1356="","",IFERROR(IF(LEFT(C1356,1)="L",INDEX('Leads Pipeline'!$E$5:$E$1004,MATCH(C1356,'Leads Pipeline'!$A$5:$A$1004,0)),INDEX('Active Clients'!$C$5:$C$504,MATCH(C1356,'Active Clients'!$A$5:$A$504,0)))&amp;"","ID not found"))</f>
        <v/>
      </c>
      <c r="G1356" s="16"/>
      <c r="H1356" s="16"/>
      <c r="I1356" s="16"/>
      <c r="J1356" s="16"/>
      <c r="K1356" s="16"/>
      <c r="L1356" s="18"/>
    </row>
    <row r="1357" customFormat="false" ht="15" hidden="false" customHeight="false" outlineLevel="0" collapsed="false">
      <c r="A1357" s="18"/>
      <c r="B1357" s="16"/>
      <c r="C1357" s="16"/>
      <c r="D1357" s="51" t="str">
        <f aca="false">IF(C1357="","",IFERROR(IF(LEFT(C1357,1)="L",INDEX('Leads Pipeline'!$F$5:$F$1004,MATCH(C1357,'Leads Pipeline'!$A$5:$A$1004,0)),INDEX('Active Clients'!$D$5:$D$504,MATCH(C1357,'Active Clients'!$A$5:$A$504,0)))&amp;"","ID not found"))</f>
        <v/>
      </c>
      <c r="E1357" s="51" t="str">
        <f aca="false">IF(C1357="","",IFERROR(IF(LEFT(C1357,1)="L",INDEX('Leads Pipeline'!$D$5:$D$1004,MATCH(C1357,'Leads Pipeline'!$A$5:$A$1004,0)),INDEX('Active Clients'!$B$5:$B$504,MATCH(C1357,'Active Clients'!$A$5:$A$504,0)))&amp;"","ID not found"))</f>
        <v/>
      </c>
      <c r="F1357" s="51" t="str">
        <f aca="false">IF(C1357="","",IFERROR(IF(LEFT(C1357,1)="L",INDEX('Leads Pipeline'!$E$5:$E$1004,MATCH(C1357,'Leads Pipeline'!$A$5:$A$1004,0)),INDEX('Active Clients'!$C$5:$C$504,MATCH(C1357,'Active Clients'!$A$5:$A$504,0)))&amp;"","ID not found"))</f>
        <v/>
      </c>
      <c r="G1357" s="16"/>
      <c r="H1357" s="16"/>
      <c r="I1357" s="16"/>
      <c r="J1357" s="16"/>
      <c r="K1357" s="16"/>
      <c r="L1357" s="18"/>
    </row>
    <row r="1358" customFormat="false" ht="15" hidden="false" customHeight="false" outlineLevel="0" collapsed="false">
      <c r="A1358" s="18"/>
      <c r="B1358" s="16"/>
      <c r="C1358" s="16"/>
      <c r="D1358" s="51" t="str">
        <f aca="false">IF(C1358="","",IFERROR(IF(LEFT(C1358,1)="L",INDEX('Leads Pipeline'!$F$5:$F$1004,MATCH(C1358,'Leads Pipeline'!$A$5:$A$1004,0)),INDEX('Active Clients'!$D$5:$D$504,MATCH(C1358,'Active Clients'!$A$5:$A$504,0)))&amp;"","ID not found"))</f>
        <v/>
      </c>
      <c r="E1358" s="51" t="str">
        <f aca="false">IF(C1358="","",IFERROR(IF(LEFT(C1358,1)="L",INDEX('Leads Pipeline'!$D$5:$D$1004,MATCH(C1358,'Leads Pipeline'!$A$5:$A$1004,0)),INDEX('Active Clients'!$B$5:$B$504,MATCH(C1358,'Active Clients'!$A$5:$A$504,0)))&amp;"","ID not found"))</f>
        <v/>
      </c>
      <c r="F1358" s="51" t="str">
        <f aca="false">IF(C1358="","",IFERROR(IF(LEFT(C1358,1)="L",INDEX('Leads Pipeline'!$E$5:$E$1004,MATCH(C1358,'Leads Pipeline'!$A$5:$A$1004,0)),INDEX('Active Clients'!$C$5:$C$504,MATCH(C1358,'Active Clients'!$A$5:$A$504,0)))&amp;"","ID not found"))</f>
        <v/>
      </c>
      <c r="G1358" s="16"/>
      <c r="H1358" s="16"/>
      <c r="I1358" s="16"/>
      <c r="J1358" s="16"/>
      <c r="K1358" s="16"/>
      <c r="L1358" s="18"/>
    </row>
    <row r="1359" customFormat="false" ht="15" hidden="false" customHeight="false" outlineLevel="0" collapsed="false">
      <c r="A1359" s="18"/>
      <c r="B1359" s="16"/>
      <c r="C1359" s="16"/>
      <c r="D1359" s="51" t="str">
        <f aca="false">IF(C1359="","",IFERROR(IF(LEFT(C1359,1)="L",INDEX('Leads Pipeline'!$F$5:$F$1004,MATCH(C1359,'Leads Pipeline'!$A$5:$A$1004,0)),INDEX('Active Clients'!$D$5:$D$504,MATCH(C1359,'Active Clients'!$A$5:$A$504,0)))&amp;"","ID not found"))</f>
        <v/>
      </c>
      <c r="E1359" s="51" t="str">
        <f aca="false">IF(C1359="","",IFERROR(IF(LEFT(C1359,1)="L",INDEX('Leads Pipeline'!$D$5:$D$1004,MATCH(C1359,'Leads Pipeline'!$A$5:$A$1004,0)),INDEX('Active Clients'!$B$5:$B$504,MATCH(C1359,'Active Clients'!$A$5:$A$504,0)))&amp;"","ID not found"))</f>
        <v/>
      </c>
      <c r="F1359" s="51" t="str">
        <f aca="false">IF(C1359="","",IFERROR(IF(LEFT(C1359,1)="L",INDEX('Leads Pipeline'!$E$5:$E$1004,MATCH(C1359,'Leads Pipeline'!$A$5:$A$1004,0)),INDEX('Active Clients'!$C$5:$C$504,MATCH(C1359,'Active Clients'!$A$5:$A$504,0)))&amp;"","ID not found"))</f>
        <v/>
      </c>
      <c r="G1359" s="16"/>
      <c r="H1359" s="16"/>
      <c r="I1359" s="16"/>
      <c r="J1359" s="16"/>
      <c r="K1359" s="16"/>
      <c r="L1359" s="18"/>
    </row>
    <row r="1360" customFormat="false" ht="15" hidden="false" customHeight="false" outlineLevel="0" collapsed="false">
      <c r="A1360" s="18"/>
      <c r="B1360" s="16"/>
      <c r="C1360" s="16"/>
      <c r="D1360" s="51" t="str">
        <f aca="false">IF(C1360="","",IFERROR(IF(LEFT(C1360,1)="L",INDEX('Leads Pipeline'!$F$5:$F$1004,MATCH(C1360,'Leads Pipeline'!$A$5:$A$1004,0)),INDEX('Active Clients'!$D$5:$D$504,MATCH(C1360,'Active Clients'!$A$5:$A$504,0)))&amp;"","ID not found"))</f>
        <v/>
      </c>
      <c r="E1360" s="51" t="str">
        <f aca="false">IF(C1360="","",IFERROR(IF(LEFT(C1360,1)="L",INDEX('Leads Pipeline'!$D$5:$D$1004,MATCH(C1360,'Leads Pipeline'!$A$5:$A$1004,0)),INDEX('Active Clients'!$B$5:$B$504,MATCH(C1360,'Active Clients'!$A$5:$A$504,0)))&amp;"","ID not found"))</f>
        <v/>
      </c>
      <c r="F1360" s="51" t="str">
        <f aca="false">IF(C1360="","",IFERROR(IF(LEFT(C1360,1)="L",INDEX('Leads Pipeline'!$E$5:$E$1004,MATCH(C1360,'Leads Pipeline'!$A$5:$A$1004,0)),INDEX('Active Clients'!$C$5:$C$504,MATCH(C1360,'Active Clients'!$A$5:$A$504,0)))&amp;"","ID not found"))</f>
        <v/>
      </c>
      <c r="G1360" s="16"/>
      <c r="H1360" s="16"/>
      <c r="I1360" s="16"/>
      <c r="J1360" s="16"/>
      <c r="K1360" s="16"/>
      <c r="L1360" s="18"/>
    </row>
    <row r="1361" customFormat="false" ht="15" hidden="false" customHeight="false" outlineLevel="0" collapsed="false">
      <c r="A1361" s="18"/>
      <c r="B1361" s="16"/>
      <c r="C1361" s="16"/>
      <c r="D1361" s="51" t="str">
        <f aca="false">IF(C1361="","",IFERROR(IF(LEFT(C1361,1)="L",INDEX('Leads Pipeline'!$F$5:$F$1004,MATCH(C1361,'Leads Pipeline'!$A$5:$A$1004,0)),INDEX('Active Clients'!$D$5:$D$504,MATCH(C1361,'Active Clients'!$A$5:$A$504,0)))&amp;"","ID not found"))</f>
        <v/>
      </c>
      <c r="E1361" s="51" t="str">
        <f aca="false">IF(C1361="","",IFERROR(IF(LEFT(C1361,1)="L",INDEX('Leads Pipeline'!$D$5:$D$1004,MATCH(C1361,'Leads Pipeline'!$A$5:$A$1004,0)),INDEX('Active Clients'!$B$5:$B$504,MATCH(C1361,'Active Clients'!$A$5:$A$504,0)))&amp;"","ID not found"))</f>
        <v/>
      </c>
      <c r="F1361" s="51" t="str">
        <f aca="false">IF(C1361="","",IFERROR(IF(LEFT(C1361,1)="L",INDEX('Leads Pipeline'!$E$5:$E$1004,MATCH(C1361,'Leads Pipeline'!$A$5:$A$1004,0)),INDEX('Active Clients'!$C$5:$C$504,MATCH(C1361,'Active Clients'!$A$5:$A$504,0)))&amp;"","ID not found"))</f>
        <v/>
      </c>
      <c r="G1361" s="16"/>
      <c r="H1361" s="16"/>
      <c r="I1361" s="16"/>
      <c r="J1361" s="16"/>
      <c r="K1361" s="16"/>
      <c r="L1361" s="18"/>
    </row>
    <row r="1362" customFormat="false" ht="15" hidden="false" customHeight="false" outlineLevel="0" collapsed="false">
      <c r="A1362" s="18"/>
      <c r="B1362" s="16"/>
      <c r="C1362" s="16"/>
      <c r="D1362" s="51" t="str">
        <f aca="false">IF(C1362="","",IFERROR(IF(LEFT(C1362,1)="L",INDEX('Leads Pipeline'!$F$5:$F$1004,MATCH(C1362,'Leads Pipeline'!$A$5:$A$1004,0)),INDEX('Active Clients'!$D$5:$D$504,MATCH(C1362,'Active Clients'!$A$5:$A$504,0)))&amp;"","ID not found"))</f>
        <v/>
      </c>
      <c r="E1362" s="51" t="str">
        <f aca="false">IF(C1362="","",IFERROR(IF(LEFT(C1362,1)="L",INDEX('Leads Pipeline'!$D$5:$D$1004,MATCH(C1362,'Leads Pipeline'!$A$5:$A$1004,0)),INDEX('Active Clients'!$B$5:$B$504,MATCH(C1362,'Active Clients'!$A$5:$A$504,0)))&amp;"","ID not found"))</f>
        <v/>
      </c>
      <c r="F1362" s="51" t="str">
        <f aca="false">IF(C1362="","",IFERROR(IF(LEFT(C1362,1)="L",INDEX('Leads Pipeline'!$E$5:$E$1004,MATCH(C1362,'Leads Pipeline'!$A$5:$A$1004,0)),INDEX('Active Clients'!$C$5:$C$504,MATCH(C1362,'Active Clients'!$A$5:$A$504,0)))&amp;"","ID not found"))</f>
        <v/>
      </c>
      <c r="G1362" s="16"/>
      <c r="H1362" s="16"/>
      <c r="I1362" s="16"/>
      <c r="J1362" s="16"/>
      <c r="K1362" s="16"/>
      <c r="L1362" s="18"/>
    </row>
    <row r="1363" customFormat="false" ht="15" hidden="false" customHeight="false" outlineLevel="0" collapsed="false">
      <c r="A1363" s="18"/>
      <c r="B1363" s="16"/>
      <c r="C1363" s="16"/>
      <c r="D1363" s="51" t="str">
        <f aca="false">IF(C1363="","",IFERROR(IF(LEFT(C1363,1)="L",INDEX('Leads Pipeline'!$F$5:$F$1004,MATCH(C1363,'Leads Pipeline'!$A$5:$A$1004,0)),INDEX('Active Clients'!$D$5:$D$504,MATCH(C1363,'Active Clients'!$A$5:$A$504,0)))&amp;"","ID not found"))</f>
        <v/>
      </c>
      <c r="E1363" s="51" t="str">
        <f aca="false">IF(C1363="","",IFERROR(IF(LEFT(C1363,1)="L",INDEX('Leads Pipeline'!$D$5:$D$1004,MATCH(C1363,'Leads Pipeline'!$A$5:$A$1004,0)),INDEX('Active Clients'!$B$5:$B$504,MATCH(C1363,'Active Clients'!$A$5:$A$504,0)))&amp;"","ID not found"))</f>
        <v/>
      </c>
      <c r="F1363" s="51" t="str">
        <f aca="false">IF(C1363="","",IFERROR(IF(LEFT(C1363,1)="L",INDEX('Leads Pipeline'!$E$5:$E$1004,MATCH(C1363,'Leads Pipeline'!$A$5:$A$1004,0)),INDEX('Active Clients'!$C$5:$C$504,MATCH(C1363,'Active Clients'!$A$5:$A$504,0)))&amp;"","ID not found"))</f>
        <v/>
      </c>
      <c r="G1363" s="16"/>
      <c r="H1363" s="16"/>
      <c r="I1363" s="16"/>
      <c r="J1363" s="16"/>
      <c r="K1363" s="16"/>
      <c r="L1363" s="18"/>
    </row>
    <row r="1364" customFormat="false" ht="15" hidden="false" customHeight="false" outlineLevel="0" collapsed="false">
      <c r="A1364" s="18"/>
      <c r="B1364" s="16"/>
      <c r="C1364" s="16"/>
      <c r="D1364" s="51" t="str">
        <f aca="false">IF(C1364="","",IFERROR(IF(LEFT(C1364,1)="L",INDEX('Leads Pipeline'!$F$5:$F$1004,MATCH(C1364,'Leads Pipeline'!$A$5:$A$1004,0)),INDEX('Active Clients'!$D$5:$D$504,MATCH(C1364,'Active Clients'!$A$5:$A$504,0)))&amp;"","ID not found"))</f>
        <v/>
      </c>
      <c r="E1364" s="51" t="str">
        <f aca="false">IF(C1364="","",IFERROR(IF(LEFT(C1364,1)="L",INDEX('Leads Pipeline'!$D$5:$D$1004,MATCH(C1364,'Leads Pipeline'!$A$5:$A$1004,0)),INDEX('Active Clients'!$B$5:$B$504,MATCH(C1364,'Active Clients'!$A$5:$A$504,0)))&amp;"","ID not found"))</f>
        <v/>
      </c>
      <c r="F1364" s="51" t="str">
        <f aca="false">IF(C1364="","",IFERROR(IF(LEFT(C1364,1)="L",INDEX('Leads Pipeline'!$E$5:$E$1004,MATCH(C1364,'Leads Pipeline'!$A$5:$A$1004,0)),INDEX('Active Clients'!$C$5:$C$504,MATCH(C1364,'Active Clients'!$A$5:$A$504,0)))&amp;"","ID not found"))</f>
        <v/>
      </c>
      <c r="G1364" s="16"/>
      <c r="H1364" s="16"/>
      <c r="I1364" s="16"/>
      <c r="J1364" s="16"/>
      <c r="K1364" s="16"/>
      <c r="L1364" s="18"/>
    </row>
    <row r="1365" customFormat="false" ht="15" hidden="false" customHeight="false" outlineLevel="0" collapsed="false">
      <c r="A1365" s="18"/>
      <c r="B1365" s="16"/>
      <c r="C1365" s="16"/>
      <c r="D1365" s="51" t="str">
        <f aca="false">IF(C1365="","",IFERROR(IF(LEFT(C1365,1)="L",INDEX('Leads Pipeline'!$F$5:$F$1004,MATCH(C1365,'Leads Pipeline'!$A$5:$A$1004,0)),INDEX('Active Clients'!$D$5:$D$504,MATCH(C1365,'Active Clients'!$A$5:$A$504,0)))&amp;"","ID not found"))</f>
        <v/>
      </c>
      <c r="E1365" s="51" t="str">
        <f aca="false">IF(C1365="","",IFERROR(IF(LEFT(C1365,1)="L",INDEX('Leads Pipeline'!$D$5:$D$1004,MATCH(C1365,'Leads Pipeline'!$A$5:$A$1004,0)),INDEX('Active Clients'!$B$5:$B$504,MATCH(C1365,'Active Clients'!$A$5:$A$504,0)))&amp;"","ID not found"))</f>
        <v/>
      </c>
      <c r="F1365" s="51" t="str">
        <f aca="false">IF(C1365="","",IFERROR(IF(LEFT(C1365,1)="L",INDEX('Leads Pipeline'!$E$5:$E$1004,MATCH(C1365,'Leads Pipeline'!$A$5:$A$1004,0)),INDEX('Active Clients'!$C$5:$C$504,MATCH(C1365,'Active Clients'!$A$5:$A$504,0)))&amp;"","ID not found"))</f>
        <v/>
      </c>
      <c r="G1365" s="16"/>
      <c r="H1365" s="16"/>
      <c r="I1365" s="16"/>
      <c r="J1365" s="16"/>
      <c r="K1365" s="16"/>
      <c r="L1365" s="18"/>
    </row>
    <row r="1366" customFormat="false" ht="15" hidden="false" customHeight="false" outlineLevel="0" collapsed="false">
      <c r="A1366" s="18"/>
      <c r="B1366" s="16"/>
      <c r="C1366" s="16"/>
      <c r="D1366" s="51" t="str">
        <f aca="false">IF(C1366="","",IFERROR(IF(LEFT(C1366,1)="L",INDEX('Leads Pipeline'!$F$5:$F$1004,MATCH(C1366,'Leads Pipeline'!$A$5:$A$1004,0)),INDEX('Active Clients'!$D$5:$D$504,MATCH(C1366,'Active Clients'!$A$5:$A$504,0)))&amp;"","ID not found"))</f>
        <v/>
      </c>
      <c r="E1366" s="51" t="str">
        <f aca="false">IF(C1366="","",IFERROR(IF(LEFT(C1366,1)="L",INDEX('Leads Pipeline'!$D$5:$D$1004,MATCH(C1366,'Leads Pipeline'!$A$5:$A$1004,0)),INDEX('Active Clients'!$B$5:$B$504,MATCH(C1366,'Active Clients'!$A$5:$A$504,0)))&amp;"","ID not found"))</f>
        <v/>
      </c>
      <c r="F1366" s="51" t="str">
        <f aca="false">IF(C1366="","",IFERROR(IF(LEFT(C1366,1)="L",INDEX('Leads Pipeline'!$E$5:$E$1004,MATCH(C1366,'Leads Pipeline'!$A$5:$A$1004,0)),INDEX('Active Clients'!$C$5:$C$504,MATCH(C1366,'Active Clients'!$A$5:$A$504,0)))&amp;"","ID not found"))</f>
        <v/>
      </c>
      <c r="G1366" s="16"/>
      <c r="H1366" s="16"/>
      <c r="I1366" s="16"/>
      <c r="J1366" s="16"/>
      <c r="K1366" s="16"/>
      <c r="L1366" s="18"/>
    </row>
    <row r="1367" customFormat="false" ht="15" hidden="false" customHeight="false" outlineLevel="0" collapsed="false">
      <c r="A1367" s="18"/>
      <c r="B1367" s="16"/>
      <c r="C1367" s="16"/>
      <c r="D1367" s="51" t="str">
        <f aca="false">IF(C1367="","",IFERROR(IF(LEFT(C1367,1)="L",INDEX('Leads Pipeline'!$F$5:$F$1004,MATCH(C1367,'Leads Pipeline'!$A$5:$A$1004,0)),INDEX('Active Clients'!$D$5:$D$504,MATCH(C1367,'Active Clients'!$A$5:$A$504,0)))&amp;"","ID not found"))</f>
        <v/>
      </c>
      <c r="E1367" s="51" t="str">
        <f aca="false">IF(C1367="","",IFERROR(IF(LEFT(C1367,1)="L",INDEX('Leads Pipeline'!$D$5:$D$1004,MATCH(C1367,'Leads Pipeline'!$A$5:$A$1004,0)),INDEX('Active Clients'!$B$5:$B$504,MATCH(C1367,'Active Clients'!$A$5:$A$504,0)))&amp;"","ID not found"))</f>
        <v/>
      </c>
      <c r="F1367" s="51" t="str">
        <f aca="false">IF(C1367="","",IFERROR(IF(LEFT(C1367,1)="L",INDEX('Leads Pipeline'!$E$5:$E$1004,MATCH(C1367,'Leads Pipeline'!$A$5:$A$1004,0)),INDEX('Active Clients'!$C$5:$C$504,MATCH(C1367,'Active Clients'!$A$5:$A$504,0)))&amp;"","ID not found"))</f>
        <v/>
      </c>
      <c r="G1367" s="16"/>
      <c r="H1367" s="16"/>
      <c r="I1367" s="16"/>
      <c r="J1367" s="16"/>
      <c r="K1367" s="16"/>
      <c r="L1367" s="18"/>
    </row>
    <row r="1368" customFormat="false" ht="15" hidden="false" customHeight="false" outlineLevel="0" collapsed="false">
      <c r="A1368" s="18"/>
      <c r="B1368" s="16"/>
      <c r="C1368" s="16"/>
      <c r="D1368" s="51" t="str">
        <f aca="false">IF(C1368="","",IFERROR(IF(LEFT(C1368,1)="L",INDEX('Leads Pipeline'!$F$5:$F$1004,MATCH(C1368,'Leads Pipeline'!$A$5:$A$1004,0)),INDEX('Active Clients'!$D$5:$D$504,MATCH(C1368,'Active Clients'!$A$5:$A$504,0)))&amp;"","ID not found"))</f>
        <v/>
      </c>
      <c r="E1368" s="51" t="str">
        <f aca="false">IF(C1368="","",IFERROR(IF(LEFT(C1368,1)="L",INDEX('Leads Pipeline'!$D$5:$D$1004,MATCH(C1368,'Leads Pipeline'!$A$5:$A$1004,0)),INDEX('Active Clients'!$B$5:$B$504,MATCH(C1368,'Active Clients'!$A$5:$A$504,0)))&amp;"","ID not found"))</f>
        <v/>
      </c>
      <c r="F1368" s="51" t="str">
        <f aca="false">IF(C1368="","",IFERROR(IF(LEFT(C1368,1)="L",INDEX('Leads Pipeline'!$E$5:$E$1004,MATCH(C1368,'Leads Pipeline'!$A$5:$A$1004,0)),INDEX('Active Clients'!$C$5:$C$504,MATCH(C1368,'Active Clients'!$A$5:$A$504,0)))&amp;"","ID not found"))</f>
        <v/>
      </c>
      <c r="G1368" s="16"/>
      <c r="H1368" s="16"/>
      <c r="I1368" s="16"/>
      <c r="J1368" s="16"/>
      <c r="K1368" s="16"/>
      <c r="L1368" s="18"/>
    </row>
    <row r="1369" customFormat="false" ht="15" hidden="false" customHeight="false" outlineLevel="0" collapsed="false">
      <c r="A1369" s="18"/>
      <c r="B1369" s="16"/>
      <c r="C1369" s="16"/>
      <c r="D1369" s="51" t="str">
        <f aca="false">IF(C1369="","",IFERROR(IF(LEFT(C1369,1)="L",INDEX('Leads Pipeline'!$F$5:$F$1004,MATCH(C1369,'Leads Pipeline'!$A$5:$A$1004,0)),INDEX('Active Clients'!$D$5:$D$504,MATCH(C1369,'Active Clients'!$A$5:$A$504,0)))&amp;"","ID not found"))</f>
        <v/>
      </c>
      <c r="E1369" s="51" t="str">
        <f aca="false">IF(C1369="","",IFERROR(IF(LEFT(C1369,1)="L",INDEX('Leads Pipeline'!$D$5:$D$1004,MATCH(C1369,'Leads Pipeline'!$A$5:$A$1004,0)),INDEX('Active Clients'!$B$5:$B$504,MATCH(C1369,'Active Clients'!$A$5:$A$504,0)))&amp;"","ID not found"))</f>
        <v/>
      </c>
      <c r="F1369" s="51" t="str">
        <f aca="false">IF(C1369="","",IFERROR(IF(LEFT(C1369,1)="L",INDEX('Leads Pipeline'!$E$5:$E$1004,MATCH(C1369,'Leads Pipeline'!$A$5:$A$1004,0)),INDEX('Active Clients'!$C$5:$C$504,MATCH(C1369,'Active Clients'!$A$5:$A$504,0)))&amp;"","ID not found"))</f>
        <v/>
      </c>
      <c r="G1369" s="16"/>
      <c r="H1369" s="16"/>
      <c r="I1369" s="16"/>
      <c r="J1369" s="16"/>
      <c r="K1369" s="16"/>
      <c r="L1369" s="18"/>
    </row>
    <row r="1370" customFormat="false" ht="15" hidden="false" customHeight="false" outlineLevel="0" collapsed="false">
      <c r="A1370" s="18"/>
      <c r="B1370" s="16"/>
      <c r="C1370" s="16"/>
      <c r="D1370" s="51" t="str">
        <f aca="false">IF(C1370="","",IFERROR(IF(LEFT(C1370,1)="L",INDEX('Leads Pipeline'!$F$5:$F$1004,MATCH(C1370,'Leads Pipeline'!$A$5:$A$1004,0)),INDEX('Active Clients'!$D$5:$D$504,MATCH(C1370,'Active Clients'!$A$5:$A$504,0)))&amp;"","ID not found"))</f>
        <v/>
      </c>
      <c r="E1370" s="51" t="str">
        <f aca="false">IF(C1370="","",IFERROR(IF(LEFT(C1370,1)="L",INDEX('Leads Pipeline'!$D$5:$D$1004,MATCH(C1370,'Leads Pipeline'!$A$5:$A$1004,0)),INDEX('Active Clients'!$B$5:$B$504,MATCH(C1370,'Active Clients'!$A$5:$A$504,0)))&amp;"","ID not found"))</f>
        <v/>
      </c>
      <c r="F1370" s="51" t="str">
        <f aca="false">IF(C1370="","",IFERROR(IF(LEFT(C1370,1)="L",INDEX('Leads Pipeline'!$E$5:$E$1004,MATCH(C1370,'Leads Pipeline'!$A$5:$A$1004,0)),INDEX('Active Clients'!$C$5:$C$504,MATCH(C1370,'Active Clients'!$A$5:$A$504,0)))&amp;"","ID not found"))</f>
        <v/>
      </c>
      <c r="G1370" s="16"/>
      <c r="H1370" s="16"/>
      <c r="I1370" s="16"/>
      <c r="J1370" s="16"/>
      <c r="K1370" s="16"/>
      <c r="L1370" s="18"/>
    </row>
    <row r="1371" customFormat="false" ht="15" hidden="false" customHeight="false" outlineLevel="0" collapsed="false">
      <c r="A1371" s="18"/>
      <c r="B1371" s="16"/>
      <c r="C1371" s="16"/>
      <c r="D1371" s="51" t="str">
        <f aca="false">IF(C1371="","",IFERROR(IF(LEFT(C1371,1)="L",INDEX('Leads Pipeline'!$F$5:$F$1004,MATCH(C1371,'Leads Pipeline'!$A$5:$A$1004,0)),INDEX('Active Clients'!$D$5:$D$504,MATCH(C1371,'Active Clients'!$A$5:$A$504,0)))&amp;"","ID not found"))</f>
        <v/>
      </c>
      <c r="E1371" s="51" t="str">
        <f aca="false">IF(C1371="","",IFERROR(IF(LEFT(C1371,1)="L",INDEX('Leads Pipeline'!$D$5:$D$1004,MATCH(C1371,'Leads Pipeline'!$A$5:$A$1004,0)),INDEX('Active Clients'!$B$5:$B$504,MATCH(C1371,'Active Clients'!$A$5:$A$504,0)))&amp;"","ID not found"))</f>
        <v/>
      </c>
      <c r="F1371" s="51" t="str">
        <f aca="false">IF(C1371="","",IFERROR(IF(LEFT(C1371,1)="L",INDEX('Leads Pipeline'!$E$5:$E$1004,MATCH(C1371,'Leads Pipeline'!$A$5:$A$1004,0)),INDEX('Active Clients'!$C$5:$C$504,MATCH(C1371,'Active Clients'!$A$5:$A$504,0)))&amp;"","ID not found"))</f>
        <v/>
      </c>
      <c r="G1371" s="16"/>
      <c r="H1371" s="16"/>
      <c r="I1371" s="16"/>
      <c r="J1371" s="16"/>
      <c r="K1371" s="16"/>
      <c r="L1371" s="18"/>
    </row>
    <row r="1372" customFormat="false" ht="15" hidden="false" customHeight="false" outlineLevel="0" collapsed="false">
      <c r="A1372" s="18"/>
      <c r="B1372" s="16"/>
      <c r="C1372" s="16"/>
      <c r="D1372" s="51" t="str">
        <f aca="false">IF(C1372="","",IFERROR(IF(LEFT(C1372,1)="L",INDEX('Leads Pipeline'!$F$5:$F$1004,MATCH(C1372,'Leads Pipeline'!$A$5:$A$1004,0)),INDEX('Active Clients'!$D$5:$D$504,MATCH(C1372,'Active Clients'!$A$5:$A$504,0)))&amp;"","ID not found"))</f>
        <v/>
      </c>
      <c r="E1372" s="51" t="str">
        <f aca="false">IF(C1372="","",IFERROR(IF(LEFT(C1372,1)="L",INDEX('Leads Pipeline'!$D$5:$D$1004,MATCH(C1372,'Leads Pipeline'!$A$5:$A$1004,0)),INDEX('Active Clients'!$B$5:$B$504,MATCH(C1372,'Active Clients'!$A$5:$A$504,0)))&amp;"","ID not found"))</f>
        <v/>
      </c>
      <c r="F1372" s="51" t="str">
        <f aca="false">IF(C1372="","",IFERROR(IF(LEFT(C1372,1)="L",INDEX('Leads Pipeline'!$E$5:$E$1004,MATCH(C1372,'Leads Pipeline'!$A$5:$A$1004,0)),INDEX('Active Clients'!$C$5:$C$504,MATCH(C1372,'Active Clients'!$A$5:$A$504,0)))&amp;"","ID not found"))</f>
        <v/>
      </c>
      <c r="G1372" s="16"/>
      <c r="H1372" s="16"/>
      <c r="I1372" s="16"/>
      <c r="J1372" s="16"/>
      <c r="K1372" s="16"/>
      <c r="L1372" s="18"/>
    </row>
    <row r="1373" customFormat="false" ht="15" hidden="false" customHeight="false" outlineLevel="0" collapsed="false">
      <c r="A1373" s="18"/>
      <c r="B1373" s="16"/>
      <c r="C1373" s="16"/>
      <c r="D1373" s="51" t="str">
        <f aca="false">IF(C1373="","",IFERROR(IF(LEFT(C1373,1)="L",INDEX('Leads Pipeline'!$F$5:$F$1004,MATCH(C1373,'Leads Pipeline'!$A$5:$A$1004,0)),INDEX('Active Clients'!$D$5:$D$504,MATCH(C1373,'Active Clients'!$A$5:$A$504,0)))&amp;"","ID not found"))</f>
        <v/>
      </c>
      <c r="E1373" s="51" t="str">
        <f aca="false">IF(C1373="","",IFERROR(IF(LEFT(C1373,1)="L",INDEX('Leads Pipeline'!$D$5:$D$1004,MATCH(C1373,'Leads Pipeline'!$A$5:$A$1004,0)),INDEX('Active Clients'!$B$5:$B$504,MATCH(C1373,'Active Clients'!$A$5:$A$504,0)))&amp;"","ID not found"))</f>
        <v/>
      </c>
      <c r="F1373" s="51" t="str">
        <f aca="false">IF(C1373="","",IFERROR(IF(LEFT(C1373,1)="L",INDEX('Leads Pipeline'!$E$5:$E$1004,MATCH(C1373,'Leads Pipeline'!$A$5:$A$1004,0)),INDEX('Active Clients'!$C$5:$C$504,MATCH(C1373,'Active Clients'!$A$5:$A$504,0)))&amp;"","ID not found"))</f>
        <v/>
      </c>
      <c r="G1373" s="16"/>
      <c r="H1373" s="16"/>
      <c r="I1373" s="16"/>
      <c r="J1373" s="16"/>
      <c r="K1373" s="16"/>
      <c r="L1373" s="18"/>
    </row>
    <row r="1374" customFormat="false" ht="15" hidden="false" customHeight="false" outlineLevel="0" collapsed="false">
      <c r="A1374" s="18"/>
      <c r="B1374" s="16"/>
      <c r="C1374" s="16"/>
      <c r="D1374" s="51" t="str">
        <f aca="false">IF(C1374="","",IFERROR(IF(LEFT(C1374,1)="L",INDEX('Leads Pipeline'!$F$5:$F$1004,MATCH(C1374,'Leads Pipeline'!$A$5:$A$1004,0)),INDEX('Active Clients'!$D$5:$D$504,MATCH(C1374,'Active Clients'!$A$5:$A$504,0)))&amp;"","ID not found"))</f>
        <v/>
      </c>
      <c r="E1374" s="51" t="str">
        <f aca="false">IF(C1374="","",IFERROR(IF(LEFT(C1374,1)="L",INDEX('Leads Pipeline'!$D$5:$D$1004,MATCH(C1374,'Leads Pipeline'!$A$5:$A$1004,0)),INDEX('Active Clients'!$B$5:$B$504,MATCH(C1374,'Active Clients'!$A$5:$A$504,0)))&amp;"","ID not found"))</f>
        <v/>
      </c>
      <c r="F1374" s="51" t="str">
        <f aca="false">IF(C1374="","",IFERROR(IF(LEFT(C1374,1)="L",INDEX('Leads Pipeline'!$E$5:$E$1004,MATCH(C1374,'Leads Pipeline'!$A$5:$A$1004,0)),INDEX('Active Clients'!$C$5:$C$504,MATCH(C1374,'Active Clients'!$A$5:$A$504,0)))&amp;"","ID not found"))</f>
        <v/>
      </c>
      <c r="G1374" s="16"/>
      <c r="H1374" s="16"/>
      <c r="I1374" s="16"/>
      <c r="J1374" s="16"/>
      <c r="K1374" s="16"/>
      <c r="L1374" s="18"/>
    </row>
    <row r="1375" customFormat="false" ht="15" hidden="false" customHeight="false" outlineLevel="0" collapsed="false">
      <c r="A1375" s="18"/>
      <c r="B1375" s="16"/>
      <c r="C1375" s="16"/>
      <c r="D1375" s="51" t="str">
        <f aca="false">IF(C1375="","",IFERROR(IF(LEFT(C1375,1)="L",INDEX('Leads Pipeline'!$F$5:$F$1004,MATCH(C1375,'Leads Pipeline'!$A$5:$A$1004,0)),INDEX('Active Clients'!$D$5:$D$504,MATCH(C1375,'Active Clients'!$A$5:$A$504,0)))&amp;"","ID not found"))</f>
        <v/>
      </c>
      <c r="E1375" s="51" t="str">
        <f aca="false">IF(C1375="","",IFERROR(IF(LEFT(C1375,1)="L",INDEX('Leads Pipeline'!$D$5:$D$1004,MATCH(C1375,'Leads Pipeline'!$A$5:$A$1004,0)),INDEX('Active Clients'!$B$5:$B$504,MATCH(C1375,'Active Clients'!$A$5:$A$504,0)))&amp;"","ID not found"))</f>
        <v/>
      </c>
      <c r="F1375" s="51" t="str">
        <f aca="false">IF(C1375="","",IFERROR(IF(LEFT(C1375,1)="L",INDEX('Leads Pipeline'!$E$5:$E$1004,MATCH(C1375,'Leads Pipeline'!$A$5:$A$1004,0)),INDEX('Active Clients'!$C$5:$C$504,MATCH(C1375,'Active Clients'!$A$5:$A$504,0)))&amp;"","ID not found"))</f>
        <v/>
      </c>
      <c r="G1375" s="16"/>
      <c r="H1375" s="16"/>
      <c r="I1375" s="16"/>
      <c r="J1375" s="16"/>
      <c r="K1375" s="16"/>
      <c r="L1375" s="18"/>
    </row>
    <row r="1376" customFormat="false" ht="15" hidden="false" customHeight="false" outlineLevel="0" collapsed="false">
      <c r="A1376" s="18"/>
      <c r="B1376" s="16"/>
      <c r="C1376" s="16"/>
      <c r="D1376" s="51" t="str">
        <f aca="false">IF(C1376="","",IFERROR(IF(LEFT(C1376,1)="L",INDEX('Leads Pipeline'!$F$5:$F$1004,MATCH(C1376,'Leads Pipeline'!$A$5:$A$1004,0)),INDEX('Active Clients'!$D$5:$D$504,MATCH(C1376,'Active Clients'!$A$5:$A$504,0)))&amp;"","ID not found"))</f>
        <v/>
      </c>
      <c r="E1376" s="51" t="str">
        <f aca="false">IF(C1376="","",IFERROR(IF(LEFT(C1376,1)="L",INDEX('Leads Pipeline'!$D$5:$D$1004,MATCH(C1376,'Leads Pipeline'!$A$5:$A$1004,0)),INDEX('Active Clients'!$B$5:$B$504,MATCH(C1376,'Active Clients'!$A$5:$A$504,0)))&amp;"","ID not found"))</f>
        <v/>
      </c>
      <c r="F1376" s="51" t="str">
        <f aca="false">IF(C1376="","",IFERROR(IF(LEFT(C1376,1)="L",INDEX('Leads Pipeline'!$E$5:$E$1004,MATCH(C1376,'Leads Pipeline'!$A$5:$A$1004,0)),INDEX('Active Clients'!$C$5:$C$504,MATCH(C1376,'Active Clients'!$A$5:$A$504,0)))&amp;"","ID not found"))</f>
        <v/>
      </c>
      <c r="G1376" s="16"/>
      <c r="H1376" s="16"/>
      <c r="I1376" s="16"/>
      <c r="J1376" s="16"/>
      <c r="K1376" s="16"/>
      <c r="L1376" s="18"/>
    </row>
    <row r="1377" customFormat="false" ht="15" hidden="false" customHeight="false" outlineLevel="0" collapsed="false">
      <c r="A1377" s="18"/>
      <c r="B1377" s="16"/>
      <c r="C1377" s="16"/>
      <c r="D1377" s="51" t="str">
        <f aca="false">IF(C1377="","",IFERROR(IF(LEFT(C1377,1)="L",INDEX('Leads Pipeline'!$F$5:$F$1004,MATCH(C1377,'Leads Pipeline'!$A$5:$A$1004,0)),INDEX('Active Clients'!$D$5:$D$504,MATCH(C1377,'Active Clients'!$A$5:$A$504,0)))&amp;"","ID not found"))</f>
        <v/>
      </c>
      <c r="E1377" s="51" t="str">
        <f aca="false">IF(C1377="","",IFERROR(IF(LEFT(C1377,1)="L",INDEX('Leads Pipeline'!$D$5:$D$1004,MATCH(C1377,'Leads Pipeline'!$A$5:$A$1004,0)),INDEX('Active Clients'!$B$5:$B$504,MATCH(C1377,'Active Clients'!$A$5:$A$504,0)))&amp;"","ID not found"))</f>
        <v/>
      </c>
      <c r="F1377" s="51" t="str">
        <f aca="false">IF(C1377="","",IFERROR(IF(LEFT(C1377,1)="L",INDEX('Leads Pipeline'!$E$5:$E$1004,MATCH(C1377,'Leads Pipeline'!$A$5:$A$1004,0)),INDEX('Active Clients'!$C$5:$C$504,MATCH(C1377,'Active Clients'!$A$5:$A$504,0)))&amp;"","ID not found"))</f>
        <v/>
      </c>
      <c r="G1377" s="16"/>
      <c r="H1377" s="16"/>
      <c r="I1377" s="16"/>
      <c r="J1377" s="16"/>
      <c r="K1377" s="16"/>
      <c r="L1377" s="18"/>
    </row>
    <row r="1378" customFormat="false" ht="15" hidden="false" customHeight="false" outlineLevel="0" collapsed="false">
      <c r="A1378" s="18"/>
      <c r="B1378" s="16"/>
      <c r="C1378" s="16"/>
      <c r="D1378" s="51" t="str">
        <f aca="false">IF(C1378="","",IFERROR(IF(LEFT(C1378,1)="L",INDEX('Leads Pipeline'!$F$5:$F$1004,MATCH(C1378,'Leads Pipeline'!$A$5:$A$1004,0)),INDEX('Active Clients'!$D$5:$D$504,MATCH(C1378,'Active Clients'!$A$5:$A$504,0)))&amp;"","ID not found"))</f>
        <v/>
      </c>
      <c r="E1378" s="51" t="str">
        <f aca="false">IF(C1378="","",IFERROR(IF(LEFT(C1378,1)="L",INDEX('Leads Pipeline'!$D$5:$D$1004,MATCH(C1378,'Leads Pipeline'!$A$5:$A$1004,0)),INDEX('Active Clients'!$B$5:$B$504,MATCH(C1378,'Active Clients'!$A$5:$A$504,0)))&amp;"","ID not found"))</f>
        <v/>
      </c>
      <c r="F1378" s="51" t="str">
        <f aca="false">IF(C1378="","",IFERROR(IF(LEFT(C1378,1)="L",INDEX('Leads Pipeline'!$E$5:$E$1004,MATCH(C1378,'Leads Pipeline'!$A$5:$A$1004,0)),INDEX('Active Clients'!$C$5:$C$504,MATCH(C1378,'Active Clients'!$A$5:$A$504,0)))&amp;"","ID not found"))</f>
        <v/>
      </c>
      <c r="G1378" s="16"/>
      <c r="H1378" s="16"/>
      <c r="I1378" s="16"/>
      <c r="J1378" s="16"/>
      <c r="K1378" s="16"/>
      <c r="L1378" s="18"/>
    </row>
    <row r="1379" customFormat="false" ht="15" hidden="false" customHeight="false" outlineLevel="0" collapsed="false">
      <c r="A1379" s="18"/>
      <c r="B1379" s="16"/>
      <c r="C1379" s="16"/>
      <c r="D1379" s="51" t="str">
        <f aca="false">IF(C1379="","",IFERROR(IF(LEFT(C1379,1)="L",INDEX('Leads Pipeline'!$F$5:$F$1004,MATCH(C1379,'Leads Pipeline'!$A$5:$A$1004,0)),INDEX('Active Clients'!$D$5:$D$504,MATCH(C1379,'Active Clients'!$A$5:$A$504,0)))&amp;"","ID not found"))</f>
        <v/>
      </c>
      <c r="E1379" s="51" t="str">
        <f aca="false">IF(C1379="","",IFERROR(IF(LEFT(C1379,1)="L",INDEX('Leads Pipeline'!$D$5:$D$1004,MATCH(C1379,'Leads Pipeline'!$A$5:$A$1004,0)),INDEX('Active Clients'!$B$5:$B$504,MATCH(C1379,'Active Clients'!$A$5:$A$504,0)))&amp;"","ID not found"))</f>
        <v/>
      </c>
      <c r="F1379" s="51" t="str">
        <f aca="false">IF(C1379="","",IFERROR(IF(LEFT(C1379,1)="L",INDEX('Leads Pipeline'!$E$5:$E$1004,MATCH(C1379,'Leads Pipeline'!$A$5:$A$1004,0)),INDEX('Active Clients'!$C$5:$C$504,MATCH(C1379,'Active Clients'!$A$5:$A$504,0)))&amp;"","ID not found"))</f>
        <v/>
      </c>
      <c r="G1379" s="16"/>
      <c r="H1379" s="16"/>
      <c r="I1379" s="16"/>
      <c r="J1379" s="16"/>
      <c r="K1379" s="16"/>
      <c r="L1379" s="18"/>
    </row>
    <row r="1380" customFormat="false" ht="15" hidden="false" customHeight="false" outlineLevel="0" collapsed="false">
      <c r="A1380" s="18"/>
      <c r="B1380" s="16"/>
      <c r="C1380" s="16"/>
      <c r="D1380" s="51" t="str">
        <f aca="false">IF(C1380="","",IFERROR(IF(LEFT(C1380,1)="L",INDEX('Leads Pipeline'!$F$5:$F$1004,MATCH(C1380,'Leads Pipeline'!$A$5:$A$1004,0)),INDEX('Active Clients'!$D$5:$D$504,MATCH(C1380,'Active Clients'!$A$5:$A$504,0)))&amp;"","ID not found"))</f>
        <v/>
      </c>
      <c r="E1380" s="51" t="str">
        <f aca="false">IF(C1380="","",IFERROR(IF(LEFT(C1380,1)="L",INDEX('Leads Pipeline'!$D$5:$D$1004,MATCH(C1380,'Leads Pipeline'!$A$5:$A$1004,0)),INDEX('Active Clients'!$B$5:$B$504,MATCH(C1380,'Active Clients'!$A$5:$A$504,0)))&amp;"","ID not found"))</f>
        <v/>
      </c>
      <c r="F1380" s="51" t="str">
        <f aca="false">IF(C1380="","",IFERROR(IF(LEFT(C1380,1)="L",INDEX('Leads Pipeline'!$E$5:$E$1004,MATCH(C1380,'Leads Pipeline'!$A$5:$A$1004,0)),INDEX('Active Clients'!$C$5:$C$504,MATCH(C1380,'Active Clients'!$A$5:$A$504,0)))&amp;"","ID not found"))</f>
        <v/>
      </c>
      <c r="G1380" s="16"/>
      <c r="H1380" s="16"/>
      <c r="I1380" s="16"/>
      <c r="J1380" s="16"/>
      <c r="K1380" s="16"/>
      <c r="L1380" s="18"/>
    </row>
    <row r="1381" customFormat="false" ht="15" hidden="false" customHeight="false" outlineLevel="0" collapsed="false">
      <c r="A1381" s="18"/>
      <c r="B1381" s="16"/>
      <c r="C1381" s="16"/>
      <c r="D1381" s="51" t="str">
        <f aca="false">IF(C1381="","",IFERROR(IF(LEFT(C1381,1)="L",INDEX('Leads Pipeline'!$F$5:$F$1004,MATCH(C1381,'Leads Pipeline'!$A$5:$A$1004,0)),INDEX('Active Clients'!$D$5:$D$504,MATCH(C1381,'Active Clients'!$A$5:$A$504,0)))&amp;"","ID not found"))</f>
        <v/>
      </c>
      <c r="E1381" s="51" t="str">
        <f aca="false">IF(C1381="","",IFERROR(IF(LEFT(C1381,1)="L",INDEX('Leads Pipeline'!$D$5:$D$1004,MATCH(C1381,'Leads Pipeline'!$A$5:$A$1004,0)),INDEX('Active Clients'!$B$5:$B$504,MATCH(C1381,'Active Clients'!$A$5:$A$504,0)))&amp;"","ID not found"))</f>
        <v/>
      </c>
      <c r="F1381" s="51" t="str">
        <f aca="false">IF(C1381="","",IFERROR(IF(LEFT(C1381,1)="L",INDEX('Leads Pipeline'!$E$5:$E$1004,MATCH(C1381,'Leads Pipeline'!$A$5:$A$1004,0)),INDEX('Active Clients'!$C$5:$C$504,MATCH(C1381,'Active Clients'!$A$5:$A$504,0)))&amp;"","ID not found"))</f>
        <v/>
      </c>
      <c r="G1381" s="16"/>
      <c r="H1381" s="16"/>
      <c r="I1381" s="16"/>
      <c r="J1381" s="16"/>
      <c r="K1381" s="16"/>
      <c r="L1381" s="18"/>
    </row>
    <row r="1382" customFormat="false" ht="15" hidden="false" customHeight="false" outlineLevel="0" collapsed="false">
      <c r="A1382" s="18"/>
      <c r="B1382" s="16"/>
      <c r="C1382" s="16"/>
      <c r="D1382" s="51" t="str">
        <f aca="false">IF(C1382="","",IFERROR(IF(LEFT(C1382,1)="L",INDEX('Leads Pipeline'!$F$5:$F$1004,MATCH(C1382,'Leads Pipeline'!$A$5:$A$1004,0)),INDEX('Active Clients'!$D$5:$D$504,MATCH(C1382,'Active Clients'!$A$5:$A$504,0)))&amp;"","ID not found"))</f>
        <v/>
      </c>
      <c r="E1382" s="51" t="str">
        <f aca="false">IF(C1382="","",IFERROR(IF(LEFT(C1382,1)="L",INDEX('Leads Pipeline'!$D$5:$D$1004,MATCH(C1382,'Leads Pipeline'!$A$5:$A$1004,0)),INDEX('Active Clients'!$B$5:$B$504,MATCH(C1382,'Active Clients'!$A$5:$A$504,0)))&amp;"","ID not found"))</f>
        <v/>
      </c>
      <c r="F1382" s="51" t="str">
        <f aca="false">IF(C1382="","",IFERROR(IF(LEFT(C1382,1)="L",INDEX('Leads Pipeline'!$E$5:$E$1004,MATCH(C1382,'Leads Pipeline'!$A$5:$A$1004,0)),INDEX('Active Clients'!$C$5:$C$504,MATCH(C1382,'Active Clients'!$A$5:$A$504,0)))&amp;"","ID not found"))</f>
        <v/>
      </c>
      <c r="G1382" s="16"/>
      <c r="H1382" s="16"/>
      <c r="I1382" s="16"/>
      <c r="J1382" s="16"/>
      <c r="K1382" s="16"/>
      <c r="L1382" s="18"/>
    </row>
    <row r="1383" customFormat="false" ht="15" hidden="false" customHeight="false" outlineLevel="0" collapsed="false">
      <c r="A1383" s="18"/>
      <c r="B1383" s="16"/>
      <c r="C1383" s="16"/>
      <c r="D1383" s="51" t="str">
        <f aca="false">IF(C1383="","",IFERROR(IF(LEFT(C1383,1)="L",INDEX('Leads Pipeline'!$F$5:$F$1004,MATCH(C1383,'Leads Pipeline'!$A$5:$A$1004,0)),INDEX('Active Clients'!$D$5:$D$504,MATCH(C1383,'Active Clients'!$A$5:$A$504,0)))&amp;"","ID not found"))</f>
        <v/>
      </c>
      <c r="E1383" s="51" t="str">
        <f aca="false">IF(C1383="","",IFERROR(IF(LEFT(C1383,1)="L",INDEX('Leads Pipeline'!$D$5:$D$1004,MATCH(C1383,'Leads Pipeline'!$A$5:$A$1004,0)),INDEX('Active Clients'!$B$5:$B$504,MATCH(C1383,'Active Clients'!$A$5:$A$504,0)))&amp;"","ID not found"))</f>
        <v/>
      </c>
      <c r="F1383" s="51" t="str">
        <f aca="false">IF(C1383="","",IFERROR(IF(LEFT(C1383,1)="L",INDEX('Leads Pipeline'!$E$5:$E$1004,MATCH(C1383,'Leads Pipeline'!$A$5:$A$1004,0)),INDEX('Active Clients'!$C$5:$C$504,MATCH(C1383,'Active Clients'!$A$5:$A$504,0)))&amp;"","ID not found"))</f>
        <v/>
      </c>
      <c r="G1383" s="16"/>
      <c r="H1383" s="16"/>
      <c r="I1383" s="16"/>
      <c r="J1383" s="16"/>
      <c r="K1383" s="16"/>
      <c r="L1383" s="18"/>
    </row>
    <row r="1384" customFormat="false" ht="15" hidden="false" customHeight="false" outlineLevel="0" collapsed="false">
      <c r="A1384" s="18"/>
      <c r="B1384" s="16"/>
      <c r="C1384" s="16"/>
      <c r="D1384" s="51" t="str">
        <f aca="false">IF(C1384="","",IFERROR(IF(LEFT(C1384,1)="L",INDEX('Leads Pipeline'!$F$5:$F$1004,MATCH(C1384,'Leads Pipeline'!$A$5:$A$1004,0)),INDEX('Active Clients'!$D$5:$D$504,MATCH(C1384,'Active Clients'!$A$5:$A$504,0)))&amp;"","ID not found"))</f>
        <v/>
      </c>
      <c r="E1384" s="51" t="str">
        <f aca="false">IF(C1384="","",IFERROR(IF(LEFT(C1384,1)="L",INDEX('Leads Pipeline'!$D$5:$D$1004,MATCH(C1384,'Leads Pipeline'!$A$5:$A$1004,0)),INDEX('Active Clients'!$B$5:$B$504,MATCH(C1384,'Active Clients'!$A$5:$A$504,0)))&amp;"","ID not found"))</f>
        <v/>
      </c>
      <c r="F1384" s="51" t="str">
        <f aca="false">IF(C1384="","",IFERROR(IF(LEFT(C1384,1)="L",INDEX('Leads Pipeline'!$E$5:$E$1004,MATCH(C1384,'Leads Pipeline'!$A$5:$A$1004,0)),INDEX('Active Clients'!$C$5:$C$504,MATCH(C1384,'Active Clients'!$A$5:$A$504,0)))&amp;"","ID not found"))</f>
        <v/>
      </c>
      <c r="G1384" s="16"/>
      <c r="H1384" s="16"/>
      <c r="I1384" s="16"/>
      <c r="J1384" s="16"/>
      <c r="K1384" s="16"/>
      <c r="L1384" s="18"/>
    </row>
    <row r="1385" customFormat="false" ht="15" hidden="false" customHeight="false" outlineLevel="0" collapsed="false">
      <c r="A1385" s="18"/>
      <c r="B1385" s="16"/>
      <c r="C1385" s="16"/>
      <c r="D1385" s="51" t="str">
        <f aca="false">IF(C1385="","",IFERROR(IF(LEFT(C1385,1)="L",INDEX('Leads Pipeline'!$F$5:$F$1004,MATCH(C1385,'Leads Pipeline'!$A$5:$A$1004,0)),INDEX('Active Clients'!$D$5:$D$504,MATCH(C1385,'Active Clients'!$A$5:$A$504,0)))&amp;"","ID not found"))</f>
        <v/>
      </c>
      <c r="E1385" s="51" t="str">
        <f aca="false">IF(C1385="","",IFERROR(IF(LEFT(C1385,1)="L",INDEX('Leads Pipeline'!$D$5:$D$1004,MATCH(C1385,'Leads Pipeline'!$A$5:$A$1004,0)),INDEX('Active Clients'!$B$5:$B$504,MATCH(C1385,'Active Clients'!$A$5:$A$504,0)))&amp;"","ID not found"))</f>
        <v/>
      </c>
      <c r="F1385" s="51" t="str">
        <f aca="false">IF(C1385="","",IFERROR(IF(LEFT(C1385,1)="L",INDEX('Leads Pipeline'!$E$5:$E$1004,MATCH(C1385,'Leads Pipeline'!$A$5:$A$1004,0)),INDEX('Active Clients'!$C$5:$C$504,MATCH(C1385,'Active Clients'!$A$5:$A$504,0)))&amp;"","ID not found"))</f>
        <v/>
      </c>
      <c r="G1385" s="16"/>
      <c r="H1385" s="16"/>
      <c r="I1385" s="16"/>
      <c r="J1385" s="16"/>
      <c r="K1385" s="16"/>
      <c r="L1385" s="18"/>
    </row>
    <row r="1386" customFormat="false" ht="15" hidden="false" customHeight="false" outlineLevel="0" collapsed="false">
      <c r="A1386" s="18"/>
      <c r="B1386" s="16"/>
      <c r="C1386" s="16"/>
      <c r="D1386" s="51" t="str">
        <f aca="false">IF(C1386="","",IFERROR(IF(LEFT(C1386,1)="L",INDEX('Leads Pipeline'!$F$5:$F$1004,MATCH(C1386,'Leads Pipeline'!$A$5:$A$1004,0)),INDEX('Active Clients'!$D$5:$D$504,MATCH(C1386,'Active Clients'!$A$5:$A$504,0)))&amp;"","ID not found"))</f>
        <v/>
      </c>
      <c r="E1386" s="51" t="str">
        <f aca="false">IF(C1386="","",IFERROR(IF(LEFT(C1386,1)="L",INDEX('Leads Pipeline'!$D$5:$D$1004,MATCH(C1386,'Leads Pipeline'!$A$5:$A$1004,0)),INDEX('Active Clients'!$B$5:$B$504,MATCH(C1386,'Active Clients'!$A$5:$A$504,0)))&amp;"","ID not found"))</f>
        <v/>
      </c>
      <c r="F1386" s="51" t="str">
        <f aca="false">IF(C1386="","",IFERROR(IF(LEFT(C1386,1)="L",INDEX('Leads Pipeline'!$E$5:$E$1004,MATCH(C1386,'Leads Pipeline'!$A$5:$A$1004,0)),INDEX('Active Clients'!$C$5:$C$504,MATCH(C1386,'Active Clients'!$A$5:$A$504,0)))&amp;"","ID not found"))</f>
        <v/>
      </c>
      <c r="G1386" s="16"/>
      <c r="H1386" s="16"/>
      <c r="I1386" s="16"/>
      <c r="J1386" s="16"/>
      <c r="K1386" s="16"/>
      <c r="L1386" s="18"/>
    </row>
    <row r="1387" customFormat="false" ht="15" hidden="false" customHeight="false" outlineLevel="0" collapsed="false">
      <c r="A1387" s="18"/>
      <c r="B1387" s="16"/>
      <c r="C1387" s="16"/>
      <c r="D1387" s="51" t="str">
        <f aca="false">IF(C1387="","",IFERROR(IF(LEFT(C1387,1)="L",INDEX('Leads Pipeline'!$F$5:$F$1004,MATCH(C1387,'Leads Pipeline'!$A$5:$A$1004,0)),INDEX('Active Clients'!$D$5:$D$504,MATCH(C1387,'Active Clients'!$A$5:$A$504,0)))&amp;"","ID not found"))</f>
        <v/>
      </c>
      <c r="E1387" s="51" t="str">
        <f aca="false">IF(C1387="","",IFERROR(IF(LEFT(C1387,1)="L",INDEX('Leads Pipeline'!$D$5:$D$1004,MATCH(C1387,'Leads Pipeline'!$A$5:$A$1004,0)),INDEX('Active Clients'!$B$5:$B$504,MATCH(C1387,'Active Clients'!$A$5:$A$504,0)))&amp;"","ID not found"))</f>
        <v/>
      </c>
      <c r="F1387" s="51" t="str">
        <f aca="false">IF(C1387="","",IFERROR(IF(LEFT(C1387,1)="L",INDEX('Leads Pipeline'!$E$5:$E$1004,MATCH(C1387,'Leads Pipeline'!$A$5:$A$1004,0)),INDEX('Active Clients'!$C$5:$C$504,MATCH(C1387,'Active Clients'!$A$5:$A$504,0)))&amp;"","ID not found"))</f>
        <v/>
      </c>
      <c r="G1387" s="16"/>
      <c r="H1387" s="16"/>
      <c r="I1387" s="16"/>
      <c r="J1387" s="16"/>
      <c r="K1387" s="16"/>
      <c r="L1387" s="18"/>
    </row>
    <row r="1388" customFormat="false" ht="15" hidden="false" customHeight="false" outlineLevel="0" collapsed="false">
      <c r="A1388" s="18"/>
      <c r="B1388" s="16"/>
      <c r="C1388" s="16"/>
      <c r="D1388" s="51" t="str">
        <f aca="false">IF(C1388="","",IFERROR(IF(LEFT(C1388,1)="L",INDEX('Leads Pipeline'!$F$5:$F$1004,MATCH(C1388,'Leads Pipeline'!$A$5:$A$1004,0)),INDEX('Active Clients'!$D$5:$D$504,MATCH(C1388,'Active Clients'!$A$5:$A$504,0)))&amp;"","ID not found"))</f>
        <v/>
      </c>
      <c r="E1388" s="51" t="str">
        <f aca="false">IF(C1388="","",IFERROR(IF(LEFT(C1388,1)="L",INDEX('Leads Pipeline'!$D$5:$D$1004,MATCH(C1388,'Leads Pipeline'!$A$5:$A$1004,0)),INDEX('Active Clients'!$B$5:$B$504,MATCH(C1388,'Active Clients'!$A$5:$A$504,0)))&amp;"","ID not found"))</f>
        <v/>
      </c>
      <c r="F1388" s="51" t="str">
        <f aca="false">IF(C1388="","",IFERROR(IF(LEFT(C1388,1)="L",INDEX('Leads Pipeline'!$E$5:$E$1004,MATCH(C1388,'Leads Pipeline'!$A$5:$A$1004,0)),INDEX('Active Clients'!$C$5:$C$504,MATCH(C1388,'Active Clients'!$A$5:$A$504,0)))&amp;"","ID not found"))</f>
        <v/>
      </c>
      <c r="G1388" s="16"/>
      <c r="H1388" s="16"/>
      <c r="I1388" s="16"/>
      <c r="J1388" s="16"/>
      <c r="K1388" s="16"/>
      <c r="L1388" s="18"/>
    </row>
    <row r="1389" customFormat="false" ht="15" hidden="false" customHeight="false" outlineLevel="0" collapsed="false">
      <c r="A1389" s="18"/>
      <c r="B1389" s="16"/>
      <c r="C1389" s="16"/>
      <c r="D1389" s="51" t="str">
        <f aca="false">IF(C1389="","",IFERROR(IF(LEFT(C1389,1)="L",INDEX('Leads Pipeline'!$F$5:$F$1004,MATCH(C1389,'Leads Pipeline'!$A$5:$A$1004,0)),INDEX('Active Clients'!$D$5:$D$504,MATCH(C1389,'Active Clients'!$A$5:$A$504,0)))&amp;"","ID not found"))</f>
        <v/>
      </c>
      <c r="E1389" s="51" t="str">
        <f aca="false">IF(C1389="","",IFERROR(IF(LEFT(C1389,1)="L",INDEX('Leads Pipeline'!$D$5:$D$1004,MATCH(C1389,'Leads Pipeline'!$A$5:$A$1004,0)),INDEX('Active Clients'!$B$5:$B$504,MATCH(C1389,'Active Clients'!$A$5:$A$504,0)))&amp;"","ID not found"))</f>
        <v/>
      </c>
      <c r="F1389" s="51" t="str">
        <f aca="false">IF(C1389="","",IFERROR(IF(LEFT(C1389,1)="L",INDEX('Leads Pipeline'!$E$5:$E$1004,MATCH(C1389,'Leads Pipeline'!$A$5:$A$1004,0)),INDEX('Active Clients'!$C$5:$C$504,MATCH(C1389,'Active Clients'!$A$5:$A$504,0)))&amp;"","ID not found"))</f>
        <v/>
      </c>
      <c r="G1389" s="16"/>
      <c r="H1389" s="16"/>
      <c r="I1389" s="16"/>
      <c r="J1389" s="16"/>
      <c r="K1389" s="16"/>
      <c r="L1389" s="18"/>
    </row>
    <row r="1390" customFormat="false" ht="15" hidden="false" customHeight="false" outlineLevel="0" collapsed="false">
      <c r="A1390" s="18"/>
      <c r="B1390" s="16"/>
      <c r="C1390" s="16"/>
      <c r="D1390" s="51" t="str">
        <f aca="false">IF(C1390="","",IFERROR(IF(LEFT(C1390,1)="L",INDEX('Leads Pipeline'!$F$5:$F$1004,MATCH(C1390,'Leads Pipeline'!$A$5:$A$1004,0)),INDEX('Active Clients'!$D$5:$D$504,MATCH(C1390,'Active Clients'!$A$5:$A$504,0)))&amp;"","ID not found"))</f>
        <v/>
      </c>
      <c r="E1390" s="51" t="str">
        <f aca="false">IF(C1390="","",IFERROR(IF(LEFT(C1390,1)="L",INDEX('Leads Pipeline'!$D$5:$D$1004,MATCH(C1390,'Leads Pipeline'!$A$5:$A$1004,0)),INDEX('Active Clients'!$B$5:$B$504,MATCH(C1390,'Active Clients'!$A$5:$A$504,0)))&amp;"","ID not found"))</f>
        <v/>
      </c>
      <c r="F1390" s="51" t="str">
        <f aca="false">IF(C1390="","",IFERROR(IF(LEFT(C1390,1)="L",INDEX('Leads Pipeline'!$E$5:$E$1004,MATCH(C1390,'Leads Pipeline'!$A$5:$A$1004,0)),INDEX('Active Clients'!$C$5:$C$504,MATCH(C1390,'Active Clients'!$A$5:$A$504,0)))&amp;"","ID not found"))</f>
        <v/>
      </c>
      <c r="G1390" s="16"/>
      <c r="H1390" s="16"/>
      <c r="I1390" s="16"/>
      <c r="J1390" s="16"/>
      <c r="K1390" s="16"/>
      <c r="L1390" s="18"/>
    </row>
    <row r="1391" customFormat="false" ht="15" hidden="false" customHeight="false" outlineLevel="0" collapsed="false">
      <c r="A1391" s="18"/>
      <c r="B1391" s="16"/>
      <c r="C1391" s="16"/>
      <c r="D1391" s="51" t="str">
        <f aca="false">IF(C1391="","",IFERROR(IF(LEFT(C1391,1)="L",INDEX('Leads Pipeline'!$F$5:$F$1004,MATCH(C1391,'Leads Pipeline'!$A$5:$A$1004,0)),INDEX('Active Clients'!$D$5:$D$504,MATCH(C1391,'Active Clients'!$A$5:$A$504,0)))&amp;"","ID not found"))</f>
        <v/>
      </c>
      <c r="E1391" s="51" t="str">
        <f aca="false">IF(C1391="","",IFERROR(IF(LEFT(C1391,1)="L",INDEX('Leads Pipeline'!$D$5:$D$1004,MATCH(C1391,'Leads Pipeline'!$A$5:$A$1004,0)),INDEX('Active Clients'!$B$5:$B$504,MATCH(C1391,'Active Clients'!$A$5:$A$504,0)))&amp;"","ID not found"))</f>
        <v/>
      </c>
      <c r="F1391" s="51" t="str">
        <f aca="false">IF(C1391="","",IFERROR(IF(LEFT(C1391,1)="L",INDEX('Leads Pipeline'!$E$5:$E$1004,MATCH(C1391,'Leads Pipeline'!$A$5:$A$1004,0)),INDEX('Active Clients'!$C$5:$C$504,MATCH(C1391,'Active Clients'!$A$5:$A$504,0)))&amp;"","ID not found"))</f>
        <v/>
      </c>
      <c r="G1391" s="16"/>
      <c r="H1391" s="16"/>
      <c r="I1391" s="16"/>
      <c r="J1391" s="16"/>
      <c r="K1391" s="16"/>
      <c r="L1391" s="18"/>
    </row>
    <row r="1392" customFormat="false" ht="15" hidden="false" customHeight="false" outlineLevel="0" collapsed="false">
      <c r="A1392" s="18"/>
      <c r="B1392" s="16"/>
      <c r="C1392" s="16"/>
      <c r="D1392" s="51" t="str">
        <f aca="false">IF(C1392="","",IFERROR(IF(LEFT(C1392,1)="L",INDEX('Leads Pipeline'!$F$5:$F$1004,MATCH(C1392,'Leads Pipeline'!$A$5:$A$1004,0)),INDEX('Active Clients'!$D$5:$D$504,MATCH(C1392,'Active Clients'!$A$5:$A$504,0)))&amp;"","ID not found"))</f>
        <v/>
      </c>
      <c r="E1392" s="51" t="str">
        <f aca="false">IF(C1392="","",IFERROR(IF(LEFT(C1392,1)="L",INDEX('Leads Pipeline'!$D$5:$D$1004,MATCH(C1392,'Leads Pipeline'!$A$5:$A$1004,0)),INDEX('Active Clients'!$B$5:$B$504,MATCH(C1392,'Active Clients'!$A$5:$A$504,0)))&amp;"","ID not found"))</f>
        <v/>
      </c>
      <c r="F1392" s="51" t="str">
        <f aca="false">IF(C1392="","",IFERROR(IF(LEFT(C1392,1)="L",INDEX('Leads Pipeline'!$E$5:$E$1004,MATCH(C1392,'Leads Pipeline'!$A$5:$A$1004,0)),INDEX('Active Clients'!$C$5:$C$504,MATCH(C1392,'Active Clients'!$A$5:$A$504,0)))&amp;"","ID not found"))</f>
        <v/>
      </c>
      <c r="G1392" s="16"/>
      <c r="H1392" s="16"/>
      <c r="I1392" s="16"/>
      <c r="J1392" s="16"/>
      <c r="K1392" s="16"/>
      <c r="L1392" s="18"/>
    </row>
    <row r="1393" customFormat="false" ht="15" hidden="false" customHeight="false" outlineLevel="0" collapsed="false">
      <c r="A1393" s="18"/>
      <c r="B1393" s="16"/>
      <c r="C1393" s="16"/>
      <c r="D1393" s="51" t="str">
        <f aca="false">IF(C1393="","",IFERROR(IF(LEFT(C1393,1)="L",INDEX('Leads Pipeline'!$F$5:$F$1004,MATCH(C1393,'Leads Pipeline'!$A$5:$A$1004,0)),INDEX('Active Clients'!$D$5:$D$504,MATCH(C1393,'Active Clients'!$A$5:$A$504,0)))&amp;"","ID not found"))</f>
        <v/>
      </c>
      <c r="E1393" s="51" t="str">
        <f aca="false">IF(C1393="","",IFERROR(IF(LEFT(C1393,1)="L",INDEX('Leads Pipeline'!$D$5:$D$1004,MATCH(C1393,'Leads Pipeline'!$A$5:$A$1004,0)),INDEX('Active Clients'!$B$5:$B$504,MATCH(C1393,'Active Clients'!$A$5:$A$504,0)))&amp;"","ID not found"))</f>
        <v/>
      </c>
      <c r="F1393" s="51" t="str">
        <f aca="false">IF(C1393="","",IFERROR(IF(LEFT(C1393,1)="L",INDEX('Leads Pipeline'!$E$5:$E$1004,MATCH(C1393,'Leads Pipeline'!$A$5:$A$1004,0)),INDEX('Active Clients'!$C$5:$C$504,MATCH(C1393,'Active Clients'!$A$5:$A$504,0)))&amp;"","ID not found"))</f>
        <v/>
      </c>
      <c r="G1393" s="16"/>
      <c r="H1393" s="16"/>
      <c r="I1393" s="16"/>
      <c r="J1393" s="16"/>
      <c r="K1393" s="16"/>
      <c r="L1393" s="18"/>
    </row>
    <row r="1394" customFormat="false" ht="15" hidden="false" customHeight="false" outlineLevel="0" collapsed="false">
      <c r="A1394" s="18"/>
      <c r="B1394" s="16"/>
      <c r="C1394" s="16"/>
      <c r="D1394" s="51" t="str">
        <f aca="false">IF(C1394="","",IFERROR(IF(LEFT(C1394,1)="L",INDEX('Leads Pipeline'!$F$5:$F$1004,MATCH(C1394,'Leads Pipeline'!$A$5:$A$1004,0)),INDEX('Active Clients'!$D$5:$D$504,MATCH(C1394,'Active Clients'!$A$5:$A$504,0)))&amp;"","ID not found"))</f>
        <v/>
      </c>
      <c r="E1394" s="51" t="str">
        <f aca="false">IF(C1394="","",IFERROR(IF(LEFT(C1394,1)="L",INDEX('Leads Pipeline'!$D$5:$D$1004,MATCH(C1394,'Leads Pipeline'!$A$5:$A$1004,0)),INDEX('Active Clients'!$B$5:$B$504,MATCH(C1394,'Active Clients'!$A$5:$A$504,0)))&amp;"","ID not found"))</f>
        <v/>
      </c>
      <c r="F1394" s="51" t="str">
        <f aca="false">IF(C1394="","",IFERROR(IF(LEFT(C1394,1)="L",INDEX('Leads Pipeline'!$E$5:$E$1004,MATCH(C1394,'Leads Pipeline'!$A$5:$A$1004,0)),INDEX('Active Clients'!$C$5:$C$504,MATCH(C1394,'Active Clients'!$A$5:$A$504,0)))&amp;"","ID not found"))</f>
        <v/>
      </c>
      <c r="G1394" s="16"/>
      <c r="H1394" s="16"/>
      <c r="I1394" s="16"/>
      <c r="J1394" s="16"/>
      <c r="K1394" s="16"/>
      <c r="L1394" s="18"/>
    </row>
    <row r="1395" customFormat="false" ht="15" hidden="false" customHeight="false" outlineLevel="0" collapsed="false">
      <c r="A1395" s="18"/>
      <c r="B1395" s="16"/>
      <c r="C1395" s="16"/>
      <c r="D1395" s="51" t="str">
        <f aca="false">IF(C1395="","",IFERROR(IF(LEFT(C1395,1)="L",INDEX('Leads Pipeline'!$F$5:$F$1004,MATCH(C1395,'Leads Pipeline'!$A$5:$A$1004,0)),INDEX('Active Clients'!$D$5:$D$504,MATCH(C1395,'Active Clients'!$A$5:$A$504,0)))&amp;"","ID not found"))</f>
        <v/>
      </c>
      <c r="E1395" s="51" t="str">
        <f aca="false">IF(C1395="","",IFERROR(IF(LEFT(C1395,1)="L",INDEX('Leads Pipeline'!$D$5:$D$1004,MATCH(C1395,'Leads Pipeline'!$A$5:$A$1004,0)),INDEX('Active Clients'!$B$5:$B$504,MATCH(C1395,'Active Clients'!$A$5:$A$504,0)))&amp;"","ID not found"))</f>
        <v/>
      </c>
      <c r="F1395" s="51" t="str">
        <f aca="false">IF(C1395="","",IFERROR(IF(LEFT(C1395,1)="L",INDEX('Leads Pipeline'!$E$5:$E$1004,MATCH(C1395,'Leads Pipeline'!$A$5:$A$1004,0)),INDEX('Active Clients'!$C$5:$C$504,MATCH(C1395,'Active Clients'!$A$5:$A$504,0)))&amp;"","ID not found"))</f>
        <v/>
      </c>
      <c r="G1395" s="16"/>
      <c r="H1395" s="16"/>
      <c r="I1395" s="16"/>
      <c r="J1395" s="16"/>
      <c r="K1395" s="16"/>
      <c r="L1395" s="18"/>
    </row>
    <row r="1396" customFormat="false" ht="15" hidden="false" customHeight="false" outlineLevel="0" collapsed="false">
      <c r="A1396" s="18"/>
      <c r="B1396" s="16"/>
      <c r="C1396" s="16"/>
      <c r="D1396" s="51" t="str">
        <f aca="false">IF(C1396="","",IFERROR(IF(LEFT(C1396,1)="L",INDEX('Leads Pipeline'!$F$5:$F$1004,MATCH(C1396,'Leads Pipeline'!$A$5:$A$1004,0)),INDEX('Active Clients'!$D$5:$D$504,MATCH(C1396,'Active Clients'!$A$5:$A$504,0)))&amp;"","ID not found"))</f>
        <v/>
      </c>
      <c r="E1396" s="51" t="str">
        <f aca="false">IF(C1396="","",IFERROR(IF(LEFT(C1396,1)="L",INDEX('Leads Pipeline'!$D$5:$D$1004,MATCH(C1396,'Leads Pipeline'!$A$5:$A$1004,0)),INDEX('Active Clients'!$B$5:$B$504,MATCH(C1396,'Active Clients'!$A$5:$A$504,0)))&amp;"","ID not found"))</f>
        <v/>
      </c>
      <c r="F1396" s="51" t="str">
        <f aca="false">IF(C1396="","",IFERROR(IF(LEFT(C1396,1)="L",INDEX('Leads Pipeline'!$E$5:$E$1004,MATCH(C1396,'Leads Pipeline'!$A$5:$A$1004,0)),INDEX('Active Clients'!$C$5:$C$504,MATCH(C1396,'Active Clients'!$A$5:$A$504,0)))&amp;"","ID not found"))</f>
        <v/>
      </c>
      <c r="G1396" s="16"/>
      <c r="H1396" s="16"/>
      <c r="I1396" s="16"/>
      <c r="J1396" s="16"/>
      <c r="K1396" s="16"/>
      <c r="L1396" s="18"/>
    </row>
    <row r="1397" customFormat="false" ht="15" hidden="false" customHeight="false" outlineLevel="0" collapsed="false">
      <c r="A1397" s="18"/>
      <c r="B1397" s="16"/>
      <c r="C1397" s="16"/>
      <c r="D1397" s="51" t="str">
        <f aca="false">IF(C1397="","",IFERROR(IF(LEFT(C1397,1)="L",INDEX('Leads Pipeline'!$F$5:$F$1004,MATCH(C1397,'Leads Pipeline'!$A$5:$A$1004,0)),INDEX('Active Clients'!$D$5:$D$504,MATCH(C1397,'Active Clients'!$A$5:$A$504,0)))&amp;"","ID not found"))</f>
        <v/>
      </c>
      <c r="E1397" s="51" t="str">
        <f aca="false">IF(C1397="","",IFERROR(IF(LEFT(C1397,1)="L",INDEX('Leads Pipeline'!$D$5:$D$1004,MATCH(C1397,'Leads Pipeline'!$A$5:$A$1004,0)),INDEX('Active Clients'!$B$5:$B$504,MATCH(C1397,'Active Clients'!$A$5:$A$504,0)))&amp;"","ID not found"))</f>
        <v/>
      </c>
      <c r="F1397" s="51" t="str">
        <f aca="false">IF(C1397="","",IFERROR(IF(LEFT(C1397,1)="L",INDEX('Leads Pipeline'!$E$5:$E$1004,MATCH(C1397,'Leads Pipeline'!$A$5:$A$1004,0)),INDEX('Active Clients'!$C$5:$C$504,MATCH(C1397,'Active Clients'!$A$5:$A$504,0)))&amp;"","ID not found"))</f>
        <v/>
      </c>
      <c r="G1397" s="16"/>
      <c r="H1397" s="16"/>
      <c r="I1397" s="16"/>
      <c r="J1397" s="16"/>
      <c r="K1397" s="16"/>
      <c r="L1397" s="18"/>
    </row>
    <row r="1398" customFormat="false" ht="15" hidden="false" customHeight="false" outlineLevel="0" collapsed="false">
      <c r="A1398" s="18"/>
      <c r="B1398" s="16"/>
      <c r="C1398" s="16"/>
      <c r="D1398" s="51" t="str">
        <f aca="false">IF(C1398="","",IFERROR(IF(LEFT(C1398,1)="L",INDEX('Leads Pipeline'!$F$5:$F$1004,MATCH(C1398,'Leads Pipeline'!$A$5:$A$1004,0)),INDEX('Active Clients'!$D$5:$D$504,MATCH(C1398,'Active Clients'!$A$5:$A$504,0)))&amp;"","ID not found"))</f>
        <v/>
      </c>
      <c r="E1398" s="51" t="str">
        <f aca="false">IF(C1398="","",IFERROR(IF(LEFT(C1398,1)="L",INDEX('Leads Pipeline'!$D$5:$D$1004,MATCH(C1398,'Leads Pipeline'!$A$5:$A$1004,0)),INDEX('Active Clients'!$B$5:$B$504,MATCH(C1398,'Active Clients'!$A$5:$A$504,0)))&amp;"","ID not found"))</f>
        <v/>
      </c>
      <c r="F1398" s="51" t="str">
        <f aca="false">IF(C1398="","",IFERROR(IF(LEFT(C1398,1)="L",INDEX('Leads Pipeline'!$E$5:$E$1004,MATCH(C1398,'Leads Pipeline'!$A$5:$A$1004,0)),INDEX('Active Clients'!$C$5:$C$504,MATCH(C1398,'Active Clients'!$A$5:$A$504,0)))&amp;"","ID not found"))</f>
        <v/>
      </c>
      <c r="G1398" s="16"/>
      <c r="H1398" s="16"/>
      <c r="I1398" s="16"/>
      <c r="J1398" s="16"/>
      <c r="K1398" s="16"/>
      <c r="L1398" s="18"/>
    </row>
    <row r="1399" customFormat="false" ht="15" hidden="false" customHeight="false" outlineLevel="0" collapsed="false">
      <c r="A1399" s="18"/>
      <c r="B1399" s="16"/>
      <c r="C1399" s="16"/>
      <c r="D1399" s="51" t="str">
        <f aca="false">IF(C1399="","",IFERROR(IF(LEFT(C1399,1)="L",INDEX('Leads Pipeline'!$F$5:$F$1004,MATCH(C1399,'Leads Pipeline'!$A$5:$A$1004,0)),INDEX('Active Clients'!$D$5:$D$504,MATCH(C1399,'Active Clients'!$A$5:$A$504,0)))&amp;"","ID not found"))</f>
        <v/>
      </c>
      <c r="E1399" s="51" t="str">
        <f aca="false">IF(C1399="","",IFERROR(IF(LEFT(C1399,1)="L",INDEX('Leads Pipeline'!$D$5:$D$1004,MATCH(C1399,'Leads Pipeline'!$A$5:$A$1004,0)),INDEX('Active Clients'!$B$5:$B$504,MATCH(C1399,'Active Clients'!$A$5:$A$504,0)))&amp;"","ID not found"))</f>
        <v/>
      </c>
      <c r="F1399" s="51" t="str">
        <f aca="false">IF(C1399="","",IFERROR(IF(LEFT(C1399,1)="L",INDEX('Leads Pipeline'!$E$5:$E$1004,MATCH(C1399,'Leads Pipeline'!$A$5:$A$1004,0)),INDEX('Active Clients'!$C$5:$C$504,MATCH(C1399,'Active Clients'!$A$5:$A$504,0)))&amp;"","ID not found"))</f>
        <v/>
      </c>
      <c r="G1399" s="16"/>
      <c r="H1399" s="16"/>
      <c r="I1399" s="16"/>
      <c r="J1399" s="16"/>
      <c r="K1399" s="16"/>
      <c r="L1399" s="18"/>
    </row>
    <row r="1400" customFormat="false" ht="15" hidden="false" customHeight="false" outlineLevel="0" collapsed="false">
      <c r="A1400" s="18"/>
      <c r="B1400" s="16"/>
      <c r="C1400" s="16"/>
      <c r="D1400" s="51" t="str">
        <f aca="false">IF(C1400="","",IFERROR(IF(LEFT(C1400,1)="L",INDEX('Leads Pipeline'!$F$5:$F$1004,MATCH(C1400,'Leads Pipeline'!$A$5:$A$1004,0)),INDEX('Active Clients'!$D$5:$D$504,MATCH(C1400,'Active Clients'!$A$5:$A$504,0)))&amp;"","ID not found"))</f>
        <v/>
      </c>
      <c r="E1400" s="51" t="str">
        <f aca="false">IF(C1400="","",IFERROR(IF(LEFT(C1400,1)="L",INDEX('Leads Pipeline'!$D$5:$D$1004,MATCH(C1400,'Leads Pipeline'!$A$5:$A$1004,0)),INDEX('Active Clients'!$B$5:$B$504,MATCH(C1400,'Active Clients'!$A$5:$A$504,0)))&amp;"","ID not found"))</f>
        <v/>
      </c>
      <c r="F1400" s="51" t="str">
        <f aca="false">IF(C1400="","",IFERROR(IF(LEFT(C1400,1)="L",INDEX('Leads Pipeline'!$E$5:$E$1004,MATCH(C1400,'Leads Pipeline'!$A$5:$A$1004,0)),INDEX('Active Clients'!$C$5:$C$504,MATCH(C1400,'Active Clients'!$A$5:$A$504,0)))&amp;"","ID not found"))</f>
        <v/>
      </c>
      <c r="G1400" s="16"/>
      <c r="H1400" s="16"/>
      <c r="I1400" s="16"/>
      <c r="J1400" s="16"/>
      <c r="K1400" s="16"/>
      <c r="L1400" s="18"/>
    </row>
    <row r="1401" customFormat="false" ht="15" hidden="false" customHeight="false" outlineLevel="0" collapsed="false">
      <c r="A1401" s="18"/>
      <c r="B1401" s="16"/>
      <c r="C1401" s="16"/>
      <c r="D1401" s="51" t="str">
        <f aca="false">IF(C1401="","",IFERROR(IF(LEFT(C1401,1)="L",INDEX('Leads Pipeline'!$F$5:$F$1004,MATCH(C1401,'Leads Pipeline'!$A$5:$A$1004,0)),INDEX('Active Clients'!$D$5:$D$504,MATCH(C1401,'Active Clients'!$A$5:$A$504,0)))&amp;"","ID not found"))</f>
        <v/>
      </c>
      <c r="E1401" s="51" t="str">
        <f aca="false">IF(C1401="","",IFERROR(IF(LEFT(C1401,1)="L",INDEX('Leads Pipeline'!$D$5:$D$1004,MATCH(C1401,'Leads Pipeline'!$A$5:$A$1004,0)),INDEX('Active Clients'!$B$5:$B$504,MATCH(C1401,'Active Clients'!$A$5:$A$504,0)))&amp;"","ID not found"))</f>
        <v/>
      </c>
      <c r="F1401" s="51" t="str">
        <f aca="false">IF(C1401="","",IFERROR(IF(LEFT(C1401,1)="L",INDEX('Leads Pipeline'!$E$5:$E$1004,MATCH(C1401,'Leads Pipeline'!$A$5:$A$1004,0)),INDEX('Active Clients'!$C$5:$C$504,MATCH(C1401,'Active Clients'!$A$5:$A$504,0)))&amp;"","ID not found"))</f>
        <v/>
      </c>
      <c r="G1401" s="16"/>
      <c r="H1401" s="16"/>
      <c r="I1401" s="16"/>
      <c r="J1401" s="16"/>
      <c r="K1401" s="16"/>
      <c r="L1401" s="18"/>
    </row>
    <row r="1402" customFormat="false" ht="15" hidden="false" customHeight="false" outlineLevel="0" collapsed="false">
      <c r="A1402" s="18"/>
      <c r="B1402" s="16"/>
      <c r="C1402" s="16"/>
      <c r="D1402" s="51" t="str">
        <f aca="false">IF(C1402="","",IFERROR(IF(LEFT(C1402,1)="L",INDEX('Leads Pipeline'!$F$5:$F$1004,MATCH(C1402,'Leads Pipeline'!$A$5:$A$1004,0)),INDEX('Active Clients'!$D$5:$D$504,MATCH(C1402,'Active Clients'!$A$5:$A$504,0)))&amp;"","ID not found"))</f>
        <v/>
      </c>
      <c r="E1402" s="51" t="str">
        <f aca="false">IF(C1402="","",IFERROR(IF(LEFT(C1402,1)="L",INDEX('Leads Pipeline'!$D$5:$D$1004,MATCH(C1402,'Leads Pipeline'!$A$5:$A$1004,0)),INDEX('Active Clients'!$B$5:$B$504,MATCH(C1402,'Active Clients'!$A$5:$A$504,0)))&amp;"","ID not found"))</f>
        <v/>
      </c>
      <c r="F1402" s="51" t="str">
        <f aca="false">IF(C1402="","",IFERROR(IF(LEFT(C1402,1)="L",INDEX('Leads Pipeline'!$E$5:$E$1004,MATCH(C1402,'Leads Pipeline'!$A$5:$A$1004,0)),INDEX('Active Clients'!$C$5:$C$504,MATCH(C1402,'Active Clients'!$A$5:$A$504,0)))&amp;"","ID not found"))</f>
        <v/>
      </c>
      <c r="G1402" s="16"/>
      <c r="H1402" s="16"/>
      <c r="I1402" s="16"/>
      <c r="J1402" s="16"/>
      <c r="K1402" s="16"/>
      <c r="L1402" s="18"/>
    </row>
    <row r="1403" customFormat="false" ht="15" hidden="false" customHeight="false" outlineLevel="0" collapsed="false">
      <c r="A1403" s="18"/>
      <c r="B1403" s="16"/>
      <c r="C1403" s="16"/>
      <c r="D1403" s="51" t="str">
        <f aca="false">IF(C1403="","",IFERROR(IF(LEFT(C1403,1)="L",INDEX('Leads Pipeline'!$F$5:$F$1004,MATCH(C1403,'Leads Pipeline'!$A$5:$A$1004,0)),INDEX('Active Clients'!$D$5:$D$504,MATCH(C1403,'Active Clients'!$A$5:$A$504,0)))&amp;"","ID not found"))</f>
        <v/>
      </c>
      <c r="E1403" s="51" t="str">
        <f aca="false">IF(C1403="","",IFERROR(IF(LEFT(C1403,1)="L",INDEX('Leads Pipeline'!$D$5:$D$1004,MATCH(C1403,'Leads Pipeline'!$A$5:$A$1004,0)),INDEX('Active Clients'!$B$5:$B$504,MATCH(C1403,'Active Clients'!$A$5:$A$504,0)))&amp;"","ID not found"))</f>
        <v/>
      </c>
      <c r="F1403" s="51" t="str">
        <f aca="false">IF(C1403="","",IFERROR(IF(LEFT(C1403,1)="L",INDEX('Leads Pipeline'!$E$5:$E$1004,MATCH(C1403,'Leads Pipeline'!$A$5:$A$1004,0)),INDEX('Active Clients'!$C$5:$C$504,MATCH(C1403,'Active Clients'!$A$5:$A$504,0)))&amp;"","ID not found"))</f>
        <v/>
      </c>
      <c r="G1403" s="16"/>
      <c r="H1403" s="16"/>
      <c r="I1403" s="16"/>
      <c r="J1403" s="16"/>
      <c r="K1403" s="16"/>
      <c r="L1403" s="18"/>
    </row>
    <row r="1404" customFormat="false" ht="15" hidden="false" customHeight="false" outlineLevel="0" collapsed="false">
      <c r="A1404" s="18"/>
      <c r="B1404" s="16"/>
      <c r="C1404" s="16"/>
      <c r="D1404" s="51" t="str">
        <f aca="false">IF(C1404="","",IFERROR(IF(LEFT(C1404,1)="L",INDEX('Leads Pipeline'!$F$5:$F$1004,MATCH(C1404,'Leads Pipeline'!$A$5:$A$1004,0)),INDEX('Active Clients'!$D$5:$D$504,MATCH(C1404,'Active Clients'!$A$5:$A$504,0)))&amp;"","ID not found"))</f>
        <v/>
      </c>
      <c r="E1404" s="51" t="str">
        <f aca="false">IF(C1404="","",IFERROR(IF(LEFT(C1404,1)="L",INDEX('Leads Pipeline'!$D$5:$D$1004,MATCH(C1404,'Leads Pipeline'!$A$5:$A$1004,0)),INDEX('Active Clients'!$B$5:$B$504,MATCH(C1404,'Active Clients'!$A$5:$A$504,0)))&amp;"","ID not found"))</f>
        <v/>
      </c>
      <c r="F1404" s="51" t="str">
        <f aca="false">IF(C1404="","",IFERROR(IF(LEFT(C1404,1)="L",INDEX('Leads Pipeline'!$E$5:$E$1004,MATCH(C1404,'Leads Pipeline'!$A$5:$A$1004,0)),INDEX('Active Clients'!$C$5:$C$504,MATCH(C1404,'Active Clients'!$A$5:$A$504,0)))&amp;"","ID not found"))</f>
        <v/>
      </c>
      <c r="G1404" s="16"/>
      <c r="H1404" s="16"/>
      <c r="I1404" s="16"/>
      <c r="J1404" s="16"/>
      <c r="K1404" s="16"/>
      <c r="L1404" s="18"/>
    </row>
    <row r="1405" customFormat="false" ht="15" hidden="false" customHeight="false" outlineLevel="0" collapsed="false">
      <c r="A1405" s="18"/>
      <c r="B1405" s="16"/>
      <c r="C1405" s="16"/>
      <c r="D1405" s="51" t="str">
        <f aca="false">IF(C1405="","",IFERROR(IF(LEFT(C1405,1)="L",INDEX('Leads Pipeline'!$F$5:$F$1004,MATCH(C1405,'Leads Pipeline'!$A$5:$A$1004,0)),INDEX('Active Clients'!$D$5:$D$504,MATCH(C1405,'Active Clients'!$A$5:$A$504,0)))&amp;"","ID not found"))</f>
        <v/>
      </c>
      <c r="E1405" s="51" t="str">
        <f aca="false">IF(C1405="","",IFERROR(IF(LEFT(C1405,1)="L",INDEX('Leads Pipeline'!$D$5:$D$1004,MATCH(C1405,'Leads Pipeline'!$A$5:$A$1004,0)),INDEX('Active Clients'!$B$5:$B$504,MATCH(C1405,'Active Clients'!$A$5:$A$504,0)))&amp;"","ID not found"))</f>
        <v/>
      </c>
      <c r="F1405" s="51" t="str">
        <f aca="false">IF(C1405="","",IFERROR(IF(LEFT(C1405,1)="L",INDEX('Leads Pipeline'!$E$5:$E$1004,MATCH(C1405,'Leads Pipeline'!$A$5:$A$1004,0)),INDEX('Active Clients'!$C$5:$C$504,MATCH(C1405,'Active Clients'!$A$5:$A$504,0)))&amp;"","ID not found"))</f>
        <v/>
      </c>
      <c r="G1405" s="16"/>
      <c r="H1405" s="16"/>
      <c r="I1405" s="16"/>
      <c r="J1405" s="16"/>
      <c r="K1405" s="16"/>
      <c r="L1405" s="18"/>
    </row>
    <row r="1406" customFormat="false" ht="15" hidden="false" customHeight="false" outlineLevel="0" collapsed="false">
      <c r="A1406" s="18"/>
      <c r="B1406" s="16"/>
      <c r="C1406" s="16"/>
      <c r="D1406" s="51" t="str">
        <f aca="false">IF(C1406="","",IFERROR(IF(LEFT(C1406,1)="L",INDEX('Leads Pipeline'!$F$5:$F$1004,MATCH(C1406,'Leads Pipeline'!$A$5:$A$1004,0)),INDEX('Active Clients'!$D$5:$D$504,MATCH(C1406,'Active Clients'!$A$5:$A$504,0)))&amp;"","ID not found"))</f>
        <v/>
      </c>
      <c r="E1406" s="51" t="str">
        <f aca="false">IF(C1406="","",IFERROR(IF(LEFT(C1406,1)="L",INDEX('Leads Pipeline'!$D$5:$D$1004,MATCH(C1406,'Leads Pipeline'!$A$5:$A$1004,0)),INDEX('Active Clients'!$B$5:$B$504,MATCH(C1406,'Active Clients'!$A$5:$A$504,0)))&amp;"","ID not found"))</f>
        <v/>
      </c>
      <c r="F1406" s="51" t="str">
        <f aca="false">IF(C1406="","",IFERROR(IF(LEFT(C1406,1)="L",INDEX('Leads Pipeline'!$E$5:$E$1004,MATCH(C1406,'Leads Pipeline'!$A$5:$A$1004,0)),INDEX('Active Clients'!$C$5:$C$504,MATCH(C1406,'Active Clients'!$A$5:$A$504,0)))&amp;"","ID not found"))</f>
        <v/>
      </c>
      <c r="G1406" s="16"/>
      <c r="H1406" s="16"/>
      <c r="I1406" s="16"/>
      <c r="J1406" s="16"/>
      <c r="K1406" s="16"/>
      <c r="L1406" s="18"/>
    </row>
    <row r="1407" customFormat="false" ht="15" hidden="false" customHeight="false" outlineLevel="0" collapsed="false">
      <c r="A1407" s="18"/>
      <c r="B1407" s="16"/>
      <c r="C1407" s="16"/>
      <c r="D1407" s="51" t="str">
        <f aca="false">IF(C1407="","",IFERROR(IF(LEFT(C1407,1)="L",INDEX('Leads Pipeline'!$F$5:$F$1004,MATCH(C1407,'Leads Pipeline'!$A$5:$A$1004,0)),INDEX('Active Clients'!$D$5:$D$504,MATCH(C1407,'Active Clients'!$A$5:$A$504,0)))&amp;"","ID not found"))</f>
        <v/>
      </c>
      <c r="E1407" s="51" t="str">
        <f aca="false">IF(C1407="","",IFERROR(IF(LEFT(C1407,1)="L",INDEX('Leads Pipeline'!$D$5:$D$1004,MATCH(C1407,'Leads Pipeline'!$A$5:$A$1004,0)),INDEX('Active Clients'!$B$5:$B$504,MATCH(C1407,'Active Clients'!$A$5:$A$504,0)))&amp;"","ID not found"))</f>
        <v/>
      </c>
      <c r="F1407" s="51" t="str">
        <f aca="false">IF(C1407="","",IFERROR(IF(LEFT(C1407,1)="L",INDEX('Leads Pipeline'!$E$5:$E$1004,MATCH(C1407,'Leads Pipeline'!$A$5:$A$1004,0)),INDEX('Active Clients'!$C$5:$C$504,MATCH(C1407,'Active Clients'!$A$5:$A$504,0)))&amp;"","ID not found"))</f>
        <v/>
      </c>
      <c r="G1407" s="16"/>
      <c r="H1407" s="16"/>
      <c r="I1407" s="16"/>
      <c r="J1407" s="16"/>
      <c r="K1407" s="16"/>
      <c r="L1407" s="18"/>
    </row>
    <row r="1408" customFormat="false" ht="15" hidden="false" customHeight="false" outlineLevel="0" collapsed="false">
      <c r="A1408" s="18"/>
      <c r="B1408" s="16"/>
      <c r="C1408" s="16"/>
      <c r="D1408" s="51" t="str">
        <f aca="false">IF(C1408="","",IFERROR(IF(LEFT(C1408,1)="L",INDEX('Leads Pipeline'!$F$5:$F$1004,MATCH(C1408,'Leads Pipeline'!$A$5:$A$1004,0)),INDEX('Active Clients'!$D$5:$D$504,MATCH(C1408,'Active Clients'!$A$5:$A$504,0)))&amp;"","ID not found"))</f>
        <v/>
      </c>
      <c r="E1408" s="51" t="str">
        <f aca="false">IF(C1408="","",IFERROR(IF(LEFT(C1408,1)="L",INDEX('Leads Pipeline'!$D$5:$D$1004,MATCH(C1408,'Leads Pipeline'!$A$5:$A$1004,0)),INDEX('Active Clients'!$B$5:$B$504,MATCH(C1408,'Active Clients'!$A$5:$A$504,0)))&amp;"","ID not found"))</f>
        <v/>
      </c>
      <c r="F1408" s="51" t="str">
        <f aca="false">IF(C1408="","",IFERROR(IF(LEFT(C1408,1)="L",INDEX('Leads Pipeline'!$E$5:$E$1004,MATCH(C1408,'Leads Pipeline'!$A$5:$A$1004,0)),INDEX('Active Clients'!$C$5:$C$504,MATCH(C1408,'Active Clients'!$A$5:$A$504,0)))&amp;"","ID not found"))</f>
        <v/>
      </c>
      <c r="G1408" s="16"/>
      <c r="H1408" s="16"/>
      <c r="I1408" s="16"/>
      <c r="J1408" s="16"/>
      <c r="K1408" s="16"/>
      <c r="L1408" s="18"/>
    </row>
    <row r="1409" customFormat="false" ht="15" hidden="false" customHeight="false" outlineLevel="0" collapsed="false">
      <c r="A1409" s="18"/>
      <c r="B1409" s="16"/>
      <c r="C1409" s="16"/>
      <c r="D1409" s="51" t="str">
        <f aca="false">IF(C1409="","",IFERROR(IF(LEFT(C1409,1)="L",INDEX('Leads Pipeline'!$F$5:$F$1004,MATCH(C1409,'Leads Pipeline'!$A$5:$A$1004,0)),INDEX('Active Clients'!$D$5:$D$504,MATCH(C1409,'Active Clients'!$A$5:$A$504,0)))&amp;"","ID not found"))</f>
        <v/>
      </c>
      <c r="E1409" s="51" t="str">
        <f aca="false">IF(C1409="","",IFERROR(IF(LEFT(C1409,1)="L",INDEX('Leads Pipeline'!$D$5:$D$1004,MATCH(C1409,'Leads Pipeline'!$A$5:$A$1004,0)),INDEX('Active Clients'!$B$5:$B$504,MATCH(C1409,'Active Clients'!$A$5:$A$504,0)))&amp;"","ID not found"))</f>
        <v/>
      </c>
      <c r="F1409" s="51" t="str">
        <f aca="false">IF(C1409="","",IFERROR(IF(LEFT(C1409,1)="L",INDEX('Leads Pipeline'!$E$5:$E$1004,MATCH(C1409,'Leads Pipeline'!$A$5:$A$1004,0)),INDEX('Active Clients'!$C$5:$C$504,MATCH(C1409,'Active Clients'!$A$5:$A$504,0)))&amp;"","ID not found"))</f>
        <v/>
      </c>
      <c r="G1409" s="16"/>
      <c r="H1409" s="16"/>
      <c r="I1409" s="16"/>
      <c r="J1409" s="16"/>
      <c r="K1409" s="16"/>
      <c r="L1409" s="18"/>
    </row>
    <row r="1410" customFormat="false" ht="15" hidden="false" customHeight="false" outlineLevel="0" collapsed="false">
      <c r="A1410" s="18"/>
      <c r="B1410" s="16"/>
      <c r="C1410" s="16"/>
      <c r="D1410" s="51" t="str">
        <f aca="false">IF(C1410="","",IFERROR(IF(LEFT(C1410,1)="L",INDEX('Leads Pipeline'!$F$5:$F$1004,MATCH(C1410,'Leads Pipeline'!$A$5:$A$1004,0)),INDEX('Active Clients'!$D$5:$D$504,MATCH(C1410,'Active Clients'!$A$5:$A$504,0)))&amp;"","ID not found"))</f>
        <v/>
      </c>
      <c r="E1410" s="51" t="str">
        <f aca="false">IF(C1410="","",IFERROR(IF(LEFT(C1410,1)="L",INDEX('Leads Pipeline'!$D$5:$D$1004,MATCH(C1410,'Leads Pipeline'!$A$5:$A$1004,0)),INDEX('Active Clients'!$B$5:$B$504,MATCH(C1410,'Active Clients'!$A$5:$A$504,0)))&amp;"","ID not found"))</f>
        <v/>
      </c>
      <c r="F1410" s="51" t="str">
        <f aca="false">IF(C1410="","",IFERROR(IF(LEFT(C1410,1)="L",INDEX('Leads Pipeline'!$E$5:$E$1004,MATCH(C1410,'Leads Pipeline'!$A$5:$A$1004,0)),INDEX('Active Clients'!$C$5:$C$504,MATCH(C1410,'Active Clients'!$A$5:$A$504,0)))&amp;"","ID not found"))</f>
        <v/>
      </c>
      <c r="G1410" s="16"/>
      <c r="H1410" s="16"/>
      <c r="I1410" s="16"/>
      <c r="J1410" s="16"/>
      <c r="K1410" s="16"/>
      <c r="L1410" s="18"/>
    </row>
    <row r="1411" customFormat="false" ht="15" hidden="false" customHeight="false" outlineLevel="0" collapsed="false">
      <c r="A1411" s="18"/>
      <c r="B1411" s="16"/>
      <c r="C1411" s="16"/>
      <c r="D1411" s="51" t="str">
        <f aca="false">IF(C1411="","",IFERROR(IF(LEFT(C1411,1)="L",INDEX('Leads Pipeline'!$F$5:$F$1004,MATCH(C1411,'Leads Pipeline'!$A$5:$A$1004,0)),INDEX('Active Clients'!$D$5:$D$504,MATCH(C1411,'Active Clients'!$A$5:$A$504,0)))&amp;"","ID not found"))</f>
        <v/>
      </c>
      <c r="E1411" s="51" t="str">
        <f aca="false">IF(C1411="","",IFERROR(IF(LEFT(C1411,1)="L",INDEX('Leads Pipeline'!$D$5:$D$1004,MATCH(C1411,'Leads Pipeline'!$A$5:$A$1004,0)),INDEX('Active Clients'!$B$5:$B$504,MATCH(C1411,'Active Clients'!$A$5:$A$504,0)))&amp;"","ID not found"))</f>
        <v/>
      </c>
      <c r="F1411" s="51" t="str">
        <f aca="false">IF(C1411="","",IFERROR(IF(LEFT(C1411,1)="L",INDEX('Leads Pipeline'!$E$5:$E$1004,MATCH(C1411,'Leads Pipeline'!$A$5:$A$1004,0)),INDEX('Active Clients'!$C$5:$C$504,MATCH(C1411,'Active Clients'!$A$5:$A$504,0)))&amp;"","ID not found"))</f>
        <v/>
      </c>
      <c r="G1411" s="16"/>
      <c r="H1411" s="16"/>
      <c r="I1411" s="16"/>
      <c r="J1411" s="16"/>
      <c r="K1411" s="16"/>
      <c r="L1411" s="18"/>
    </row>
    <row r="1412" customFormat="false" ht="15" hidden="false" customHeight="false" outlineLevel="0" collapsed="false">
      <c r="A1412" s="18"/>
      <c r="B1412" s="16"/>
      <c r="C1412" s="16"/>
      <c r="D1412" s="51" t="str">
        <f aca="false">IF(C1412="","",IFERROR(IF(LEFT(C1412,1)="L",INDEX('Leads Pipeline'!$F$5:$F$1004,MATCH(C1412,'Leads Pipeline'!$A$5:$A$1004,0)),INDEX('Active Clients'!$D$5:$D$504,MATCH(C1412,'Active Clients'!$A$5:$A$504,0)))&amp;"","ID not found"))</f>
        <v/>
      </c>
      <c r="E1412" s="51" t="str">
        <f aca="false">IF(C1412="","",IFERROR(IF(LEFT(C1412,1)="L",INDEX('Leads Pipeline'!$D$5:$D$1004,MATCH(C1412,'Leads Pipeline'!$A$5:$A$1004,0)),INDEX('Active Clients'!$B$5:$B$504,MATCH(C1412,'Active Clients'!$A$5:$A$504,0)))&amp;"","ID not found"))</f>
        <v/>
      </c>
      <c r="F1412" s="51" t="str">
        <f aca="false">IF(C1412="","",IFERROR(IF(LEFT(C1412,1)="L",INDEX('Leads Pipeline'!$E$5:$E$1004,MATCH(C1412,'Leads Pipeline'!$A$5:$A$1004,0)),INDEX('Active Clients'!$C$5:$C$504,MATCH(C1412,'Active Clients'!$A$5:$A$504,0)))&amp;"","ID not found"))</f>
        <v/>
      </c>
      <c r="G1412" s="16"/>
      <c r="H1412" s="16"/>
      <c r="I1412" s="16"/>
      <c r="J1412" s="16"/>
      <c r="K1412" s="16"/>
      <c r="L1412" s="18"/>
    </row>
    <row r="1413" customFormat="false" ht="15" hidden="false" customHeight="false" outlineLevel="0" collapsed="false">
      <c r="A1413" s="18"/>
      <c r="B1413" s="16"/>
      <c r="C1413" s="16"/>
      <c r="D1413" s="51" t="str">
        <f aca="false">IF(C1413="","",IFERROR(IF(LEFT(C1413,1)="L",INDEX('Leads Pipeline'!$F$5:$F$1004,MATCH(C1413,'Leads Pipeline'!$A$5:$A$1004,0)),INDEX('Active Clients'!$D$5:$D$504,MATCH(C1413,'Active Clients'!$A$5:$A$504,0)))&amp;"","ID not found"))</f>
        <v/>
      </c>
      <c r="E1413" s="51" t="str">
        <f aca="false">IF(C1413="","",IFERROR(IF(LEFT(C1413,1)="L",INDEX('Leads Pipeline'!$D$5:$D$1004,MATCH(C1413,'Leads Pipeline'!$A$5:$A$1004,0)),INDEX('Active Clients'!$B$5:$B$504,MATCH(C1413,'Active Clients'!$A$5:$A$504,0)))&amp;"","ID not found"))</f>
        <v/>
      </c>
      <c r="F1413" s="51" t="str">
        <f aca="false">IF(C1413="","",IFERROR(IF(LEFT(C1413,1)="L",INDEX('Leads Pipeline'!$E$5:$E$1004,MATCH(C1413,'Leads Pipeline'!$A$5:$A$1004,0)),INDEX('Active Clients'!$C$5:$C$504,MATCH(C1413,'Active Clients'!$A$5:$A$504,0)))&amp;"","ID not found"))</f>
        <v/>
      </c>
      <c r="G1413" s="16"/>
      <c r="H1413" s="16"/>
      <c r="I1413" s="16"/>
      <c r="J1413" s="16"/>
      <c r="K1413" s="16"/>
      <c r="L1413" s="18"/>
    </row>
    <row r="1414" customFormat="false" ht="15" hidden="false" customHeight="false" outlineLevel="0" collapsed="false">
      <c r="A1414" s="18"/>
      <c r="B1414" s="16"/>
      <c r="C1414" s="16"/>
      <c r="D1414" s="51" t="str">
        <f aca="false">IF(C1414="","",IFERROR(IF(LEFT(C1414,1)="L",INDEX('Leads Pipeline'!$F$5:$F$1004,MATCH(C1414,'Leads Pipeline'!$A$5:$A$1004,0)),INDEX('Active Clients'!$D$5:$D$504,MATCH(C1414,'Active Clients'!$A$5:$A$504,0)))&amp;"","ID not found"))</f>
        <v/>
      </c>
      <c r="E1414" s="51" t="str">
        <f aca="false">IF(C1414="","",IFERROR(IF(LEFT(C1414,1)="L",INDEX('Leads Pipeline'!$D$5:$D$1004,MATCH(C1414,'Leads Pipeline'!$A$5:$A$1004,0)),INDEX('Active Clients'!$B$5:$B$504,MATCH(C1414,'Active Clients'!$A$5:$A$504,0)))&amp;"","ID not found"))</f>
        <v/>
      </c>
      <c r="F1414" s="51" t="str">
        <f aca="false">IF(C1414="","",IFERROR(IF(LEFT(C1414,1)="L",INDEX('Leads Pipeline'!$E$5:$E$1004,MATCH(C1414,'Leads Pipeline'!$A$5:$A$1004,0)),INDEX('Active Clients'!$C$5:$C$504,MATCH(C1414,'Active Clients'!$A$5:$A$504,0)))&amp;"","ID not found"))</f>
        <v/>
      </c>
      <c r="G1414" s="16"/>
      <c r="H1414" s="16"/>
      <c r="I1414" s="16"/>
      <c r="J1414" s="16"/>
      <c r="K1414" s="16"/>
      <c r="L1414" s="18"/>
    </row>
    <row r="1415" customFormat="false" ht="15" hidden="false" customHeight="false" outlineLevel="0" collapsed="false">
      <c r="A1415" s="18"/>
      <c r="B1415" s="16"/>
      <c r="C1415" s="16"/>
      <c r="D1415" s="51" t="str">
        <f aca="false">IF(C1415="","",IFERROR(IF(LEFT(C1415,1)="L",INDEX('Leads Pipeline'!$F$5:$F$1004,MATCH(C1415,'Leads Pipeline'!$A$5:$A$1004,0)),INDEX('Active Clients'!$D$5:$D$504,MATCH(C1415,'Active Clients'!$A$5:$A$504,0)))&amp;"","ID not found"))</f>
        <v/>
      </c>
      <c r="E1415" s="51" t="str">
        <f aca="false">IF(C1415="","",IFERROR(IF(LEFT(C1415,1)="L",INDEX('Leads Pipeline'!$D$5:$D$1004,MATCH(C1415,'Leads Pipeline'!$A$5:$A$1004,0)),INDEX('Active Clients'!$B$5:$B$504,MATCH(C1415,'Active Clients'!$A$5:$A$504,0)))&amp;"","ID not found"))</f>
        <v/>
      </c>
      <c r="F1415" s="51" t="str">
        <f aca="false">IF(C1415="","",IFERROR(IF(LEFT(C1415,1)="L",INDEX('Leads Pipeline'!$E$5:$E$1004,MATCH(C1415,'Leads Pipeline'!$A$5:$A$1004,0)),INDEX('Active Clients'!$C$5:$C$504,MATCH(C1415,'Active Clients'!$A$5:$A$504,0)))&amp;"","ID not found"))</f>
        <v/>
      </c>
      <c r="G1415" s="16"/>
      <c r="H1415" s="16"/>
      <c r="I1415" s="16"/>
      <c r="J1415" s="16"/>
      <c r="K1415" s="16"/>
      <c r="L1415" s="18"/>
    </row>
    <row r="1416" customFormat="false" ht="15" hidden="false" customHeight="false" outlineLevel="0" collapsed="false">
      <c r="A1416" s="18"/>
      <c r="B1416" s="16"/>
      <c r="C1416" s="16"/>
      <c r="D1416" s="51" t="str">
        <f aca="false">IF(C1416="","",IFERROR(IF(LEFT(C1416,1)="L",INDEX('Leads Pipeline'!$F$5:$F$1004,MATCH(C1416,'Leads Pipeline'!$A$5:$A$1004,0)),INDEX('Active Clients'!$D$5:$D$504,MATCH(C1416,'Active Clients'!$A$5:$A$504,0)))&amp;"","ID not found"))</f>
        <v/>
      </c>
      <c r="E1416" s="51" t="str">
        <f aca="false">IF(C1416="","",IFERROR(IF(LEFT(C1416,1)="L",INDEX('Leads Pipeline'!$D$5:$D$1004,MATCH(C1416,'Leads Pipeline'!$A$5:$A$1004,0)),INDEX('Active Clients'!$B$5:$B$504,MATCH(C1416,'Active Clients'!$A$5:$A$504,0)))&amp;"","ID not found"))</f>
        <v/>
      </c>
      <c r="F1416" s="51" t="str">
        <f aca="false">IF(C1416="","",IFERROR(IF(LEFT(C1416,1)="L",INDEX('Leads Pipeline'!$E$5:$E$1004,MATCH(C1416,'Leads Pipeline'!$A$5:$A$1004,0)),INDEX('Active Clients'!$C$5:$C$504,MATCH(C1416,'Active Clients'!$A$5:$A$504,0)))&amp;"","ID not found"))</f>
        <v/>
      </c>
      <c r="G1416" s="16"/>
      <c r="H1416" s="16"/>
      <c r="I1416" s="16"/>
      <c r="J1416" s="16"/>
      <c r="K1416" s="16"/>
      <c r="L1416" s="18"/>
    </row>
    <row r="1417" customFormat="false" ht="15" hidden="false" customHeight="false" outlineLevel="0" collapsed="false">
      <c r="A1417" s="18"/>
      <c r="B1417" s="16"/>
      <c r="C1417" s="16"/>
      <c r="D1417" s="51" t="str">
        <f aca="false">IF(C1417="","",IFERROR(IF(LEFT(C1417,1)="L",INDEX('Leads Pipeline'!$F$5:$F$1004,MATCH(C1417,'Leads Pipeline'!$A$5:$A$1004,0)),INDEX('Active Clients'!$D$5:$D$504,MATCH(C1417,'Active Clients'!$A$5:$A$504,0)))&amp;"","ID not found"))</f>
        <v/>
      </c>
      <c r="E1417" s="51" t="str">
        <f aca="false">IF(C1417="","",IFERROR(IF(LEFT(C1417,1)="L",INDEX('Leads Pipeline'!$D$5:$D$1004,MATCH(C1417,'Leads Pipeline'!$A$5:$A$1004,0)),INDEX('Active Clients'!$B$5:$B$504,MATCH(C1417,'Active Clients'!$A$5:$A$504,0)))&amp;"","ID not found"))</f>
        <v/>
      </c>
      <c r="F1417" s="51" t="str">
        <f aca="false">IF(C1417="","",IFERROR(IF(LEFT(C1417,1)="L",INDEX('Leads Pipeline'!$E$5:$E$1004,MATCH(C1417,'Leads Pipeline'!$A$5:$A$1004,0)),INDEX('Active Clients'!$C$5:$C$504,MATCH(C1417,'Active Clients'!$A$5:$A$504,0)))&amp;"","ID not found"))</f>
        <v/>
      </c>
      <c r="G1417" s="16"/>
      <c r="H1417" s="16"/>
      <c r="I1417" s="16"/>
      <c r="J1417" s="16"/>
      <c r="K1417" s="16"/>
      <c r="L1417" s="18"/>
    </row>
    <row r="1418" customFormat="false" ht="15" hidden="false" customHeight="false" outlineLevel="0" collapsed="false">
      <c r="A1418" s="18"/>
      <c r="B1418" s="16"/>
      <c r="C1418" s="16"/>
      <c r="D1418" s="51" t="str">
        <f aca="false">IF(C1418="","",IFERROR(IF(LEFT(C1418,1)="L",INDEX('Leads Pipeline'!$F$5:$F$1004,MATCH(C1418,'Leads Pipeline'!$A$5:$A$1004,0)),INDEX('Active Clients'!$D$5:$D$504,MATCH(C1418,'Active Clients'!$A$5:$A$504,0)))&amp;"","ID not found"))</f>
        <v/>
      </c>
      <c r="E1418" s="51" t="str">
        <f aca="false">IF(C1418="","",IFERROR(IF(LEFT(C1418,1)="L",INDEX('Leads Pipeline'!$D$5:$D$1004,MATCH(C1418,'Leads Pipeline'!$A$5:$A$1004,0)),INDEX('Active Clients'!$B$5:$B$504,MATCH(C1418,'Active Clients'!$A$5:$A$504,0)))&amp;"","ID not found"))</f>
        <v/>
      </c>
      <c r="F1418" s="51" t="str">
        <f aca="false">IF(C1418="","",IFERROR(IF(LEFT(C1418,1)="L",INDEX('Leads Pipeline'!$E$5:$E$1004,MATCH(C1418,'Leads Pipeline'!$A$5:$A$1004,0)),INDEX('Active Clients'!$C$5:$C$504,MATCH(C1418,'Active Clients'!$A$5:$A$504,0)))&amp;"","ID not found"))</f>
        <v/>
      </c>
      <c r="G1418" s="16"/>
      <c r="H1418" s="16"/>
      <c r="I1418" s="16"/>
      <c r="J1418" s="16"/>
      <c r="K1418" s="16"/>
      <c r="L1418" s="18"/>
    </row>
    <row r="1419" customFormat="false" ht="15" hidden="false" customHeight="false" outlineLevel="0" collapsed="false">
      <c r="A1419" s="18"/>
      <c r="B1419" s="16"/>
      <c r="C1419" s="16"/>
      <c r="D1419" s="51" t="str">
        <f aca="false">IF(C1419="","",IFERROR(IF(LEFT(C1419,1)="L",INDEX('Leads Pipeline'!$F$5:$F$1004,MATCH(C1419,'Leads Pipeline'!$A$5:$A$1004,0)),INDEX('Active Clients'!$D$5:$D$504,MATCH(C1419,'Active Clients'!$A$5:$A$504,0)))&amp;"","ID not found"))</f>
        <v/>
      </c>
      <c r="E1419" s="51" t="str">
        <f aca="false">IF(C1419="","",IFERROR(IF(LEFT(C1419,1)="L",INDEX('Leads Pipeline'!$D$5:$D$1004,MATCH(C1419,'Leads Pipeline'!$A$5:$A$1004,0)),INDEX('Active Clients'!$B$5:$B$504,MATCH(C1419,'Active Clients'!$A$5:$A$504,0)))&amp;"","ID not found"))</f>
        <v/>
      </c>
      <c r="F1419" s="51" t="str">
        <f aca="false">IF(C1419="","",IFERROR(IF(LEFT(C1419,1)="L",INDEX('Leads Pipeline'!$E$5:$E$1004,MATCH(C1419,'Leads Pipeline'!$A$5:$A$1004,0)),INDEX('Active Clients'!$C$5:$C$504,MATCH(C1419,'Active Clients'!$A$5:$A$504,0)))&amp;"","ID not found"))</f>
        <v/>
      </c>
      <c r="G1419" s="16"/>
      <c r="H1419" s="16"/>
      <c r="I1419" s="16"/>
      <c r="J1419" s="16"/>
      <c r="K1419" s="16"/>
      <c r="L1419" s="18"/>
    </row>
    <row r="1420" customFormat="false" ht="15" hidden="false" customHeight="false" outlineLevel="0" collapsed="false">
      <c r="A1420" s="18"/>
      <c r="B1420" s="16"/>
      <c r="C1420" s="16"/>
      <c r="D1420" s="51" t="str">
        <f aca="false">IF(C1420="","",IFERROR(IF(LEFT(C1420,1)="L",INDEX('Leads Pipeline'!$F$5:$F$1004,MATCH(C1420,'Leads Pipeline'!$A$5:$A$1004,0)),INDEX('Active Clients'!$D$5:$D$504,MATCH(C1420,'Active Clients'!$A$5:$A$504,0)))&amp;"","ID not found"))</f>
        <v/>
      </c>
      <c r="E1420" s="51" t="str">
        <f aca="false">IF(C1420="","",IFERROR(IF(LEFT(C1420,1)="L",INDEX('Leads Pipeline'!$D$5:$D$1004,MATCH(C1420,'Leads Pipeline'!$A$5:$A$1004,0)),INDEX('Active Clients'!$B$5:$B$504,MATCH(C1420,'Active Clients'!$A$5:$A$504,0)))&amp;"","ID not found"))</f>
        <v/>
      </c>
      <c r="F1420" s="51" t="str">
        <f aca="false">IF(C1420="","",IFERROR(IF(LEFT(C1420,1)="L",INDEX('Leads Pipeline'!$E$5:$E$1004,MATCH(C1420,'Leads Pipeline'!$A$5:$A$1004,0)),INDEX('Active Clients'!$C$5:$C$504,MATCH(C1420,'Active Clients'!$A$5:$A$504,0)))&amp;"","ID not found"))</f>
        <v/>
      </c>
      <c r="G1420" s="16"/>
      <c r="H1420" s="16"/>
      <c r="I1420" s="16"/>
      <c r="J1420" s="16"/>
      <c r="K1420" s="16"/>
      <c r="L1420" s="18"/>
    </row>
    <row r="1421" customFormat="false" ht="15" hidden="false" customHeight="false" outlineLevel="0" collapsed="false">
      <c r="A1421" s="18"/>
      <c r="B1421" s="16"/>
      <c r="C1421" s="16"/>
      <c r="D1421" s="51" t="str">
        <f aca="false">IF(C1421="","",IFERROR(IF(LEFT(C1421,1)="L",INDEX('Leads Pipeline'!$F$5:$F$1004,MATCH(C1421,'Leads Pipeline'!$A$5:$A$1004,0)),INDEX('Active Clients'!$D$5:$D$504,MATCH(C1421,'Active Clients'!$A$5:$A$504,0)))&amp;"","ID not found"))</f>
        <v/>
      </c>
      <c r="E1421" s="51" t="str">
        <f aca="false">IF(C1421="","",IFERROR(IF(LEFT(C1421,1)="L",INDEX('Leads Pipeline'!$D$5:$D$1004,MATCH(C1421,'Leads Pipeline'!$A$5:$A$1004,0)),INDEX('Active Clients'!$B$5:$B$504,MATCH(C1421,'Active Clients'!$A$5:$A$504,0)))&amp;"","ID not found"))</f>
        <v/>
      </c>
      <c r="F1421" s="51" t="str">
        <f aca="false">IF(C1421="","",IFERROR(IF(LEFT(C1421,1)="L",INDEX('Leads Pipeline'!$E$5:$E$1004,MATCH(C1421,'Leads Pipeline'!$A$5:$A$1004,0)),INDEX('Active Clients'!$C$5:$C$504,MATCH(C1421,'Active Clients'!$A$5:$A$504,0)))&amp;"","ID not found"))</f>
        <v/>
      </c>
      <c r="G1421" s="16"/>
      <c r="H1421" s="16"/>
      <c r="I1421" s="16"/>
      <c r="J1421" s="16"/>
      <c r="K1421" s="16"/>
      <c r="L1421" s="18"/>
    </row>
    <row r="1422" customFormat="false" ht="15" hidden="false" customHeight="false" outlineLevel="0" collapsed="false">
      <c r="A1422" s="18"/>
      <c r="B1422" s="16"/>
      <c r="C1422" s="16"/>
      <c r="D1422" s="51" t="str">
        <f aca="false">IF(C1422="","",IFERROR(IF(LEFT(C1422,1)="L",INDEX('Leads Pipeline'!$F$5:$F$1004,MATCH(C1422,'Leads Pipeline'!$A$5:$A$1004,0)),INDEX('Active Clients'!$D$5:$D$504,MATCH(C1422,'Active Clients'!$A$5:$A$504,0)))&amp;"","ID not found"))</f>
        <v/>
      </c>
      <c r="E1422" s="51" t="str">
        <f aca="false">IF(C1422="","",IFERROR(IF(LEFT(C1422,1)="L",INDEX('Leads Pipeline'!$D$5:$D$1004,MATCH(C1422,'Leads Pipeline'!$A$5:$A$1004,0)),INDEX('Active Clients'!$B$5:$B$504,MATCH(C1422,'Active Clients'!$A$5:$A$504,0)))&amp;"","ID not found"))</f>
        <v/>
      </c>
      <c r="F1422" s="51" t="str">
        <f aca="false">IF(C1422="","",IFERROR(IF(LEFT(C1422,1)="L",INDEX('Leads Pipeline'!$E$5:$E$1004,MATCH(C1422,'Leads Pipeline'!$A$5:$A$1004,0)),INDEX('Active Clients'!$C$5:$C$504,MATCH(C1422,'Active Clients'!$A$5:$A$504,0)))&amp;"","ID not found"))</f>
        <v/>
      </c>
      <c r="G1422" s="16"/>
      <c r="H1422" s="16"/>
      <c r="I1422" s="16"/>
      <c r="J1422" s="16"/>
      <c r="K1422" s="16"/>
      <c r="L1422" s="18"/>
    </row>
    <row r="1423" customFormat="false" ht="15" hidden="false" customHeight="false" outlineLevel="0" collapsed="false">
      <c r="A1423" s="18"/>
      <c r="B1423" s="16"/>
      <c r="C1423" s="16"/>
      <c r="D1423" s="51" t="str">
        <f aca="false">IF(C1423="","",IFERROR(IF(LEFT(C1423,1)="L",INDEX('Leads Pipeline'!$F$5:$F$1004,MATCH(C1423,'Leads Pipeline'!$A$5:$A$1004,0)),INDEX('Active Clients'!$D$5:$D$504,MATCH(C1423,'Active Clients'!$A$5:$A$504,0)))&amp;"","ID not found"))</f>
        <v/>
      </c>
      <c r="E1423" s="51" t="str">
        <f aca="false">IF(C1423="","",IFERROR(IF(LEFT(C1423,1)="L",INDEX('Leads Pipeline'!$D$5:$D$1004,MATCH(C1423,'Leads Pipeline'!$A$5:$A$1004,0)),INDEX('Active Clients'!$B$5:$B$504,MATCH(C1423,'Active Clients'!$A$5:$A$504,0)))&amp;"","ID not found"))</f>
        <v/>
      </c>
      <c r="F1423" s="51" t="str">
        <f aca="false">IF(C1423="","",IFERROR(IF(LEFT(C1423,1)="L",INDEX('Leads Pipeline'!$E$5:$E$1004,MATCH(C1423,'Leads Pipeline'!$A$5:$A$1004,0)),INDEX('Active Clients'!$C$5:$C$504,MATCH(C1423,'Active Clients'!$A$5:$A$504,0)))&amp;"","ID not found"))</f>
        <v/>
      </c>
      <c r="G1423" s="16"/>
      <c r="H1423" s="16"/>
      <c r="I1423" s="16"/>
      <c r="J1423" s="16"/>
      <c r="K1423" s="16"/>
      <c r="L1423" s="18"/>
    </row>
    <row r="1424" customFormat="false" ht="15" hidden="false" customHeight="false" outlineLevel="0" collapsed="false">
      <c r="A1424" s="18"/>
      <c r="B1424" s="16"/>
      <c r="C1424" s="16"/>
      <c r="D1424" s="51" t="str">
        <f aca="false">IF(C1424="","",IFERROR(IF(LEFT(C1424,1)="L",INDEX('Leads Pipeline'!$F$5:$F$1004,MATCH(C1424,'Leads Pipeline'!$A$5:$A$1004,0)),INDEX('Active Clients'!$D$5:$D$504,MATCH(C1424,'Active Clients'!$A$5:$A$504,0)))&amp;"","ID not found"))</f>
        <v/>
      </c>
      <c r="E1424" s="51" t="str">
        <f aca="false">IF(C1424="","",IFERROR(IF(LEFT(C1424,1)="L",INDEX('Leads Pipeline'!$D$5:$D$1004,MATCH(C1424,'Leads Pipeline'!$A$5:$A$1004,0)),INDEX('Active Clients'!$B$5:$B$504,MATCH(C1424,'Active Clients'!$A$5:$A$504,0)))&amp;"","ID not found"))</f>
        <v/>
      </c>
      <c r="F1424" s="51" t="str">
        <f aca="false">IF(C1424="","",IFERROR(IF(LEFT(C1424,1)="L",INDEX('Leads Pipeline'!$E$5:$E$1004,MATCH(C1424,'Leads Pipeline'!$A$5:$A$1004,0)),INDEX('Active Clients'!$C$5:$C$504,MATCH(C1424,'Active Clients'!$A$5:$A$504,0)))&amp;"","ID not found"))</f>
        <v/>
      </c>
      <c r="G1424" s="16"/>
      <c r="H1424" s="16"/>
      <c r="I1424" s="16"/>
      <c r="J1424" s="16"/>
      <c r="K1424" s="16"/>
      <c r="L1424" s="18"/>
    </row>
    <row r="1425" customFormat="false" ht="15" hidden="false" customHeight="false" outlineLevel="0" collapsed="false">
      <c r="A1425" s="18"/>
      <c r="B1425" s="16"/>
      <c r="C1425" s="16"/>
      <c r="D1425" s="51" t="str">
        <f aca="false">IF(C1425="","",IFERROR(IF(LEFT(C1425,1)="L",INDEX('Leads Pipeline'!$F$5:$F$1004,MATCH(C1425,'Leads Pipeline'!$A$5:$A$1004,0)),INDEX('Active Clients'!$D$5:$D$504,MATCH(C1425,'Active Clients'!$A$5:$A$504,0)))&amp;"","ID not found"))</f>
        <v/>
      </c>
      <c r="E1425" s="51" t="str">
        <f aca="false">IF(C1425="","",IFERROR(IF(LEFT(C1425,1)="L",INDEX('Leads Pipeline'!$D$5:$D$1004,MATCH(C1425,'Leads Pipeline'!$A$5:$A$1004,0)),INDEX('Active Clients'!$B$5:$B$504,MATCH(C1425,'Active Clients'!$A$5:$A$504,0)))&amp;"","ID not found"))</f>
        <v/>
      </c>
      <c r="F1425" s="51" t="str">
        <f aca="false">IF(C1425="","",IFERROR(IF(LEFT(C1425,1)="L",INDEX('Leads Pipeline'!$E$5:$E$1004,MATCH(C1425,'Leads Pipeline'!$A$5:$A$1004,0)),INDEX('Active Clients'!$C$5:$C$504,MATCH(C1425,'Active Clients'!$A$5:$A$504,0)))&amp;"","ID not found"))</f>
        <v/>
      </c>
      <c r="G1425" s="16"/>
      <c r="H1425" s="16"/>
      <c r="I1425" s="16"/>
      <c r="J1425" s="16"/>
      <c r="K1425" s="16"/>
      <c r="L1425" s="18"/>
    </row>
    <row r="1426" customFormat="false" ht="15" hidden="false" customHeight="false" outlineLevel="0" collapsed="false">
      <c r="A1426" s="18"/>
      <c r="B1426" s="16"/>
      <c r="C1426" s="16"/>
      <c r="D1426" s="51" t="str">
        <f aca="false">IF(C1426="","",IFERROR(IF(LEFT(C1426,1)="L",INDEX('Leads Pipeline'!$F$5:$F$1004,MATCH(C1426,'Leads Pipeline'!$A$5:$A$1004,0)),INDEX('Active Clients'!$D$5:$D$504,MATCH(C1426,'Active Clients'!$A$5:$A$504,0)))&amp;"","ID not found"))</f>
        <v/>
      </c>
      <c r="E1426" s="51" t="str">
        <f aca="false">IF(C1426="","",IFERROR(IF(LEFT(C1426,1)="L",INDEX('Leads Pipeline'!$D$5:$D$1004,MATCH(C1426,'Leads Pipeline'!$A$5:$A$1004,0)),INDEX('Active Clients'!$B$5:$B$504,MATCH(C1426,'Active Clients'!$A$5:$A$504,0)))&amp;"","ID not found"))</f>
        <v/>
      </c>
      <c r="F1426" s="51" t="str">
        <f aca="false">IF(C1426="","",IFERROR(IF(LEFT(C1426,1)="L",INDEX('Leads Pipeline'!$E$5:$E$1004,MATCH(C1426,'Leads Pipeline'!$A$5:$A$1004,0)),INDEX('Active Clients'!$C$5:$C$504,MATCH(C1426,'Active Clients'!$A$5:$A$504,0)))&amp;"","ID not found"))</f>
        <v/>
      </c>
      <c r="G1426" s="16"/>
      <c r="H1426" s="16"/>
      <c r="I1426" s="16"/>
      <c r="J1426" s="16"/>
      <c r="K1426" s="16"/>
      <c r="L1426" s="18"/>
    </row>
    <row r="1427" customFormat="false" ht="15" hidden="false" customHeight="false" outlineLevel="0" collapsed="false">
      <c r="A1427" s="18"/>
      <c r="B1427" s="16"/>
      <c r="C1427" s="16"/>
      <c r="D1427" s="51" t="str">
        <f aca="false">IF(C1427="","",IFERROR(IF(LEFT(C1427,1)="L",INDEX('Leads Pipeline'!$F$5:$F$1004,MATCH(C1427,'Leads Pipeline'!$A$5:$A$1004,0)),INDEX('Active Clients'!$D$5:$D$504,MATCH(C1427,'Active Clients'!$A$5:$A$504,0)))&amp;"","ID not found"))</f>
        <v/>
      </c>
      <c r="E1427" s="51" t="str">
        <f aca="false">IF(C1427="","",IFERROR(IF(LEFT(C1427,1)="L",INDEX('Leads Pipeline'!$D$5:$D$1004,MATCH(C1427,'Leads Pipeline'!$A$5:$A$1004,0)),INDEX('Active Clients'!$B$5:$B$504,MATCH(C1427,'Active Clients'!$A$5:$A$504,0)))&amp;"","ID not found"))</f>
        <v/>
      </c>
      <c r="F1427" s="51" t="str">
        <f aca="false">IF(C1427="","",IFERROR(IF(LEFT(C1427,1)="L",INDEX('Leads Pipeline'!$E$5:$E$1004,MATCH(C1427,'Leads Pipeline'!$A$5:$A$1004,0)),INDEX('Active Clients'!$C$5:$C$504,MATCH(C1427,'Active Clients'!$A$5:$A$504,0)))&amp;"","ID not found"))</f>
        <v/>
      </c>
      <c r="G1427" s="16"/>
      <c r="H1427" s="16"/>
      <c r="I1427" s="16"/>
      <c r="J1427" s="16"/>
      <c r="K1427" s="16"/>
      <c r="L1427" s="18"/>
    </row>
    <row r="1428" customFormat="false" ht="15" hidden="false" customHeight="false" outlineLevel="0" collapsed="false">
      <c r="A1428" s="18"/>
      <c r="B1428" s="16"/>
      <c r="C1428" s="16"/>
      <c r="D1428" s="51" t="str">
        <f aca="false">IF(C1428="","",IFERROR(IF(LEFT(C1428,1)="L",INDEX('Leads Pipeline'!$F$5:$F$1004,MATCH(C1428,'Leads Pipeline'!$A$5:$A$1004,0)),INDEX('Active Clients'!$D$5:$D$504,MATCH(C1428,'Active Clients'!$A$5:$A$504,0)))&amp;"","ID not found"))</f>
        <v/>
      </c>
      <c r="E1428" s="51" t="str">
        <f aca="false">IF(C1428="","",IFERROR(IF(LEFT(C1428,1)="L",INDEX('Leads Pipeline'!$D$5:$D$1004,MATCH(C1428,'Leads Pipeline'!$A$5:$A$1004,0)),INDEX('Active Clients'!$B$5:$B$504,MATCH(C1428,'Active Clients'!$A$5:$A$504,0)))&amp;"","ID not found"))</f>
        <v/>
      </c>
      <c r="F1428" s="51" t="str">
        <f aca="false">IF(C1428="","",IFERROR(IF(LEFT(C1428,1)="L",INDEX('Leads Pipeline'!$E$5:$E$1004,MATCH(C1428,'Leads Pipeline'!$A$5:$A$1004,0)),INDEX('Active Clients'!$C$5:$C$504,MATCH(C1428,'Active Clients'!$A$5:$A$504,0)))&amp;"","ID not found"))</f>
        <v/>
      </c>
      <c r="G1428" s="16"/>
      <c r="H1428" s="16"/>
      <c r="I1428" s="16"/>
      <c r="J1428" s="16"/>
      <c r="K1428" s="16"/>
      <c r="L1428" s="18"/>
    </row>
    <row r="1429" customFormat="false" ht="15" hidden="false" customHeight="false" outlineLevel="0" collapsed="false">
      <c r="A1429" s="18"/>
      <c r="B1429" s="16"/>
      <c r="C1429" s="16"/>
      <c r="D1429" s="51" t="str">
        <f aca="false">IF(C1429="","",IFERROR(IF(LEFT(C1429,1)="L",INDEX('Leads Pipeline'!$F$5:$F$1004,MATCH(C1429,'Leads Pipeline'!$A$5:$A$1004,0)),INDEX('Active Clients'!$D$5:$D$504,MATCH(C1429,'Active Clients'!$A$5:$A$504,0)))&amp;"","ID not found"))</f>
        <v/>
      </c>
      <c r="E1429" s="51" t="str">
        <f aca="false">IF(C1429="","",IFERROR(IF(LEFT(C1429,1)="L",INDEX('Leads Pipeline'!$D$5:$D$1004,MATCH(C1429,'Leads Pipeline'!$A$5:$A$1004,0)),INDEX('Active Clients'!$B$5:$B$504,MATCH(C1429,'Active Clients'!$A$5:$A$504,0)))&amp;"","ID not found"))</f>
        <v/>
      </c>
      <c r="F1429" s="51" t="str">
        <f aca="false">IF(C1429="","",IFERROR(IF(LEFT(C1429,1)="L",INDEX('Leads Pipeline'!$E$5:$E$1004,MATCH(C1429,'Leads Pipeline'!$A$5:$A$1004,0)),INDEX('Active Clients'!$C$5:$C$504,MATCH(C1429,'Active Clients'!$A$5:$A$504,0)))&amp;"","ID not found"))</f>
        <v/>
      </c>
      <c r="G1429" s="16"/>
      <c r="H1429" s="16"/>
      <c r="I1429" s="16"/>
      <c r="J1429" s="16"/>
      <c r="K1429" s="16"/>
      <c r="L1429" s="18"/>
    </row>
    <row r="1430" customFormat="false" ht="15" hidden="false" customHeight="false" outlineLevel="0" collapsed="false">
      <c r="A1430" s="18"/>
      <c r="B1430" s="16"/>
      <c r="C1430" s="16"/>
      <c r="D1430" s="51" t="str">
        <f aca="false">IF(C1430="","",IFERROR(IF(LEFT(C1430,1)="L",INDEX('Leads Pipeline'!$F$5:$F$1004,MATCH(C1430,'Leads Pipeline'!$A$5:$A$1004,0)),INDEX('Active Clients'!$D$5:$D$504,MATCH(C1430,'Active Clients'!$A$5:$A$504,0)))&amp;"","ID not found"))</f>
        <v/>
      </c>
      <c r="E1430" s="51" t="str">
        <f aca="false">IF(C1430="","",IFERROR(IF(LEFT(C1430,1)="L",INDEX('Leads Pipeline'!$D$5:$D$1004,MATCH(C1430,'Leads Pipeline'!$A$5:$A$1004,0)),INDEX('Active Clients'!$B$5:$B$504,MATCH(C1430,'Active Clients'!$A$5:$A$504,0)))&amp;"","ID not found"))</f>
        <v/>
      </c>
      <c r="F1430" s="51" t="str">
        <f aca="false">IF(C1430="","",IFERROR(IF(LEFT(C1430,1)="L",INDEX('Leads Pipeline'!$E$5:$E$1004,MATCH(C1430,'Leads Pipeline'!$A$5:$A$1004,0)),INDEX('Active Clients'!$C$5:$C$504,MATCH(C1430,'Active Clients'!$A$5:$A$504,0)))&amp;"","ID not found"))</f>
        <v/>
      </c>
      <c r="G1430" s="16"/>
      <c r="H1430" s="16"/>
      <c r="I1430" s="16"/>
      <c r="J1430" s="16"/>
      <c r="K1430" s="16"/>
      <c r="L1430" s="18"/>
    </row>
    <row r="1431" customFormat="false" ht="15" hidden="false" customHeight="false" outlineLevel="0" collapsed="false">
      <c r="A1431" s="18"/>
      <c r="B1431" s="16"/>
      <c r="C1431" s="16"/>
      <c r="D1431" s="51" t="str">
        <f aca="false">IF(C1431="","",IFERROR(IF(LEFT(C1431,1)="L",INDEX('Leads Pipeline'!$F$5:$F$1004,MATCH(C1431,'Leads Pipeline'!$A$5:$A$1004,0)),INDEX('Active Clients'!$D$5:$D$504,MATCH(C1431,'Active Clients'!$A$5:$A$504,0)))&amp;"","ID not found"))</f>
        <v/>
      </c>
      <c r="E1431" s="51" t="str">
        <f aca="false">IF(C1431="","",IFERROR(IF(LEFT(C1431,1)="L",INDEX('Leads Pipeline'!$D$5:$D$1004,MATCH(C1431,'Leads Pipeline'!$A$5:$A$1004,0)),INDEX('Active Clients'!$B$5:$B$504,MATCH(C1431,'Active Clients'!$A$5:$A$504,0)))&amp;"","ID not found"))</f>
        <v/>
      </c>
      <c r="F1431" s="51" t="str">
        <f aca="false">IF(C1431="","",IFERROR(IF(LEFT(C1431,1)="L",INDEX('Leads Pipeline'!$E$5:$E$1004,MATCH(C1431,'Leads Pipeline'!$A$5:$A$1004,0)),INDEX('Active Clients'!$C$5:$C$504,MATCH(C1431,'Active Clients'!$A$5:$A$504,0)))&amp;"","ID not found"))</f>
        <v/>
      </c>
      <c r="G1431" s="16"/>
      <c r="H1431" s="16"/>
      <c r="I1431" s="16"/>
      <c r="J1431" s="16"/>
      <c r="K1431" s="16"/>
      <c r="L1431" s="18"/>
    </row>
    <row r="1432" customFormat="false" ht="15" hidden="false" customHeight="false" outlineLevel="0" collapsed="false">
      <c r="A1432" s="18"/>
      <c r="B1432" s="16"/>
      <c r="C1432" s="16"/>
      <c r="D1432" s="51" t="str">
        <f aca="false">IF(C1432="","",IFERROR(IF(LEFT(C1432,1)="L",INDEX('Leads Pipeline'!$F$5:$F$1004,MATCH(C1432,'Leads Pipeline'!$A$5:$A$1004,0)),INDEX('Active Clients'!$D$5:$D$504,MATCH(C1432,'Active Clients'!$A$5:$A$504,0)))&amp;"","ID not found"))</f>
        <v/>
      </c>
      <c r="E1432" s="51" t="str">
        <f aca="false">IF(C1432="","",IFERROR(IF(LEFT(C1432,1)="L",INDEX('Leads Pipeline'!$D$5:$D$1004,MATCH(C1432,'Leads Pipeline'!$A$5:$A$1004,0)),INDEX('Active Clients'!$B$5:$B$504,MATCH(C1432,'Active Clients'!$A$5:$A$504,0)))&amp;"","ID not found"))</f>
        <v/>
      </c>
      <c r="F1432" s="51" t="str">
        <f aca="false">IF(C1432="","",IFERROR(IF(LEFT(C1432,1)="L",INDEX('Leads Pipeline'!$E$5:$E$1004,MATCH(C1432,'Leads Pipeline'!$A$5:$A$1004,0)),INDEX('Active Clients'!$C$5:$C$504,MATCH(C1432,'Active Clients'!$A$5:$A$504,0)))&amp;"","ID not found"))</f>
        <v/>
      </c>
      <c r="G1432" s="16"/>
      <c r="H1432" s="16"/>
      <c r="I1432" s="16"/>
      <c r="J1432" s="16"/>
      <c r="K1432" s="16"/>
      <c r="L1432" s="18"/>
    </row>
    <row r="1433" customFormat="false" ht="15" hidden="false" customHeight="false" outlineLevel="0" collapsed="false">
      <c r="A1433" s="18"/>
      <c r="B1433" s="16"/>
      <c r="C1433" s="16"/>
      <c r="D1433" s="51" t="str">
        <f aca="false">IF(C1433="","",IFERROR(IF(LEFT(C1433,1)="L",INDEX('Leads Pipeline'!$F$5:$F$1004,MATCH(C1433,'Leads Pipeline'!$A$5:$A$1004,0)),INDEX('Active Clients'!$D$5:$D$504,MATCH(C1433,'Active Clients'!$A$5:$A$504,0)))&amp;"","ID not found"))</f>
        <v/>
      </c>
      <c r="E1433" s="51" t="str">
        <f aca="false">IF(C1433="","",IFERROR(IF(LEFT(C1433,1)="L",INDEX('Leads Pipeline'!$D$5:$D$1004,MATCH(C1433,'Leads Pipeline'!$A$5:$A$1004,0)),INDEX('Active Clients'!$B$5:$B$504,MATCH(C1433,'Active Clients'!$A$5:$A$504,0)))&amp;"","ID not found"))</f>
        <v/>
      </c>
      <c r="F1433" s="51" t="str">
        <f aca="false">IF(C1433="","",IFERROR(IF(LEFT(C1433,1)="L",INDEX('Leads Pipeline'!$E$5:$E$1004,MATCH(C1433,'Leads Pipeline'!$A$5:$A$1004,0)),INDEX('Active Clients'!$C$5:$C$504,MATCH(C1433,'Active Clients'!$A$5:$A$504,0)))&amp;"","ID not found"))</f>
        <v/>
      </c>
      <c r="G1433" s="16"/>
      <c r="H1433" s="16"/>
      <c r="I1433" s="16"/>
      <c r="J1433" s="16"/>
      <c r="K1433" s="16"/>
      <c r="L1433" s="18"/>
    </row>
    <row r="1434" customFormat="false" ht="15" hidden="false" customHeight="false" outlineLevel="0" collapsed="false">
      <c r="A1434" s="18"/>
      <c r="B1434" s="16"/>
      <c r="C1434" s="16"/>
      <c r="D1434" s="51" t="str">
        <f aca="false">IF(C1434="","",IFERROR(IF(LEFT(C1434,1)="L",INDEX('Leads Pipeline'!$F$5:$F$1004,MATCH(C1434,'Leads Pipeline'!$A$5:$A$1004,0)),INDEX('Active Clients'!$D$5:$D$504,MATCH(C1434,'Active Clients'!$A$5:$A$504,0)))&amp;"","ID not found"))</f>
        <v/>
      </c>
      <c r="E1434" s="51" t="str">
        <f aca="false">IF(C1434="","",IFERROR(IF(LEFT(C1434,1)="L",INDEX('Leads Pipeline'!$D$5:$D$1004,MATCH(C1434,'Leads Pipeline'!$A$5:$A$1004,0)),INDEX('Active Clients'!$B$5:$B$504,MATCH(C1434,'Active Clients'!$A$5:$A$504,0)))&amp;"","ID not found"))</f>
        <v/>
      </c>
      <c r="F1434" s="51" t="str">
        <f aca="false">IF(C1434="","",IFERROR(IF(LEFT(C1434,1)="L",INDEX('Leads Pipeline'!$E$5:$E$1004,MATCH(C1434,'Leads Pipeline'!$A$5:$A$1004,0)),INDEX('Active Clients'!$C$5:$C$504,MATCH(C1434,'Active Clients'!$A$5:$A$504,0)))&amp;"","ID not found"))</f>
        <v/>
      </c>
      <c r="G1434" s="16"/>
      <c r="H1434" s="16"/>
      <c r="I1434" s="16"/>
      <c r="J1434" s="16"/>
      <c r="K1434" s="16"/>
      <c r="L1434" s="18"/>
    </row>
    <row r="1435" customFormat="false" ht="15" hidden="false" customHeight="false" outlineLevel="0" collapsed="false">
      <c r="A1435" s="18"/>
      <c r="B1435" s="16"/>
      <c r="C1435" s="16"/>
      <c r="D1435" s="51" t="str">
        <f aca="false">IF(C1435="","",IFERROR(IF(LEFT(C1435,1)="L",INDEX('Leads Pipeline'!$F$5:$F$1004,MATCH(C1435,'Leads Pipeline'!$A$5:$A$1004,0)),INDEX('Active Clients'!$D$5:$D$504,MATCH(C1435,'Active Clients'!$A$5:$A$504,0)))&amp;"","ID not found"))</f>
        <v/>
      </c>
      <c r="E1435" s="51" t="str">
        <f aca="false">IF(C1435="","",IFERROR(IF(LEFT(C1435,1)="L",INDEX('Leads Pipeline'!$D$5:$D$1004,MATCH(C1435,'Leads Pipeline'!$A$5:$A$1004,0)),INDEX('Active Clients'!$B$5:$B$504,MATCH(C1435,'Active Clients'!$A$5:$A$504,0)))&amp;"","ID not found"))</f>
        <v/>
      </c>
      <c r="F1435" s="51" t="str">
        <f aca="false">IF(C1435="","",IFERROR(IF(LEFT(C1435,1)="L",INDEX('Leads Pipeline'!$E$5:$E$1004,MATCH(C1435,'Leads Pipeline'!$A$5:$A$1004,0)),INDEX('Active Clients'!$C$5:$C$504,MATCH(C1435,'Active Clients'!$A$5:$A$504,0)))&amp;"","ID not found"))</f>
        <v/>
      </c>
      <c r="G1435" s="16"/>
      <c r="H1435" s="16"/>
      <c r="I1435" s="16"/>
      <c r="J1435" s="16"/>
      <c r="K1435" s="16"/>
      <c r="L1435" s="18"/>
    </row>
    <row r="1436" customFormat="false" ht="15" hidden="false" customHeight="false" outlineLevel="0" collapsed="false">
      <c r="A1436" s="18"/>
      <c r="B1436" s="16"/>
      <c r="C1436" s="16"/>
      <c r="D1436" s="51" t="str">
        <f aca="false">IF(C1436="","",IFERROR(IF(LEFT(C1436,1)="L",INDEX('Leads Pipeline'!$F$5:$F$1004,MATCH(C1436,'Leads Pipeline'!$A$5:$A$1004,0)),INDEX('Active Clients'!$D$5:$D$504,MATCH(C1436,'Active Clients'!$A$5:$A$504,0)))&amp;"","ID not found"))</f>
        <v/>
      </c>
      <c r="E1436" s="51" t="str">
        <f aca="false">IF(C1436="","",IFERROR(IF(LEFT(C1436,1)="L",INDEX('Leads Pipeline'!$D$5:$D$1004,MATCH(C1436,'Leads Pipeline'!$A$5:$A$1004,0)),INDEX('Active Clients'!$B$5:$B$504,MATCH(C1436,'Active Clients'!$A$5:$A$504,0)))&amp;"","ID not found"))</f>
        <v/>
      </c>
      <c r="F1436" s="51" t="str">
        <f aca="false">IF(C1436="","",IFERROR(IF(LEFT(C1436,1)="L",INDEX('Leads Pipeline'!$E$5:$E$1004,MATCH(C1436,'Leads Pipeline'!$A$5:$A$1004,0)),INDEX('Active Clients'!$C$5:$C$504,MATCH(C1436,'Active Clients'!$A$5:$A$504,0)))&amp;"","ID not found"))</f>
        <v/>
      </c>
      <c r="G1436" s="16"/>
      <c r="H1436" s="16"/>
      <c r="I1436" s="16"/>
      <c r="J1436" s="16"/>
      <c r="K1436" s="16"/>
      <c r="L1436" s="18"/>
    </row>
    <row r="1437" customFormat="false" ht="15" hidden="false" customHeight="false" outlineLevel="0" collapsed="false">
      <c r="A1437" s="18"/>
      <c r="B1437" s="16"/>
      <c r="C1437" s="16"/>
      <c r="D1437" s="51" t="str">
        <f aca="false">IF(C1437="","",IFERROR(IF(LEFT(C1437,1)="L",INDEX('Leads Pipeline'!$F$5:$F$1004,MATCH(C1437,'Leads Pipeline'!$A$5:$A$1004,0)),INDEX('Active Clients'!$D$5:$D$504,MATCH(C1437,'Active Clients'!$A$5:$A$504,0)))&amp;"","ID not found"))</f>
        <v/>
      </c>
      <c r="E1437" s="51" t="str">
        <f aca="false">IF(C1437="","",IFERROR(IF(LEFT(C1437,1)="L",INDEX('Leads Pipeline'!$D$5:$D$1004,MATCH(C1437,'Leads Pipeline'!$A$5:$A$1004,0)),INDEX('Active Clients'!$B$5:$B$504,MATCH(C1437,'Active Clients'!$A$5:$A$504,0)))&amp;"","ID not found"))</f>
        <v/>
      </c>
      <c r="F1437" s="51" t="str">
        <f aca="false">IF(C1437="","",IFERROR(IF(LEFT(C1437,1)="L",INDEX('Leads Pipeline'!$E$5:$E$1004,MATCH(C1437,'Leads Pipeline'!$A$5:$A$1004,0)),INDEX('Active Clients'!$C$5:$C$504,MATCH(C1437,'Active Clients'!$A$5:$A$504,0)))&amp;"","ID not found"))</f>
        <v/>
      </c>
      <c r="G1437" s="16"/>
      <c r="H1437" s="16"/>
      <c r="I1437" s="16"/>
      <c r="J1437" s="16"/>
      <c r="K1437" s="16"/>
      <c r="L1437" s="18"/>
    </row>
    <row r="1438" customFormat="false" ht="15" hidden="false" customHeight="false" outlineLevel="0" collapsed="false">
      <c r="A1438" s="18"/>
      <c r="B1438" s="16"/>
      <c r="C1438" s="16"/>
      <c r="D1438" s="51" t="str">
        <f aca="false">IF(C1438="","",IFERROR(IF(LEFT(C1438,1)="L",INDEX('Leads Pipeline'!$F$5:$F$1004,MATCH(C1438,'Leads Pipeline'!$A$5:$A$1004,0)),INDEX('Active Clients'!$D$5:$D$504,MATCH(C1438,'Active Clients'!$A$5:$A$504,0)))&amp;"","ID not found"))</f>
        <v/>
      </c>
      <c r="E1438" s="51" t="str">
        <f aca="false">IF(C1438="","",IFERROR(IF(LEFT(C1438,1)="L",INDEX('Leads Pipeline'!$D$5:$D$1004,MATCH(C1438,'Leads Pipeline'!$A$5:$A$1004,0)),INDEX('Active Clients'!$B$5:$B$504,MATCH(C1438,'Active Clients'!$A$5:$A$504,0)))&amp;"","ID not found"))</f>
        <v/>
      </c>
      <c r="F1438" s="51" t="str">
        <f aca="false">IF(C1438="","",IFERROR(IF(LEFT(C1438,1)="L",INDEX('Leads Pipeline'!$E$5:$E$1004,MATCH(C1438,'Leads Pipeline'!$A$5:$A$1004,0)),INDEX('Active Clients'!$C$5:$C$504,MATCH(C1438,'Active Clients'!$A$5:$A$504,0)))&amp;"","ID not found"))</f>
        <v/>
      </c>
      <c r="G1438" s="16"/>
      <c r="H1438" s="16"/>
      <c r="I1438" s="16"/>
      <c r="J1438" s="16"/>
      <c r="K1438" s="16"/>
      <c r="L1438" s="18"/>
    </row>
    <row r="1439" customFormat="false" ht="15" hidden="false" customHeight="false" outlineLevel="0" collapsed="false">
      <c r="A1439" s="18"/>
      <c r="B1439" s="16"/>
      <c r="C1439" s="16"/>
      <c r="D1439" s="51" t="str">
        <f aca="false">IF(C1439="","",IFERROR(IF(LEFT(C1439,1)="L",INDEX('Leads Pipeline'!$F$5:$F$1004,MATCH(C1439,'Leads Pipeline'!$A$5:$A$1004,0)),INDEX('Active Clients'!$D$5:$D$504,MATCH(C1439,'Active Clients'!$A$5:$A$504,0)))&amp;"","ID not found"))</f>
        <v/>
      </c>
      <c r="E1439" s="51" t="str">
        <f aca="false">IF(C1439="","",IFERROR(IF(LEFT(C1439,1)="L",INDEX('Leads Pipeline'!$D$5:$D$1004,MATCH(C1439,'Leads Pipeline'!$A$5:$A$1004,0)),INDEX('Active Clients'!$B$5:$B$504,MATCH(C1439,'Active Clients'!$A$5:$A$504,0)))&amp;"","ID not found"))</f>
        <v/>
      </c>
      <c r="F1439" s="51" t="str">
        <f aca="false">IF(C1439="","",IFERROR(IF(LEFT(C1439,1)="L",INDEX('Leads Pipeline'!$E$5:$E$1004,MATCH(C1439,'Leads Pipeline'!$A$5:$A$1004,0)),INDEX('Active Clients'!$C$5:$C$504,MATCH(C1439,'Active Clients'!$A$5:$A$504,0)))&amp;"","ID not found"))</f>
        <v/>
      </c>
      <c r="G1439" s="16"/>
      <c r="H1439" s="16"/>
      <c r="I1439" s="16"/>
      <c r="J1439" s="16"/>
      <c r="K1439" s="16"/>
      <c r="L1439" s="18"/>
    </row>
    <row r="1440" customFormat="false" ht="15" hidden="false" customHeight="false" outlineLevel="0" collapsed="false">
      <c r="A1440" s="18"/>
      <c r="B1440" s="16"/>
      <c r="C1440" s="16"/>
      <c r="D1440" s="51" t="str">
        <f aca="false">IF(C1440="","",IFERROR(IF(LEFT(C1440,1)="L",INDEX('Leads Pipeline'!$F$5:$F$1004,MATCH(C1440,'Leads Pipeline'!$A$5:$A$1004,0)),INDEX('Active Clients'!$D$5:$D$504,MATCH(C1440,'Active Clients'!$A$5:$A$504,0)))&amp;"","ID not found"))</f>
        <v/>
      </c>
      <c r="E1440" s="51" t="str">
        <f aca="false">IF(C1440="","",IFERROR(IF(LEFT(C1440,1)="L",INDEX('Leads Pipeline'!$D$5:$D$1004,MATCH(C1440,'Leads Pipeline'!$A$5:$A$1004,0)),INDEX('Active Clients'!$B$5:$B$504,MATCH(C1440,'Active Clients'!$A$5:$A$504,0)))&amp;"","ID not found"))</f>
        <v/>
      </c>
      <c r="F1440" s="51" t="str">
        <f aca="false">IF(C1440="","",IFERROR(IF(LEFT(C1440,1)="L",INDEX('Leads Pipeline'!$E$5:$E$1004,MATCH(C1440,'Leads Pipeline'!$A$5:$A$1004,0)),INDEX('Active Clients'!$C$5:$C$504,MATCH(C1440,'Active Clients'!$A$5:$A$504,0)))&amp;"","ID not found"))</f>
        <v/>
      </c>
      <c r="G1440" s="16"/>
      <c r="H1440" s="16"/>
      <c r="I1440" s="16"/>
      <c r="J1440" s="16"/>
      <c r="K1440" s="16"/>
      <c r="L1440" s="18"/>
    </row>
    <row r="1441" customFormat="false" ht="15" hidden="false" customHeight="false" outlineLevel="0" collapsed="false">
      <c r="A1441" s="18"/>
      <c r="B1441" s="16"/>
      <c r="C1441" s="16"/>
      <c r="D1441" s="51" t="str">
        <f aca="false">IF(C1441="","",IFERROR(IF(LEFT(C1441,1)="L",INDEX('Leads Pipeline'!$F$5:$F$1004,MATCH(C1441,'Leads Pipeline'!$A$5:$A$1004,0)),INDEX('Active Clients'!$D$5:$D$504,MATCH(C1441,'Active Clients'!$A$5:$A$504,0)))&amp;"","ID not found"))</f>
        <v/>
      </c>
      <c r="E1441" s="51" t="str">
        <f aca="false">IF(C1441="","",IFERROR(IF(LEFT(C1441,1)="L",INDEX('Leads Pipeline'!$D$5:$D$1004,MATCH(C1441,'Leads Pipeline'!$A$5:$A$1004,0)),INDEX('Active Clients'!$B$5:$B$504,MATCH(C1441,'Active Clients'!$A$5:$A$504,0)))&amp;"","ID not found"))</f>
        <v/>
      </c>
      <c r="F1441" s="51" t="str">
        <f aca="false">IF(C1441="","",IFERROR(IF(LEFT(C1441,1)="L",INDEX('Leads Pipeline'!$E$5:$E$1004,MATCH(C1441,'Leads Pipeline'!$A$5:$A$1004,0)),INDEX('Active Clients'!$C$5:$C$504,MATCH(C1441,'Active Clients'!$A$5:$A$504,0)))&amp;"","ID not found"))</f>
        <v/>
      </c>
      <c r="G1441" s="16"/>
      <c r="H1441" s="16"/>
      <c r="I1441" s="16"/>
      <c r="J1441" s="16"/>
      <c r="K1441" s="16"/>
      <c r="L1441" s="18"/>
    </row>
    <row r="1442" customFormat="false" ht="15" hidden="false" customHeight="false" outlineLevel="0" collapsed="false">
      <c r="A1442" s="18"/>
      <c r="B1442" s="16"/>
      <c r="C1442" s="16"/>
      <c r="D1442" s="51" t="str">
        <f aca="false">IF(C1442="","",IFERROR(IF(LEFT(C1442,1)="L",INDEX('Leads Pipeline'!$F$5:$F$1004,MATCH(C1442,'Leads Pipeline'!$A$5:$A$1004,0)),INDEX('Active Clients'!$D$5:$D$504,MATCH(C1442,'Active Clients'!$A$5:$A$504,0)))&amp;"","ID not found"))</f>
        <v/>
      </c>
      <c r="E1442" s="51" t="str">
        <f aca="false">IF(C1442="","",IFERROR(IF(LEFT(C1442,1)="L",INDEX('Leads Pipeline'!$D$5:$D$1004,MATCH(C1442,'Leads Pipeline'!$A$5:$A$1004,0)),INDEX('Active Clients'!$B$5:$B$504,MATCH(C1442,'Active Clients'!$A$5:$A$504,0)))&amp;"","ID not found"))</f>
        <v/>
      </c>
      <c r="F1442" s="51" t="str">
        <f aca="false">IF(C1442="","",IFERROR(IF(LEFT(C1442,1)="L",INDEX('Leads Pipeline'!$E$5:$E$1004,MATCH(C1442,'Leads Pipeline'!$A$5:$A$1004,0)),INDEX('Active Clients'!$C$5:$C$504,MATCH(C1442,'Active Clients'!$A$5:$A$504,0)))&amp;"","ID not found"))</f>
        <v/>
      </c>
      <c r="G1442" s="16"/>
      <c r="H1442" s="16"/>
      <c r="I1442" s="16"/>
      <c r="J1442" s="16"/>
      <c r="K1442" s="16"/>
      <c r="L1442" s="18"/>
    </row>
    <row r="1443" customFormat="false" ht="15" hidden="false" customHeight="false" outlineLevel="0" collapsed="false">
      <c r="A1443" s="18"/>
      <c r="B1443" s="16"/>
      <c r="C1443" s="16"/>
      <c r="D1443" s="51" t="str">
        <f aca="false">IF(C1443="","",IFERROR(IF(LEFT(C1443,1)="L",INDEX('Leads Pipeline'!$F$5:$F$1004,MATCH(C1443,'Leads Pipeline'!$A$5:$A$1004,0)),INDEX('Active Clients'!$D$5:$D$504,MATCH(C1443,'Active Clients'!$A$5:$A$504,0)))&amp;"","ID not found"))</f>
        <v/>
      </c>
      <c r="E1443" s="51" t="str">
        <f aca="false">IF(C1443="","",IFERROR(IF(LEFT(C1443,1)="L",INDEX('Leads Pipeline'!$D$5:$D$1004,MATCH(C1443,'Leads Pipeline'!$A$5:$A$1004,0)),INDEX('Active Clients'!$B$5:$B$504,MATCH(C1443,'Active Clients'!$A$5:$A$504,0)))&amp;"","ID not found"))</f>
        <v/>
      </c>
      <c r="F1443" s="51" t="str">
        <f aca="false">IF(C1443="","",IFERROR(IF(LEFT(C1443,1)="L",INDEX('Leads Pipeline'!$E$5:$E$1004,MATCH(C1443,'Leads Pipeline'!$A$5:$A$1004,0)),INDEX('Active Clients'!$C$5:$C$504,MATCH(C1443,'Active Clients'!$A$5:$A$504,0)))&amp;"","ID not found"))</f>
        <v/>
      </c>
      <c r="G1443" s="16"/>
      <c r="H1443" s="16"/>
      <c r="I1443" s="16"/>
      <c r="J1443" s="16"/>
      <c r="K1443" s="16"/>
      <c r="L1443" s="18"/>
    </row>
    <row r="1444" customFormat="false" ht="15" hidden="false" customHeight="false" outlineLevel="0" collapsed="false">
      <c r="A1444" s="18"/>
      <c r="B1444" s="16"/>
      <c r="C1444" s="16"/>
      <c r="D1444" s="51" t="str">
        <f aca="false">IF(C1444="","",IFERROR(IF(LEFT(C1444,1)="L",INDEX('Leads Pipeline'!$F$5:$F$1004,MATCH(C1444,'Leads Pipeline'!$A$5:$A$1004,0)),INDEX('Active Clients'!$D$5:$D$504,MATCH(C1444,'Active Clients'!$A$5:$A$504,0)))&amp;"","ID not found"))</f>
        <v/>
      </c>
      <c r="E1444" s="51" t="str">
        <f aca="false">IF(C1444="","",IFERROR(IF(LEFT(C1444,1)="L",INDEX('Leads Pipeline'!$D$5:$D$1004,MATCH(C1444,'Leads Pipeline'!$A$5:$A$1004,0)),INDEX('Active Clients'!$B$5:$B$504,MATCH(C1444,'Active Clients'!$A$5:$A$504,0)))&amp;"","ID not found"))</f>
        <v/>
      </c>
      <c r="F1444" s="51" t="str">
        <f aca="false">IF(C1444="","",IFERROR(IF(LEFT(C1444,1)="L",INDEX('Leads Pipeline'!$E$5:$E$1004,MATCH(C1444,'Leads Pipeline'!$A$5:$A$1004,0)),INDEX('Active Clients'!$C$5:$C$504,MATCH(C1444,'Active Clients'!$A$5:$A$504,0)))&amp;"","ID not found"))</f>
        <v/>
      </c>
      <c r="G1444" s="16"/>
      <c r="H1444" s="16"/>
      <c r="I1444" s="16"/>
      <c r="J1444" s="16"/>
      <c r="K1444" s="16"/>
      <c r="L1444" s="18"/>
    </row>
    <row r="1445" customFormat="false" ht="15" hidden="false" customHeight="false" outlineLevel="0" collapsed="false">
      <c r="A1445" s="18"/>
      <c r="B1445" s="16"/>
      <c r="C1445" s="16"/>
      <c r="D1445" s="51" t="str">
        <f aca="false">IF(C1445="","",IFERROR(IF(LEFT(C1445,1)="L",INDEX('Leads Pipeline'!$F$5:$F$1004,MATCH(C1445,'Leads Pipeline'!$A$5:$A$1004,0)),INDEX('Active Clients'!$D$5:$D$504,MATCH(C1445,'Active Clients'!$A$5:$A$504,0)))&amp;"","ID not found"))</f>
        <v/>
      </c>
      <c r="E1445" s="51" t="str">
        <f aca="false">IF(C1445="","",IFERROR(IF(LEFT(C1445,1)="L",INDEX('Leads Pipeline'!$D$5:$D$1004,MATCH(C1445,'Leads Pipeline'!$A$5:$A$1004,0)),INDEX('Active Clients'!$B$5:$B$504,MATCH(C1445,'Active Clients'!$A$5:$A$504,0)))&amp;"","ID not found"))</f>
        <v/>
      </c>
      <c r="F1445" s="51" t="str">
        <f aca="false">IF(C1445="","",IFERROR(IF(LEFT(C1445,1)="L",INDEX('Leads Pipeline'!$E$5:$E$1004,MATCH(C1445,'Leads Pipeline'!$A$5:$A$1004,0)),INDEX('Active Clients'!$C$5:$C$504,MATCH(C1445,'Active Clients'!$A$5:$A$504,0)))&amp;"","ID not found"))</f>
        <v/>
      </c>
      <c r="G1445" s="16"/>
      <c r="H1445" s="16"/>
      <c r="I1445" s="16"/>
      <c r="J1445" s="16"/>
      <c r="K1445" s="16"/>
      <c r="L1445" s="18"/>
    </row>
    <row r="1446" customFormat="false" ht="15" hidden="false" customHeight="false" outlineLevel="0" collapsed="false">
      <c r="A1446" s="18"/>
      <c r="B1446" s="16"/>
      <c r="C1446" s="16"/>
      <c r="D1446" s="51" t="str">
        <f aca="false">IF(C1446="","",IFERROR(IF(LEFT(C1446,1)="L",INDEX('Leads Pipeline'!$F$5:$F$1004,MATCH(C1446,'Leads Pipeline'!$A$5:$A$1004,0)),INDEX('Active Clients'!$D$5:$D$504,MATCH(C1446,'Active Clients'!$A$5:$A$504,0)))&amp;"","ID not found"))</f>
        <v/>
      </c>
      <c r="E1446" s="51" t="str">
        <f aca="false">IF(C1446="","",IFERROR(IF(LEFT(C1446,1)="L",INDEX('Leads Pipeline'!$D$5:$D$1004,MATCH(C1446,'Leads Pipeline'!$A$5:$A$1004,0)),INDEX('Active Clients'!$B$5:$B$504,MATCH(C1446,'Active Clients'!$A$5:$A$504,0)))&amp;"","ID not found"))</f>
        <v/>
      </c>
      <c r="F1446" s="51" t="str">
        <f aca="false">IF(C1446="","",IFERROR(IF(LEFT(C1446,1)="L",INDEX('Leads Pipeline'!$E$5:$E$1004,MATCH(C1446,'Leads Pipeline'!$A$5:$A$1004,0)),INDEX('Active Clients'!$C$5:$C$504,MATCH(C1446,'Active Clients'!$A$5:$A$504,0)))&amp;"","ID not found"))</f>
        <v/>
      </c>
      <c r="G1446" s="16"/>
      <c r="H1446" s="16"/>
      <c r="I1446" s="16"/>
      <c r="J1446" s="16"/>
      <c r="K1446" s="16"/>
      <c r="L1446" s="18"/>
    </row>
    <row r="1447" customFormat="false" ht="15" hidden="false" customHeight="false" outlineLevel="0" collapsed="false">
      <c r="A1447" s="18"/>
      <c r="B1447" s="16"/>
      <c r="C1447" s="16"/>
      <c r="D1447" s="51" t="str">
        <f aca="false">IF(C1447="","",IFERROR(IF(LEFT(C1447,1)="L",INDEX('Leads Pipeline'!$F$5:$F$1004,MATCH(C1447,'Leads Pipeline'!$A$5:$A$1004,0)),INDEX('Active Clients'!$D$5:$D$504,MATCH(C1447,'Active Clients'!$A$5:$A$504,0)))&amp;"","ID not found"))</f>
        <v/>
      </c>
      <c r="E1447" s="51" t="str">
        <f aca="false">IF(C1447="","",IFERROR(IF(LEFT(C1447,1)="L",INDEX('Leads Pipeline'!$D$5:$D$1004,MATCH(C1447,'Leads Pipeline'!$A$5:$A$1004,0)),INDEX('Active Clients'!$B$5:$B$504,MATCH(C1447,'Active Clients'!$A$5:$A$504,0)))&amp;"","ID not found"))</f>
        <v/>
      </c>
      <c r="F1447" s="51" t="str">
        <f aca="false">IF(C1447="","",IFERROR(IF(LEFT(C1447,1)="L",INDEX('Leads Pipeline'!$E$5:$E$1004,MATCH(C1447,'Leads Pipeline'!$A$5:$A$1004,0)),INDEX('Active Clients'!$C$5:$C$504,MATCH(C1447,'Active Clients'!$A$5:$A$504,0)))&amp;"","ID not found"))</f>
        <v/>
      </c>
      <c r="G1447" s="16"/>
      <c r="H1447" s="16"/>
      <c r="I1447" s="16"/>
      <c r="J1447" s="16"/>
      <c r="K1447" s="16"/>
      <c r="L1447" s="18"/>
    </row>
    <row r="1448" customFormat="false" ht="15" hidden="false" customHeight="false" outlineLevel="0" collapsed="false">
      <c r="A1448" s="18"/>
      <c r="B1448" s="16"/>
      <c r="C1448" s="16"/>
      <c r="D1448" s="51" t="str">
        <f aca="false">IF(C1448="","",IFERROR(IF(LEFT(C1448,1)="L",INDEX('Leads Pipeline'!$F$5:$F$1004,MATCH(C1448,'Leads Pipeline'!$A$5:$A$1004,0)),INDEX('Active Clients'!$D$5:$D$504,MATCH(C1448,'Active Clients'!$A$5:$A$504,0)))&amp;"","ID not found"))</f>
        <v/>
      </c>
      <c r="E1448" s="51" t="str">
        <f aca="false">IF(C1448="","",IFERROR(IF(LEFT(C1448,1)="L",INDEX('Leads Pipeline'!$D$5:$D$1004,MATCH(C1448,'Leads Pipeline'!$A$5:$A$1004,0)),INDEX('Active Clients'!$B$5:$B$504,MATCH(C1448,'Active Clients'!$A$5:$A$504,0)))&amp;"","ID not found"))</f>
        <v/>
      </c>
      <c r="F1448" s="51" t="str">
        <f aca="false">IF(C1448="","",IFERROR(IF(LEFT(C1448,1)="L",INDEX('Leads Pipeline'!$E$5:$E$1004,MATCH(C1448,'Leads Pipeline'!$A$5:$A$1004,0)),INDEX('Active Clients'!$C$5:$C$504,MATCH(C1448,'Active Clients'!$A$5:$A$504,0)))&amp;"","ID not found"))</f>
        <v/>
      </c>
      <c r="G1448" s="16"/>
      <c r="H1448" s="16"/>
      <c r="I1448" s="16"/>
      <c r="J1448" s="16"/>
      <c r="K1448" s="16"/>
      <c r="L1448" s="18"/>
    </row>
    <row r="1449" customFormat="false" ht="15" hidden="false" customHeight="false" outlineLevel="0" collapsed="false">
      <c r="A1449" s="18"/>
      <c r="B1449" s="16"/>
      <c r="C1449" s="16"/>
      <c r="D1449" s="51" t="str">
        <f aca="false">IF(C1449="","",IFERROR(IF(LEFT(C1449,1)="L",INDEX('Leads Pipeline'!$F$5:$F$1004,MATCH(C1449,'Leads Pipeline'!$A$5:$A$1004,0)),INDEX('Active Clients'!$D$5:$D$504,MATCH(C1449,'Active Clients'!$A$5:$A$504,0)))&amp;"","ID not found"))</f>
        <v/>
      </c>
      <c r="E1449" s="51" t="str">
        <f aca="false">IF(C1449="","",IFERROR(IF(LEFT(C1449,1)="L",INDEX('Leads Pipeline'!$D$5:$D$1004,MATCH(C1449,'Leads Pipeline'!$A$5:$A$1004,0)),INDEX('Active Clients'!$B$5:$B$504,MATCH(C1449,'Active Clients'!$A$5:$A$504,0)))&amp;"","ID not found"))</f>
        <v/>
      </c>
      <c r="F1449" s="51" t="str">
        <f aca="false">IF(C1449="","",IFERROR(IF(LEFT(C1449,1)="L",INDEX('Leads Pipeline'!$E$5:$E$1004,MATCH(C1449,'Leads Pipeline'!$A$5:$A$1004,0)),INDEX('Active Clients'!$C$5:$C$504,MATCH(C1449,'Active Clients'!$A$5:$A$504,0)))&amp;"","ID not found"))</f>
        <v/>
      </c>
      <c r="G1449" s="16"/>
      <c r="H1449" s="16"/>
      <c r="I1449" s="16"/>
      <c r="J1449" s="16"/>
      <c r="K1449" s="16"/>
      <c r="L1449" s="18"/>
    </row>
    <row r="1450" customFormat="false" ht="15" hidden="false" customHeight="false" outlineLevel="0" collapsed="false">
      <c r="A1450" s="18"/>
      <c r="B1450" s="16"/>
      <c r="C1450" s="16"/>
      <c r="D1450" s="51" t="str">
        <f aca="false">IF(C1450="","",IFERROR(IF(LEFT(C1450,1)="L",INDEX('Leads Pipeline'!$F$5:$F$1004,MATCH(C1450,'Leads Pipeline'!$A$5:$A$1004,0)),INDEX('Active Clients'!$D$5:$D$504,MATCH(C1450,'Active Clients'!$A$5:$A$504,0)))&amp;"","ID not found"))</f>
        <v/>
      </c>
      <c r="E1450" s="51" t="str">
        <f aca="false">IF(C1450="","",IFERROR(IF(LEFT(C1450,1)="L",INDEX('Leads Pipeline'!$D$5:$D$1004,MATCH(C1450,'Leads Pipeline'!$A$5:$A$1004,0)),INDEX('Active Clients'!$B$5:$B$504,MATCH(C1450,'Active Clients'!$A$5:$A$504,0)))&amp;"","ID not found"))</f>
        <v/>
      </c>
      <c r="F1450" s="51" t="str">
        <f aca="false">IF(C1450="","",IFERROR(IF(LEFT(C1450,1)="L",INDEX('Leads Pipeline'!$E$5:$E$1004,MATCH(C1450,'Leads Pipeline'!$A$5:$A$1004,0)),INDEX('Active Clients'!$C$5:$C$504,MATCH(C1450,'Active Clients'!$A$5:$A$504,0)))&amp;"","ID not found"))</f>
        <v/>
      </c>
      <c r="G1450" s="16"/>
      <c r="H1450" s="16"/>
      <c r="I1450" s="16"/>
      <c r="J1450" s="16"/>
      <c r="K1450" s="16"/>
      <c r="L1450" s="18"/>
    </row>
    <row r="1451" customFormat="false" ht="15" hidden="false" customHeight="false" outlineLevel="0" collapsed="false">
      <c r="A1451" s="18"/>
      <c r="B1451" s="16"/>
      <c r="C1451" s="16"/>
      <c r="D1451" s="51" t="str">
        <f aca="false">IF(C1451="","",IFERROR(IF(LEFT(C1451,1)="L",INDEX('Leads Pipeline'!$F$5:$F$1004,MATCH(C1451,'Leads Pipeline'!$A$5:$A$1004,0)),INDEX('Active Clients'!$D$5:$D$504,MATCH(C1451,'Active Clients'!$A$5:$A$504,0)))&amp;"","ID not found"))</f>
        <v/>
      </c>
      <c r="E1451" s="51" t="str">
        <f aca="false">IF(C1451="","",IFERROR(IF(LEFT(C1451,1)="L",INDEX('Leads Pipeline'!$D$5:$D$1004,MATCH(C1451,'Leads Pipeline'!$A$5:$A$1004,0)),INDEX('Active Clients'!$B$5:$B$504,MATCH(C1451,'Active Clients'!$A$5:$A$504,0)))&amp;"","ID not found"))</f>
        <v/>
      </c>
      <c r="F1451" s="51" t="str">
        <f aca="false">IF(C1451="","",IFERROR(IF(LEFT(C1451,1)="L",INDEX('Leads Pipeline'!$E$5:$E$1004,MATCH(C1451,'Leads Pipeline'!$A$5:$A$1004,0)),INDEX('Active Clients'!$C$5:$C$504,MATCH(C1451,'Active Clients'!$A$5:$A$504,0)))&amp;"","ID not found"))</f>
        <v/>
      </c>
      <c r="G1451" s="16"/>
      <c r="H1451" s="16"/>
      <c r="I1451" s="16"/>
      <c r="J1451" s="16"/>
      <c r="K1451" s="16"/>
      <c r="L1451" s="18"/>
    </row>
    <row r="1452" customFormat="false" ht="15" hidden="false" customHeight="false" outlineLevel="0" collapsed="false">
      <c r="A1452" s="18"/>
      <c r="B1452" s="16"/>
      <c r="C1452" s="16"/>
      <c r="D1452" s="51" t="str">
        <f aca="false">IF(C1452="","",IFERROR(IF(LEFT(C1452,1)="L",INDEX('Leads Pipeline'!$F$5:$F$1004,MATCH(C1452,'Leads Pipeline'!$A$5:$A$1004,0)),INDEX('Active Clients'!$D$5:$D$504,MATCH(C1452,'Active Clients'!$A$5:$A$504,0)))&amp;"","ID not found"))</f>
        <v/>
      </c>
      <c r="E1452" s="51" t="str">
        <f aca="false">IF(C1452="","",IFERROR(IF(LEFT(C1452,1)="L",INDEX('Leads Pipeline'!$D$5:$D$1004,MATCH(C1452,'Leads Pipeline'!$A$5:$A$1004,0)),INDEX('Active Clients'!$B$5:$B$504,MATCH(C1452,'Active Clients'!$A$5:$A$504,0)))&amp;"","ID not found"))</f>
        <v/>
      </c>
      <c r="F1452" s="51" t="str">
        <f aca="false">IF(C1452="","",IFERROR(IF(LEFT(C1452,1)="L",INDEX('Leads Pipeline'!$E$5:$E$1004,MATCH(C1452,'Leads Pipeline'!$A$5:$A$1004,0)),INDEX('Active Clients'!$C$5:$C$504,MATCH(C1452,'Active Clients'!$A$5:$A$504,0)))&amp;"","ID not found"))</f>
        <v/>
      </c>
      <c r="G1452" s="16"/>
      <c r="H1452" s="16"/>
      <c r="I1452" s="16"/>
      <c r="J1452" s="16"/>
      <c r="K1452" s="16"/>
      <c r="L1452" s="18"/>
    </row>
    <row r="1453" customFormat="false" ht="15" hidden="false" customHeight="false" outlineLevel="0" collapsed="false">
      <c r="A1453" s="18"/>
      <c r="B1453" s="16"/>
      <c r="C1453" s="16"/>
      <c r="D1453" s="51" t="str">
        <f aca="false">IF(C1453="","",IFERROR(IF(LEFT(C1453,1)="L",INDEX('Leads Pipeline'!$F$5:$F$1004,MATCH(C1453,'Leads Pipeline'!$A$5:$A$1004,0)),INDEX('Active Clients'!$D$5:$D$504,MATCH(C1453,'Active Clients'!$A$5:$A$504,0)))&amp;"","ID not found"))</f>
        <v/>
      </c>
      <c r="E1453" s="51" t="str">
        <f aca="false">IF(C1453="","",IFERROR(IF(LEFT(C1453,1)="L",INDEX('Leads Pipeline'!$D$5:$D$1004,MATCH(C1453,'Leads Pipeline'!$A$5:$A$1004,0)),INDEX('Active Clients'!$B$5:$B$504,MATCH(C1453,'Active Clients'!$A$5:$A$504,0)))&amp;"","ID not found"))</f>
        <v/>
      </c>
      <c r="F1453" s="51" t="str">
        <f aca="false">IF(C1453="","",IFERROR(IF(LEFT(C1453,1)="L",INDEX('Leads Pipeline'!$E$5:$E$1004,MATCH(C1453,'Leads Pipeline'!$A$5:$A$1004,0)),INDEX('Active Clients'!$C$5:$C$504,MATCH(C1453,'Active Clients'!$A$5:$A$504,0)))&amp;"","ID not found"))</f>
        <v/>
      </c>
      <c r="G1453" s="16"/>
      <c r="H1453" s="16"/>
      <c r="I1453" s="16"/>
      <c r="J1453" s="16"/>
      <c r="K1453" s="16"/>
      <c r="L1453" s="18"/>
    </row>
    <row r="1454" customFormat="false" ht="15" hidden="false" customHeight="false" outlineLevel="0" collapsed="false">
      <c r="A1454" s="18"/>
      <c r="B1454" s="16"/>
      <c r="C1454" s="16"/>
      <c r="D1454" s="51" t="str">
        <f aca="false">IF(C1454="","",IFERROR(IF(LEFT(C1454,1)="L",INDEX('Leads Pipeline'!$F$5:$F$1004,MATCH(C1454,'Leads Pipeline'!$A$5:$A$1004,0)),INDEX('Active Clients'!$D$5:$D$504,MATCH(C1454,'Active Clients'!$A$5:$A$504,0)))&amp;"","ID not found"))</f>
        <v/>
      </c>
      <c r="E1454" s="51" t="str">
        <f aca="false">IF(C1454="","",IFERROR(IF(LEFT(C1454,1)="L",INDEX('Leads Pipeline'!$D$5:$D$1004,MATCH(C1454,'Leads Pipeline'!$A$5:$A$1004,0)),INDEX('Active Clients'!$B$5:$B$504,MATCH(C1454,'Active Clients'!$A$5:$A$504,0)))&amp;"","ID not found"))</f>
        <v/>
      </c>
      <c r="F1454" s="51" t="str">
        <f aca="false">IF(C1454="","",IFERROR(IF(LEFT(C1454,1)="L",INDEX('Leads Pipeline'!$E$5:$E$1004,MATCH(C1454,'Leads Pipeline'!$A$5:$A$1004,0)),INDEX('Active Clients'!$C$5:$C$504,MATCH(C1454,'Active Clients'!$A$5:$A$504,0)))&amp;"","ID not found"))</f>
        <v/>
      </c>
      <c r="G1454" s="16"/>
      <c r="H1454" s="16"/>
      <c r="I1454" s="16"/>
      <c r="J1454" s="16"/>
      <c r="K1454" s="16"/>
      <c r="L1454" s="18"/>
    </row>
    <row r="1455" customFormat="false" ht="15" hidden="false" customHeight="false" outlineLevel="0" collapsed="false">
      <c r="A1455" s="18"/>
      <c r="B1455" s="16"/>
      <c r="C1455" s="16"/>
      <c r="D1455" s="51" t="str">
        <f aca="false">IF(C1455="","",IFERROR(IF(LEFT(C1455,1)="L",INDEX('Leads Pipeline'!$F$5:$F$1004,MATCH(C1455,'Leads Pipeline'!$A$5:$A$1004,0)),INDEX('Active Clients'!$D$5:$D$504,MATCH(C1455,'Active Clients'!$A$5:$A$504,0)))&amp;"","ID not found"))</f>
        <v/>
      </c>
      <c r="E1455" s="51" t="str">
        <f aca="false">IF(C1455="","",IFERROR(IF(LEFT(C1455,1)="L",INDEX('Leads Pipeline'!$D$5:$D$1004,MATCH(C1455,'Leads Pipeline'!$A$5:$A$1004,0)),INDEX('Active Clients'!$B$5:$B$504,MATCH(C1455,'Active Clients'!$A$5:$A$504,0)))&amp;"","ID not found"))</f>
        <v/>
      </c>
      <c r="F1455" s="51" t="str">
        <f aca="false">IF(C1455="","",IFERROR(IF(LEFT(C1455,1)="L",INDEX('Leads Pipeline'!$E$5:$E$1004,MATCH(C1455,'Leads Pipeline'!$A$5:$A$1004,0)),INDEX('Active Clients'!$C$5:$C$504,MATCH(C1455,'Active Clients'!$A$5:$A$504,0)))&amp;"","ID not found"))</f>
        <v/>
      </c>
      <c r="G1455" s="16"/>
      <c r="H1455" s="16"/>
      <c r="I1455" s="16"/>
      <c r="J1455" s="16"/>
      <c r="K1455" s="16"/>
      <c r="L1455" s="18"/>
    </row>
    <row r="1456" customFormat="false" ht="15" hidden="false" customHeight="false" outlineLevel="0" collapsed="false">
      <c r="A1456" s="18"/>
      <c r="B1456" s="16"/>
      <c r="C1456" s="16"/>
      <c r="D1456" s="51" t="str">
        <f aca="false">IF(C1456="","",IFERROR(IF(LEFT(C1456,1)="L",INDEX('Leads Pipeline'!$F$5:$F$1004,MATCH(C1456,'Leads Pipeline'!$A$5:$A$1004,0)),INDEX('Active Clients'!$D$5:$D$504,MATCH(C1456,'Active Clients'!$A$5:$A$504,0)))&amp;"","ID not found"))</f>
        <v/>
      </c>
      <c r="E1456" s="51" t="str">
        <f aca="false">IF(C1456="","",IFERROR(IF(LEFT(C1456,1)="L",INDEX('Leads Pipeline'!$D$5:$D$1004,MATCH(C1456,'Leads Pipeline'!$A$5:$A$1004,0)),INDEX('Active Clients'!$B$5:$B$504,MATCH(C1456,'Active Clients'!$A$5:$A$504,0)))&amp;"","ID not found"))</f>
        <v/>
      </c>
      <c r="F1456" s="51" t="str">
        <f aca="false">IF(C1456="","",IFERROR(IF(LEFT(C1456,1)="L",INDEX('Leads Pipeline'!$E$5:$E$1004,MATCH(C1456,'Leads Pipeline'!$A$5:$A$1004,0)),INDEX('Active Clients'!$C$5:$C$504,MATCH(C1456,'Active Clients'!$A$5:$A$504,0)))&amp;"","ID not found"))</f>
        <v/>
      </c>
      <c r="G1456" s="16"/>
      <c r="H1456" s="16"/>
      <c r="I1456" s="16"/>
      <c r="J1456" s="16"/>
      <c r="K1456" s="16"/>
      <c r="L1456" s="18"/>
    </row>
    <row r="1457" customFormat="false" ht="15" hidden="false" customHeight="false" outlineLevel="0" collapsed="false">
      <c r="A1457" s="18"/>
      <c r="B1457" s="16"/>
      <c r="C1457" s="16"/>
      <c r="D1457" s="51" t="str">
        <f aca="false">IF(C1457="","",IFERROR(IF(LEFT(C1457,1)="L",INDEX('Leads Pipeline'!$F$5:$F$1004,MATCH(C1457,'Leads Pipeline'!$A$5:$A$1004,0)),INDEX('Active Clients'!$D$5:$D$504,MATCH(C1457,'Active Clients'!$A$5:$A$504,0)))&amp;"","ID not found"))</f>
        <v/>
      </c>
      <c r="E1457" s="51" t="str">
        <f aca="false">IF(C1457="","",IFERROR(IF(LEFT(C1457,1)="L",INDEX('Leads Pipeline'!$D$5:$D$1004,MATCH(C1457,'Leads Pipeline'!$A$5:$A$1004,0)),INDEX('Active Clients'!$B$5:$B$504,MATCH(C1457,'Active Clients'!$A$5:$A$504,0)))&amp;"","ID not found"))</f>
        <v/>
      </c>
      <c r="F1457" s="51" t="str">
        <f aca="false">IF(C1457="","",IFERROR(IF(LEFT(C1457,1)="L",INDEX('Leads Pipeline'!$E$5:$E$1004,MATCH(C1457,'Leads Pipeline'!$A$5:$A$1004,0)),INDEX('Active Clients'!$C$5:$C$504,MATCH(C1457,'Active Clients'!$A$5:$A$504,0)))&amp;"","ID not found"))</f>
        <v/>
      </c>
      <c r="G1457" s="16"/>
      <c r="H1457" s="16"/>
      <c r="I1457" s="16"/>
      <c r="J1457" s="16"/>
      <c r="K1457" s="16"/>
      <c r="L1457" s="18"/>
    </row>
    <row r="1458" customFormat="false" ht="15" hidden="false" customHeight="false" outlineLevel="0" collapsed="false">
      <c r="A1458" s="18"/>
      <c r="B1458" s="16"/>
      <c r="C1458" s="16"/>
      <c r="D1458" s="51" t="str">
        <f aca="false">IF(C1458="","",IFERROR(IF(LEFT(C1458,1)="L",INDEX('Leads Pipeline'!$F$5:$F$1004,MATCH(C1458,'Leads Pipeline'!$A$5:$A$1004,0)),INDEX('Active Clients'!$D$5:$D$504,MATCH(C1458,'Active Clients'!$A$5:$A$504,0)))&amp;"","ID not found"))</f>
        <v/>
      </c>
      <c r="E1458" s="51" t="str">
        <f aca="false">IF(C1458="","",IFERROR(IF(LEFT(C1458,1)="L",INDEX('Leads Pipeline'!$D$5:$D$1004,MATCH(C1458,'Leads Pipeline'!$A$5:$A$1004,0)),INDEX('Active Clients'!$B$5:$B$504,MATCH(C1458,'Active Clients'!$A$5:$A$504,0)))&amp;"","ID not found"))</f>
        <v/>
      </c>
      <c r="F1458" s="51" t="str">
        <f aca="false">IF(C1458="","",IFERROR(IF(LEFT(C1458,1)="L",INDEX('Leads Pipeline'!$E$5:$E$1004,MATCH(C1458,'Leads Pipeline'!$A$5:$A$1004,0)),INDEX('Active Clients'!$C$5:$C$504,MATCH(C1458,'Active Clients'!$A$5:$A$504,0)))&amp;"","ID not found"))</f>
        <v/>
      </c>
      <c r="G1458" s="16"/>
      <c r="H1458" s="16"/>
      <c r="I1458" s="16"/>
      <c r="J1458" s="16"/>
      <c r="K1458" s="16"/>
      <c r="L1458" s="18"/>
    </row>
    <row r="1459" customFormat="false" ht="15" hidden="false" customHeight="false" outlineLevel="0" collapsed="false">
      <c r="A1459" s="18"/>
      <c r="B1459" s="16"/>
      <c r="C1459" s="16"/>
      <c r="D1459" s="51" t="str">
        <f aca="false">IF(C1459="","",IFERROR(IF(LEFT(C1459,1)="L",INDEX('Leads Pipeline'!$F$5:$F$1004,MATCH(C1459,'Leads Pipeline'!$A$5:$A$1004,0)),INDEX('Active Clients'!$D$5:$D$504,MATCH(C1459,'Active Clients'!$A$5:$A$504,0)))&amp;"","ID not found"))</f>
        <v/>
      </c>
      <c r="E1459" s="51" t="str">
        <f aca="false">IF(C1459="","",IFERROR(IF(LEFT(C1459,1)="L",INDEX('Leads Pipeline'!$D$5:$D$1004,MATCH(C1459,'Leads Pipeline'!$A$5:$A$1004,0)),INDEX('Active Clients'!$B$5:$B$504,MATCH(C1459,'Active Clients'!$A$5:$A$504,0)))&amp;"","ID not found"))</f>
        <v/>
      </c>
      <c r="F1459" s="51" t="str">
        <f aca="false">IF(C1459="","",IFERROR(IF(LEFT(C1459,1)="L",INDEX('Leads Pipeline'!$E$5:$E$1004,MATCH(C1459,'Leads Pipeline'!$A$5:$A$1004,0)),INDEX('Active Clients'!$C$5:$C$504,MATCH(C1459,'Active Clients'!$A$5:$A$504,0)))&amp;"","ID not found"))</f>
        <v/>
      </c>
      <c r="G1459" s="16"/>
      <c r="H1459" s="16"/>
      <c r="I1459" s="16"/>
      <c r="J1459" s="16"/>
      <c r="K1459" s="16"/>
      <c r="L1459" s="18"/>
    </row>
    <row r="1460" customFormat="false" ht="15" hidden="false" customHeight="false" outlineLevel="0" collapsed="false">
      <c r="A1460" s="18"/>
      <c r="B1460" s="16"/>
      <c r="C1460" s="16"/>
      <c r="D1460" s="51" t="str">
        <f aca="false">IF(C1460="","",IFERROR(IF(LEFT(C1460,1)="L",INDEX('Leads Pipeline'!$F$5:$F$1004,MATCH(C1460,'Leads Pipeline'!$A$5:$A$1004,0)),INDEX('Active Clients'!$D$5:$D$504,MATCH(C1460,'Active Clients'!$A$5:$A$504,0)))&amp;"","ID not found"))</f>
        <v/>
      </c>
      <c r="E1460" s="51" t="str">
        <f aca="false">IF(C1460="","",IFERROR(IF(LEFT(C1460,1)="L",INDEX('Leads Pipeline'!$D$5:$D$1004,MATCH(C1460,'Leads Pipeline'!$A$5:$A$1004,0)),INDEX('Active Clients'!$B$5:$B$504,MATCH(C1460,'Active Clients'!$A$5:$A$504,0)))&amp;"","ID not found"))</f>
        <v/>
      </c>
      <c r="F1460" s="51" t="str">
        <f aca="false">IF(C1460="","",IFERROR(IF(LEFT(C1460,1)="L",INDEX('Leads Pipeline'!$E$5:$E$1004,MATCH(C1460,'Leads Pipeline'!$A$5:$A$1004,0)),INDEX('Active Clients'!$C$5:$C$504,MATCH(C1460,'Active Clients'!$A$5:$A$504,0)))&amp;"","ID not found"))</f>
        <v/>
      </c>
      <c r="G1460" s="16"/>
      <c r="H1460" s="16"/>
      <c r="I1460" s="16"/>
      <c r="J1460" s="16"/>
      <c r="K1460" s="16"/>
      <c r="L1460" s="18"/>
    </row>
    <row r="1461" customFormat="false" ht="15" hidden="false" customHeight="false" outlineLevel="0" collapsed="false">
      <c r="A1461" s="18"/>
      <c r="B1461" s="16"/>
      <c r="C1461" s="16"/>
      <c r="D1461" s="51" t="str">
        <f aca="false">IF(C1461="","",IFERROR(IF(LEFT(C1461,1)="L",INDEX('Leads Pipeline'!$F$5:$F$1004,MATCH(C1461,'Leads Pipeline'!$A$5:$A$1004,0)),INDEX('Active Clients'!$D$5:$D$504,MATCH(C1461,'Active Clients'!$A$5:$A$504,0)))&amp;"","ID not found"))</f>
        <v/>
      </c>
      <c r="E1461" s="51" t="str">
        <f aca="false">IF(C1461="","",IFERROR(IF(LEFT(C1461,1)="L",INDEX('Leads Pipeline'!$D$5:$D$1004,MATCH(C1461,'Leads Pipeline'!$A$5:$A$1004,0)),INDEX('Active Clients'!$B$5:$B$504,MATCH(C1461,'Active Clients'!$A$5:$A$504,0)))&amp;"","ID not found"))</f>
        <v/>
      </c>
      <c r="F1461" s="51" t="str">
        <f aca="false">IF(C1461="","",IFERROR(IF(LEFT(C1461,1)="L",INDEX('Leads Pipeline'!$E$5:$E$1004,MATCH(C1461,'Leads Pipeline'!$A$5:$A$1004,0)),INDEX('Active Clients'!$C$5:$C$504,MATCH(C1461,'Active Clients'!$A$5:$A$504,0)))&amp;"","ID not found"))</f>
        <v/>
      </c>
      <c r="G1461" s="16"/>
      <c r="H1461" s="16"/>
      <c r="I1461" s="16"/>
      <c r="J1461" s="16"/>
      <c r="K1461" s="16"/>
      <c r="L1461" s="18"/>
    </row>
    <row r="1462" customFormat="false" ht="15" hidden="false" customHeight="false" outlineLevel="0" collapsed="false">
      <c r="A1462" s="18"/>
      <c r="B1462" s="16"/>
      <c r="C1462" s="16"/>
      <c r="D1462" s="51" t="str">
        <f aca="false">IF(C1462="","",IFERROR(IF(LEFT(C1462,1)="L",INDEX('Leads Pipeline'!$F$5:$F$1004,MATCH(C1462,'Leads Pipeline'!$A$5:$A$1004,0)),INDEX('Active Clients'!$D$5:$D$504,MATCH(C1462,'Active Clients'!$A$5:$A$504,0)))&amp;"","ID not found"))</f>
        <v/>
      </c>
      <c r="E1462" s="51" t="str">
        <f aca="false">IF(C1462="","",IFERROR(IF(LEFT(C1462,1)="L",INDEX('Leads Pipeline'!$D$5:$D$1004,MATCH(C1462,'Leads Pipeline'!$A$5:$A$1004,0)),INDEX('Active Clients'!$B$5:$B$504,MATCH(C1462,'Active Clients'!$A$5:$A$504,0)))&amp;"","ID not found"))</f>
        <v/>
      </c>
      <c r="F1462" s="51" t="str">
        <f aca="false">IF(C1462="","",IFERROR(IF(LEFT(C1462,1)="L",INDEX('Leads Pipeline'!$E$5:$E$1004,MATCH(C1462,'Leads Pipeline'!$A$5:$A$1004,0)),INDEX('Active Clients'!$C$5:$C$504,MATCH(C1462,'Active Clients'!$A$5:$A$504,0)))&amp;"","ID not found"))</f>
        <v/>
      </c>
      <c r="G1462" s="16"/>
      <c r="H1462" s="16"/>
      <c r="I1462" s="16"/>
      <c r="J1462" s="16"/>
      <c r="K1462" s="16"/>
      <c r="L1462" s="18"/>
    </row>
    <row r="1463" customFormat="false" ht="15" hidden="false" customHeight="false" outlineLevel="0" collapsed="false">
      <c r="A1463" s="18"/>
      <c r="B1463" s="16"/>
      <c r="C1463" s="16"/>
      <c r="D1463" s="51" t="str">
        <f aca="false">IF(C1463="","",IFERROR(IF(LEFT(C1463,1)="L",INDEX('Leads Pipeline'!$F$5:$F$1004,MATCH(C1463,'Leads Pipeline'!$A$5:$A$1004,0)),INDEX('Active Clients'!$D$5:$D$504,MATCH(C1463,'Active Clients'!$A$5:$A$504,0)))&amp;"","ID not found"))</f>
        <v/>
      </c>
      <c r="E1463" s="51" t="str">
        <f aca="false">IF(C1463="","",IFERROR(IF(LEFT(C1463,1)="L",INDEX('Leads Pipeline'!$D$5:$D$1004,MATCH(C1463,'Leads Pipeline'!$A$5:$A$1004,0)),INDEX('Active Clients'!$B$5:$B$504,MATCH(C1463,'Active Clients'!$A$5:$A$504,0)))&amp;"","ID not found"))</f>
        <v/>
      </c>
      <c r="F1463" s="51" t="str">
        <f aca="false">IF(C1463="","",IFERROR(IF(LEFT(C1463,1)="L",INDEX('Leads Pipeline'!$E$5:$E$1004,MATCH(C1463,'Leads Pipeline'!$A$5:$A$1004,0)),INDEX('Active Clients'!$C$5:$C$504,MATCH(C1463,'Active Clients'!$A$5:$A$504,0)))&amp;"","ID not found"))</f>
        <v/>
      </c>
      <c r="G1463" s="16"/>
      <c r="H1463" s="16"/>
      <c r="I1463" s="16"/>
      <c r="J1463" s="16"/>
      <c r="K1463" s="16"/>
      <c r="L1463" s="18"/>
    </row>
    <row r="1464" customFormat="false" ht="15" hidden="false" customHeight="false" outlineLevel="0" collapsed="false">
      <c r="A1464" s="18"/>
      <c r="B1464" s="16"/>
      <c r="C1464" s="16"/>
      <c r="D1464" s="51" t="str">
        <f aca="false">IF(C1464="","",IFERROR(IF(LEFT(C1464,1)="L",INDEX('Leads Pipeline'!$F$5:$F$1004,MATCH(C1464,'Leads Pipeline'!$A$5:$A$1004,0)),INDEX('Active Clients'!$D$5:$D$504,MATCH(C1464,'Active Clients'!$A$5:$A$504,0)))&amp;"","ID not found"))</f>
        <v/>
      </c>
      <c r="E1464" s="51" t="str">
        <f aca="false">IF(C1464="","",IFERROR(IF(LEFT(C1464,1)="L",INDEX('Leads Pipeline'!$D$5:$D$1004,MATCH(C1464,'Leads Pipeline'!$A$5:$A$1004,0)),INDEX('Active Clients'!$B$5:$B$504,MATCH(C1464,'Active Clients'!$A$5:$A$504,0)))&amp;"","ID not found"))</f>
        <v/>
      </c>
      <c r="F1464" s="51" t="str">
        <f aca="false">IF(C1464="","",IFERROR(IF(LEFT(C1464,1)="L",INDEX('Leads Pipeline'!$E$5:$E$1004,MATCH(C1464,'Leads Pipeline'!$A$5:$A$1004,0)),INDEX('Active Clients'!$C$5:$C$504,MATCH(C1464,'Active Clients'!$A$5:$A$504,0)))&amp;"","ID not found"))</f>
        <v/>
      </c>
      <c r="G1464" s="16"/>
      <c r="H1464" s="16"/>
      <c r="I1464" s="16"/>
      <c r="J1464" s="16"/>
      <c r="K1464" s="16"/>
      <c r="L1464" s="18"/>
    </row>
    <row r="1465" customFormat="false" ht="15" hidden="false" customHeight="false" outlineLevel="0" collapsed="false">
      <c r="A1465" s="18"/>
      <c r="B1465" s="16"/>
      <c r="C1465" s="16"/>
      <c r="D1465" s="51" t="str">
        <f aca="false">IF(C1465="","",IFERROR(IF(LEFT(C1465,1)="L",INDEX('Leads Pipeline'!$F$5:$F$1004,MATCH(C1465,'Leads Pipeline'!$A$5:$A$1004,0)),INDEX('Active Clients'!$D$5:$D$504,MATCH(C1465,'Active Clients'!$A$5:$A$504,0)))&amp;"","ID not found"))</f>
        <v/>
      </c>
      <c r="E1465" s="51" t="str">
        <f aca="false">IF(C1465="","",IFERROR(IF(LEFT(C1465,1)="L",INDEX('Leads Pipeline'!$D$5:$D$1004,MATCH(C1465,'Leads Pipeline'!$A$5:$A$1004,0)),INDEX('Active Clients'!$B$5:$B$504,MATCH(C1465,'Active Clients'!$A$5:$A$504,0)))&amp;"","ID not found"))</f>
        <v/>
      </c>
      <c r="F1465" s="51" t="str">
        <f aca="false">IF(C1465="","",IFERROR(IF(LEFT(C1465,1)="L",INDEX('Leads Pipeline'!$E$5:$E$1004,MATCH(C1465,'Leads Pipeline'!$A$5:$A$1004,0)),INDEX('Active Clients'!$C$5:$C$504,MATCH(C1465,'Active Clients'!$A$5:$A$504,0)))&amp;"","ID not found"))</f>
        <v/>
      </c>
      <c r="G1465" s="16"/>
      <c r="H1465" s="16"/>
      <c r="I1465" s="16"/>
      <c r="J1465" s="16"/>
      <c r="K1465" s="16"/>
      <c r="L1465" s="18"/>
    </row>
    <row r="1466" customFormat="false" ht="15" hidden="false" customHeight="false" outlineLevel="0" collapsed="false">
      <c r="A1466" s="18"/>
      <c r="B1466" s="16"/>
      <c r="C1466" s="16"/>
      <c r="D1466" s="51" t="str">
        <f aca="false">IF(C1466="","",IFERROR(IF(LEFT(C1466,1)="L",INDEX('Leads Pipeline'!$F$5:$F$1004,MATCH(C1466,'Leads Pipeline'!$A$5:$A$1004,0)),INDEX('Active Clients'!$D$5:$D$504,MATCH(C1466,'Active Clients'!$A$5:$A$504,0)))&amp;"","ID not found"))</f>
        <v/>
      </c>
      <c r="E1466" s="51" t="str">
        <f aca="false">IF(C1466="","",IFERROR(IF(LEFT(C1466,1)="L",INDEX('Leads Pipeline'!$D$5:$D$1004,MATCH(C1466,'Leads Pipeline'!$A$5:$A$1004,0)),INDEX('Active Clients'!$B$5:$B$504,MATCH(C1466,'Active Clients'!$A$5:$A$504,0)))&amp;"","ID not found"))</f>
        <v/>
      </c>
      <c r="F1466" s="51" t="str">
        <f aca="false">IF(C1466="","",IFERROR(IF(LEFT(C1466,1)="L",INDEX('Leads Pipeline'!$E$5:$E$1004,MATCH(C1466,'Leads Pipeline'!$A$5:$A$1004,0)),INDEX('Active Clients'!$C$5:$C$504,MATCH(C1466,'Active Clients'!$A$5:$A$504,0)))&amp;"","ID not found"))</f>
        <v/>
      </c>
      <c r="G1466" s="16"/>
      <c r="H1466" s="16"/>
      <c r="I1466" s="16"/>
      <c r="J1466" s="16"/>
      <c r="K1466" s="16"/>
      <c r="L1466" s="18"/>
    </row>
    <row r="1467" customFormat="false" ht="15" hidden="false" customHeight="false" outlineLevel="0" collapsed="false">
      <c r="A1467" s="18"/>
      <c r="B1467" s="16"/>
      <c r="C1467" s="16"/>
      <c r="D1467" s="51" t="str">
        <f aca="false">IF(C1467="","",IFERROR(IF(LEFT(C1467,1)="L",INDEX('Leads Pipeline'!$F$5:$F$1004,MATCH(C1467,'Leads Pipeline'!$A$5:$A$1004,0)),INDEX('Active Clients'!$D$5:$D$504,MATCH(C1467,'Active Clients'!$A$5:$A$504,0)))&amp;"","ID not found"))</f>
        <v/>
      </c>
      <c r="E1467" s="51" t="str">
        <f aca="false">IF(C1467="","",IFERROR(IF(LEFT(C1467,1)="L",INDEX('Leads Pipeline'!$D$5:$D$1004,MATCH(C1467,'Leads Pipeline'!$A$5:$A$1004,0)),INDEX('Active Clients'!$B$5:$B$504,MATCH(C1467,'Active Clients'!$A$5:$A$504,0)))&amp;"","ID not found"))</f>
        <v/>
      </c>
      <c r="F1467" s="51" t="str">
        <f aca="false">IF(C1467="","",IFERROR(IF(LEFT(C1467,1)="L",INDEX('Leads Pipeline'!$E$5:$E$1004,MATCH(C1467,'Leads Pipeline'!$A$5:$A$1004,0)),INDEX('Active Clients'!$C$5:$C$504,MATCH(C1467,'Active Clients'!$A$5:$A$504,0)))&amp;"","ID not found"))</f>
        <v/>
      </c>
      <c r="G1467" s="16"/>
      <c r="H1467" s="16"/>
      <c r="I1467" s="16"/>
      <c r="J1467" s="16"/>
      <c r="K1467" s="16"/>
      <c r="L1467" s="18"/>
    </row>
    <row r="1468" customFormat="false" ht="15" hidden="false" customHeight="false" outlineLevel="0" collapsed="false">
      <c r="A1468" s="18"/>
      <c r="B1468" s="16"/>
      <c r="C1468" s="16"/>
      <c r="D1468" s="51" t="str">
        <f aca="false">IF(C1468="","",IFERROR(IF(LEFT(C1468,1)="L",INDEX('Leads Pipeline'!$F$5:$F$1004,MATCH(C1468,'Leads Pipeline'!$A$5:$A$1004,0)),INDEX('Active Clients'!$D$5:$D$504,MATCH(C1468,'Active Clients'!$A$5:$A$504,0)))&amp;"","ID not found"))</f>
        <v/>
      </c>
      <c r="E1468" s="51" t="str">
        <f aca="false">IF(C1468="","",IFERROR(IF(LEFT(C1468,1)="L",INDEX('Leads Pipeline'!$D$5:$D$1004,MATCH(C1468,'Leads Pipeline'!$A$5:$A$1004,0)),INDEX('Active Clients'!$B$5:$B$504,MATCH(C1468,'Active Clients'!$A$5:$A$504,0)))&amp;"","ID not found"))</f>
        <v/>
      </c>
      <c r="F1468" s="51" t="str">
        <f aca="false">IF(C1468="","",IFERROR(IF(LEFT(C1468,1)="L",INDEX('Leads Pipeline'!$E$5:$E$1004,MATCH(C1468,'Leads Pipeline'!$A$5:$A$1004,0)),INDEX('Active Clients'!$C$5:$C$504,MATCH(C1468,'Active Clients'!$A$5:$A$504,0)))&amp;"","ID not found"))</f>
        <v/>
      </c>
      <c r="G1468" s="16"/>
      <c r="H1468" s="16"/>
      <c r="I1468" s="16"/>
      <c r="J1468" s="16"/>
      <c r="K1468" s="16"/>
      <c r="L1468" s="18"/>
    </row>
    <row r="1469" customFormat="false" ht="15" hidden="false" customHeight="false" outlineLevel="0" collapsed="false">
      <c r="A1469" s="18"/>
      <c r="B1469" s="16"/>
      <c r="C1469" s="16"/>
      <c r="D1469" s="51" t="str">
        <f aca="false">IF(C1469="","",IFERROR(IF(LEFT(C1469,1)="L",INDEX('Leads Pipeline'!$F$5:$F$1004,MATCH(C1469,'Leads Pipeline'!$A$5:$A$1004,0)),INDEX('Active Clients'!$D$5:$D$504,MATCH(C1469,'Active Clients'!$A$5:$A$504,0)))&amp;"","ID not found"))</f>
        <v/>
      </c>
      <c r="E1469" s="51" t="str">
        <f aca="false">IF(C1469="","",IFERROR(IF(LEFT(C1469,1)="L",INDEX('Leads Pipeline'!$D$5:$D$1004,MATCH(C1469,'Leads Pipeline'!$A$5:$A$1004,0)),INDEX('Active Clients'!$B$5:$B$504,MATCH(C1469,'Active Clients'!$A$5:$A$504,0)))&amp;"","ID not found"))</f>
        <v/>
      </c>
      <c r="F1469" s="51" t="str">
        <f aca="false">IF(C1469="","",IFERROR(IF(LEFT(C1469,1)="L",INDEX('Leads Pipeline'!$E$5:$E$1004,MATCH(C1469,'Leads Pipeline'!$A$5:$A$1004,0)),INDEX('Active Clients'!$C$5:$C$504,MATCH(C1469,'Active Clients'!$A$5:$A$504,0)))&amp;"","ID not found"))</f>
        <v/>
      </c>
      <c r="G1469" s="16"/>
      <c r="H1469" s="16"/>
      <c r="I1469" s="16"/>
      <c r="J1469" s="16"/>
      <c r="K1469" s="16"/>
      <c r="L1469" s="18"/>
    </row>
    <row r="1470" customFormat="false" ht="15" hidden="false" customHeight="false" outlineLevel="0" collapsed="false">
      <c r="A1470" s="18"/>
      <c r="B1470" s="16"/>
      <c r="C1470" s="16"/>
      <c r="D1470" s="51" t="str">
        <f aca="false">IF(C1470="","",IFERROR(IF(LEFT(C1470,1)="L",INDEX('Leads Pipeline'!$F$5:$F$1004,MATCH(C1470,'Leads Pipeline'!$A$5:$A$1004,0)),INDEX('Active Clients'!$D$5:$D$504,MATCH(C1470,'Active Clients'!$A$5:$A$504,0)))&amp;"","ID not found"))</f>
        <v/>
      </c>
      <c r="E1470" s="51" t="str">
        <f aca="false">IF(C1470="","",IFERROR(IF(LEFT(C1470,1)="L",INDEX('Leads Pipeline'!$D$5:$D$1004,MATCH(C1470,'Leads Pipeline'!$A$5:$A$1004,0)),INDEX('Active Clients'!$B$5:$B$504,MATCH(C1470,'Active Clients'!$A$5:$A$504,0)))&amp;"","ID not found"))</f>
        <v/>
      </c>
      <c r="F1470" s="51" t="str">
        <f aca="false">IF(C1470="","",IFERROR(IF(LEFT(C1470,1)="L",INDEX('Leads Pipeline'!$E$5:$E$1004,MATCH(C1470,'Leads Pipeline'!$A$5:$A$1004,0)),INDEX('Active Clients'!$C$5:$C$504,MATCH(C1470,'Active Clients'!$A$5:$A$504,0)))&amp;"","ID not found"))</f>
        <v/>
      </c>
      <c r="G1470" s="16"/>
      <c r="H1470" s="16"/>
      <c r="I1470" s="16"/>
      <c r="J1470" s="16"/>
      <c r="K1470" s="16"/>
      <c r="L1470" s="18"/>
    </row>
    <row r="1471" customFormat="false" ht="15" hidden="false" customHeight="false" outlineLevel="0" collapsed="false">
      <c r="A1471" s="18"/>
      <c r="B1471" s="16"/>
      <c r="C1471" s="16"/>
      <c r="D1471" s="51" t="str">
        <f aca="false">IF(C1471="","",IFERROR(IF(LEFT(C1471,1)="L",INDEX('Leads Pipeline'!$F$5:$F$1004,MATCH(C1471,'Leads Pipeline'!$A$5:$A$1004,0)),INDEX('Active Clients'!$D$5:$D$504,MATCH(C1471,'Active Clients'!$A$5:$A$504,0)))&amp;"","ID not found"))</f>
        <v/>
      </c>
      <c r="E1471" s="51" t="str">
        <f aca="false">IF(C1471="","",IFERROR(IF(LEFT(C1471,1)="L",INDEX('Leads Pipeline'!$D$5:$D$1004,MATCH(C1471,'Leads Pipeline'!$A$5:$A$1004,0)),INDEX('Active Clients'!$B$5:$B$504,MATCH(C1471,'Active Clients'!$A$5:$A$504,0)))&amp;"","ID not found"))</f>
        <v/>
      </c>
      <c r="F1471" s="51" t="str">
        <f aca="false">IF(C1471="","",IFERROR(IF(LEFT(C1471,1)="L",INDEX('Leads Pipeline'!$E$5:$E$1004,MATCH(C1471,'Leads Pipeline'!$A$5:$A$1004,0)),INDEX('Active Clients'!$C$5:$C$504,MATCH(C1471,'Active Clients'!$A$5:$A$504,0)))&amp;"","ID not found"))</f>
        <v/>
      </c>
      <c r="G1471" s="16"/>
      <c r="H1471" s="16"/>
      <c r="I1471" s="16"/>
      <c r="J1471" s="16"/>
      <c r="K1471" s="16"/>
      <c r="L1471" s="18"/>
    </row>
    <row r="1472" customFormat="false" ht="15" hidden="false" customHeight="false" outlineLevel="0" collapsed="false">
      <c r="A1472" s="18"/>
      <c r="B1472" s="16"/>
      <c r="C1472" s="16"/>
      <c r="D1472" s="51" t="str">
        <f aca="false">IF(C1472="","",IFERROR(IF(LEFT(C1472,1)="L",INDEX('Leads Pipeline'!$F$5:$F$1004,MATCH(C1472,'Leads Pipeline'!$A$5:$A$1004,0)),INDEX('Active Clients'!$D$5:$D$504,MATCH(C1472,'Active Clients'!$A$5:$A$504,0)))&amp;"","ID not found"))</f>
        <v/>
      </c>
      <c r="E1472" s="51" t="str">
        <f aca="false">IF(C1472="","",IFERROR(IF(LEFT(C1472,1)="L",INDEX('Leads Pipeline'!$D$5:$D$1004,MATCH(C1472,'Leads Pipeline'!$A$5:$A$1004,0)),INDEX('Active Clients'!$B$5:$B$504,MATCH(C1472,'Active Clients'!$A$5:$A$504,0)))&amp;"","ID not found"))</f>
        <v/>
      </c>
      <c r="F1472" s="51" t="str">
        <f aca="false">IF(C1472="","",IFERROR(IF(LEFT(C1472,1)="L",INDEX('Leads Pipeline'!$E$5:$E$1004,MATCH(C1472,'Leads Pipeline'!$A$5:$A$1004,0)),INDEX('Active Clients'!$C$5:$C$504,MATCH(C1472,'Active Clients'!$A$5:$A$504,0)))&amp;"","ID not found"))</f>
        <v/>
      </c>
      <c r="G1472" s="16"/>
      <c r="H1472" s="16"/>
      <c r="I1472" s="16"/>
      <c r="J1472" s="16"/>
      <c r="K1472" s="16"/>
      <c r="L1472" s="18"/>
    </row>
    <row r="1473" customFormat="false" ht="15" hidden="false" customHeight="false" outlineLevel="0" collapsed="false">
      <c r="A1473" s="18"/>
      <c r="B1473" s="16"/>
      <c r="C1473" s="16"/>
      <c r="D1473" s="51" t="str">
        <f aca="false">IF(C1473="","",IFERROR(IF(LEFT(C1473,1)="L",INDEX('Leads Pipeline'!$F$5:$F$1004,MATCH(C1473,'Leads Pipeline'!$A$5:$A$1004,0)),INDEX('Active Clients'!$D$5:$D$504,MATCH(C1473,'Active Clients'!$A$5:$A$504,0)))&amp;"","ID not found"))</f>
        <v/>
      </c>
      <c r="E1473" s="51" t="str">
        <f aca="false">IF(C1473="","",IFERROR(IF(LEFT(C1473,1)="L",INDEX('Leads Pipeline'!$D$5:$D$1004,MATCH(C1473,'Leads Pipeline'!$A$5:$A$1004,0)),INDEX('Active Clients'!$B$5:$B$504,MATCH(C1473,'Active Clients'!$A$5:$A$504,0)))&amp;"","ID not found"))</f>
        <v/>
      </c>
      <c r="F1473" s="51" t="str">
        <f aca="false">IF(C1473="","",IFERROR(IF(LEFT(C1473,1)="L",INDEX('Leads Pipeline'!$E$5:$E$1004,MATCH(C1473,'Leads Pipeline'!$A$5:$A$1004,0)),INDEX('Active Clients'!$C$5:$C$504,MATCH(C1473,'Active Clients'!$A$5:$A$504,0)))&amp;"","ID not found"))</f>
        <v/>
      </c>
      <c r="G1473" s="16"/>
      <c r="H1473" s="16"/>
      <c r="I1473" s="16"/>
      <c r="J1473" s="16"/>
      <c r="K1473" s="16"/>
      <c r="L1473" s="18"/>
    </row>
    <row r="1474" customFormat="false" ht="15" hidden="false" customHeight="false" outlineLevel="0" collapsed="false">
      <c r="A1474" s="18"/>
      <c r="B1474" s="16"/>
      <c r="C1474" s="16"/>
      <c r="D1474" s="51" t="str">
        <f aca="false">IF(C1474="","",IFERROR(IF(LEFT(C1474,1)="L",INDEX('Leads Pipeline'!$F$5:$F$1004,MATCH(C1474,'Leads Pipeline'!$A$5:$A$1004,0)),INDEX('Active Clients'!$D$5:$D$504,MATCH(C1474,'Active Clients'!$A$5:$A$504,0)))&amp;"","ID not found"))</f>
        <v/>
      </c>
      <c r="E1474" s="51" t="str">
        <f aca="false">IF(C1474="","",IFERROR(IF(LEFT(C1474,1)="L",INDEX('Leads Pipeline'!$D$5:$D$1004,MATCH(C1474,'Leads Pipeline'!$A$5:$A$1004,0)),INDEX('Active Clients'!$B$5:$B$504,MATCH(C1474,'Active Clients'!$A$5:$A$504,0)))&amp;"","ID not found"))</f>
        <v/>
      </c>
      <c r="F1474" s="51" t="str">
        <f aca="false">IF(C1474="","",IFERROR(IF(LEFT(C1474,1)="L",INDEX('Leads Pipeline'!$E$5:$E$1004,MATCH(C1474,'Leads Pipeline'!$A$5:$A$1004,0)),INDEX('Active Clients'!$C$5:$C$504,MATCH(C1474,'Active Clients'!$A$5:$A$504,0)))&amp;"","ID not found"))</f>
        <v/>
      </c>
      <c r="G1474" s="16"/>
      <c r="H1474" s="16"/>
      <c r="I1474" s="16"/>
      <c r="J1474" s="16"/>
      <c r="K1474" s="16"/>
      <c r="L1474" s="18"/>
    </row>
    <row r="1475" customFormat="false" ht="15" hidden="false" customHeight="false" outlineLevel="0" collapsed="false">
      <c r="A1475" s="18"/>
      <c r="B1475" s="16"/>
      <c r="C1475" s="16"/>
      <c r="D1475" s="51" t="str">
        <f aca="false">IF(C1475="","",IFERROR(IF(LEFT(C1475,1)="L",INDEX('Leads Pipeline'!$F$5:$F$1004,MATCH(C1475,'Leads Pipeline'!$A$5:$A$1004,0)),INDEX('Active Clients'!$D$5:$D$504,MATCH(C1475,'Active Clients'!$A$5:$A$504,0)))&amp;"","ID not found"))</f>
        <v/>
      </c>
      <c r="E1475" s="51" t="str">
        <f aca="false">IF(C1475="","",IFERROR(IF(LEFT(C1475,1)="L",INDEX('Leads Pipeline'!$D$5:$D$1004,MATCH(C1475,'Leads Pipeline'!$A$5:$A$1004,0)),INDEX('Active Clients'!$B$5:$B$504,MATCH(C1475,'Active Clients'!$A$5:$A$504,0)))&amp;"","ID not found"))</f>
        <v/>
      </c>
      <c r="F1475" s="51" t="str">
        <f aca="false">IF(C1475="","",IFERROR(IF(LEFT(C1475,1)="L",INDEX('Leads Pipeline'!$E$5:$E$1004,MATCH(C1475,'Leads Pipeline'!$A$5:$A$1004,0)),INDEX('Active Clients'!$C$5:$C$504,MATCH(C1475,'Active Clients'!$A$5:$A$504,0)))&amp;"","ID not found"))</f>
        <v/>
      </c>
      <c r="G1475" s="16"/>
      <c r="H1475" s="16"/>
      <c r="I1475" s="16"/>
      <c r="J1475" s="16"/>
      <c r="K1475" s="16"/>
      <c r="L1475" s="18"/>
    </row>
    <row r="1476" customFormat="false" ht="15" hidden="false" customHeight="false" outlineLevel="0" collapsed="false">
      <c r="A1476" s="18"/>
      <c r="B1476" s="16"/>
      <c r="C1476" s="16"/>
      <c r="D1476" s="51" t="str">
        <f aca="false">IF(C1476="","",IFERROR(IF(LEFT(C1476,1)="L",INDEX('Leads Pipeline'!$F$5:$F$1004,MATCH(C1476,'Leads Pipeline'!$A$5:$A$1004,0)),INDEX('Active Clients'!$D$5:$D$504,MATCH(C1476,'Active Clients'!$A$5:$A$504,0)))&amp;"","ID not found"))</f>
        <v/>
      </c>
      <c r="E1476" s="51" t="str">
        <f aca="false">IF(C1476="","",IFERROR(IF(LEFT(C1476,1)="L",INDEX('Leads Pipeline'!$D$5:$D$1004,MATCH(C1476,'Leads Pipeline'!$A$5:$A$1004,0)),INDEX('Active Clients'!$B$5:$B$504,MATCH(C1476,'Active Clients'!$A$5:$A$504,0)))&amp;"","ID not found"))</f>
        <v/>
      </c>
      <c r="F1476" s="51" t="str">
        <f aca="false">IF(C1476="","",IFERROR(IF(LEFT(C1476,1)="L",INDEX('Leads Pipeline'!$E$5:$E$1004,MATCH(C1476,'Leads Pipeline'!$A$5:$A$1004,0)),INDEX('Active Clients'!$C$5:$C$504,MATCH(C1476,'Active Clients'!$A$5:$A$504,0)))&amp;"","ID not found"))</f>
        <v/>
      </c>
      <c r="G1476" s="16"/>
      <c r="H1476" s="16"/>
      <c r="I1476" s="16"/>
      <c r="J1476" s="16"/>
      <c r="K1476" s="16"/>
      <c r="L1476" s="18"/>
    </row>
    <row r="1477" customFormat="false" ht="15" hidden="false" customHeight="false" outlineLevel="0" collapsed="false">
      <c r="A1477" s="18"/>
      <c r="B1477" s="16"/>
      <c r="C1477" s="16"/>
      <c r="D1477" s="51" t="str">
        <f aca="false">IF(C1477="","",IFERROR(IF(LEFT(C1477,1)="L",INDEX('Leads Pipeline'!$F$5:$F$1004,MATCH(C1477,'Leads Pipeline'!$A$5:$A$1004,0)),INDEX('Active Clients'!$D$5:$D$504,MATCH(C1477,'Active Clients'!$A$5:$A$504,0)))&amp;"","ID not found"))</f>
        <v/>
      </c>
      <c r="E1477" s="51" t="str">
        <f aca="false">IF(C1477="","",IFERROR(IF(LEFT(C1477,1)="L",INDEX('Leads Pipeline'!$D$5:$D$1004,MATCH(C1477,'Leads Pipeline'!$A$5:$A$1004,0)),INDEX('Active Clients'!$B$5:$B$504,MATCH(C1477,'Active Clients'!$A$5:$A$504,0)))&amp;"","ID not found"))</f>
        <v/>
      </c>
      <c r="F1477" s="51" t="str">
        <f aca="false">IF(C1477="","",IFERROR(IF(LEFT(C1477,1)="L",INDEX('Leads Pipeline'!$E$5:$E$1004,MATCH(C1477,'Leads Pipeline'!$A$5:$A$1004,0)),INDEX('Active Clients'!$C$5:$C$504,MATCH(C1477,'Active Clients'!$A$5:$A$504,0)))&amp;"","ID not found"))</f>
        <v/>
      </c>
      <c r="G1477" s="16"/>
      <c r="H1477" s="16"/>
      <c r="I1477" s="16"/>
      <c r="J1477" s="16"/>
      <c r="K1477" s="16"/>
      <c r="L1477" s="18"/>
    </row>
    <row r="1478" customFormat="false" ht="15" hidden="false" customHeight="false" outlineLevel="0" collapsed="false">
      <c r="A1478" s="18"/>
      <c r="B1478" s="16"/>
      <c r="C1478" s="16"/>
      <c r="D1478" s="51" t="str">
        <f aca="false">IF(C1478="","",IFERROR(IF(LEFT(C1478,1)="L",INDEX('Leads Pipeline'!$F$5:$F$1004,MATCH(C1478,'Leads Pipeline'!$A$5:$A$1004,0)),INDEX('Active Clients'!$D$5:$D$504,MATCH(C1478,'Active Clients'!$A$5:$A$504,0)))&amp;"","ID not found"))</f>
        <v/>
      </c>
      <c r="E1478" s="51" t="str">
        <f aca="false">IF(C1478="","",IFERROR(IF(LEFT(C1478,1)="L",INDEX('Leads Pipeline'!$D$5:$D$1004,MATCH(C1478,'Leads Pipeline'!$A$5:$A$1004,0)),INDEX('Active Clients'!$B$5:$B$504,MATCH(C1478,'Active Clients'!$A$5:$A$504,0)))&amp;"","ID not found"))</f>
        <v/>
      </c>
      <c r="F1478" s="51" t="str">
        <f aca="false">IF(C1478="","",IFERROR(IF(LEFT(C1478,1)="L",INDEX('Leads Pipeline'!$E$5:$E$1004,MATCH(C1478,'Leads Pipeline'!$A$5:$A$1004,0)),INDEX('Active Clients'!$C$5:$C$504,MATCH(C1478,'Active Clients'!$A$5:$A$504,0)))&amp;"","ID not found"))</f>
        <v/>
      </c>
      <c r="G1478" s="16"/>
      <c r="H1478" s="16"/>
      <c r="I1478" s="16"/>
      <c r="J1478" s="16"/>
      <c r="K1478" s="16"/>
      <c r="L1478" s="18"/>
    </row>
    <row r="1479" customFormat="false" ht="15" hidden="false" customHeight="false" outlineLevel="0" collapsed="false">
      <c r="A1479" s="18"/>
      <c r="B1479" s="16"/>
      <c r="C1479" s="16"/>
      <c r="D1479" s="51" t="str">
        <f aca="false">IF(C1479="","",IFERROR(IF(LEFT(C1479,1)="L",INDEX('Leads Pipeline'!$F$5:$F$1004,MATCH(C1479,'Leads Pipeline'!$A$5:$A$1004,0)),INDEX('Active Clients'!$D$5:$D$504,MATCH(C1479,'Active Clients'!$A$5:$A$504,0)))&amp;"","ID not found"))</f>
        <v/>
      </c>
      <c r="E1479" s="51" t="str">
        <f aca="false">IF(C1479="","",IFERROR(IF(LEFT(C1479,1)="L",INDEX('Leads Pipeline'!$D$5:$D$1004,MATCH(C1479,'Leads Pipeline'!$A$5:$A$1004,0)),INDEX('Active Clients'!$B$5:$B$504,MATCH(C1479,'Active Clients'!$A$5:$A$504,0)))&amp;"","ID not found"))</f>
        <v/>
      </c>
      <c r="F1479" s="51" t="str">
        <f aca="false">IF(C1479="","",IFERROR(IF(LEFT(C1479,1)="L",INDEX('Leads Pipeline'!$E$5:$E$1004,MATCH(C1479,'Leads Pipeline'!$A$5:$A$1004,0)),INDEX('Active Clients'!$C$5:$C$504,MATCH(C1479,'Active Clients'!$A$5:$A$504,0)))&amp;"","ID not found"))</f>
        <v/>
      </c>
      <c r="G1479" s="16"/>
      <c r="H1479" s="16"/>
      <c r="I1479" s="16"/>
      <c r="J1479" s="16"/>
      <c r="K1479" s="16"/>
      <c r="L1479" s="18"/>
    </row>
    <row r="1480" customFormat="false" ht="15" hidden="false" customHeight="false" outlineLevel="0" collapsed="false">
      <c r="A1480" s="18"/>
      <c r="B1480" s="16"/>
      <c r="C1480" s="16"/>
      <c r="D1480" s="51" t="str">
        <f aca="false">IF(C1480="","",IFERROR(IF(LEFT(C1480,1)="L",INDEX('Leads Pipeline'!$F$5:$F$1004,MATCH(C1480,'Leads Pipeline'!$A$5:$A$1004,0)),INDEX('Active Clients'!$D$5:$D$504,MATCH(C1480,'Active Clients'!$A$5:$A$504,0)))&amp;"","ID not found"))</f>
        <v/>
      </c>
      <c r="E1480" s="51" t="str">
        <f aca="false">IF(C1480="","",IFERROR(IF(LEFT(C1480,1)="L",INDEX('Leads Pipeline'!$D$5:$D$1004,MATCH(C1480,'Leads Pipeline'!$A$5:$A$1004,0)),INDEX('Active Clients'!$B$5:$B$504,MATCH(C1480,'Active Clients'!$A$5:$A$504,0)))&amp;"","ID not found"))</f>
        <v/>
      </c>
      <c r="F1480" s="51" t="str">
        <f aca="false">IF(C1480="","",IFERROR(IF(LEFT(C1480,1)="L",INDEX('Leads Pipeline'!$E$5:$E$1004,MATCH(C1480,'Leads Pipeline'!$A$5:$A$1004,0)),INDEX('Active Clients'!$C$5:$C$504,MATCH(C1480,'Active Clients'!$A$5:$A$504,0)))&amp;"","ID not found"))</f>
        <v/>
      </c>
      <c r="G1480" s="16"/>
      <c r="H1480" s="16"/>
      <c r="I1480" s="16"/>
      <c r="J1480" s="16"/>
      <c r="K1480" s="16"/>
      <c r="L1480" s="18"/>
    </row>
    <row r="1481" customFormat="false" ht="15" hidden="false" customHeight="false" outlineLevel="0" collapsed="false">
      <c r="A1481" s="18"/>
      <c r="B1481" s="16"/>
      <c r="C1481" s="16"/>
      <c r="D1481" s="51" t="str">
        <f aca="false">IF(C1481="","",IFERROR(IF(LEFT(C1481,1)="L",INDEX('Leads Pipeline'!$F$5:$F$1004,MATCH(C1481,'Leads Pipeline'!$A$5:$A$1004,0)),INDEX('Active Clients'!$D$5:$D$504,MATCH(C1481,'Active Clients'!$A$5:$A$504,0)))&amp;"","ID not found"))</f>
        <v/>
      </c>
      <c r="E1481" s="51" t="str">
        <f aca="false">IF(C1481="","",IFERROR(IF(LEFT(C1481,1)="L",INDEX('Leads Pipeline'!$D$5:$D$1004,MATCH(C1481,'Leads Pipeline'!$A$5:$A$1004,0)),INDEX('Active Clients'!$B$5:$B$504,MATCH(C1481,'Active Clients'!$A$5:$A$504,0)))&amp;"","ID not found"))</f>
        <v/>
      </c>
      <c r="F1481" s="51" t="str">
        <f aca="false">IF(C1481="","",IFERROR(IF(LEFT(C1481,1)="L",INDEX('Leads Pipeline'!$E$5:$E$1004,MATCH(C1481,'Leads Pipeline'!$A$5:$A$1004,0)),INDEX('Active Clients'!$C$5:$C$504,MATCH(C1481,'Active Clients'!$A$5:$A$504,0)))&amp;"","ID not found"))</f>
        <v/>
      </c>
      <c r="G1481" s="16"/>
      <c r="H1481" s="16"/>
      <c r="I1481" s="16"/>
      <c r="J1481" s="16"/>
      <c r="K1481" s="16"/>
      <c r="L1481" s="18"/>
    </row>
    <row r="1482" customFormat="false" ht="15" hidden="false" customHeight="false" outlineLevel="0" collapsed="false">
      <c r="A1482" s="18"/>
      <c r="B1482" s="16"/>
      <c r="C1482" s="16"/>
      <c r="D1482" s="51" t="str">
        <f aca="false">IF(C1482="","",IFERROR(IF(LEFT(C1482,1)="L",INDEX('Leads Pipeline'!$F$5:$F$1004,MATCH(C1482,'Leads Pipeline'!$A$5:$A$1004,0)),INDEX('Active Clients'!$D$5:$D$504,MATCH(C1482,'Active Clients'!$A$5:$A$504,0)))&amp;"","ID not found"))</f>
        <v/>
      </c>
      <c r="E1482" s="51" t="str">
        <f aca="false">IF(C1482="","",IFERROR(IF(LEFT(C1482,1)="L",INDEX('Leads Pipeline'!$D$5:$D$1004,MATCH(C1482,'Leads Pipeline'!$A$5:$A$1004,0)),INDEX('Active Clients'!$B$5:$B$504,MATCH(C1482,'Active Clients'!$A$5:$A$504,0)))&amp;"","ID not found"))</f>
        <v/>
      </c>
      <c r="F1482" s="51" t="str">
        <f aca="false">IF(C1482="","",IFERROR(IF(LEFT(C1482,1)="L",INDEX('Leads Pipeline'!$E$5:$E$1004,MATCH(C1482,'Leads Pipeline'!$A$5:$A$1004,0)),INDEX('Active Clients'!$C$5:$C$504,MATCH(C1482,'Active Clients'!$A$5:$A$504,0)))&amp;"","ID not found"))</f>
        <v/>
      </c>
      <c r="G1482" s="16"/>
      <c r="H1482" s="16"/>
      <c r="I1482" s="16"/>
      <c r="J1482" s="16"/>
      <c r="K1482" s="16"/>
      <c r="L1482" s="18"/>
    </row>
    <row r="1483" customFormat="false" ht="15" hidden="false" customHeight="false" outlineLevel="0" collapsed="false">
      <c r="A1483" s="18"/>
      <c r="B1483" s="16"/>
      <c r="C1483" s="16"/>
      <c r="D1483" s="51" t="str">
        <f aca="false">IF(C1483="","",IFERROR(IF(LEFT(C1483,1)="L",INDEX('Leads Pipeline'!$F$5:$F$1004,MATCH(C1483,'Leads Pipeline'!$A$5:$A$1004,0)),INDEX('Active Clients'!$D$5:$D$504,MATCH(C1483,'Active Clients'!$A$5:$A$504,0)))&amp;"","ID not found"))</f>
        <v/>
      </c>
      <c r="E1483" s="51" t="str">
        <f aca="false">IF(C1483="","",IFERROR(IF(LEFT(C1483,1)="L",INDEX('Leads Pipeline'!$D$5:$D$1004,MATCH(C1483,'Leads Pipeline'!$A$5:$A$1004,0)),INDEX('Active Clients'!$B$5:$B$504,MATCH(C1483,'Active Clients'!$A$5:$A$504,0)))&amp;"","ID not found"))</f>
        <v/>
      </c>
      <c r="F1483" s="51" t="str">
        <f aca="false">IF(C1483="","",IFERROR(IF(LEFT(C1483,1)="L",INDEX('Leads Pipeline'!$E$5:$E$1004,MATCH(C1483,'Leads Pipeline'!$A$5:$A$1004,0)),INDEX('Active Clients'!$C$5:$C$504,MATCH(C1483,'Active Clients'!$A$5:$A$504,0)))&amp;"","ID not found"))</f>
        <v/>
      </c>
      <c r="G1483" s="16"/>
      <c r="H1483" s="16"/>
      <c r="I1483" s="16"/>
      <c r="J1483" s="16"/>
      <c r="K1483" s="16"/>
      <c r="L1483" s="18"/>
    </row>
    <row r="1484" customFormat="false" ht="15" hidden="false" customHeight="false" outlineLevel="0" collapsed="false">
      <c r="A1484" s="18"/>
      <c r="B1484" s="16"/>
      <c r="C1484" s="16"/>
      <c r="D1484" s="51" t="str">
        <f aca="false">IF(C1484="","",IFERROR(IF(LEFT(C1484,1)="L",INDEX('Leads Pipeline'!$F$5:$F$1004,MATCH(C1484,'Leads Pipeline'!$A$5:$A$1004,0)),INDEX('Active Clients'!$D$5:$D$504,MATCH(C1484,'Active Clients'!$A$5:$A$504,0)))&amp;"","ID not found"))</f>
        <v/>
      </c>
      <c r="E1484" s="51" t="str">
        <f aca="false">IF(C1484="","",IFERROR(IF(LEFT(C1484,1)="L",INDEX('Leads Pipeline'!$D$5:$D$1004,MATCH(C1484,'Leads Pipeline'!$A$5:$A$1004,0)),INDEX('Active Clients'!$B$5:$B$504,MATCH(C1484,'Active Clients'!$A$5:$A$504,0)))&amp;"","ID not found"))</f>
        <v/>
      </c>
      <c r="F1484" s="51" t="str">
        <f aca="false">IF(C1484="","",IFERROR(IF(LEFT(C1484,1)="L",INDEX('Leads Pipeline'!$E$5:$E$1004,MATCH(C1484,'Leads Pipeline'!$A$5:$A$1004,0)),INDEX('Active Clients'!$C$5:$C$504,MATCH(C1484,'Active Clients'!$A$5:$A$504,0)))&amp;"","ID not found"))</f>
        <v/>
      </c>
      <c r="G1484" s="16"/>
      <c r="H1484" s="16"/>
      <c r="I1484" s="16"/>
      <c r="J1484" s="16"/>
      <c r="K1484" s="16"/>
      <c r="L1484" s="18"/>
    </row>
    <row r="1485" customFormat="false" ht="15" hidden="false" customHeight="false" outlineLevel="0" collapsed="false">
      <c r="A1485" s="18"/>
      <c r="B1485" s="16"/>
      <c r="C1485" s="16"/>
      <c r="D1485" s="51" t="str">
        <f aca="false">IF(C1485="","",IFERROR(IF(LEFT(C1485,1)="L",INDEX('Leads Pipeline'!$F$5:$F$1004,MATCH(C1485,'Leads Pipeline'!$A$5:$A$1004,0)),INDEX('Active Clients'!$D$5:$D$504,MATCH(C1485,'Active Clients'!$A$5:$A$504,0)))&amp;"","ID not found"))</f>
        <v/>
      </c>
      <c r="E1485" s="51" t="str">
        <f aca="false">IF(C1485="","",IFERROR(IF(LEFT(C1485,1)="L",INDEX('Leads Pipeline'!$D$5:$D$1004,MATCH(C1485,'Leads Pipeline'!$A$5:$A$1004,0)),INDEX('Active Clients'!$B$5:$B$504,MATCH(C1485,'Active Clients'!$A$5:$A$504,0)))&amp;"","ID not found"))</f>
        <v/>
      </c>
      <c r="F1485" s="51" t="str">
        <f aca="false">IF(C1485="","",IFERROR(IF(LEFT(C1485,1)="L",INDEX('Leads Pipeline'!$E$5:$E$1004,MATCH(C1485,'Leads Pipeline'!$A$5:$A$1004,0)),INDEX('Active Clients'!$C$5:$C$504,MATCH(C1485,'Active Clients'!$A$5:$A$504,0)))&amp;"","ID not found"))</f>
        <v/>
      </c>
      <c r="G1485" s="16"/>
      <c r="H1485" s="16"/>
      <c r="I1485" s="16"/>
      <c r="J1485" s="16"/>
      <c r="K1485" s="16"/>
      <c r="L1485" s="18"/>
    </row>
    <row r="1486" customFormat="false" ht="15" hidden="false" customHeight="false" outlineLevel="0" collapsed="false">
      <c r="A1486" s="18"/>
      <c r="B1486" s="16"/>
      <c r="C1486" s="16"/>
      <c r="D1486" s="51" t="str">
        <f aca="false">IF(C1486="","",IFERROR(IF(LEFT(C1486,1)="L",INDEX('Leads Pipeline'!$F$5:$F$1004,MATCH(C1486,'Leads Pipeline'!$A$5:$A$1004,0)),INDEX('Active Clients'!$D$5:$D$504,MATCH(C1486,'Active Clients'!$A$5:$A$504,0)))&amp;"","ID not found"))</f>
        <v/>
      </c>
      <c r="E1486" s="51" t="str">
        <f aca="false">IF(C1486="","",IFERROR(IF(LEFT(C1486,1)="L",INDEX('Leads Pipeline'!$D$5:$D$1004,MATCH(C1486,'Leads Pipeline'!$A$5:$A$1004,0)),INDEX('Active Clients'!$B$5:$B$504,MATCH(C1486,'Active Clients'!$A$5:$A$504,0)))&amp;"","ID not found"))</f>
        <v/>
      </c>
      <c r="F1486" s="51" t="str">
        <f aca="false">IF(C1486="","",IFERROR(IF(LEFT(C1486,1)="L",INDEX('Leads Pipeline'!$E$5:$E$1004,MATCH(C1486,'Leads Pipeline'!$A$5:$A$1004,0)),INDEX('Active Clients'!$C$5:$C$504,MATCH(C1486,'Active Clients'!$A$5:$A$504,0)))&amp;"","ID not found"))</f>
        <v/>
      </c>
      <c r="G1486" s="16"/>
      <c r="H1486" s="16"/>
      <c r="I1486" s="16"/>
      <c r="J1486" s="16"/>
      <c r="K1486" s="16"/>
      <c r="L1486" s="18"/>
    </row>
    <row r="1487" customFormat="false" ht="15" hidden="false" customHeight="false" outlineLevel="0" collapsed="false">
      <c r="A1487" s="18"/>
      <c r="B1487" s="16"/>
      <c r="C1487" s="16"/>
      <c r="D1487" s="51" t="str">
        <f aca="false">IF(C1487="","",IFERROR(IF(LEFT(C1487,1)="L",INDEX('Leads Pipeline'!$F$5:$F$1004,MATCH(C1487,'Leads Pipeline'!$A$5:$A$1004,0)),INDEX('Active Clients'!$D$5:$D$504,MATCH(C1487,'Active Clients'!$A$5:$A$504,0)))&amp;"","ID not found"))</f>
        <v/>
      </c>
      <c r="E1487" s="51" t="str">
        <f aca="false">IF(C1487="","",IFERROR(IF(LEFT(C1487,1)="L",INDEX('Leads Pipeline'!$D$5:$D$1004,MATCH(C1487,'Leads Pipeline'!$A$5:$A$1004,0)),INDEX('Active Clients'!$B$5:$B$504,MATCH(C1487,'Active Clients'!$A$5:$A$504,0)))&amp;"","ID not found"))</f>
        <v/>
      </c>
      <c r="F1487" s="51" t="str">
        <f aca="false">IF(C1487="","",IFERROR(IF(LEFT(C1487,1)="L",INDEX('Leads Pipeline'!$E$5:$E$1004,MATCH(C1487,'Leads Pipeline'!$A$5:$A$1004,0)),INDEX('Active Clients'!$C$5:$C$504,MATCH(C1487,'Active Clients'!$A$5:$A$504,0)))&amp;"","ID not found"))</f>
        <v/>
      </c>
      <c r="G1487" s="16"/>
      <c r="H1487" s="16"/>
      <c r="I1487" s="16"/>
      <c r="J1487" s="16"/>
      <c r="K1487" s="16"/>
      <c r="L1487" s="18"/>
    </row>
    <row r="1488" customFormat="false" ht="15" hidden="false" customHeight="false" outlineLevel="0" collapsed="false">
      <c r="A1488" s="18"/>
      <c r="B1488" s="16"/>
      <c r="C1488" s="16"/>
      <c r="D1488" s="51" t="str">
        <f aca="false">IF(C1488="","",IFERROR(IF(LEFT(C1488,1)="L",INDEX('Leads Pipeline'!$F$5:$F$1004,MATCH(C1488,'Leads Pipeline'!$A$5:$A$1004,0)),INDEX('Active Clients'!$D$5:$D$504,MATCH(C1488,'Active Clients'!$A$5:$A$504,0)))&amp;"","ID not found"))</f>
        <v/>
      </c>
      <c r="E1488" s="51" t="str">
        <f aca="false">IF(C1488="","",IFERROR(IF(LEFT(C1488,1)="L",INDEX('Leads Pipeline'!$D$5:$D$1004,MATCH(C1488,'Leads Pipeline'!$A$5:$A$1004,0)),INDEX('Active Clients'!$B$5:$B$504,MATCH(C1488,'Active Clients'!$A$5:$A$504,0)))&amp;"","ID not found"))</f>
        <v/>
      </c>
      <c r="F1488" s="51" t="str">
        <f aca="false">IF(C1488="","",IFERROR(IF(LEFT(C1488,1)="L",INDEX('Leads Pipeline'!$E$5:$E$1004,MATCH(C1488,'Leads Pipeline'!$A$5:$A$1004,0)),INDEX('Active Clients'!$C$5:$C$504,MATCH(C1488,'Active Clients'!$A$5:$A$504,0)))&amp;"","ID not found"))</f>
        <v/>
      </c>
      <c r="G1488" s="16"/>
      <c r="H1488" s="16"/>
      <c r="I1488" s="16"/>
      <c r="J1488" s="16"/>
      <c r="K1488" s="16"/>
      <c r="L1488" s="18"/>
    </row>
    <row r="1489" customFormat="false" ht="15" hidden="false" customHeight="false" outlineLevel="0" collapsed="false">
      <c r="A1489" s="18"/>
      <c r="B1489" s="16"/>
      <c r="C1489" s="16"/>
      <c r="D1489" s="51" t="str">
        <f aca="false">IF(C1489="","",IFERROR(IF(LEFT(C1489,1)="L",INDEX('Leads Pipeline'!$F$5:$F$1004,MATCH(C1489,'Leads Pipeline'!$A$5:$A$1004,0)),INDEX('Active Clients'!$D$5:$D$504,MATCH(C1489,'Active Clients'!$A$5:$A$504,0)))&amp;"","ID not found"))</f>
        <v/>
      </c>
      <c r="E1489" s="51" t="str">
        <f aca="false">IF(C1489="","",IFERROR(IF(LEFT(C1489,1)="L",INDEX('Leads Pipeline'!$D$5:$D$1004,MATCH(C1489,'Leads Pipeline'!$A$5:$A$1004,0)),INDEX('Active Clients'!$B$5:$B$504,MATCH(C1489,'Active Clients'!$A$5:$A$504,0)))&amp;"","ID not found"))</f>
        <v/>
      </c>
      <c r="F1489" s="51" t="str">
        <f aca="false">IF(C1489="","",IFERROR(IF(LEFT(C1489,1)="L",INDEX('Leads Pipeline'!$E$5:$E$1004,MATCH(C1489,'Leads Pipeline'!$A$5:$A$1004,0)),INDEX('Active Clients'!$C$5:$C$504,MATCH(C1489,'Active Clients'!$A$5:$A$504,0)))&amp;"","ID not found"))</f>
        <v/>
      </c>
      <c r="G1489" s="16"/>
      <c r="H1489" s="16"/>
      <c r="I1489" s="16"/>
      <c r="J1489" s="16"/>
      <c r="K1489" s="16"/>
      <c r="L1489" s="18"/>
    </row>
    <row r="1490" customFormat="false" ht="15" hidden="false" customHeight="false" outlineLevel="0" collapsed="false">
      <c r="A1490" s="18"/>
      <c r="B1490" s="16"/>
      <c r="C1490" s="16"/>
      <c r="D1490" s="51" t="str">
        <f aca="false">IF(C1490="","",IFERROR(IF(LEFT(C1490,1)="L",INDEX('Leads Pipeline'!$F$5:$F$1004,MATCH(C1490,'Leads Pipeline'!$A$5:$A$1004,0)),INDEX('Active Clients'!$D$5:$D$504,MATCH(C1490,'Active Clients'!$A$5:$A$504,0)))&amp;"","ID not found"))</f>
        <v/>
      </c>
      <c r="E1490" s="51" t="str">
        <f aca="false">IF(C1490="","",IFERROR(IF(LEFT(C1490,1)="L",INDEX('Leads Pipeline'!$D$5:$D$1004,MATCH(C1490,'Leads Pipeline'!$A$5:$A$1004,0)),INDEX('Active Clients'!$B$5:$B$504,MATCH(C1490,'Active Clients'!$A$5:$A$504,0)))&amp;"","ID not found"))</f>
        <v/>
      </c>
      <c r="F1490" s="51" t="str">
        <f aca="false">IF(C1490="","",IFERROR(IF(LEFT(C1490,1)="L",INDEX('Leads Pipeline'!$E$5:$E$1004,MATCH(C1490,'Leads Pipeline'!$A$5:$A$1004,0)),INDEX('Active Clients'!$C$5:$C$504,MATCH(C1490,'Active Clients'!$A$5:$A$504,0)))&amp;"","ID not found"))</f>
        <v/>
      </c>
      <c r="G1490" s="16"/>
      <c r="H1490" s="16"/>
      <c r="I1490" s="16"/>
      <c r="J1490" s="16"/>
      <c r="K1490" s="16"/>
      <c r="L1490" s="18"/>
    </row>
    <row r="1491" customFormat="false" ht="15" hidden="false" customHeight="false" outlineLevel="0" collapsed="false">
      <c r="A1491" s="18"/>
      <c r="B1491" s="16"/>
      <c r="C1491" s="16"/>
      <c r="D1491" s="51" t="str">
        <f aca="false">IF(C1491="","",IFERROR(IF(LEFT(C1491,1)="L",INDEX('Leads Pipeline'!$F$5:$F$1004,MATCH(C1491,'Leads Pipeline'!$A$5:$A$1004,0)),INDEX('Active Clients'!$D$5:$D$504,MATCH(C1491,'Active Clients'!$A$5:$A$504,0)))&amp;"","ID not found"))</f>
        <v/>
      </c>
      <c r="E1491" s="51" t="str">
        <f aca="false">IF(C1491="","",IFERROR(IF(LEFT(C1491,1)="L",INDEX('Leads Pipeline'!$D$5:$D$1004,MATCH(C1491,'Leads Pipeline'!$A$5:$A$1004,0)),INDEX('Active Clients'!$B$5:$B$504,MATCH(C1491,'Active Clients'!$A$5:$A$504,0)))&amp;"","ID not found"))</f>
        <v/>
      </c>
      <c r="F1491" s="51" t="str">
        <f aca="false">IF(C1491="","",IFERROR(IF(LEFT(C1491,1)="L",INDEX('Leads Pipeline'!$E$5:$E$1004,MATCH(C1491,'Leads Pipeline'!$A$5:$A$1004,0)),INDEX('Active Clients'!$C$5:$C$504,MATCH(C1491,'Active Clients'!$A$5:$A$504,0)))&amp;"","ID not found"))</f>
        <v/>
      </c>
      <c r="G1491" s="16"/>
      <c r="H1491" s="16"/>
      <c r="I1491" s="16"/>
      <c r="J1491" s="16"/>
      <c r="K1491" s="16"/>
      <c r="L1491" s="18"/>
    </row>
    <row r="1492" customFormat="false" ht="15" hidden="false" customHeight="false" outlineLevel="0" collapsed="false">
      <c r="A1492" s="18"/>
      <c r="B1492" s="16"/>
      <c r="C1492" s="16"/>
      <c r="D1492" s="51" t="str">
        <f aca="false">IF(C1492="","",IFERROR(IF(LEFT(C1492,1)="L",INDEX('Leads Pipeline'!$F$5:$F$1004,MATCH(C1492,'Leads Pipeline'!$A$5:$A$1004,0)),INDEX('Active Clients'!$D$5:$D$504,MATCH(C1492,'Active Clients'!$A$5:$A$504,0)))&amp;"","ID not found"))</f>
        <v/>
      </c>
      <c r="E1492" s="51" t="str">
        <f aca="false">IF(C1492="","",IFERROR(IF(LEFT(C1492,1)="L",INDEX('Leads Pipeline'!$D$5:$D$1004,MATCH(C1492,'Leads Pipeline'!$A$5:$A$1004,0)),INDEX('Active Clients'!$B$5:$B$504,MATCH(C1492,'Active Clients'!$A$5:$A$504,0)))&amp;"","ID not found"))</f>
        <v/>
      </c>
      <c r="F1492" s="51" t="str">
        <f aca="false">IF(C1492="","",IFERROR(IF(LEFT(C1492,1)="L",INDEX('Leads Pipeline'!$E$5:$E$1004,MATCH(C1492,'Leads Pipeline'!$A$5:$A$1004,0)),INDEX('Active Clients'!$C$5:$C$504,MATCH(C1492,'Active Clients'!$A$5:$A$504,0)))&amp;"","ID not found"))</f>
        <v/>
      </c>
      <c r="G1492" s="16"/>
      <c r="H1492" s="16"/>
      <c r="I1492" s="16"/>
      <c r="J1492" s="16"/>
      <c r="K1492" s="16"/>
      <c r="L1492" s="18"/>
    </row>
    <row r="1493" customFormat="false" ht="15" hidden="false" customHeight="false" outlineLevel="0" collapsed="false">
      <c r="A1493" s="18"/>
      <c r="B1493" s="16"/>
      <c r="C1493" s="16"/>
      <c r="D1493" s="51" t="str">
        <f aca="false">IF(C1493="","",IFERROR(IF(LEFT(C1493,1)="L",INDEX('Leads Pipeline'!$F$5:$F$1004,MATCH(C1493,'Leads Pipeline'!$A$5:$A$1004,0)),INDEX('Active Clients'!$D$5:$D$504,MATCH(C1493,'Active Clients'!$A$5:$A$504,0)))&amp;"","ID not found"))</f>
        <v/>
      </c>
      <c r="E1493" s="51" t="str">
        <f aca="false">IF(C1493="","",IFERROR(IF(LEFT(C1493,1)="L",INDEX('Leads Pipeline'!$D$5:$D$1004,MATCH(C1493,'Leads Pipeline'!$A$5:$A$1004,0)),INDEX('Active Clients'!$B$5:$B$504,MATCH(C1493,'Active Clients'!$A$5:$A$504,0)))&amp;"","ID not found"))</f>
        <v/>
      </c>
      <c r="F1493" s="51" t="str">
        <f aca="false">IF(C1493="","",IFERROR(IF(LEFT(C1493,1)="L",INDEX('Leads Pipeline'!$E$5:$E$1004,MATCH(C1493,'Leads Pipeline'!$A$5:$A$1004,0)),INDEX('Active Clients'!$C$5:$C$504,MATCH(C1493,'Active Clients'!$A$5:$A$504,0)))&amp;"","ID not found"))</f>
        <v/>
      </c>
      <c r="G1493" s="16"/>
      <c r="H1493" s="16"/>
      <c r="I1493" s="16"/>
      <c r="J1493" s="16"/>
      <c r="K1493" s="16"/>
      <c r="L1493" s="18"/>
    </row>
    <row r="1494" customFormat="false" ht="15" hidden="false" customHeight="false" outlineLevel="0" collapsed="false">
      <c r="A1494" s="18"/>
      <c r="B1494" s="16"/>
      <c r="C1494" s="16"/>
      <c r="D1494" s="51" t="str">
        <f aca="false">IF(C1494="","",IFERROR(IF(LEFT(C1494,1)="L",INDEX('Leads Pipeline'!$F$5:$F$1004,MATCH(C1494,'Leads Pipeline'!$A$5:$A$1004,0)),INDEX('Active Clients'!$D$5:$D$504,MATCH(C1494,'Active Clients'!$A$5:$A$504,0)))&amp;"","ID not found"))</f>
        <v/>
      </c>
      <c r="E1494" s="51" t="str">
        <f aca="false">IF(C1494="","",IFERROR(IF(LEFT(C1494,1)="L",INDEX('Leads Pipeline'!$D$5:$D$1004,MATCH(C1494,'Leads Pipeline'!$A$5:$A$1004,0)),INDEX('Active Clients'!$B$5:$B$504,MATCH(C1494,'Active Clients'!$A$5:$A$504,0)))&amp;"","ID not found"))</f>
        <v/>
      </c>
      <c r="F1494" s="51" t="str">
        <f aca="false">IF(C1494="","",IFERROR(IF(LEFT(C1494,1)="L",INDEX('Leads Pipeline'!$E$5:$E$1004,MATCH(C1494,'Leads Pipeline'!$A$5:$A$1004,0)),INDEX('Active Clients'!$C$5:$C$504,MATCH(C1494,'Active Clients'!$A$5:$A$504,0)))&amp;"","ID not found"))</f>
        <v/>
      </c>
      <c r="G1494" s="16"/>
      <c r="H1494" s="16"/>
      <c r="I1494" s="16"/>
      <c r="J1494" s="16"/>
      <c r="K1494" s="16"/>
      <c r="L1494" s="18"/>
    </row>
    <row r="1495" customFormat="false" ht="15" hidden="false" customHeight="false" outlineLevel="0" collapsed="false">
      <c r="A1495" s="18"/>
      <c r="B1495" s="16"/>
      <c r="C1495" s="16"/>
      <c r="D1495" s="51" t="str">
        <f aca="false">IF(C1495="","",IFERROR(IF(LEFT(C1495,1)="L",INDEX('Leads Pipeline'!$F$5:$F$1004,MATCH(C1495,'Leads Pipeline'!$A$5:$A$1004,0)),INDEX('Active Clients'!$D$5:$D$504,MATCH(C1495,'Active Clients'!$A$5:$A$504,0)))&amp;"","ID not found"))</f>
        <v/>
      </c>
      <c r="E1495" s="51" t="str">
        <f aca="false">IF(C1495="","",IFERROR(IF(LEFT(C1495,1)="L",INDEX('Leads Pipeline'!$D$5:$D$1004,MATCH(C1495,'Leads Pipeline'!$A$5:$A$1004,0)),INDEX('Active Clients'!$B$5:$B$504,MATCH(C1495,'Active Clients'!$A$5:$A$504,0)))&amp;"","ID not found"))</f>
        <v/>
      </c>
      <c r="F1495" s="51" t="str">
        <f aca="false">IF(C1495="","",IFERROR(IF(LEFT(C1495,1)="L",INDEX('Leads Pipeline'!$E$5:$E$1004,MATCH(C1495,'Leads Pipeline'!$A$5:$A$1004,0)),INDEX('Active Clients'!$C$5:$C$504,MATCH(C1495,'Active Clients'!$A$5:$A$504,0)))&amp;"","ID not found"))</f>
        <v/>
      </c>
      <c r="G1495" s="16"/>
      <c r="H1495" s="16"/>
      <c r="I1495" s="16"/>
      <c r="J1495" s="16"/>
      <c r="K1495" s="16"/>
      <c r="L1495" s="18"/>
    </row>
    <row r="1496" customFormat="false" ht="15" hidden="false" customHeight="false" outlineLevel="0" collapsed="false">
      <c r="A1496" s="18"/>
      <c r="B1496" s="16"/>
      <c r="C1496" s="16"/>
      <c r="D1496" s="51" t="str">
        <f aca="false">IF(C1496="","",IFERROR(IF(LEFT(C1496,1)="L",INDEX('Leads Pipeline'!$F$5:$F$1004,MATCH(C1496,'Leads Pipeline'!$A$5:$A$1004,0)),INDEX('Active Clients'!$D$5:$D$504,MATCH(C1496,'Active Clients'!$A$5:$A$504,0)))&amp;"","ID not found"))</f>
        <v/>
      </c>
      <c r="E1496" s="51" t="str">
        <f aca="false">IF(C1496="","",IFERROR(IF(LEFT(C1496,1)="L",INDEX('Leads Pipeline'!$D$5:$D$1004,MATCH(C1496,'Leads Pipeline'!$A$5:$A$1004,0)),INDEX('Active Clients'!$B$5:$B$504,MATCH(C1496,'Active Clients'!$A$5:$A$504,0)))&amp;"","ID not found"))</f>
        <v/>
      </c>
      <c r="F1496" s="51" t="str">
        <f aca="false">IF(C1496="","",IFERROR(IF(LEFT(C1496,1)="L",INDEX('Leads Pipeline'!$E$5:$E$1004,MATCH(C1496,'Leads Pipeline'!$A$5:$A$1004,0)),INDEX('Active Clients'!$C$5:$C$504,MATCH(C1496,'Active Clients'!$A$5:$A$504,0)))&amp;"","ID not found"))</f>
        <v/>
      </c>
      <c r="G1496" s="16"/>
      <c r="H1496" s="16"/>
      <c r="I1496" s="16"/>
      <c r="J1496" s="16"/>
      <c r="K1496" s="16"/>
      <c r="L1496" s="18"/>
    </row>
    <row r="1497" customFormat="false" ht="15" hidden="false" customHeight="false" outlineLevel="0" collapsed="false">
      <c r="A1497" s="18"/>
      <c r="B1497" s="16"/>
      <c r="C1497" s="16"/>
      <c r="D1497" s="51" t="str">
        <f aca="false">IF(C1497="","",IFERROR(IF(LEFT(C1497,1)="L",INDEX('Leads Pipeline'!$F$5:$F$1004,MATCH(C1497,'Leads Pipeline'!$A$5:$A$1004,0)),INDEX('Active Clients'!$D$5:$D$504,MATCH(C1497,'Active Clients'!$A$5:$A$504,0)))&amp;"","ID not found"))</f>
        <v/>
      </c>
      <c r="E1497" s="51" t="str">
        <f aca="false">IF(C1497="","",IFERROR(IF(LEFT(C1497,1)="L",INDEX('Leads Pipeline'!$D$5:$D$1004,MATCH(C1497,'Leads Pipeline'!$A$5:$A$1004,0)),INDEX('Active Clients'!$B$5:$B$504,MATCH(C1497,'Active Clients'!$A$5:$A$504,0)))&amp;"","ID not found"))</f>
        <v/>
      </c>
      <c r="F1497" s="51" t="str">
        <f aca="false">IF(C1497="","",IFERROR(IF(LEFT(C1497,1)="L",INDEX('Leads Pipeline'!$E$5:$E$1004,MATCH(C1497,'Leads Pipeline'!$A$5:$A$1004,0)),INDEX('Active Clients'!$C$5:$C$504,MATCH(C1497,'Active Clients'!$A$5:$A$504,0)))&amp;"","ID not found"))</f>
        <v/>
      </c>
      <c r="G1497" s="16"/>
      <c r="H1497" s="16"/>
      <c r="I1497" s="16"/>
      <c r="J1497" s="16"/>
      <c r="K1497" s="16"/>
      <c r="L1497" s="18"/>
    </row>
    <row r="1498" customFormat="false" ht="15" hidden="false" customHeight="false" outlineLevel="0" collapsed="false">
      <c r="A1498" s="18"/>
      <c r="B1498" s="16"/>
      <c r="C1498" s="16"/>
      <c r="D1498" s="51" t="str">
        <f aca="false">IF(C1498="","",IFERROR(IF(LEFT(C1498,1)="L",INDEX('Leads Pipeline'!$F$5:$F$1004,MATCH(C1498,'Leads Pipeline'!$A$5:$A$1004,0)),INDEX('Active Clients'!$D$5:$D$504,MATCH(C1498,'Active Clients'!$A$5:$A$504,0)))&amp;"","ID not found"))</f>
        <v/>
      </c>
      <c r="E1498" s="51" t="str">
        <f aca="false">IF(C1498="","",IFERROR(IF(LEFT(C1498,1)="L",INDEX('Leads Pipeline'!$D$5:$D$1004,MATCH(C1498,'Leads Pipeline'!$A$5:$A$1004,0)),INDEX('Active Clients'!$B$5:$B$504,MATCH(C1498,'Active Clients'!$A$5:$A$504,0)))&amp;"","ID not found"))</f>
        <v/>
      </c>
      <c r="F1498" s="51" t="str">
        <f aca="false">IF(C1498="","",IFERROR(IF(LEFT(C1498,1)="L",INDEX('Leads Pipeline'!$E$5:$E$1004,MATCH(C1498,'Leads Pipeline'!$A$5:$A$1004,0)),INDEX('Active Clients'!$C$5:$C$504,MATCH(C1498,'Active Clients'!$A$5:$A$504,0)))&amp;"","ID not found"))</f>
        <v/>
      </c>
      <c r="G1498" s="16"/>
      <c r="H1498" s="16"/>
      <c r="I1498" s="16"/>
      <c r="J1498" s="16"/>
      <c r="K1498" s="16"/>
      <c r="L1498" s="18"/>
    </row>
    <row r="1499" customFormat="false" ht="15" hidden="false" customHeight="false" outlineLevel="0" collapsed="false">
      <c r="A1499" s="18"/>
      <c r="B1499" s="16"/>
      <c r="C1499" s="16"/>
      <c r="D1499" s="51" t="str">
        <f aca="false">IF(C1499="","",IFERROR(IF(LEFT(C1499,1)="L",INDEX('Leads Pipeline'!$F$5:$F$1004,MATCH(C1499,'Leads Pipeline'!$A$5:$A$1004,0)),INDEX('Active Clients'!$D$5:$D$504,MATCH(C1499,'Active Clients'!$A$5:$A$504,0)))&amp;"","ID not found"))</f>
        <v/>
      </c>
      <c r="E1499" s="51" t="str">
        <f aca="false">IF(C1499="","",IFERROR(IF(LEFT(C1499,1)="L",INDEX('Leads Pipeline'!$D$5:$D$1004,MATCH(C1499,'Leads Pipeline'!$A$5:$A$1004,0)),INDEX('Active Clients'!$B$5:$B$504,MATCH(C1499,'Active Clients'!$A$5:$A$504,0)))&amp;"","ID not found"))</f>
        <v/>
      </c>
      <c r="F1499" s="51" t="str">
        <f aca="false">IF(C1499="","",IFERROR(IF(LEFT(C1499,1)="L",INDEX('Leads Pipeline'!$E$5:$E$1004,MATCH(C1499,'Leads Pipeline'!$A$5:$A$1004,0)),INDEX('Active Clients'!$C$5:$C$504,MATCH(C1499,'Active Clients'!$A$5:$A$504,0)))&amp;"","ID not found"))</f>
        <v/>
      </c>
      <c r="G1499" s="16"/>
      <c r="H1499" s="16"/>
      <c r="I1499" s="16"/>
      <c r="J1499" s="16"/>
      <c r="K1499" s="16"/>
      <c r="L1499" s="18"/>
    </row>
    <row r="1500" customFormat="false" ht="15" hidden="false" customHeight="false" outlineLevel="0" collapsed="false">
      <c r="A1500" s="18"/>
      <c r="B1500" s="16"/>
      <c r="C1500" s="16"/>
      <c r="D1500" s="51" t="str">
        <f aca="false">IF(C1500="","",IFERROR(IF(LEFT(C1500,1)="L",INDEX('Leads Pipeline'!$F$5:$F$1004,MATCH(C1500,'Leads Pipeline'!$A$5:$A$1004,0)),INDEX('Active Clients'!$D$5:$D$504,MATCH(C1500,'Active Clients'!$A$5:$A$504,0)))&amp;"","ID not found"))</f>
        <v/>
      </c>
      <c r="E1500" s="51" t="str">
        <f aca="false">IF(C1500="","",IFERROR(IF(LEFT(C1500,1)="L",INDEX('Leads Pipeline'!$D$5:$D$1004,MATCH(C1500,'Leads Pipeline'!$A$5:$A$1004,0)),INDEX('Active Clients'!$B$5:$B$504,MATCH(C1500,'Active Clients'!$A$5:$A$504,0)))&amp;"","ID not found"))</f>
        <v/>
      </c>
      <c r="F1500" s="51" t="str">
        <f aca="false">IF(C1500="","",IFERROR(IF(LEFT(C1500,1)="L",INDEX('Leads Pipeline'!$E$5:$E$1004,MATCH(C1500,'Leads Pipeline'!$A$5:$A$1004,0)),INDEX('Active Clients'!$C$5:$C$504,MATCH(C1500,'Active Clients'!$A$5:$A$504,0)))&amp;"","ID not found"))</f>
        <v/>
      </c>
      <c r="G1500" s="16"/>
      <c r="H1500" s="16"/>
      <c r="I1500" s="16"/>
      <c r="J1500" s="16"/>
      <c r="K1500" s="16"/>
      <c r="L1500" s="18"/>
    </row>
    <row r="1501" customFormat="false" ht="15" hidden="false" customHeight="false" outlineLevel="0" collapsed="false">
      <c r="A1501" s="18"/>
      <c r="B1501" s="16"/>
      <c r="C1501" s="16"/>
      <c r="D1501" s="51" t="str">
        <f aca="false">IF(C1501="","",IFERROR(IF(LEFT(C1501,1)="L",INDEX('Leads Pipeline'!$F$5:$F$1004,MATCH(C1501,'Leads Pipeline'!$A$5:$A$1004,0)),INDEX('Active Clients'!$D$5:$D$504,MATCH(C1501,'Active Clients'!$A$5:$A$504,0)))&amp;"","ID not found"))</f>
        <v/>
      </c>
      <c r="E1501" s="51" t="str">
        <f aca="false">IF(C1501="","",IFERROR(IF(LEFT(C1501,1)="L",INDEX('Leads Pipeline'!$D$5:$D$1004,MATCH(C1501,'Leads Pipeline'!$A$5:$A$1004,0)),INDEX('Active Clients'!$B$5:$B$504,MATCH(C1501,'Active Clients'!$A$5:$A$504,0)))&amp;"","ID not found"))</f>
        <v/>
      </c>
      <c r="F1501" s="51" t="str">
        <f aca="false">IF(C1501="","",IFERROR(IF(LEFT(C1501,1)="L",INDEX('Leads Pipeline'!$E$5:$E$1004,MATCH(C1501,'Leads Pipeline'!$A$5:$A$1004,0)),INDEX('Active Clients'!$C$5:$C$504,MATCH(C1501,'Active Clients'!$A$5:$A$504,0)))&amp;"","ID not found"))</f>
        <v/>
      </c>
      <c r="G1501" s="16"/>
      <c r="H1501" s="16"/>
      <c r="I1501" s="16"/>
      <c r="J1501" s="16"/>
      <c r="K1501" s="16"/>
      <c r="L1501" s="18"/>
    </row>
    <row r="1502" customFormat="false" ht="15" hidden="false" customHeight="false" outlineLevel="0" collapsed="false">
      <c r="A1502" s="18"/>
      <c r="B1502" s="16"/>
      <c r="C1502" s="16"/>
      <c r="D1502" s="51" t="str">
        <f aca="false">IF(C1502="","",IFERROR(IF(LEFT(C1502,1)="L",INDEX('Leads Pipeline'!$F$5:$F$1004,MATCH(C1502,'Leads Pipeline'!$A$5:$A$1004,0)),INDEX('Active Clients'!$D$5:$D$504,MATCH(C1502,'Active Clients'!$A$5:$A$504,0)))&amp;"","ID not found"))</f>
        <v/>
      </c>
      <c r="E1502" s="51" t="str">
        <f aca="false">IF(C1502="","",IFERROR(IF(LEFT(C1502,1)="L",INDEX('Leads Pipeline'!$D$5:$D$1004,MATCH(C1502,'Leads Pipeline'!$A$5:$A$1004,0)),INDEX('Active Clients'!$B$5:$B$504,MATCH(C1502,'Active Clients'!$A$5:$A$504,0)))&amp;"","ID not found"))</f>
        <v/>
      </c>
      <c r="F1502" s="51" t="str">
        <f aca="false">IF(C1502="","",IFERROR(IF(LEFT(C1502,1)="L",INDEX('Leads Pipeline'!$E$5:$E$1004,MATCH(C1502,'Leads Pipeline'!$A$5:$A$1004,0)),INDEX('Active Clients'!$C$5:$C$504,MATCH(C1502,'Active Clients'!$A$5:$A$504,0)))&amp;"","ID not found"))</f>
        <v/>
      </c>
      <c r="G1502" s="16"/>
      <c r="H1502" s="16"/>
      <c r="I1502" s="16"/>
      <c r="J1502" s="16"/>
      <c r="K1502" s="16"/>
      <c r="L1502" s="18"/>
    </row>
    <row r="1503" customFormat="false" ht="15" hidden="false" customHeight="false" outlineLevel="0" collapsed="false">
      <c r="A1503" s="18"/>
      <c r="B1503" s="16"/>
      <c r="C1503" s="16"/>
      <c r="D1503" s="51" t="str">
        <f aca="false">IF(C1503="","",IFERROR(IF(LEFT(C1503,1)="L",INDEX('Leads Pipeline'!$F$5:$F$1004,MATCH(C1503,'Leads Pipeline'!$A$5:$A$1004,0)),INDEX('Active Clients'!$D$5:$D$504,MATCH(C1503,'Active Clients'!$A$5:$A$504,0)))&amp;"","ID not found"))</f>
        <v/>
      </c>
      <c r="E1503" s="51" t="str">
        <f aca="false">IF(C1503="","",IFERROR(IF(LEFT(C1503,1)="L",INDEX('Leads Pipeline'!$D$5:$D$1004,MATCH(C1503,'Leads Pipeline'!$A$5:$A$1004,0)),INDEX('Active Clients'!$B$5:$B$504,MATCH(C1503,'Active Clients'!$A$5:$A$504,0)))&amp;"","ID not found"))</f>
        <v/>
      </c>
      <c r="F1503" s="51" t="str">
        <f aca="false">IF(C1503="","",IFERROR(IF(LEFT(C1503,1)="L",INDEX('Leads Pipeline'!$E$5:$E$1004,MATCH(C1503,'Leads Pipeline'!$A$5:$A$1004,0)),INDEX('Active Clients'!$C$5:$C$504,MATCH(C1503,'Active Clients'!$A$5:$A$504,0)))&amp;"","ID not found"))</f>
        <v/>
      </c>
      <c r="G1503" s="16"/>
      <c r="H1503" s="16"/>
      <c r="I1503" s="16"/>
      <c r="J1503" s="16"/>
      <c r="K1503" s="16"/>
      <c r="L1503" s="18"/>
    </row>
    <row r="1504" customFormat="false" ht="15" hidden="false" customHeight="false" outlineLevel="0" collapsed="false">
      <c r="A1504" s="18"/>
      <c r="B1504" s="16"/>
      <c r="C1504" s="16"/>
      <c r="D1504" s="51" t="str">
        <f aca="false">IF(C1504="","",IFERROR(IF(LEFT(C1504,1)="L",INDEX('Leads Pipeline'!$F$5:$F$1004,MATCH(C1504,'Leads Pipeline'!$A$5:$A$1004,0)),INDEX('Active Clients'!$D$5:$D$504,MATCH(C1504,'Active Clients'!$A$5:$A$504,0)))&amp;"","ID not found"))</f>
        <v/>
      </c>
      <c r="E1504" s="51" t="str">
        <f aca="false">IF(C1504="","",IFERROR(IF(LEFT(C1504,1)="L",INDEX('Leads Pipeline'!$D$5:$D$1004,MATCH(C1504,'Leads Pipeline'!$A$5:$A$1004,0)),INDEX('Active Clients'!$B$5:$B$504,MATCH(C1504,'Active Clients'!$A$5:$A$504,0)))&amp;"","ID not found"))</f>
        <v/>
      </c>
      <c r="F1504" s="51" t="str">
        <f aca="false">IF(C1504="","",IFERROR(IF(LEFT(C1504,1)="L",INDEX('Leads Pipeline'!$E$5:$E$1004,MATCH(C1504,'Leads Pipeline'!$A$5:$A$1004,0)),INDEX('Active Clients'!$C$5:$C$504,MATCH(C1504,'Active Clients'!$A$5:$A$504,0)))&amp;"","ID not found"))</f>
        <v/>
      </c>
      <c r="G1504" s="16"/>
      <c r="H1504" s="16"/>
      <c r="I1504" s="16"/>
      <c r="J1504" s="16"/>
      <c r="K1504" s="16"/>
      <c r="L1504" s="18"/>
    </row>
    <row r="1505" customFormat="false" ht="15" hidden="false" customHeight="false" outlineLevel="0" collapsed="false">
      <c r="A1505" s="18"/>
      <c r="B1505" s="16"/>
      <c r="C1505" s="16"/>
      <c r="D1505" s="51" t="str">
        <f aca="false">IF(C1505="","",IFERROR(IF(LEFT(C1505,1)="L",INDEX('Leads Pipeline'!$F$5:$F$1004,MATCH(C1505,'Leads Pipeline'!$A$5:$A$1004,0)),INDEX('Active Clients'!$D$5:$D$504,MATCH(C1505,'Active Clients'!$A$5:$A$504,0)))&amp;"","ID not found"))</f>
        <v/>
      </c>
      <c r="E1505" s="51" t="str">
        <f aca="false">IF(C1505="","",IFERROR(IF(LEFT(C1505,1)="L",INDEX('Leads Pipeline'!$D$5:$D$1004,MATCH(C1505,'Leads Pipeline'!$A$5:$A$1004,0)),INDEX('Active Clients'!$B$5:$B$504,MATCH(C1505,'Active Clients'!$A$5:$A$504,0)))&amp;"","ID not found"))</f>
        <v/>
      </c>
      <c r="F1505" s="51" t="str">
        <f aca="false">IF(C1505="","",IFERROR(IF(LEFT(C1505,1)="L",INDEX('Leads Pipeline'!$E$5:$E$1004,MATCH(C1505,'Leads Pipeline'!$A$5:$A$1004,0)),INDEX('Active Clients'!$C$5:$C$504,MATCH(C1505,'Active Clients'!$A$5:$A$504,0)))&amp;"","ID not found"))</f>
        <v/>
      </c>
      <c r="G1505" s="16"/>
      <c r="H1505" s="16"/>
      <c r="I1505" s="16"/>
      <c r="J1505" s="16"/>
      <c r="K1505" s="16"/>
      <c r="L1505" s="18"/>
    </row>
    <row r="1506" customFormat="false" ht="15" hidden="false" customHeight="false" outlineLevel="0" collapsed="false">
      <c r="A1506" s="18"/>
      <c r="B1506" s="16"/>
      <c r="C1506" s="16"/>
      <c r="D1506" s="51" t="str">
        <f aca="false">IF(C1506="","",IFERROR(IF(LEFT(C1506,1)="L",INDEX('Leads Pipeline'!$F$5:$F$1004,MATCH(C1506,'Leads Pipeline'!$A$5:$A$1004,0)),INDEX('Active Clients'!$D$5:$D$504,MATCH(C1506,'Active Clients'!$A$5:$A$504,0)))&amp;"","ID not found"))</f>
        <v/>
      </c>
      <c r="E1506" s="51" t="str">
        <f aca="false">IF(C1506="","",IFERROR(IF(LEFT(C1506,1)="L",INDEX('Leads Pipeline'!$D$5:$D$1004,MATCH(C1506,'Leads Pipeline'!$A$5:$A$1004,0)),INDEX('Active Clients'!$B$5:$B$504,MATCH(C1506,'Active Clients'!$A$5:$A$504,0)))&amp;"","ID not found"))</f>
        <v/>
      </c>
      <c r="F1506" s="51" t="str">
        <f aca="false">IF(C1506="","",IFERROR(IF(LEFT(C1506,1)="L",INDEX('Leads Pipeline'!$E$5:$E$1004,MATCH(C1506,'Leads Pipeline'!$A$5:$A$1004,0)),INDEX('Active Clients'!$C$5:$C$504,MATCH(C1506,'Active Clients'!$A$5:$A$504,0)))&amp;"","ID not found"))</f>
        <v/>
      </c>
      <c r="G1506" s="16"/>
      <c r="H1506" s="16"/>
      <c r="I1506" s="16"/>
      <c r="J1506" s="16"/>
      <c r="K1506" s="16"/>
      <c r="L1506" s="18"/>
    </row>
    <row r="1507" customFormat="false" ht="15" hidden="false" customHeight="false" outlineLevel="0" collapsed="false">
      <c r="A1507" s="18"/>
      <c r="B1507" s="16"/>
      <c r="C1507" s="16"/>
      <c r="D1507" s="51" t="str">
        <f aca="false">IF(C1507="","",IFERROR(IF(LEFT(C1507,1)="L",INDEX('Leads Pipeline'!$F$5:$F$1004,MATCH(C1507,'Leads Pipeline'!$A$5:$A$1004,0)),INDEX('Active Clients'!$D$5:$D$504,MATCH(C1507,'Active Clients'!$A$5:$A$504,0)))&amp;"","ID not found"))</f>
        <v/>
      </c>
      <c r="E1507" s="51" t="str">
        <f aca="false">IF(C1507="","",IFERROR(IF(LEFT(C1507,1)="L",INDEX('Leads Pipeline'!$D$5:$D$1004,MATCH(C1507,'Leads Pipeline'!$A$5:$A$1004,0)),INDEX('Active Clients'!$B$5:$B$504,MATCH(C1507,'Active Clients'!$A$5:$A$504,0)))&amp;"","ID not found"))</f>
        <v/>
      </c>
      <c r="F1507" s="51" t="str">
        <f aca="false">IF(C1507="","",IFERROR(IF(LEFT(C1507,1)="L",INDEX('Leads Pipeline'!$E$5:$E$1004,MATCH(C1507,'Leads Pipeline'!$A$5:$A$1004,0)),INDEX('Active Clients'!$C$5:$C$504,MATCH(C1507,'Active Clients'!$A$5:$A$504,0)))&amp;"","ID not found"))</f>
        <v/>
      </c>
      <c r="G1507" s="16"/>
      <c r="H1507" s="16"/>
      <c r="I1507" s="16"/>
      <c r="J1507" s="16"/>
      <c r="K1507" s="16"/>
      <c r="L1507" s="18"/>
    </row>
    <row r="1508" customFormat="false" ht="15" hidden="false" customHeight="false" outlineLevel="0" collapsed="false">
      <c r="A1508" s="18"/>
      <c r="B1508" s="16"/>
      <c r="C1508" s="16"/>
      <c r="D1508" s="51" t="str">
        <f aca="false">IF(C1508="","",IFERROR(IF(LEFT(C1508,1)="L",INDEX('Leads Pipeline'!$F$5:$F$1004,MATCH(C1508,'Leads Pipeline'!$A$5:$A$1004,0)),INDEX('Active Clients'!$D$5:$D$504,MATCH(C1508,'Active Clients'!$A$5:$A$504,0)))&amp;"","ID not found"))</f>
        <v/>
      </c>
      <c r="E1508" s="51" t="str">
        <f aca="false">IF(C1508="","",IFERROR(IF(LEFT(C1508,1)="L",INDEX('Leads Pipeline'!$D$5:$D$1004,MATCH(C1508,'Leads Pipeline'!$A$5:$A$1004,0)),INDEX('Active Clients'!$B$5:$B$504,MATCH(C1508,'Active Clients'!$A$5:$A$504,0)))&amp;"","ID not found"))</f>
        <v/>
      </c>
      <c r="F1508" s="51" t="str">
        <f aca="false">IF(C1508="","",IFERROR(IF(LEFT(C1508,1)="L",INDEX('Leads Pipeline'!$E$5:$E$1004,MATCH(C1508,'Leads Pipeline'!$A$5:$A$1004,0)),INDEX('Active Clients'!$C$5:$C$504,MATCH(C1508,'Active Clients'!$A$5:$A$504,0)))&amp;"","ID not found"))</f>
        <v/>
      </c>
      <c r="G1508" s="16"/>
      <c r="H1508" s="16"/>
      <c r="I1508" s="16"/>
      <c r="J1508" s="16"/>
      <c r="K1508" s="16"/>
      <c r="L1508" s="18"/>
    </row>
    <row r="1509" customFormat="false" ht="15" hidden="false" customHeight="false" outlineLevel="0" collapsed="false">
      <c r="A1509" s="18"/>
      <c r="B1509" s="16"/>
      <c r="C1509" s="16"/>
      <c r="D1509" s="51" t="str">
        <f aca="false">IF(C1509="","",IFERROR(IF(LEFT(C1509,1)="L",INDEX('Leads Pipeline'!$F$5:$F$1004,MATCH(C1509,'Leads Pipeline'!$A$5:$A$1004,0)),INDEX('Active Clients'!$D$5:$D$504,MATCH(C1509,'Active Clients'!$A$5:$A$504,0)))&amp;"","ID not found"))</f>
        <v/>
      </c>
      <c r="E1509" s="51" t="str">
        <f aca="false">IF(C1509="","",IFERROR(IF(LEFT(C1509,1)="L",INDEX('Leads Pipeline'!$D$5:$D$1004,MATCH(C1509,'Leads Pipeline'!$A$5:$A$1004,0)),INDEX('Active Clients'!$B$5:$B$504,MATCH(C1509,'Active Clients'!$A$5:$A$504,0)))&amp;"","ID not found"))</f>
        <v/>
      </c>
      <c r="F1509" s="51" t="str">
        <f aca="false">IF(C1509="","",IFERROR(IF(LEFT(C1509,1)="L",INDEX('Leads Pipeline'!$E$5:$E$1004,MATCH(C1509,'Leads Pipeline'!$A$5:$A$1004,0)),INDEX('Active Clients'!$C$5:$C$504,MATCH(C1509,'Active Clients'!$A$5:$A$504,0)))&amp;"","ID not found"))</f>
        <v/>
      </c>
      <c r="G1509" s="16"/>
      <c r="H1509" s="16"/>
      <c r="I1509" s="16"/>
      <c r="J1509" s="16"/>
      <c r="K1509" s="16"/>
      <c r="L1509" s="18"/>
    </row>
    <row r="1510" customFormat="false" ht="15" hidden="false" customHeight="false" outlineLevel="0" collapsed="false">
      <c r="A1510" s="18"/>
      <c r="B1510" s="16"/>
      <c r="C1510" s="16"/>
      <c r="D1510" s="51" t="str">
        <f aca="false">IF(C1510="","",IFERROR(IF(LEFT(C1510,1)="L",INDEX('Leads Pipeline'!$F$5:$F$1004,MATCH(C1510,'Leads Pipeline'!$A$5:$A$1004,0)),INDEX('Active Clients'!$D$5:$D$504,MATCH(C1510,'Active Clients'!$A$5:$A$504,0)))&amp;"","ID not found"))</f>
        <v/>
      </c>
      <c r="E1510" s="51" t="str">
        <f aca="false">IF(C1510="","",IFERROR(IF(LEFT(C1510,1)="L",INDEX('Leads Pipeline'!$D$5:$D$1004,MATCH(C1510,'Leads Pipeline'!$A$5:$A$1004,0)),INDEX('Active Clients'!$B$5:$B$504,MATCH(C1510,'Active Clients'!$A$5:$A$504,0)))&amp;"","ID not found"))</f>
        <v/>
      </c>
      <c r="F1510" s="51" t="str">
        <f aca="false">IF(C1510="","",IFERROR(IF(LEFT(C1510,1)="L",INDEX('Leads Pipeline'!$E$5:$E$1004,MATCH(C1510,'Leads Pipeline'!$A$5:$A$1004,0)),INDEX('Active Clients'!$C$5:$C$504,MATCH(C1510,'Active Clients'!$A$5:$A$504,0)))&amp;"","ID not found"))</f>
        <v/>
      </c>
      <c r="G1510" s="16"/>
      <c r="H1510" s="16"/>
      <c r="I1510" s="16"/>
      <c r="J1510" s="16"/>
      <c r="K1510" s="16"/>
      <c r="L1510" s="18"/>
    </row>
    <row r="1511" customFormat="false" ht="15" hidden="false" customHeight="false" outlineLevel="0" collapsed="false">
      <c r="A1511" s="18"/>
      <c r="B1511" s="16"/>
      <c r="C1511" s="16"/>
      <c r="D1511" s="51" t="str">
        <f aca="false">IF(C1511="","",IFERROR(IF(LEFT(C1511,1)="L",INDEX('Leads Pipeline'!$F$5:$F$1004,MATCH(C1511,'Leads Pipeline'!$A$5:$A$1004,0)),INDEX('Active Clients'!$D$5:$D$504,MATCH(C1511,'Active Clients'!$A$5:$A$504,0)))&amp;"","ID not found"))</f>
        <v/>
      </c>
      <c r="E1511" s="51" t="str">
        <f aca="false">IF(C1511="","",IFERROR(IF(LEFT(C1511,1)="L",INDEX('Leads Pipeline'!$D$5:$D$1004,MATCH(C1511,'Leads Pipeline'!$A$5:$A$1004,0)),INDEX('Active Clients'!$B$5:$B$504,MATCH(C1511,'Active Clients'!$A$5:$A$504,0)))&amp;"","ID not found"))</f>
        <v/>
      </c>
      <c r="F1511" s="51" t="str">
        <f aca="false">IF(C1511="","",IFERROR(IF(LEFT(C1511,1)="L",INDEX('Leads Pipeline'!$E$5:$E$1004,MATCH(C1511,'Leads Pipeline'!$A$5:$A$1004,0)),INDEX('Active Clients'!$C$5:$C$504,MATCH(C1511,'Active Clients'!$A$5:$A$504,0)))&amp;"","ID not found"))</f>
        <v/>
      </c>
      <c r="G1511" s="16"/>
      <c r="H1511" s="16"/>
      <c r="I1511" s="16"/>
      <c r="J1511" s="16"/>
      <c r="K1511" s="16"/>
      <c r="L1511" s="18"/>
    </row>
    <row r="1512" customFormat="false" ht="15" hidden="false" customHeight="false" outlineLevel="0" collapsed="false">
      <c r="A1512" s="18"/>
      <c r="B1512" s="16"/>
      <c r="C1512" s="16"/>
      <c r="D1512" s="51" t="str">
        <f aca="false">IF(C1512="","",IFERROR(IF(LEFT(C1512,1)="L",INDEX('Leads Pipeline'!$F$5:$F$1004,MATCH(C1512,'Leads Pipeline'!$A$5:$A$1004,0)),INDEX('Active Clients'!$D$5:$D$504,MATCH(C1512,'Active Clients'!$A$5:$A$504,0)))&amp;"","ID not found"))</f>
        <v/>
      </c>
      <c r="E1512" s="51" t="str">
        <f aca="false">IF(C1512="","",IFERROR(IF(LEFT(C1512,1)="L",INDEX('Leads Pipeline'!$D$5:$D$1004,MATCH(C1512,'Leads Pipeline'!$A$5:$A$1004,0)),INDEX('Active Clients'!$B$5:$B$504,MATCH(C1512,'Active Clients'!$A$5:$A$504,0)))&amp;"","ID not found"))</f>
        <v/>
      </c>
      <c r="F1512" s="51" t="str">
        <f aca="false">IF(C1512="","",IFERROR(IF(LEFT(C1512,1)="L",INDEX('Leads Pipeline'!$E$5:$E$1004,MATCH(C1512,'Leads Pipeline'!$A$5:$A$1004,0)),INDEX('Active Clients'!$C$5:$C$504,MATCH(C1512,'Active Clients'!$A$5:$A$504,0)))&amp;"","ID not found"))</f>
        <v/>
      </c>
      <c r="G1512" s="16"/>
      <c r="H1512" s="16"/>
      <c r="I1512" s="16"/>
      <c r="J1512" s="16"/>
      <c r="K1512" s="16"/>
      <c r="L1512" s="18"/>
    </row>
    <row r="1513" customFormat="false" ht="15" hidden="false" customHeight="false" outlineLevel="0" collapsed="false">
      <c r="A1513" s="18"/>
      <c r="B1513" s="16"/>
      <c r="C1513" s="16"/>
      <c r="D1513" s="51" t="str">
        <f aca="false">IF(C1513="","",IFERROR(IF(LEFT(C1513,1)="L",INDEX('Leads Pipeline'!$F$5:$F$1004,MATCH(C1513,'Leads Pipeline'!$A$5:$A$1004,0)),INDEX('Active Clients'!$D$5:$D$504,MATCH(C1513,'Active Clients'!$A$5:$A$504,0)))&amp;"","ID not found"))</f>
        <v/>
      </c>
      <c r="E1513" s="51" t="str">
        <f aca="false">IF(C1513="","",IFERROR(IF(LEFT(C1513,1)="L",INDEX('Leads Pipeline'!$D$5:$D$1004,MATCH(C1513,'Leads Pipeline'!$A$5:$A$1004,0)),INDEX('Active Clients'!$B$5:$B$504,MATCH(C1513,'Active Clients'!$A$5:$A$504,0)))&amp;"","ID not found"))</f>
        <v/>
      </c>
      <c r="F1513" s="51" t="str">
        <f aca="false">IF(C1513="","",IFERROR(IF(LEFT(C1513,1)="L",INDEX('Leads Pipeline'!$E$5:$E$1004,MATCH(C1513,'Leads Pipeline'!$A$5:$A$1004,0)),INDEX('Active Clients'!$C$5:$C$504,MATCH(C1513,'Active Clients'!$A$5:$A$504,0)))&amp;"","ID not found"))</f>
        <v/>
      </c>
      <c r="G1513" s="16"/>
      <c r="H1513" s="16"/>
      <c r="I1513" s="16"/>
      <c r="J1513" s="16"/>
      <c r="K1513" s="16"/>
      <c r="L1513" s="18"/>
    </row>
    <row r="1514" customFormat="false" ht="15" hidden="false" customHeight="false" outlineLevel="0" collapsed="false">
      <c r="A1514" s="18"/>
      <c r="B1514" s="16"/>
      <c r="C1514" s="16"/>
      <c r="D1514" s="51" t="str">
        <f aca="false">IF(C1514="","",IFERROR(IF(LEFT(C1514,1)="L",INDEX('Leads Pipeline'!$F$5:$F$1004,MATCH(C1514,'Leads Pipeline'!$A$5:$A$1004,0)),INDEX('Active Clients'!$D$5:$D$504,MATCH(C1514,'Active Clients'!$A$5:$A$504,0)))&amp;"","ID not found"))</f>
        <v/>
      </c>
      <c r="E1514" s="51" t="str">
        <f aca="false">IF(C1514="","",IFERROR(IF(LEFT(C1514,1)="L",INDEX('Leads Pipeline'!$D$5:$D$1004,MATCH(C1514,'Leads Pipeline'!$A$5:$A$1004,0)),INDEX('Active Clients'!$B$5:$B$504,MATCH(C1514,'Active Clients'!$A$5:$A$504,0)))&amp;"","ID not found"))</f>
        <v/>
      </c>
      <c r="F1514" s="51" t="str">
        <f aca="false">IF(C1514="","",IFERROR(IF(LEFT(C1514,1)="L",INDEX('Leads Pipeline'!$E$5:$E$1004,MATCH(C1514,'Leads Pipeline'!$A$5:$A$1004,0)),INDEX('Active Clients'!$C$5:$C$504,MATCH(C1514,'Active Clients'!$A$5:$A$504,0)))&amp;"","ID not found"))</f>
        <v/>
      </c>
      <c r="G1514" s="16"/>
      <c r="H1514" s="16"/>
      <c r="I1514" s="16"/>
      <c r="J1514" s="16"/>
      <c r="K1514" s="16"/>
      <c r="L1514" s="18"/>
    </row>
    <row r="1515" customFormat="false" ht="15" hidden="false" customHeight="false" outlineLevel="0" collapsed="false">
      <c r="A1515" s="18"/>
      <c r="B1515" s="16"/>
      <c r="C1515" s="16"/>
      <c r="D1515" s="51" t="str">
        <f aca="false">IF(C1515="","",IFERROR(IF(LEFT(C1515,1)="L",INDEX('Leads Pipeline'!$F$5:$F$1004,MATCH(C1515,'Leads Pipeline'!$A$5:$A$1004,0)),INDEX('Active Clients'!$D$5:$D$504,MATCH(C1515,'Active Clients'!$A$5:$A$504,0)))&amp;"","ID not found"))</f>
        <v/>
      </c>
      <c r="E1515" s="51" t="str">
        <f aca="false">IF(C1515="","",IFERROR(IF(LEFT(C1515,1)="L",INDEX('Leads Pipeline'!$D$5:$D$1004,MATCH(C1515,'Leads Pipeline'!$A$5:$A$1004,0)),INDEX('Active Clients'!$B$5:$B$504,MATCH(C1515,'Active Clients'!$A$5:$A$504,0)))&amp;"","ID not found"))</f>
        <v/>
      </c>
      <c r="F1515" s="51" t="str">
        <f aca="false">IF(C1515="","",IFERROR(IF(LEFT(C1515,1)="L",INDEX('Leads Pipeline'!$E$5:$E$1004,MATCH(C1515,'Leads Pipeline'!$A$5:$A$1004,0)),INDEX('Active Clients'!$C$5:$C$504,MATCH(C1515,'Active Clients'!$A$5:$A$504,0)))&amp;"","ID not found"))</f>
        <v/>
      </c>
      <c r="G1515" s="16"/>
      <c r="H1515" s="16"/>
      <c r="I1515" s="16"/>
      <c r="J1515" s="16"/>
      <c r="K1515" s="16"/>
      <c r="L1515" s="18"/>
    </row>
    <row r="1516" customFormat="false" ht="15" hidden="false" customHeight="false" outlineLevel="0" collapsed="false">
      <c r="A1516" s="18"/>
      <c r="B1516" s="16"/>
      <c r="C1516" s="16"/>
      <c r="D1516" s="51" t="str">
        <f aca="false">IF(C1516="","",IFERROR(IF(LEFT(C1516,1)="L",INDEX('Leads Pipeline'!$F$5:$F$1004,MATCH(C1516,'Leads Pipeline'!$A$5:$A$1004,0)),INDEX('Active Clients'!$D$5:$D$504,MATCH(C1516,'Active Clients'!$A$5:$A$504,0)))&amp;"","ID not found"))</f>
        <v/>
      </c>
      <c r="E1516" s="51" t="str">
        <f aca="false">IF(C1516="","",IFERROR(IF(LEFT(C1516,1)="L",INDEX('Leads Pipeline'!$D$5:$D$1004,MATCH(C1516,'Leads Pipeline'!$A$5:$A$1004,0)),INDEX('Active Clients'!$B$5:$B$504,MATCH(C1516,'Active Clients'!$A$5:$A$504,0)))&amp;"","ID not found"))</f>
        <v/>
      </c>
      <c r="F1516" s="51" t="str">
        <f aca="false">IF(C1516="","",IFERROR(IF(LEFT(C1516,1)="L",INDEX('Leads Pipeline'!$E$5:$E$1004,MATCH(C1516,'Leads Pipeline'!$A$5:$A$1004,0)),INDEX('Active Clients'!$C$5:$C$504,MATCH(C1516,'Active Clients'!$A$5:$A$504,0)))&amp;"","ID not found"))</f>
        <v/>
      </c>
      <c r="G1516" s="16"/>
      <c r="H1516" s="16"/>
      <c r="I1516" s="16"/>
      <c r="J1516" s="16"/>
      <c r="K1516" s="16"/>
      <c r="L1516" s="18"/>
    </row>
    <row r="1517" customFormat="false" ht="15" hidden="false" customHeight="false" outlineLevel="0" collapsed="false">
      <c r="A1517" s="18"/>
      <c r="B1517" s="16"/>
      <c r="C1517" s="16"/>
      <c r="D1517" s="51" t="str">
        <f aca="false">IF(C1517="","",IFERROR(IF(LEFT(C1517,1)="L",INDEX('Leads Pipeline'!$F$5:$F$1004,MATCH(C1517,'Leads Pipeline'!$A$5:$A$1004,0)),INDEX('Active Clients'!$D$5:$D$504,MATCH(C1517,'Active Clients'!$A$5:$A$504,0)))&amp;"","ID not found"))</f>
        <v/>
      </c>
      <c r="E1517" s="51" t="str">
        <f aca="false">IF(C1517="","",IFERROR(IF(LEFT(C1517,1)="L",INDEX('Leads Pipeline'!$D$5:$D$1004,MATCH(C1517,'Leads Pipeline'!$A$5:$A$1004,0)),INDEX('Active Clients'!$B$5:$B$504,MATCH(C1517,'Active Clients'!$A$5:$A$504,0)))&amp;"","ID not found"))</f>
        <v/>
      </c>
      <c r="F1517" s="51" t="str">
        <f aca="false">IF(C1517="","",IFERROR(IF(LEFT(C1517,1)="L",INDEX('Leads Pipeline'!$E$5:$E$1004,MATCH(C1517,'Leads Pipeline'!$A$5:$A$1004,0)),INDEX('Active Clients'!$C$5:$C$504,MATCH(C1517,'Active Clients'!$A$5:$A$504,0)))&amp;"","ID not found"))</f>
        <v/>
      </c>
      <c r="G1517" s="16"/>
      <c r="H1517" s="16"/>
      <c r="I1517" s="16"/>
      <c r="J1517" s="16"/>
      <c r="K1517" s="16"/>
      <c r="L1517" s="18"/>
    </row>
    <row r="1518" customFormat="false" ht="15" hidden="false" customHeight="false" outlineLevel="0" collapsed="false">
      <c r="A1518" s="18"/>
      <c r="B1518" s="16"/>
      <c r="C1518" s="16"/>
      <c r="D1518" s="51" t="str">
        <f aca="false">IF(C1518="","",IFERROR(IF(LEFT(C1518,1)="L",INDEX('Leads Pipeline'!$F$5:$F$1004,MATCH(C1518,'Leads Pipeline'!$A$5:$A$1004,0)),INDEX('Active Clients'!$D$5:$D$504,MATCH(C1518,'Active Clients'!$A$5:$A$504,0)))&amp;"","ID not found"))</f>
        <v/>
      </c>
      <c r="E1518" s="51" t="str">
        <f aca="false">IF(C1518="","",IFERROR(IF(LEFT(C1518,1)="L",INDEX('Leads Pipeline'!$D$5:$D$1004,MATCH(C1518,'Leads Pipeline'!$A$5:$A$1004,0)),INDEX('Active Clients'!$B$5:$B$504,MATCH(C1518,'Active Clients'!$A$5:$A$504,0)))&amp;"","ID not found"))</f>
        <v/>
      </c>
      <c r="F1518" s="51" t="str">
        <f aca="false">IF(C1518="","",IFERROR(IF(LEFT(C1518,1)="L",INDEX('Leads Pipeline'!$E$5:$E$1004,MATCH(C1518,'Leads Pipeline'!$A$5:$A$1004,0)),INDEX('Active Clients'!$C$5:$C$504,MATCH(C1518,'Active Clients'!$A$5:$A$504,0)))&amp;"","ID not found"))</f>
        <v/>
      </c>
      <c r="G1518" s="16"/>
      <c r="H1518" s="16"/>
      <c r="I1518" s="16"/>
      <c r="J1518" s="16"/>
      <c r="K1518" s="16"/>
      <c r="L1518" s="18"/>
    </row>
    <row r="1519" customFormat="false" ht="15" hidden="false" customHeight="false" outlineLevel="0" collapsed="false">
      <c r="A1519" s="18"/>
      <c r="B1519" s="16"/>
      <c r="C1519" s="16"/>
      <c r="D1519" s="51" t="str">
        <f aca="false">IF(C1519="","",IFERROR(IF(LEFT(C1519,1)="L",INDEX('Leads Pipeline'!$F$5:$F$1004,MATCH(C1519,'Leads Pipeline'!$A$5:$A$1004,0)),INDEX('Active Clients'!$D$5:$D$504,MATCH(C1519,'Active Clients'!$A$5:$A$504,0)))&amp;"","ID not found"))</f>
        <v/>
      </c>
      <c r="E1519" s="51" t="str">
        <f aca="false">IF(C1519="","",IFERROR(IF(LEFT(C1519,1)="L",INDEX('Leads Pipeline'!$D$5:$D$1004,MATCH(C1519,'Leads Pipeline'!$A$5:$A$1004,0)),INDEX('Active Clients'!$B$5:$B$504,MATCH(C1519,'Active Clients'!$A$5:$A$504,0)))&amp;"","ID not found"))</f>
        <v/>
      </c>
      <c r="F1519" s="51" t="str">
        <f aca="false">IF(C1519="","",IFERROR(IF(LEFT(C1519,1)="L",INDEX('Leads Pipeline'!$E$5:$E$1004,MATCH(C1519,'Leads Pipeline'!$A$5:$A$1004,0)),INDEX('Active Clients'!$C$5:$C$504,MATCH(C1519,'Active Clients'!$A$5:$A$504,0)))&amp;"","ID not found"))</f>
        <v/>
      </c>
      <c r="G1519" s="16"/>
      <c r="H1519" s="16"/>
      <c r="I1519" s="16"/>
      <c r="J1519" s="16"/>
      <c r="K1519" s="16"/>
      <c r="L1519" s="18"/>
    </row>
    <row r="1520" customFormat="false" ht="15" hidden="false" customHeight="false" outlineLevel="0" collapsed="false">
      <c r="A1520" s="18"/>
      <c r="B1520" s="16"/>
      <c r="C1520" s="16"/>
      <c r="D1520" s="51" t="str">
        <f aca="false">IF(C1520="","",IFERROR(IF(LEFT(C1520,1)="L",INDEX('Leads Pipeline'!$F$5:$F$1004,MATCH(C1520,'Leads Pipeline'!$A$5:$A$1004,0)),INDEX('Active Clients'!$D$5:$D$504,MATCH(C1520,'Active Clients'!$A$5:$A$504,0)))&amp;"","ID not found"))</f>
        <v/>
      </c>
      <c r="E1520" s="51" t="str">
        <f aca="false">IF(C1520="","",IFERROR(IF(LEFT(C1520,1)="L",INDEX('Leads Pipeline'!$D$5:$D$1004,MATCH(C1520,'Leads Pipeline'!$A$5:$A$1004,0)),INDEX('Active Clients'!$B$5:$B$504,MATCH(C1520,'Active Clients'!$A$5:$A$504,0)))&amp;"","ID not found"))</f>
        <v/>
      </c>
      <c r="F1520" s="51" t="str">
        <f aca="false">IF(C1520="","",IFERROR(IF(LEFT(C1520,1)="L",INDEX('Leads Pipeline'!$E$5:$E$1004,MATCH(C1520,'Leads Pipeline'!$A$5:$A$1004,0)),INDEX('Active Clients'!$C$5:$C$504,MATCH(C1520,'Active Clients'!$A$5:$A$504,0)))&amp;"","ID not found"))</f>
        <v/>
      </c>
      <c r="G1520" s="16"/>
      <c r="H1520" s="16"/>
      <c r="I1520" s="16"/>
      <c r="J1520" s="16"/>
      <c r="K1520" s="16"/>
      <c r="L1520" s="18"/>
    </row>
    <row r="1521" customFormat="false" ht="15" hidden="false" customHeight="false" outlineLevel="0" collapsed="false">
      <c r="A1521" s="18"/>
      <c r="B1521" s="16"/>
      <c r="C1521" s="16"/>
      <c r="D1521" s="51" t="str">
        <f aca="false">IF(C1521="","",IFERROR(IF(LEFT(C1521,1)="L",INDEX('Leads Pipeline'!$F$5:$F$1004,MATCH(C1521,'Leads Pipeline'!$A$5:$A$1004,0)),INDEX('Active Clients'!$D$5:$D$504,MATCH(C1521,'Active Clients'!$A$5:$A$504,0)))&amp;"","ID not found"))</f>
        <v/>
      </c>
      <c r="E1521" s="51" t="str">
        <f aca="false">IF(C1521="","",IFERROR(IF(LEFT(C1521,1)="L",INDEX('Leads Pipeline'!$D$5:$D$1004,MATCH(C1521,'Leads Pipeline'!$A$5:$A$1004,0)),INDEX('Active Clients'!$B$5:$B$504,MATCH(C1521,'Active Clients'!$A$5:$A$504,0)))&amp;"","ID not found"))</f>
        <v/>
      </c>
      <c r="F1521" s="51" t="str">
        <f aca="false">IF(C1521="","",IFERROR(IF(LEFT(C1521,1)="L",INDEX('Leads Pipeline'!$E$5:$E$1004,MATCH(C1521,'Leads Pipeline'!$A$5:$A$1004,0)),INDEX('Active Clients'!$C$5:$C$504,MATCH(C1521,'Active Clients'!$A$5:$A$504,0)))&amp;"","ID not found"))</f>
        <v/>
      </c>
      <c r="G1521" s="16"/>
      <c r="H1521" s="16"/>
      <c r="I1521" s="16"/>
      <c r="J1521" s="16"/>
      <c r="K1521" s="16"/>
      <c r="L1521" s="18"/>
    </row>
    <row r="1522" customFormat="false" ht="15" hidden="false" customHeight="false" outlineLevel="0" collapsed="false">
      <c r="A1522" s="18"/>
      <c r="B1522" s="16"/>
      <c r="C1522" s="16"/>
      <c r="D1522" s="51" t="str">
        <f aca="false">IF(C1522="","",IFERROR(IF(LEFT(C1522,1)="L",INDEX('Leads Pipeline'!$F$5:$F$1004,MATCH(C1522,'Leads Pipeline'!$A$5:$A$1004,0)),INDEX('Active Clients'!$D$5:$D$504,MATCH(C1522,'Active Clients'!$A$5:$A$504,0)))&amp;"","ID not found"))</f>
        <v/>
      </c>
      <c r="E1522" s="51" t="str">
        <f aca="false">IF(C1522="","",IFERROR(IF(LEFT(C1522,1)="L",INDEX('Leads Pipeline'!$D$5:$D$1004,MATCH(C1522,'Leads Pipeline'!$A$5:$A$1004,0)),INDEX('Active Clients'!$B$5:$B$504,MATCH(C1522,'Active Clients'!$A$5:$A$504,0)))&amp;"","ID not found"))</f>
        <v/>
      </c>
      <c r="F1522" s="51" t="str">
        <f aca="false">IF(C1522="","",IFERROR(IF(LEFT(C1522,1)="L",INDEX('Leads Pipeline'!$E$5:$E$1004,MATCH(C1522,'Leads Pipeline'!$A$5:$A$1004,0)),INDEX('Active Clients'!$C$5:$C$504,MATCH(C1522,'Active Clients'!$A$5:$A$504,0)))&amp;"","ID not found"))</f>
        <v/>
      </c>
      <c r="G1522" s="16"/>
      <c r="H1522" s="16"/>
      <c r="I1522" s="16"/>
      <c r="J1522" s="16"/>
      <c r="K1522" s="16"/>
      <c r="L1522" s="18"/>
    </row>
    <row r="1523" customFormat="false" ht="15" hidden="false" customHeight="false" outlineLevel="0" collapsed="false">
      <c r="A1523" s="18"/>
      <c r="B1523" s="16"/>
      <c r="C1523" s="16"/>
      <c r="D1523" s="51" t="str">
        <f aca="false">IF(C1523="","",IFERROR(IF(LEFT(C1523,1)="L",INDEX('Leads Pipeline'!$F$5:$F$1004,MATCH(C1523,'Leads Pipeline'!$A$5:$A$1004,0)),INDEX('Active Clients'!$D$5:$D$504,MATCH(C1523,'Active Clients'!$A$5:$A$504,0)))&amp;"","ID not found"))</f>
        <v/>
      </c>
      <c r="E1523" s="51" t="str">
        <f aca="false">IF(C1523="","",IFERROR(IF(LEFT(C1523,1)="L",INDEX('Leads Pipeline'!$D$5:$D$1004,MATCH(C1523,'Leads Pipeline'!$A$5:$A$1004,0)),INDEX('Active Clients'!$B$5:$B$504,MATCH(C1523,'Active Clients'!$A$5:$A$504,0)))&amp;"","ID not found"))</f>
        <v/>
      </c>
      <c r="F1523" s="51" t="str">
        <f aca="false">IF(C1523="","",IFERROR(IF(LEFT(C1523,1)="L",INDEX('Leads Pipeline'!$E$5:$E$1004,MATCH(C1523,'Leads Pipeline'!$A$5:$A$1004,0)),INDEX('Active Clients'!$C$5:$C$504,MATCH(C1523,'Active Clients'!$A$5:$A$504,0)))&amp;"","ID not found"))</f>
        <v/>
      </c>
      <c r="G1523" s="16"/>
      <c r="H1523" s="16"/>
      <c r="I1523" s="16"/>
      <c r="J1523" s="16"/>
      <c r="K1523" s="16"/>
      <c r="L1523" s="18"/>
    </row>
    <row r="1524" customFormat="false" ht="15" hidden="false" customHeight="false" outlineLevel="0" collapsed="false">
      <c r="A1524" s="18"/>
      <c r="B1524" s="16"/>
      <c r="C1524" s="16"/>
      <c r="D1524" s="51" t="str">
        <f aca="false">IF(C1524="","",IFERROR(IF(LEFT(C1524,1)="L",INDEX('Leads Pipeline'!$F$5:$F$1004,MATCH(C1524,'Leads Pipeline'!$A$5:$A$1004,0)),INDEX('Active Clients'!$D$5:$D$504,MATCH(C1524,'Active Clients'!$A$5:$A$504,0)))&amp;"","ID not found"))</f>
        <v/>
      </c>
      <c r="E1524" s="51" t="str">
        <f aca="false">IF(C1524="","",IFERROR(IF(LEFT(C1524,1)="L",INDEX('Leads Pipeline'!$D$5:$D$1004,MATCH(C1524,'Leads Pipeline'!$A$5:$A$1004,0)),INDEX('Active Clients'!$B$5:$B$504,MATCH(C1524,'Active Clients'!$A$5:$A$504,0)))&amp;"","ID not found"))</f>
        <v/>
      </c>
      <c r="F1524" s="51" t="str">
        <f aca="false">IF(C1524="","",IFERROR(IF(LEFT(C1524,1)="L",INDEX('Leads Pipeline'!$E$5:$E$1004,MATCH(C1524,'Leads Pipeline'!$A$5:$A$1004,0)),INDEX('Active Clients'!$C$5:$C$504,MATCH(C1524,'Active Clients'!$A$5:$A$504,0)))&amp;"","ID not found"))</f>
        <v/>
      </c>
      <c r="G1524" s="16"/>
      <c r="H1524" s="16"/>
      <c r="I1524" s="16"/>
      <c r="J1524" s="16"/>
      <c r="K1524" s="16"/>
      <c r="L1524" s="18"/>
    </row>
    <row r="1525" customFormat="false" ht="15" hidden="false" customHeight="false" outlineLevel="0" collapsed="false">
      <c r="A1525" s="18"/>
      <c r="B1525" s="16"/>
      <c r="C1525" s="16"/>
      <c r="D1525" s="51" t="str">
        <f aca="false">IF(C1525="","",IFERROR(IF(LEFT(C1525,1)="L",INDEX('Leads Pipeline'!$F$5:$F$1004,MATCH(C1525,'Leads Pipeline'!$A$5:$A$1004,0)),INDEX('Active Clients'!$D$5:$D$504,MATCH(C1525,'Active Clients'!$A$5:$A$504,0)))&amp;"","ID not found"))</f>
        <v/>
      </c>
      <c r="E1525" s="51" t="str">
        <f aca="false">IF(C1525="","",IFERROR(IF(LEFT(C1525,1)="L",INDEX('Leads Pipeline'!$D$5:$D$1004,MATCH(C1525,'Leads Pipeline'!$A$5:$A$1004,0)),INDEX('Active Clients'!$B$5:$B$504,MATCH(C1525,'Active Clients'!$A$5:$A$504,0)))&amp;"","ID not found"))</f>
        <v/>
      </c>
      <c r="F1525" s="51" t="str">
        <f aca="false">IF(C1525="","",IFERROR(IF(LEFT(C1525,1)="L",INDEX('Leads Pipeline'!$E$5:$E$1004,MATCH(C1525,'Leads Pipeline'!$A$5:$A$1004,0)),INDEX('Active Clients'!$C$5:$C$504,MATCH(C1525,'Active Clients'!$A$5:$A$504,0)))&amp;"","ID not found"))</f>
        <v/>
      </c>
      <c r="G1525" s="16"/>
      <c r="H1525" s="16"/>
      <c r="I1525" s="16"/>
      <c r="J1525" s="16"/>
      <c r="K1525" s="16"/>
      <c r="L1525" s="18"/>
    </row>
    <row r="1526" customFormat="false" ht="15" hidden="false" customHeight="false" outlineLevel="0" collapsed="false">
      <c r="A1526" s="18"/>
      <c r="B1526" s="16"/>
      <c r="C1526" s="16"/>
      <c r="D1526" s="51" t="str">
        <f aca="false">IF(C1526="","",IFERROR(IF(LEFT(C1526,1)="L",INDEX('Leads Pipeline'!$F$5:$F$1004,MATCH(C1526,'Leads Pipeline'!$A$5:$A$1004,0)),INDEX('Active Clients'!$D$5:$D$504,MATCH(C1526,'Active Clients'!$A$5:$A$504,0)))&amp;"","ID not found"))</f>
        <v/>
      </c>
      <c r="E1526" s="51" t="str">
        <f aca="false">IF(C1526="","",IFERROR(IF(LEFT(C1526,1)="L",INDEX('Leads Pipeline'!$D$5:$D$1004,MATCH(C1526,'Leads Pipeline'!$A$5:$A$1004,0)),INDEX('Active Clients'!$B$5:$B$504,MATCH(C1526,'Active Clients'!$A$5:$A$504,0)))&amp;"","ID not found"))</f>
        <v/>
      </c>
      <c r="F1526" s="51" t="str">
        <f aca="false">IF(C1526="","",IFERROR(IF(LEFT(C1526,1)="L",INDEX('Leads Pipeline'!$E$5:$E$1004,MATCH(C1526,'Leads Pipeline'!$A$5:$A$1004,0)),INDEX('Active Clients'!$C$5:$C$504,MATCH(C1526,'Active Clients'!$A$5:$A$504,0)))&amp;"","ID not found"))</f>
        <v/>
      </c>
      <c r="G1526" s="16"/>
      <c r="H1526" s="16"/>
      <c r="I1526" s="16"/>
      <c r="J1526" s="16"/>
      <c r="K1526" s="16"/>
      <c r="L1526" s="18"/>
    </row>
    <row r="1527" customFormat="false" ht="15" hidden="false" customHeight="false" outlineLevel="0" collapsed="false">
      <c r="A1527" s="18"/>
      <c r="B1527" s="16"/>
      <c r="C1527" s="16"/>
      <c r="D1527" s="51" t="str">
        <f aca="false">IF(C1527="","",IFERROR(IF(LEFT(C1527,1)="L",INDEX('Leads Pipeline'!$F$5:$F$1004,MATCH(C1527,'Leads Pipeline'!$A$5:$A$1004,0)),INDEX('Active Clients'!$D$5:$D$504,MATCH(C1527,'Active Clients'!$A$5:$A$504,0)))&amp;"","ID not found"))</f>
        <v/>
      </c>
      <c r="E1527" s="51" t="str">
        <f aca="false">IF(C1527="","",IFERROR(IF(LEFT(C1527,1)="L",INDEX('Leads Pipeline'!$D$5:$D$1004,MATCH(C1527,'Leads Pipeline'!$A$5:$A$1004,0)),INDEX('Active Clients'!$B$5:$B$504,MATCH(C1527,'Active Clients'!$A$5:$A$504,0)))&amp;"","ID not found"))</f>
        <v/>
      </c>
      <c r="F1527" s="51" t="str">
        <f aca="false">IF(C1527="","",IFERROR(IF(LEFT(C1527,1)="L",INDEX('Leads Pipeline'!$E$5:$E$1004,MATCH(C1527,'Leads Pipeline'!$A$5:$A$1004,0)),INDEX('Active Clients'!$C$5:$C$504,MATCH(C1527,'Active Clients'!$A$5:$A$504,0)))&amp;"","ID not found"))</f>
        <v/>
      </c>
      <c r="G1527" s="16"/>
      <c r="H1527" s="16"/>
      <c r="I1527" s="16"/>
      <c r="J1527" s="16"/>
      <c r="K1527" s="16"/>
      <c r="L1527" s="18"/>
    </row>
    <row r="1528" customFormat="false" ht="15" hidden="false" customHeight="false" outlineLevel="0" collapsed="false">
      <c r="A1528" s="18"/>
      <c r="B1528" s="16"/>
      <c r="C1528" s="16"/>
      <c r="D1528" s="51" t="str">
        <f aca="false">IF(C1528="","",IFERROR(IF(LEFT(C1528,1)="L",INDEX('Leads Pipeline'!$F$5:$F$1004,MATCH(C1528,'Leads Pipeline'!$A$5:$A$1004,0)),INDEX('Active Clients'!$D$5:$D$504,MATCH(C1528,'Active Clients'!$A$5:$A$504,0)))&amp;"","ID not found"))</f>
        <v/>
      </c>
      <c r="E1528" s="51" t="str">
        <f aca="false">IF(C1528="","",IFERROR(IF(LEFT(C1528,1)="L",INDEX('Leads Pipeline'!$D$5:$D$1004,MATCH(C1528,'Leads Pipeline'!$A$5:$A$1004,0)),INDEX('Active Clients'!$B$5:$B$504,MATCH(C1528,'Active Clients'!$A$5:$A$504,0)))&amp;"","ID not found"))</f>
        <v/>
      </c>
      <c r="F1528" s="51" t="str">
        <f aca="false">IF(C1528="","",IFERROR(IF(LEFT(C1528,1)="L",INDEX('Leads Pipeline'!$E$5:$E$1004,MATCH(C1528,'Leads Pipeline'!$A$5:$A$1004,0)),INDEX('Active Clients'!$C$5:$C$504,MATCH(C1528,'Active Clients'!$A$5:$A$504,0)))&amp;"","ID not found"))</f>
        <v/>
      </c>
      <c r="G1528" s="16"/>
      <c r="H1528" s="16"/>
      <c r="I1528" s="16"/>
      <c r="J1528" s="16"/>
      <c r="K1528" s="16"/>
      <c r="L1528" s="18"/>
    </row>
    <row r="1529" customFormat="false" ht="15" hidden="false" customHeight="false" outlineLevel="0" collapsed="false">
      <c r="A1529" s="18"/>
      <c r="B1529" s="16"/>
      <c r="C1529" s="16"/>
      <c r="D1529" s="51" t="str">
        <f aca="false">IF(C1529="","",IFERROR(IF(LEFT(C1529,1)="L",INDEX('Leads Pipeline'!$F$5:$F$1004,MATCH(C1529,'Leads Pipeline'!$A$5:$A$1004,0)),INDEX('Active Clients'!$D$5:$D$504,MATCH(C1529,'Active Clients'!$A$5:$A$504,0)))&amp;"","ID not found"))</f>
        <v/>
      </c>
      <c r="E1529" s="51" t="str">
        <f aca="false">IF(C1529="","",IFERROR(IF(LEFT(C1529,1)="L",INDEX('Leads Pipeline'!$D$5:$D$1004,MATCH(C1529,'Leads Pipeline'!$A$5:$A$1004,0)),INDEX('Active Clients'!$B$5:$B$504,MATCH(C1529,'Active Clients'!$A$5:$A$504,0)))&amp;"","ID not found"))</f>
        <v/>
      </c>
      <c r="F1529" s="51" t="str">
        <f aca="false">IF(C1529="","",IFERROR(IF(LEFT(C1529,1)="L",INDEX('Leads Pipeline'!$E$5:$E$1004,MATCH(C1529,'Leads Pipeline'!$A$5:$A$1004,0)),INDEX('Active Clients'!$C$5:$C$504,MATCH(C1529,'Active Clients'!$A$5:$A$504,0)))&amp;"","ID not found"))</f>
        <v/>
      </c>
      <c r="G1529" s="16"/>
      <c r="H1529" s="16"/>
      <c r="I1529" s="16"/>
      <c r="J1529" s="16"/>
      <c r="K1529" s="16"/>
      <c r="L1529" s="18"/>
    </row>
    <row r="1530" customFormat="false" ht="15" hidden="false" customHeight="false" outlineLevel="0" collapsed="false">
      <c r="A1530" s="18"/>
      <c r="B1530" s="16"/>
      <c r="C1530" s="16"/>
      <c r="D1530" s="51" t="str">
        <f aca="false">IF(C1530="","",IFERROR(IF(LEFT(C1530,1)="L",INDEX('Leads Pipeline'!$F$5:$F$1004,MATCH(C1530,'Leads Pipeline'!$A$5:$A$1004,0)),INDEX('Active Clients'!$D$5:$D$504,MATCH(C1530,'Active Clients'!$A$5:$A$504,0)))&amp;"","ID not found"))</f>
        <v/>
      </c>
      <c r="E1530" s="51" t="str">
        <f aca="false">IF(C1530="","",IFERROR(IF(LEFT(C1530,1)="L",INDEX('Leads Pipeline'!$D$5:$D$1004,MATCH(C1530,'Leads Pipeline'!$A$5:$A$1004,0)),INDEX('Active Clients'!$B$5:$B$504,MATCH(C1530,'Active Clients'!$A$5:$A$504,0)))&amp;"","ID not found"))</f>
        <v/>
      </c>
      <c r="F1530" s="51" t="str">
        <f aca="false">IF(C1530="","",IFERROR(IF(LEFT(C1530,1)="L",INDEX('Leads Pipeline'!$E$5:$E$1004,MATCH(C1530,'Leads Pipeline'!$A$5:$A$1004,0)),INDEX('Active Clients'!$C$5:$C$504,MATCH(C1530,'Active Clients'!$A$5:$A$504,0)))&amp;"","ID not found"))</f>
        <v/>
      </c>
      <c r="G1530" s="16"/>
      <c r="H1530" s="16"/>
      <c r="I1530" s="16"/>
      <c r="J1530" s="16"/>
      <c r="K1530" s="16"/>
      <c r="L1530" s="18"/>
    </row>
    <row r="1531" customFormat="false" ht="15" hidden="false" customHeight="false" outlineLevel="0" collapsed="false">
      <c r="A1531" s="18"/>
      <c r="B1531" s="16"/>
      <c r="C1531" s="16"/>
      <c r="D1531" s="51" t="str">
        <f aca="false">IF(C1531="","",IFERROR(IF(LEFT(C1531,1)="L",INDEX('Leads Pipeline'!$F$5:$F$1004,MATCH(C1531,'Leads Pipeline'!$A$5:$A$1004,0)),INDEX('Active Clients'!$D$5:$D$504,MATCH(C1531,'Active Clients'!$A$5:$A$504,0)))&amp;"","ID not found"))</f>
        <v/>
      </c>
      <c r="E1531" s="51" t="str">
        <f aca="false">IF(C1531="","",IFERROR(IF(LEFT(C1531,1)="L",INDEX('Leads Pipeline'!$D$5:$D$1004,MATCH(C1531,'Leads Pipeline'!$A$5:$A$1004,0)),INDEX('Active Clients'!$B$5:$B$504,MATCH(C1531,'Active Clients'!$A$5:$A$504,0)))&amp;"","ID not found"))</f>
        <v/>
      </c>
      <c r="F1531" s="51" t="str">
        <f aca="false">IF(C1531="","",IFERROR(IF(LEFT(C1531,1)="L",INDEX('Leads Pipeline'!$E$5:$E$1004,MATCH(C1531,'Leads Pipeline'!$A$5:$A$1004,0)),INDEX('Active Clients'!$C$5:$C$504,MATCH(C1531,'Active Clients'!$A$5:$A$504,0)))&amp;"","ID not found"))</f>
        <v/>
      </c>
      <c r="G1531" s="16"/>
      <c r="H1531" s="16"/>
      <c r="I1531" s="16"/>
      <c r="J1531" s="16"/>
      <c r="K1531" s="16"/>
      <c r="L1531" s="18"/>
    </row>
    <row r="1532" customFormat="false" ht="15" hidden="false" customHeight="false" outlineLevel="0" collapsed="false">
      <c r="A1532" s="18"/>
      <c r="B1532" s="16"/>
      <c r="C1532" s="16"/>
      <c r="D1532" s="51" t="str">
        <f aca="false">IF(C1532="","",IFERROR(IF(LEFT(C1532,1)="L",INDEX('Leads Pipeline'!$F$5:$F$1004,MATCH(C1532,'Leads Pipeline'!$A$5:$A$1004,0)),INDEX('Active Clients'!$D$5:$D$504,MATCH(C1532,'Active Clients'!$A$5:$A$504,0)))&amp;"","ID not found"))</f>
        <v/>
      </c>
      <c r="E1532" s="51" t="str">
        <f aca="false">IF(C1532="","",IFERROR(IF(LEFT(C1532,1)="L",INDEX('Leads Pipeline'!$D$5:$D$1004,MATCH(C1532,'Leads Pipeline'!$A$5:$A$1004,0)),INDEX('Active Clients'!$B$5:$B$504,MATCH(C1532,'Active Clients'!$A$5:$A$504,0)))&amp;"","ID not found"))</f>
        <v/>
      </c>
      <c r="F1532" s="51" t="str">
        <f aca="false">IF(C1532="","",IFERROR(IF(LEFT(C1532,1)="L",INDEX('Leads Pipeline'!$E$5:$E$1004,MATCH(C1532,'Leads Pipeline'!$A$5:$A$1004,0)),INDEX('Active Clients'!$C$5:$C$504,MATCH(C1532,'Active Clients'!$A$5:$A$504,0)))&amp;"","ID not found"))</f>
        <v/>
      </c>
      <c r="G1532" s="16"/>
      <c r="H1532" s="16"/>
      <c r="I1532" s="16"/>
      <c r="J1532" s="16"/>
      <c r="K1532" s="16"/>
      <c r="L1532" s="18"/>
    </row>
    <row r="1533" customFormat="false" ht="15" hidden="false" customHeight="false" outlineLevel="0" collapsed="false">
      <c r="A1533" s="18"/>
      <c r="B1533" s="16"/>
      <c r="C1533" s="16"/>
      <c r="D1533" s="51" t="str">
        <f aca="false">IF(C1533="","",IFERROR(IF(LEFT(C1533,1)="L",INDEX('Leads Pipeline'!$F$5:$F$1004,MATCH(C1533,'Leads Pipeline'!$A$5:$A$1004,0)),INDEX('Active Clients'!$D$5:$D$504,MATCH(C1533,'Active Clients'!$A$5:$A$504,0)))&amp;"","ID not found"))</f>
        <v/>
      </c>
      <c r="E1533" s="51" t="str">
        <f aca="false">IF(C1533="","",IFERROR(IF(LEFT(C1533,1)="L",INDEX('Leads Pipeline'!$D$5:$D$1004,MATCH(C1533,'Leads Pipeline'!$A$5:$A$1004,0)),INDEX('Active Clients'!$B$5:$B$504,MATCH(C1533,'Active Clients'!$A$5:$A$504,0)))&amp;"","ID not found"))</f>
        <v/>
      </c>
      <c r="F1533" s="51" t="str">
        <f aca="false">IF(C1533="","",IFERROR(IF(LEFT(C1533,1)="L",INDEX('Leads Pipeline'!$E$5:$E$1004,MATCH(C1533,'Leads Pipeline'!$A$5:$A$1004,0)),INDEX('Active Clients'!$C$5:$C$504,MATCH(C1533,'Active Clients'!$A$5:$A$504,0)))&amp;"","ID not found"))</f>
        <v/>
      </c>
      <c r="G1533" s="16"/>
      <c r="H1533" s="16"/>
      <c r="I1533" s="16"/>
      <c r="J1533" s="16"/>
      <c r="K1533" s="16"/>
      <c r="L1533" s="18"/>
    </row>
    <row r="1534" customFormat="false" ht="15" hidden="false" customHeight="false" outlineLevel="0" collapsed="false">
      <c r="A1534" s="18"/>
      <c r="B1534" s="16"/>
      <c r="C1534" s="16"/>
      <c r="D1534" s="51" t="str">
        <f aca="false">IF(C1534="","",IFERROR(IF(LEFT(C1534,1)="L",INDEX('Leads Pipeline'!$F$5:$F$1004,MATCH(C1534,'Leads Pipeline'!$A$5:$A$1004,0)),INDEX('Active Clients'!$D$5:$D$504,MATCH(C1534,'Active Clients'!$A$5:$A$504,0)))&amp;"","ID not found"))</f>
        <v/>
      </c>
      <c r="E1534" s="51" t="str">
        <f aca="false">IF(C1534="","",IFERROR(IF(LEFT(C1534,1)="L",INDEX('Leads Pipeline'!$D$5:$D$1004,MATCH(C1534,'Leads Pipeline'!$A$5:$A$1004,0)),INDEX('Active Clients'!$B$5:$B$504,MATCH(C1534,'Active Clients'!$A$5:$A$504,0)))&amp;"","ID not found"))</f>
        <v/>
      </c>
      <c r="F1534" s="51" t="str">
        <f aca="false">IF(C1534="","",IFERROR(IF(LEFT(C1534,1)="L",INDEX('Leads Pipeline'!$E$5:$E$1004,MATCH(C1534,'Leads Pipeline'!$A$5:$A$1004,0)),INDEX('Active Clients'!$C$5:$C$504,MATCH(C1534,'Active Clients'!$A$5:$A$504,0)))&amp;"","ID not found"))</f>
        <v/>
      </c>
      <c r="G1534" s="16"/>
      <c r="H1534" s="16"/>
      <c r="I1534" s="16"/>
      <c r="J1534" s="16"/>
      <c r="K1534" s="16"/>
      <c r="L1534" s="18"/>
    </row>
    <row r="1535" customFormat="false" ht="15" hidden="false" customHeight="false" outlineLevel="0" collapsed="false">
      <c r="A1535" s="18"/>
      <c r="B1535" s="16"/>
      <c r="C1535" s="16"/>
      <c r="D1535" s="51" t="str">
        <f aca="false">IF(C1535="","",IFERROR(IF(LEFT(C1535,1)="L",INDEX('Leads Pipeline'!$F$5:$F$1004,MATCH(C1535,'Leads Pipeline'!$A$5:$A$1004,0)),INDEX('Active Clients'!$D$5:$D$504,MATCH(C1535,'Active Clients'!$A$5:$A$504,0)))&amp;"","ID not found"))</f>
        <v/>
      </c>
      <c r="E1535" s="51" t="str">
        <f aca="false">IF(C1535="","",IFERROR(IF(LEFT(C1535,1)="L",INDEX('Leads Pipeline'!$D$5:$D$1004,MATCH(C1535,'Leads Pipeline'!$A$5:$A$1004,0)),INDEX('Active Clients'!$B$5:$B$504,MATCH(C1535,'Active Clients'!$A$5:$A$504,0)))&amp;"","ID not found"))</f>
        <v/>
      </c>
      <c r="F1535" s="51" t="str">
        <f aca="false">IF(C1535="","",IFERROR(IF(LEFT(C1535,1)="L",INDEX('Leads Pipeline'!$E$5:$E$1004,MATCH(C1535,'Leads Pipeline'!$A$5:$A$1004,0)),INDEX('Active Clients'!$C$5:$C$504,MATCH(C1535,'Active Clients'!$A$5:$A$504,0)))&amp;"","ID not found"))</f>
        <v/>
      </c>
      <c r="G1535" s="16"/>
      <c r="H1535" s="16"/>
      <c r="I1535" s="16"/>
      <c r="J1535" s="16"/>
      <c r="K1535" s="16"/>
      <c r="L1535" s="18"/>
    </row>
    <row r="1536" customFormat="false" ht="15" hidden="false" customHeight="false" outlineLevel="0" collapsed="false">
      <c r="A1536" s="18"/>
      <c r="B1536" s="16"/>
      <c r="C1536" s="16"/>
      <c r="D1536" s="51" t="str">
        <f aca="false">IF(C1536="","",IFERROR(IF(LEFT(C1536,1)="L",INDEX('Leads Pipeline'!$F$5:$F$1004,MATCH(C1536,'Leads Pipeline'!$A$5:$A$1004,0)),INDEX('Active Clients'!$D$5:$D$504,MATCH(C1536,'Active Clients'!$A$5:$A$504,0)))&amp;"","ID not found"))</f>
        <v/>
      </c>
      <c r="E1536" s="51" t="str">
        <f aca="false">IF(C1536="","",IFERROR(IF(LEFT(C1536,1)="L",INDEX('Leads Pipeline'!$D$5:$D$1004,MATCH(C1536,'Leads Pipeline'!$A$5:$A$1004,0)),INDEX('Active Clients'!$B$5:$B$504,MATCH(C1536,'Active Clients'!$A$5:$A$504,0)))&amp;"","ID not found"))</f>
        <v/>
      </c>
      <c r="F1536" s="51" t="str">
        <f aca="false">IF(C1536="","",IFERROR(IF(LEFT(C1536,1)="L",INDEX('Leads Pipeline'!$E$5:$E$1004,MATCH(C1536,'Leads Pipeline'!$A$5:$A$1004,0)),INDEX('Active Clients'!$C$5:$C$504,MATCH(C1536,'Active Clients'!$A$5:$A$504,0)))&amp;"","ID not found"))</f>
        <v/>
      </c>
      <c r="G1536" s="16"/>
      <c r="H1536" s="16"/>
      <c r="I1536" s="16"/>
      <c r="J1536" s="16"/>
      <c r="K1536" s="16"/>
      <c r="L1536" s="18"/>
    </row>
    <row r="1537" customFormat="false" ht="15" hidden="false" customHeight="false" outlineLevel="0" collapsed="false">
      <c r="A1537" s="18"/>
      <c r="B1537" s="16"/>
      <c r="C1537" s="16"/>
      <c r="D1537" s="51" t="str">
        <f aca="false">IF(C1537="","",IFERROR(IF(LEFT(C1537,1)="L",INDEX('Leads Pipeline'!$F$5:$F$1004,MATCH(C1537,'Leads Pipeline'!$A$5:$A$1004,0)),INDEX('Active Clients'!$D$5:$D$504,MATCH(C1537,'Active Clients'!$A$5:$A$504,0)))&amp;"","ID not found"))</f>
        <v/>
      </c>
      <c r="E1537" s="51" t="str">
        <f aca="false">IF(C1537="","",IFERROR(IF(LEFT(C1537,1)="L",INDEX('Leads Pipeline'!$D$5:$D$1004,MATCH(C1537,'Leads Pipeline'!$A$5:$A$1004,0)),INDEX('Active Clients'!$B$5:$B$504,MATCH(C1537,'Active Clients'!$A$5:$A$504,0)))&amp;"","ID not found"))</f>
        <v/>
      </c>
      <c r="F1537" s="51" t="str">
        <f aca="false">IF(C1537="","",IFERROR(IF(LEFT(C1537,1)="L",INDEX('Leads Pipeline'!$E$5:$E$1004,MATCH(C1537,'Leads Pipeline'!$A$5:$A$1004,0)),INDEX('Active Clients'!$C$5:$C$504,MATCH(C1537,'Active Clients'!$A$5:$A$504,0)))&amp;"","ID not found"))</f>
        <v/>
      </c>
      <c r="G1537" s="16"/>
      <c r="H1537" s="16"/>
      <c r="I1537" s="16"/>
      <c r="J1537" s="16"/>
      <c r="K1537" s="16"/>
      <c r="L1537" s="18"/>
    </row>
    <row r="1538" customFormat="false" ht="15" hidden="false" customHeight="false" outlineLevel="0" collapsed="false">
      <c r="A1538" s="18"/>
      <c r="B1538" s="16"/>
      <c r="C1538" s="16"/>
      <c r="D1538" s="51" t="str">
        <f aca="false">IF(C1538="","",IFERROR(IF(LEFT(C1538,1)="L",INDEX('Leads Pipeline'!$F$5:$F$1004,MATCH(C1538,'Leads Pipeline'!$A$5:$A$1004,0)),INDEX('Active Clients'!$D$5:$D$504,MATCH(C1538,'Active Clients'!$A$5:$A$504,0)))&amp;"","ID not found"))</f>
        <v/>
      </c>
      <c r="E1538" s="51" t="str">
        <f aca="false">IF(C1538="","",IFERROR(IF(LEFT(C1538,1)="L",INDEX('Leads Pipeline'!$D$5:$D$1004,MATCH(C1538,'Leads Pipeline'!$A$5:$A$1004,0)),INDEX('Active Clients'!$B$5:$B$504,MATCH(C1538,'Active Clients'!$A$5:$A$504,0)))&amp;"","ID not found"))</f>
        <v/>
      </c>
      <c r="F1538" s="51" t="str">
        <f aca="false">IF(C1538="","",IFERROR(IF(LEFT(C1538,1)="L",INDEX('Leads Pipeline'!$E$5:$E$1004,MATCH(C1538,'Leads Pipeline'!$A$5:$A$1004,0)),INDEX('Active Clients'!$C$5:$C$504,MATCH(C1538,'Active Clients'!$A$5:$A$504,0)))&amp;"","ID not found"))</f>
        <v/>
      </c>
      <c r="G1538" s="16"/>
      <c r="H1538" s="16"/>
      <c r="I1538" s="16"/>
      <c r="J1538" s="16"/>
      <c r="K1538" s="16"/>
      <c r="L1538" s="18"/>
    </row>
    <row r="1539" customFormat="false" ht="15" hidden="false" customHeight="false" outlineLevel="0" collapsed="false">
      <c r="A1539" s="18"/>
      <c r="B1539" s="16"/>
      <c r="C1539" s="16"/>
      <c r="D1539" s="51" t="str">
        <f aca="false">IF(C1539="","",IFERROR(IF(LEFT(C1539,1)="L",INDEX('Leads Pipeline'!$F$5:$F$1004,MATCH(C1539,'Leads Pipeline'!$A$5:$A$1004,0)),INDEX('Active Clients'!$D$5:$D$504,MATCH(C1539,'Active Clients'!$A$5:$A$504,0)))&amp;"","ID not found"))</f>
        <v/>
      </c>
      <c r="E1539" s="51" t="str">
        <f aca="false">IF(C1539="","",IFERROR(IF(LEFT(C1539,1)="L",INDEX('Leads Pipeline'!$D$5:$D$1004,MATCH(C1539,'Leads Pipeline'!$A$5:$A$1004,0)),INDEX('Active Clients'!$B$5:$B$504,MATCH(C1539,'Active Clients'!$A$5:$A$504,0)))&amp;"","ID not found"))</f>
        <v/>
      </c>
      <c r="F1539" s="51" t="str">
        <f aca="false">IF(C1539="","",IFERROR(IF(LEFT(C1539,1)="L",INDEX('Leads Pipeline'!$E$5:$E$1004,MATCH(C1539,'Leads Pipeline'!$A$5:$A$1004,0)),INDEX('Active Clients'!$C$5:$C$504,MATCH(C1539,'Active Clients'!$A$5:$A$504,0)))&amp;"","ID not found"))</f>
        <v/>
      </c>
      <c r="G1539" s="16"/>
      <c r="H1539" s="16"/>
      <c r="I1539" s="16"/>
      <c r="J1539" s="16"/>
      <c r="K1539" s="16"/>
      <c r="L1539" s="18"/>
    </row>
    <row r="1540" customFormat="false" ht="15" hidden="false" customHeight="false" outlineLevel="0" collapsed="false">
      <c r="A1540" s="18"/>
      <c r="B1540" s="16"/>
      <c r="C1540" s="16"/>
      <c r="D1540" s="51" t="str">
        <f aca="false">IF(C1540="","",IFERROR(IF(LEFT(C1540,1)="L",INDEX('Leads Pipeline'!$F$5:$F$1004,MATCH(C1540,'Leads Pipeline'!$A$5:$A$1004,0)),INDEX('Active Clients'!$D$5:$D$504,MATCH(C1540,'Active Clients'!$A$5:$A$504,0)))&amp;"","ID not found"))</f>
        <v/>
      </c>
      <c r="E1540" s="51" t="str">
        <f aca="false">IF(C1540="","",IFERROR(IF(LEFT(C1540,1)="L",INDEX('Leads Pipeline'!$D$5:$D$1004,MATCH(C1540,'Leads Pipeline'!$A$5:$A$1004,0)),INDEX('Active Clients'!$B$5:$B$504,MATCH(C1540,'Active Clients'!$A$5:$A$504,0)))&amp;"","ID not found"))</f>
        <v/>
      </c>
      <c r="F1540" s="51" t="str">
        <f aca="false">IF(C1540="","",IFERROR(IF(LEFT(C1540,1)="L",INDEX('Leads Pipeline'!$E$5:$E$1004,MATCH(C1540,'Leads Pipeline'!$A$5:$A$1004,0)),INDEX('Active Clients'!$C$5:$C$504,MATCH(C1540,'Active Clients'!$A$5:$A$504,0)))&amp;"","ID not found"))</f>
        <v/>
      </c>
      <c r="G1540" s="16"/>
      <c r="H1540" s="16"/>
      <c r="I1540" s="16"/>
      <c r="J1540" s="16"/>
      <c r="K1540" s="16"/>
      <c r="L1540" s="18"/>
    </row>
    <row r="1541" customFormat="false" ht="15" hidden="false" customHeight="false" outlineLevel="0" collapsed="false">
      <c r="A1541" s="18"/>
      <c r="B1541" s="16"/>
      <c r="C1541" s="16"/>
      <c r="D1541" s="51" t="str">
        <f aca="false">IF(C1541="","",IFERROR(IF(LEFT(C1541,1)="L",INDEX('Leads Pipeline'!$F$5:$F$1004,MATCH(C1541,'Leads Pipeline'!$A$5:$A$1004,0)),INDEX('Active Clients'!$D$5:$D$504,MATCH(C1541,'Active Clients'!$A$5:$A$504,0)))&amp;"","ID not found"))</f>
        <v/>
      </c>
      <c r="E1541" s="51" t="str">
        <f aca="false">IF(C1541="","",IFERROR(IF(LEFT(C1541,1)="L",INDEX('Leads Pipeline'!$D$5:$D$1004,MATCH(C1541,'Leads Pipeline'!$A$5:$A$1004,0)),INDEX('Active Clients'!$B$5:$B$504,MATCH(C1541,'Active Clients'!$A$5:$A$504,0)))&amp;"","ID not found"))</f>
        <v/>
      </c>
      <c r="F1541" s="51" t="str">
        <f aca="false">IF(C1541="","",IFERROR(IF(LEFT(C1541,1)="L",INDEX('Leads Pipeline'!$E$5:$E$1004,MATCH(C1541,'Leads Pipeline'!$A$5:$A$1004,0)),INDEX('Active Clients'!$C$5:$C$504,MATCH(C1541,'Active Clients'!$A$5:$A$504,0)))&amp;"","ID not found"))</f>
        <v/>
      </c>
      <c r="G1541" s="16"/>
      <c r="H1541" s="16"/>
      <c r="I1541" s="16"/>
      <c r="J1541" s="16"/>
      <c r="K1541" s="16"/>
      <c r="L1541" s="18"/>
    </row>
    <row r="1542" customFormat="false" ht="15" hidden="false" customHeight="false" outlineLevel="0" collapsed="false">
      <c r="A1542" s="18"/>
      <c r="B1542" s="16"/>
      <c r="C1542" s="16"/>
      <c r="D1542" s="51" t="str">
        <f aca="false">IF(C1542="","",IFERROR(IF(LEFT(C1542,1)="L",INDEX('Leads Pipeline'!$F$5:$F$1004,MATCH(C1542,'Leads Pipeline'!$A$5:$A$1004,0)),INDEX('Active Clients'!$D$5:$D$504,MATCH(C1542,'Active Clients'!$A$5:$A$504,0)))&amp;"","ID not found"))</f>
        <v/>
      </c>
      <c r="E1542" s="51" t="str">
        <f aca="false">IF(C1542="","",IFERROR(IF(LEFT(C1542,1)="L",INDEX('Leads Pipeline'!$D$5:$D$1004,MATCH(C1542,'Leads Pipeline'!$A$5:$A$1004,0)),INDEX('Active Clients'!$B$5:$B$504,MATCH(C1542,'Active Clients'!$A$5:$A$504,0)))&amp;"","ID not found"))</f>
        <v/>
      </c>
      <c r="F1542" s="51" t="str">
        <f aca="false">IF(C1542="","",IFERROR(IF(LEFT(C1542,1)="L",INDEX('Leads Pipeline'!$E$5:$E$1004,MATCH(C1542,'Leads Pipeline'!$A$5:$A$1004,0)),INDEX('Active Clients'!$C$5:$C$504,MATCH(C1542,'Active Clients'!$A$5:$A$504,0)))&amp;"","ID not found"))</f>
        <v/>
      </c>
      <c r="G1542" s="16"/>
      <c r="H1542" s="16"/>
      <c r="I1542" s="16"/>
      <c r="J1542" s="16"/>
      <c r="K1542" s="16"/>
      <c r="L1542" s="18"/>
    </row>
    <row r="1543" customFormat="false" ht="15" hidden="false" customHeight="false" outlineLevel="0" collapsed="false">
      <c r="A1543" s="18"/>
      <c r="B1543" s="16"/>
      <c r="C1543" s="16"/>
      <c r="D1543" s="51" t="str">
        <f aca="false">IF(C1543="","",IFERROR(IF(LEFT(C1543,1)="L",INDEX('Leads Pipeline'!$F$5:$F$1004,MATCH(C1543,'Leads Pipeline'!$A$5:$A$1004,0)),INDEX('Active Clients'!$D$5:$D$504,MATCH(C1543,'Active Clients'!$A$5:$A$504,0)))&amp;"","ID not found"))</f>
        <v/>
      </c>
      <c r="E1543" s="51" t="str">
        <f aca="false">IF(C1543="","",IFERROR(IF(LEFT(C1543,1)="L",INDEX('Leads Pipeline'!$D$5:$D$1004,MATCH(C1543,'Leads Pipeline'!$A$5:$A$1004,0)),INDEX('Active Clients'!$B$5:$B$504,MATCH(C1543,'Active Clients'!$A$5:$A$504,0)))&amp;"","ID not found"))</f>
        <v/>
      </c>
      <c r="F1543" s="51" t="str">
        <f aca="false">IF(C1543="","",IFERROR(IF(LEFT(C1543,1)="L",INDEX('Leads Pipeline'!$E$5:$E$1004,MATCH(C1543,'Leads Pipeline'!$A$5:$A$1004,0)),INDEX('Active Clients'!$C$5:$C$504,MATCH(C1543,'Active Clients'!$A$5:$A$504,0)))&amp;"","ID not found"))</f>
        <v/>
      </c>
      <c r="G1543" s="16"/>
      <c r="H1543" s="16"/>
      <c r="I1543" s="16"/>
      <c r="J1543" s="16"/>
      <c r="K1543" s="16"/>
      <c r="L1543" s="18"/>
    </row>
    <row r="1544" customFormat="false" ht="15" hidden="false" customHeight="false" outlineLevel="0" collapsed="false">
      <c r="A1544" s="18"/>
      <c r="B1544" s="16"/>
      <c r="C1544" s="16"/>
      <c r="D1544" s="51" t="str">
        <f aca="false">IF(C1544="","",IFERROR(IF(LEFT(C1544,1)="L",INDEX('Leads Pipeline'!$F$5:$F$1004,MATCH(C1544,'Leads Pipeline'!$A$5:$A$1004,0)),INDEX('Active Clients'!$D$5:$D$504,MATCH(C1544,'Active Clients'!$A$5:$A$504,0)))&amp;"","ID not found"))</f>
        <v/>
      </c>
      <c r="E1544" s="51" t="str">
        <f aca="false">IF(C1544="","",IFERROR(IF(LEFT(C1544,1)="L",INDEX('Leads Pipeline'!$D$5:$D$1004,MATCH(C1544,'Leads Pipeline'!$A$5:$A$1004,0)),INDEX('Active Clients'!$B$5:$B$504,MATCH(C1544,'Active Clients'!$A$5:$A$504,0)))&amp;"","ID not found"))</f>
        <v/>
      </c>
      <c r="F1544" s="51" t="str">
        <f aca="false">IF(C1544="","",IFERROR(IF(LEFT(C1544,1)="L",INDEX('Leads Pipeline'!$E$5:$E$1004,MATCH(C1544,'Leads Pipeline'!$A$5:$A$1004,0)),INDEX('Active Clients'!$C$5:$C$504,MATCH(C1544,'Active Clients'!$A$5:$A$504,0)))&amp;"","ID not found"))</f>
        <v/>
      </c>
      <c r="G1544" s="16"/>
      <c r="H1544" s="16"/>
      <c r="I1544" s="16"/>
      <c r="J1544" s="16"/>
      <c r="K1544" s="16"/>
      <c r="L1544" s="18"/>
    </row>
    <row r="1545" customFormat="false" ht="15" hidden="false" customHeight="false" outlineLevel="0" collapsed="false">
      <c r="A1545" s="18"/>
      <c r="B1545" s="16"/>
      <c r="C1545" s="16"/>
      <c r="D1545" s="51" t="str">
        <f aca="false">IF(C1545="","",IFERROR(IF(LEFT(C1545,1)="L",INDEX('Leads Pipeline'!$F$5:$F$1004,MATCH(C1545,'Leads Pipeline'!$A$5:$A$1004,0)),INDEX('Active Clients'!$D$5:$D$504,MATCH(C1545,'Active Clients'!$A$5:$A$504,0)))&amp;"","ID not found"))</f>
        <v/>
      </c>
      <c r="E1545" s="51" t="str">
        <f aca="false">IF(C1545="","",IFERROR(IF(LEFT(C1545,1)="L",INDEX('Leads Pipeline'!$D$5:$D$1004,MATCH(C1545,'Leads Pipeline'!$A$5:$A$1004,0)),INDEX('Active Clients'!$B$5:$B$504,MATCH(C1545,'Active Clients'!$A$5:$A$504,0)))&amp;"","ID not found"))</f>
        <v/>
      </c>
      <c r="F1545" s="51" t="str">
        <f aca="false">IF(C1545="","",IFERROR(IF(LEFT(C1545,1)="L",INDEX('Leads Pipeline'!$E$5:$E$1004,MATCH(C1545,'Leads Pipeline'!$A$5:$A$1004,0)),INDEX('Active Clients'!$C$5:$C$504,MATCH(C1545,'Active Clients'!$A$5:$A$504,0)))&amp;"","ID not found"))</f>
        <v/>
      </c>
      <c r="G1545" s="16"/>
      <c r="H1545" s="16"/>
      <c r="I1545" s="16"/>
      <c r="J1545" s="16"/>
      <c r="K1545" s="16"/>
      <c r="L1545" s="18"/>
    </row>
    <row r="1546" customFormat="false" ht="15" hidden="false" customHeight="false" outlineLevel="0" collapsed="false">
      <c r="A1546" s="18"/>
      <c r="B1546" s="16"/>
      <c r="C1546" s="16"/>
      <c r="D1546" s="51" t="str">
        <f aca="false">IF(C1546="","",IFERROR(IF(LEFT(C1546,1)="L",INDEX('Leads Pipeline'!$F$5:$F$1004,MATCH(C1546,'Leads Pipeline'!$A$5:$A$1004,0)),INDEX('Active Clients'!$D$5:$D$504,MATCH(C1546,'Active Clients'!$A$5:$A$504,0)))&amp;"","ID not found"))</f>
        <v/>
      </c>
      <c r="E1546" s="51" t="str">
        <f aca="false">IF(C1546="","",IFERROR(IF(LEFT(C1546,1)="L",INDEX('Leads Pipeline'!$D$5:$D$1004,MATCH(C1546,'Leads Pipeline'!$A$5:$A$1004,0)),INDEX('Active Clients'!$B$5:$B$504,MATCH(C1546,'Active Clients'!$A$5:$A$504,0)))&amp;"","ID not found"))</f>
        <v/>
      </c>
      <c r="F1546" s="51" t="str">
        <f aca="false">IF(C1546="","",IFERROR(IF(LEFT(C1546,1)="L",INDEX('Leads Pipeline'!$E$5:$E$1004,MATCH(C1546,'Leads Pipeline'!$A$5:$A$1004,0)),INDEX('Active Clients'!$C$5:$C$504,MATCH(C1546,'Active Clients'!$A$5:$A$504,0)))&amp;"","ID not found"))</f>
        <v/>
      </c>
      <c r="G1546" s="16"/>
      <c r="H1546" s="16"/>
      <c r="I1546" s="16"/>
      <c r="J1546" s="16"/>
      <c r="K1546" s="16"/>
      <c r="L1546" s="18"/>
    </row>
    <row r="1547" customFormat="false" ht="15" hidden="false" customHeight="false" outlineLevel="0" collapsed="false">
      <c r="A1547" s="18"/>
      <c r="B1547" s="16"/>
      <c r="C1547" s="16"/>
      <c r="D1547" s="51" t="str">
        <f aca="false">IF(C1547="","",IFERROR(IF(LEFT(C1547,1)="L",INDEX('Leads Pipeline'!$F$5:$F$1004,MATCH(C1547,'Leads Pipeline'!$A$5:$A$1004,0)),INDEX('Active Clients'!$D$5:$D$504,MATCH(C1547,'Active Clients'!$A$5:$A$504,0)))&amp;"","ID not found"))</f>
        <v/>
      </c>
      <c r="E1547" s="51" t="str">
        <f aca="false">IF(C1547="","",IFERROR(IF(LEFT(C1547,1)="L",INDEX('Leads Pipeline'!$D$5:$D$1004,MATCH(C1547,'Leads Pipeline'!$A$5:$A$1004,0)),INDEX('Active Clients'!$B$5:$B$504,MATCH(C1547,'Active Clients'!$A$5:$A$504,0)))&amp;"","ID not found"))</f>
        <v/>
      </c>
      <c r="F1547" s="51" t="str">
        <f aca="false">IF(C1547="","",IFERROR(IF(LEFT(C1547,1)="L",INDEX('Leads Pipeline'!$E$5:$E$1004,MATCH(C1547,'Leads Pipeline'!$A$5:$A$1004,0)),INDEX('Active Clients'!$C$5:$C$504,MATCH(C1547,'Active Clients'!$A$5:$A$504,0)))&amp;"","ID not found"))</f>
        <v/>
      </c>
      <c r="G1547" s="16"/>
      <c r="H1547" s="16"/>
      <c r="I1547" s="16"/>
      <c r="J1547" s="16"/>
      <c r="K1547" s="16"/>
      <c r="L1547" s="18"/>
    </row>
    <row r="1548" customFormat="false" ht="15" hidden="false" customHeight="false" outlineLevel="0" collapsed="false">
      <c r="A1548" s="18"/>
      <c r="B1548" s="16"/>
      <c r="C1548" s="16"/>
      <c r="D1548" s="51" t="str">
        <f aca="false">IF(C1548="","",IFERROR(IF(LEFT(C1548,1)="L",INDEX('Leads Pipeline'!$F$5:$F$1004,MATCH(C1548,'Leads Pipeline'!$A$5:$A$1004,0)),INDEX('Active Clients'!$D$5:$D$504,MATCH(C1548,'Active Clients'!$A$5:$A$504,0)))&amp;"","ID not found"))</f>
        <v/>
      </c>
      <c r="E1548" s="51" t="str">
        <f aca="false">IF(C1548="","",IFERROR(IF(LEFT(C1548,1)="L",INDEX('Leads Pipeline'!$D$5:$D$1004,MATCH(C1548,'Leads Pipeline'!$A$5:$A$1004,0)),INDEX('Active Clients'!$B$5:$B$504,MATCH(C1548,'Active Clients'!$A$5:$A$504,0)))&amp;"","ID not found"))</f>
        <v/>
      </c>
      <c r="F1548" s="51" t="str">
        <f aca="false">IF(C1548="","",IFERROR(IF(LEFT(C1548,1)="L",INDEX('Leads Pipeline'!$E$5:$E$1004,MATCH(C1548,'Leads Pipeline'!$A$5:$A$1004,0)),INDEX('Active Clients'!$C$5:$C$504,MATCH(C1548,'Active Clients'!$A$5:$A$504,0)))&amp;"","ID not found"))</f>
        <v/>
      </c>
      <c r="G1548" s="16"/>
      <c r="H1548" s="16"/>
      <c r="I1548" s="16"/>
      <c r="J1548" s="16"/>
      <c r="K1548" s="16"/>
      <c r="L1548" s="18"/>
    </row>
    <row r="1549" customFormat="false" ht="15" hidden="false" customHeight="false" outlineLevel="0" collapsed="false">
      <c r="A1549" s="18"/>
      <c r="B1549" s="16"/>
      <c r="C1549" s="16"/>
      <c r="D1549" s="51" t="str">
        <f aca="false">IF(C1549="","",IFERROR(IF(LEFT(C1549,1)="L",INDEX('Leads Pipeline'!$F$5:$F$1004,MATCH(C1549,'Leads Pipeline'!$A$5:$A$1004,0)),INDEX('Active Clients'!$D$5:$D$504,MATCH(C1549,'Active Clients'!$A$5:$A$504,0)))&amp;"","ID not found"))</f>
        <v/>
      </c>
      <c r="E1549" s="51" t="str">
        <f aca="false">IF(C1549="","",IFERROR(IF(LEFT(C1549,1)="L",INDEX('Leads Pipeline'!$D$5:$D$1004,MATCH(C1549,'Leads Pipeline'!$A$5:$A$1004,0)),INDEX('Active Clients'!$B$5:$B$504,MATCH(C1549,'Active Clients'!$A$5:$A$504,0)))&amp;"","ID not found"))</f>
        <v/>
      </c>
      <c r="F1549" s="51" t="str">
        <f aca="false">IF(C1549="","",IFERROR(IF(LEFT(C1549,1)="L",INDEX('Leads Pipeline'!$E$5:$E$1004,MATCH(C1549,'Leads Pipeline'!$A$5:$A$1004,0)),INDEX('Active Clients'!$C$5:$C$504,MATCH(C1549,'Active Clients'!$A$5:$A$504,0)))&amp;"","ID not found"))</f>
        <v/>
      </c>
      <c r="G1549" s="16"/>
      <c r="H1549" s="16"/>
      <c r="I1549" s="16"/>
      <c r="J1549" s="16"/>
      <c r="K1549" s="16"/>
      <c r="L1549" s="18"/>
    </row>
    <row r="1550" customFormat="false" ht="15" hidden="false" customHeight="false" outlineLevel="0" collapsed="false">
      <c r="A1550" s="18"/>
      <c r="B1550" s="16"/>
      <c r="C1550" s="16"/>
      <c r="D1550" s="51" t="str">
        <f aca="false">IF(C1550="","",IFERROR(IF(LEFT(C1550,1)="L",INDEX('Leads Pipeline'!$F$5:$F$1004,MATCH(C1550,'Leads Pipeline'!$A$5:$A$1004,0)),INDEX('Active Clients'!$D$5:$D$504,MATCH(C1550,'Active Clients'!$A$5:$A$504,0)))&amp;"","ID not found"))</f>
        <v/>
      </c>
      <c r="E1550" s="51" t="str">
        <f aca="false">IF(C1550="","",IFERROR(IF(LEFT(C1550,1)="L",INDEX('Leads Pipeline'!$D$5:$D$1004,MATCH(C1550,'Leads Pipeline'!$A$5:$A$1004,0)),INDEX('Active Clients'!$B$5:$B$504,MATCH(C1550,'Active Clients'!$A$5:$A$504,0)))&amp;"","ID not found"))</f>
        <v/>
      </c>
      <c r="F1550" s="51" t="str">
        <f aca="false">IF(C1550="","",IFERROR(IF(LEFT(C1550,1)="L",INDEX('Leads Pipeline'!$E$5:$E$1004,MATCH(C1550,'Leads Pipeline'!$A$5:$A$1004,0)),INDEX('Active Clients'!$C$5:$C$504,MATCH(C1550,'Active Clients'!$A$5:$A$504,0)))&amp;"","ID not found"))</f>
        <v/>
      </c>
      <c r="G1550" s="16"/>
      <c r="H1550" s="16"/>
      <c r="I1550" s="16"/>
      <c r="J1550" s="16"/>
      <c r="K1550" s="16"/>
      <c r="L1550" s="18"/>
    </row>
    <row r="1551" customFormat="false" ht="15" hidden="false" customHeight="false" outlineLevel="0" collapsed="false">
      <c r="A1551" s="18"/>
      <c r="B1551" s="16"/>
      <c r="C1551" s="16"/>
      <c r="D1551" s="51" t="str">
        <f aca="false">IF(C1551="","",IFERROR(IF(LEFT(C1551,1)="L",INDEX('Leads Pipeline'!$F$5:$F$1004,MATCH(C1551,'Leads Pipeline'!$A$5:$A$1004,0)),INDEX('Active Clients'!$D$5:$D$504,MATCH(C1551,'Active Clients'!$A$5:$A$504,0)))&amp;"","ID not found"))</f>
        <v/>
      </c>
      <c r="E1551" s="51" t="str">
        <f aca="false">IF(C1551="","",IFERROR(IF(LEFT(C1551,1)="L",INDEX('Leads Pipeline'!$D$5:$D$1004,MATCH(C1551,'Leads Pipeline'!$A$5:$A$1004,0)),INDEX('Active Clients'!$B$5:$B$504,MATCH(C1551,'Active Clients'!$A$5:$A$504,0)))&amp;"","ID not found"))</f>
        <v/>
      </c>
      <c r="F1551" s="51" t="str">
        <f aca="false">IF(C1551="","",IFERROR(IF(LEFT(C1551,1)="L",INDEX('Leads Pipeline'!$E$5:$E$1004,MATCH(C1551,'Leads Pipeline'!$A$5:$A$1004,0)),INDEX('Active Clients'!$C$5:$C$504,MATCH(C1551,'Active Clients'!$A$5:$A$504,0)))&amp;"","ID not found"))</f>
        <v/>
      </c>
      <c r="G1551" s="16"/>
      <c r="H1551" s="16"/>
      <c r="I1551" s="16"/>
      <c r="J1551" s="16"/>
      <c r="K1551" s="16"/>
      <c r="L1551" s="18"/>
    </row>
    <row r="1552" customFormat="false" ht="15" hidden="false" customHeight="false" outlineLevel="0" collapsed="false">
      <c r="A1552" s="18"/>
      <c r="B1552" s="16"/>
      <c r="C1552" s="16"/>
      <c r="D1552" s="51" t="str">
        <f aca="false">IF(C1552="","",IFERROR(IF(LEFT(C1552,1)="L",INDEX('Leads Pipeline'!$F$5:$F$1004,MATCH(C1552,'Leads Pipeline'!$A$5:$A$1004,0)),INDEX('Active Clients'!$D$5:$D$504,MATCH(C1552,'Active Clients'!$A$5:$A$504,0)))&amp;"","ID not found"))</f>
        <v/>
      </c>
      <c r="E1552" s="51" t="str">
        <f aca="false">IF(C1552="","",IFERROR(IF(LEFT(C1552,1)="L",INDEX('Leads Pipeline'!$D$5:$D$1004,MATCH(C1552,'Leads Pipeline'!$A$5:$A$1004,0)),INDEX('Active Clients'!$B$5:$B$504,MATCH(C1552,'Active Clients'!$A$5:$A$504,0)))&amp;"","ID not found"))</f>
        <v/>
      </c>
      <c r="F1552" s="51" t="str">
        <f aca="false">IF(C1552="","",IFERROR(IF(LEFT(C1552,1)="L",INDEX('Leads Pipeline'!$E$5:$E$1004,MATCH(C1552,'Leads Pipeline'!$A$5:$A$1004,0)),INDEX('Active Clients'!$C$5:$C$504,MATCH(C1552,'Active Clients'!$A$5:$A$504,0)))&amp;"","ID not found"))</f>
        <v/>
      </c>
      <c r="G1552" s="16"/>
      <c r="H1552" s="16"/>
      <c r="I1552" s="16"/>
      <c r="J1552" s="16"/>
      <c r="K1552" s="16"/>
      <c r="L1552" s="18"/>
    </row>
    <row r="1553" customFormat="false" ht="15" hidden="false" customHeight="false" outlineLevel="0" collapsed="false">
      <c r="A1553" s="18"/>
      <c r="B1553" s="16"/>
      <c r="C1553" s="16"/>
      <c r="D1553" s="51" t="str">
        <f aca="false">IF(C1553="","",IFERROR(IF(LEFT(C1553,1)="L",INDEX('Leads Pipeline'!$F$5:$F$1004,MATCH(C1553,'Leads Pipeline'!$A$5:$A$1004,0)),INDEX('Active Clients'!$D$5:$D$504,MATCH(C1553,'Active Clients'!$A$5:$A$504,0)))&amp;"","ID not found"))</f>
        <v/>
      </c>
      <c r="E1553" s="51" t="str">
        <f aca="false">IF(C1553="","",IFERROR(IF(LEFT(C1553,1)="L",INDEX('Leads Pipeline'!$D$5:$D$1004,MATCH(C1553,'Leads Pipeline'!$A$5:$A$1004,0)),INDEX('Active Clients'!$B$5:$B$504,MATCH(C1553,'Active Clients'!$A$5:$A$504,0)))&amp;"","ID not found"))</f>
        <v/>
      </c>
      <c r="F1553" s="51" t="str">
        <f aca="false">IF(C1553="","",IFERROR(IF(LEFT(C1553,1)="L",INDEX('Leads Pipeline'!$E$5:$E$1004,MATCH(C1553,'Leads Pipeline'!$A$5:$A$1004,0)),INDEX('Active Clients'!$C$5:$C$504,MATCH(C1553,'Active Clients'!$A$5:$A$504,0)))&amp;"","ID not found"))</f>
        <v/>
      </c>
      <c r="G1553" s="16"/>
      <c r="H1553" s="16"/>
      <c r="I1553" s="16"/>
      <c r="J1553" s="16"/>
      <c r="K1553" s="16"/>
      <c r="L1553" s="18"/>
    </row>
    <row r="1554" customFormat="false" ht="15" hidden="false" customHeight="false" outlineLevel="0" collapsed="false">
      <c r="A1554" s="18"/>
      <c r="B1554" s="16"/>
      <c r="C1554" s="16"/>
      <c r="D1554" s="51" t="str">
        <f aca="false">IF(C1554="","",IFERROR(IF(LEFT(C1554,1)="L",INDEX('Leads Pipeline'!$F$5:$F$1004,MATCH(C1554,'Leads Pipeline'!$A$5:$A$1004,0)),INDEX('Active Clients'!$D$5:$D$504,MATCH(C1554,'Active Clients'!$A$5:$A$504,0)))&amp;"","ID not found"))</f>
        <v/>
      </c>
      <c r="E1554" s="51" t="str">
        <f aca="false">IF(C1554="","",IFERROR(IF(LEFT(C1554,1)="L",INDEX('Leads Pipeline'!$D$5:$D$1004,MATCH(C1554,'Leads Pipeline'!$A$5:$A$1004,0)),INDEX('Active Clients'!$B$5:$B$504,MATCH(C1554,'Active Clients'!$A$5:$A$504,0)))&amp;"","ID not found"))</f>
        <v/>
      </c>
      <c r="F1554" s="51" t="str">
        <f aca="false">IF(C1554="","",IFERROR(IF(LEFT(C1554,1)="L",INDEX('Leads Pipeline'!$E$5:$E$1004,MATCH(C1554,'Leads Pipeline'!$A$5:$A$1004,0)),INDEX('Active Clients'!$C$5:$C$504,MATCH(C1554,'Active Clients'!$A$5:$A$504,0)))&amp;"","ID not found"))</f>
        <v/>
      </c>
      <c r="G1554" s="16"/>
      <c r="H1554" s="16"/>
      <c r="I1554" s="16"/>
      <c r="J1554" s="16"/>
      <c r="K1554" s="16"/>
      <c r="L1554" s="18"/>
    </row>
    <row r="1555" customFormat="false" ht="15" hidden="false" customHeight="false" outlineLevel="0" collapsed="false">
      <c r="A1555" s="18"/>
      <c r="B1555" s="16"/>
      <c r="C1555" s="16"/>
      <c r="D1555" s="51" t="str">
        <f aca="false">IF(C1555="","",IFERROR(IF(LEFT(C1555,1)="L",INDEX('Leads Pipeline'!$F$5:$F$1004,MATCH(C1555,'Leads Pipeline'!$A$5:$A$1004,0)),INDEX('Active Clients'!$D$5:$D$504,MATCH(C1555,'Active Clients'!$A$5:$A$504,0)))&amp;"","ID not found"))</f>
        <v/>
      </c>
      <c r="E1555" s="51" t="str">
        <f aca="false">IF(C1555="","",IFERROR(IF(LEFT(C1555,1)="L",INDEX('Leads Pipeline'!$D$5:$D$1004,MATCH(C1555,'Leads Pipeline'!$A$5:$A$1004,0)),INDEX('Active Clients'!$B$5:$B$504,MATCH(C1555,'Active Clients'!$A$5:$A$504,0)))&amp;"","ID not found"))</f>
        <v/>
      </c>
      <c r="F1555" s="51" t="str">
        <f aca="false">IF(C1555="","",IFERROR(IF(LEFT(C1555,1)="L",INDEX('Leads Pipeline'!$E$5:$E$1004,MATCH(C1555,'Leads Pipeline'!$A$5:$A$1004,0)),INDEX('Active Clients'!$C$5:$C$504,MATCH(C1555,'Active Clients'!$A$5:$A$504,0)))&amp;"","ID not found"))</f>
        <v/>
      </c>
      <c r="G1555" s="16"/>
      <c r="H1555" s="16"/>
      <c r="I1555" s="16"/>
      <c r="J1555" s="16"/>
      <c r="K1555" s="16"/>
      <c r="L1555" s="18"/>
    </row>
    <row r="1556" customFormat="false" ht="15" hidden="false" customHeight="false" outlineLevel="0" collapsed="false">
      <c r="A1556" s="18"/>
      <c r="B1556" s="16"/>
      <c r="C1556" s="16"/>
      <c r="D1556" s="51" t="str">
        <f aca="false">IF(C1556="","",IFERROR(IF(LEFT(C1556,1)="L",INDEX('Leads Pipeline'!$F$5:$F$1004,MATCH(C1556,'Leads Pipeline'!$A$5:$A$1004,0)),INDEX('Active Clients'!$D$5:$D$504,MATCH(C1556,'Active Clients'!$A$5:$A$504,0)))&amp;"","ID not found"))</f>
        <v/>
      </c>
      <c r="E1556" s="51" t="str">
        <f aca="false">IF(C1556="","",IFERROR(IF(LEFT(C1556,1)="L",INDEX('Leads Pipeline'!$D$5:$D$1004,MATCH(C1556,'Leads Pipeline'!$A$5:$A$1004,0)),INDEX('Active Clients'!$B$5:$B$504,MATCH(C1556,'Active Clients'!$A$5:$A$504,0)))&amp;"","ID not found"))</f>
        <v/>
      </c>
      <c r="F1556" s="51" t="str">
        <f aca="false">IF(C1556="","",IFERROR(IF(LEFT(C1556,1)="L",INDEX('Leads Pipeline'!$E$5:$E$1004,MATCH(C1556,'Leads Pipeline'!$A$5:$A$1004,0)),INDEX('Active Clients'!$C$5:$C$504,MATCH(C1556,'Active Clients'!$A$5:$A$504,0)))&amp;"","ID not found"))</f>
        <v/>
      </c>
      <c r="G1556" s="16"/>
      <c r="H1556" s="16"/>
      <c r="I1556" s="16"/>
      <c r="J1556" s="16"/>
      <c r="K1556" s="16"/>
      <c r="L1556" s="18"/>
    </row>
    <row r="1557" customFormat="false" ht="15" hidden="false" customHeight="false" outlineLevel="0" collapsed="false">
      <c r="A1557" s="18"/>
      <c r="B1557" s="16"/>
      <c r="C1557" s="16"/>
      <c r="D1557" s="51" t="str">
        <f aca="false">IF(C1557="","",IFERROR(IF(LEFT(C1557,1)="L",INDEX('Leads Pipeline'!$F$5:$F$1004,MATCH(C1557,'Leads Pipeline'!$A$5:$A$1004,0)),INDEX('Active Clients'!$D$5:$D$504,MATCH(C1557,'Active Clients'!$A$5:$A$504,0)))&amp;"","ID not found"))</f>
        <v/>
      </c>
      <c r="E1557" s="51" t="str">
        <f aca="false">IF(C1557="","",IFERROR(IF(LEFT(C1557,1)="L",INDEX('Leads Pipeline'!$D$5:$D$1004,MATCH(C1557,'Leads Pipeline'!$A$5:$A$1004,0)),INDEX('Active Clients'!$B$5:$B$504,MATCH(C1557,'Active Clients'!$A$5:$A$504,0)))&amp;"","ID not found"))</f>
        <v/>
      </c>
      <c r="F1557" s="51" t="str">
        <f aca="false">IF(C1557="","",IFERROR(IF(LEFT(C1557,1)="L",INDEX('Leads Pipeline'!$E$5:$E$1004,MATCH(C1557,'Leads Pipeline'!$A$5:$A$1004,0)),INDEX('Active Clients'!$C$5:$C$504,MATCH(C1557,'Active Clients'!$A$5:$A$504,0)))&amp;"","ID not found"))</f>
        <v/>
      </c>
      <c r="G1557" s="16"/>
      <c r="H1557" s="16"/>
      <c r="I1557" s="16"/>
      <c r="J1557" s="16"/>
      <c r="K1557" s="16"/>
      <c r="L1557" s="18"/>
    </row>
    <row r="1558" customFormat="false" ht="15" hidden="false" customHeight="false" outlineLevel="0" collapsed="false">
      <c r="A1558" s="18"/>
      <c r="B1558" s="16"/>
      <c r="C1558" s="16"/>
      <c r="D1558" s="51" t="str">
        <f aca="false">IF(C1558="","",IFERROR(IF(LEFT(C1558,1)="L",INDEX('Leads Pipeline'!$F$5:$F$1004,MATCH(C1558,'Leads Pipeline'!$A$5:$A$1004,0)),INDEX('Active Clients'!$D$5:$D$504,MATCH(C1558,'Active Clients'!$A$5:$A$504,0)))&amp;"","ID not found"))</f>
        <v/>
      </c>
      <c r="E1558" s="51" t="str">
        <f aca="false">IF(C1558="","",IFERROR(IF(LEFT(C1558,1)="L",INDEX('Leads Pipeline'!$D$5:$D$1004,MATCH(C1558,'Leads Pipeline'!$A$5:$A$1004,0)),INDEX('Active Clients'!$B$5:$B$504,MATCH(C1558,'Active Clients'!$A$5:$A$504,0)))&amp;"","ID not found"))</f>
        <v/>
      </c>
      <c r="F1558" s="51" t="str">
        <f aca="false">IF(C1558="","",IFERROR(IF(LEFT(C1558,1)="L",INDEX('Leads Pipeline'!$E$5:$E$1004,MATCH(C1558,'Leads Pipeline'!$A$5:$A$1004,0)),INDEX('Active Clients'!$C$5:$C$504,MATCH(C1558,'Active Clients'!$A$5:$A$504,0)))&amp;"","ID not found"))</f>
        <v/>
      </c>
      <c r="G1558" s="16"/>
      <c r="H1558" s="16"/>
      <c r="I1558" s="16"/>
      <c r="J1558" s="16"/>
      <c r="K1558" s="16"/>
      <c r="L1558" s="18"/>
    </row>
    <row r="1559" customFormat="false" ht="15" hidden="false" customHeight="false" outlineLevel="0" collapsed="false">
      <c r="A1559" s="18"/>
      <c r="B1559" s="16"/>
      <c r="C1559" s="16"/>
      <c r="D1559" s="51" t="str">
        <f aca="false">IF(C1559="","",IFERROR(IF(LEFT(C1559,1)="L",INDEX('Leads Pipeline'!$F$5:$F$1004,MATCH(C1559,'Leads Pipeline'!$A$5:$A$1004,0)),INDEX('Active Clients'!$D$5:$D$504,MATCH(C1559,'Active Clients'!$A$5:$A$504,0)))&amp;"","ID not found"))</f>
        <v/>
      </c>
      <c r="E1559" s="51" t="str">
        <f aca="false">IF(C1559="","",IFERROR(IF(LEFT(C1559,1)="L",INDEX('Leads Pipeline'!$D$5:$D$1004,MATCH(C1559,'Leads Pipeline'!$A$5:$A$1004,0)),INDEX('Active Clients'!$B$5:$B$504,MATCH(C1559,'Active Clients'!$A$5:$A$504,0)))&amp;"","ID not found"))</f>
        <v/>
      </c>
      <c r="F1559" s="51" t="str">
        <f aca="false">IF(C1559="","",IFERROR(IF(LEFT(C1559,1)="L",INDEX('Leads Pipeline'!$E$5:$E$1004,MATCH(C1559,'Leads Pipeline'!$A$5:$A$1004,0)),INDEX('Active Clients'!$C$5:$C$504,MATCH(C1559,'Active Clients'!$A$5:$A$504,0)))&amp;"","ID not found"))</f>
        <v/>
      </c>
      <c r="G1559" s="16"/>
      <c r="H1559" s="16"/>
      <c r="I1559" s="16"/>
      <c r="J1559" s="16"/>
      <c r="K1559" s="16"/>
      <c r="L1559" s="18"/>
    </row>
    <row r="1560" customFormat="false" ht="15" hidden="false" customHeight="false" outlineLevel="0" collapsed="false">
      <c r="A1560" s="18"/>
      <c r="B1560" s="16"/>
      <c r="C1560" s="16"/>
      <c r="D1560" s="51" t="str">
        <f aca="false">IF(C1560="","",IFERROR(IF(LEFT(C1560,1)="L",INDEX('Leads Pipeline'!$F$5:$F$1004,MATCH(C1560,'Leads Pipeline'!$A$5:$A$1004,0)),INDEX('Active Clients'!$D$5:$D$504,MATCH(C1560,'Active Clients'!$A$5:$A$504,0)))&amp;"","ID not found"))</f>
        <v/>
      </c>
      <c r="E1560" s="51" t="str">
        <f aca="false">IF(C1560="","",IFERROR(IF(LEFT(C1560,1)="L",INDEX('Leads Pipeline'!$D$5:$D$1004,MATCH(C1560,'Leads Pipeline'!$A$5:$A$1004,0)),INDEX('Active Clients'!$B$5:$B$504,MATCH(C1560,'Active Clients'!$A$5:$A$504,0)))&amp;"","ID not found"))</f>
        <v/>
      </c>
      <c r="F1560" s="51" t="str">
        <f aca="false">IF(C1560="","",IFERROR(IF(LEFT(C1560,1)="L",INDEX('Leads Pipeline'!$E$5:$E$1004,MATCH(C1560,'Leads Pipeline'!$A$5:$A$1004,0)),INDEX('Active Clients'!$C$5:$C$504,MATCH(C1560,'Active Clients'!$A$5:$A$504,0)))&amp;"","ID not found"))</f>
        <v/>
      </c>
      <c r="G1560" s="16"/>
      <c r="H1560" s="16"/>
      <c r="I1560" s="16"/>
      <c r="J1560" s="16"/>
      <c r="K1560" s="16"/>
      <c r="L1560" s="18"/>
    </row>
    <row r="1561" customFormat="false" ht="15" hidden="false" customHeight="false" outlineLevel="0" collapsed="false">
      <c r="A1561" s="18"/>
      <c r="B1561" s="16"/>
      <c r="C1561" s="16"/>
      <c r="D1561" s="51" t="str">
        <f aca="false">IF(C1561="","",IFERROR(IF(LEFT(C1561,1)="L",INDEX('Leads Pipeline'!$F$5:$F$1004,MATCH(C1561,'Leads Pipeline'!$A$5:$A$1004,0)),INDEX('Active Clients'!$D$5:$D$504,MATCH(C1561,'Active Clients'!$A$5:$A$504,0)))&amp;"","ID not found"))</f>
        <v/>
      </c>
      <c r="E1561" s="51" t="str">
        <f aca="false">IF(C1561="","",IFERROR(IF(LEFT(C1561,1)="L",INDEX('Leads Pipeline'!$D$5:$D$1004,MATCH(C1561,'Leads Pipeline'!$A$5:$A$1004,0)),INDEX('Active Clients'!$B$5:$B$504,MATCH(C1561,'Active Clients'!$A$5:$A$504,0)))&amp;"","ID not found"))</f>
        <v/>
      </c>
      <c r="F1561" s="51" t="str">
        <f aca="false">IF(C1561="","",IFERROR(IF(LEFT(C1561,1)="L",INDEX('Leads Pipeline'!$E$5:$E$1004,MATCH(C1561,'Leads Pipeline'!$A$5:$A$1004,0)),INDEX('Active Clients'!$C$5:$C$504,MATCH(C1561,'Active Clients'!$A$5:$A$504,0)))&amp;"","ID not found"))</f>
        <v/>
      </c>
      <c r="G1561" s="16"/>
      <c r="H1561" s="16"/>
      <c r="I1561" s="16"/>
      <c r="J1561" s="16"/>
      <c r="K1561" s="16"/>
      <c r="L1561" s="18"/>
    </row>
    <row r="1562" customFormat="false" ht="15" hidden="false" customHeight="false" outlineLevel="0" collapsed="false">
      <c r="A1562" s="18"/>
      <c r="B1562" s="16"/>
      <c r="C1562" s="16"/>
      <c r="D1562" s="51" t="str">
        <f aca="false">IF(C1562="","",IFERROR(IF(LEFT(C1562,1)="L",INDEX('Leads Pipeline'!$F$5:$F$1004,MATCH(C1562,'Leads Pipeline'!$A$5:$A$1004,0)),INDEX('Active Clients'!$D$5:$D$504,MATCH(C1562,'Active Clients'!$A$5:$A$504,0)))&amp;"","ID not found"))</f>
        <v/>
      </c>
      <c r="E1562" s="51" t="str">
        <f aca="false">IF(C1562="","",IFERROR(IF(LEFT(C1562,1)="L",INDEX('Leads Pipeline'!$D$5:$D$1004,MATCH(C1562,'Leads Pipeline'!$A$5:$A$1004,0)),INDEX('Active Clients'!$B$5:$B$504,MATCH(C1562,'Active Clients'!$A$5:$A$504,0)))&amp;"","ID not found"))</f>
        <v/>
      </c>
      <c r="F1562" s="51" t="str">
        <f aca="false">IF(C1562="","",IFERROR(IF(LEFT(C1562,1)="L",INDEX('Leads Pipeline'!$E$5:$E$1004,MATCH(C1562,'Leads Pipeline'!$A$5:$A$1004,0)),INDEX('Active Clients'!$C$5:$C$504,MATCH(C1562,'Active Clients'!$A$5:$A$504,0)))&amp;"","ID not found"))</f>
        <v/>
      </c>
      <c r="G1562" s="16"/>
      <c r="H1562" s="16"/>
      <c r="I1562" s="16"/>
      <c r="J1562" s="16"/>
      <c r="K1562" s="16"/>
      <c r="L1562" s="18"/>
    </row>
    <row r="1563" customFormat="false" ht="15" hidden="false" customHeight="false" outlineLevel="0" collapsed="false">
      <c r="A1563" s="18"/>
      <c r="B1563" s="16"/>
      <c r="C1563" s="16"/>
      <c r="D1563" s="51" t="str">
        <f aca="false">IF(C1563="","",IFERROR(IF(LEFT(C1563,1)="L",INDEX('Leads Pipeline'!$F$5:$F$1004,MATCH(C1563,'Leads Pipeline'!$A$5:$A$1004,0)),INDEX('Active Clients'!$D$5:$D$504,MATCH(C1563,'Active Clients'!$A$5:$A$504,0)))&amp;"","ID not found"))</f>
        <v/>
      </c>
      <c r="E1563" s="51" t="str">
        <f aca="false">IF(C1563="","",IFERROR(IF(LEFT(C1563,1)="L",INDEX('Leads Pipeline'!$D$5:$D$1004,MATCH(C1563,'Leads Pipeline'!$A$5:$A$1004,0)),INDEX('Active Clients'!$B$5:$B$504,MATCH(C1563,'Active Clients'!$A$5:$A$504,0)))&amp;"","ID not found"))</f>
        <v/>
      </c>
      <c r="F1563" s="51" t="str">
        <f aca="false">IF(C1563="","",IFERROR(IF(LEFT(C1563,1)="L",INDEX('Leads Pipeline'!$E$5:$E$1004,MATCH(C1563,'Leads Pipeline'!$A$5:$A$1004,0)),INDEX('Active Clients'!$C$5:$C$504,MATCH(C1563,'Active Clients'!$A$5:$A$504,0)))&amp;"","ID not found"))</f>
        <v/>
      </c>
      <c r="G1563" s="16"/>
      <c r="H1563" s="16"/>
      <c r="I1563" s="16"/>
      <c r="J1563" s="16"/>
      <c r="K1563" s="16"/>
      <c r="L1563" s="18"/>
    </row>
    <row r="1564" customFormat="false" ht="15" hidden="false" customHeight="false" outlineLevel="0" collapsed="false">
      <c r="A1564" s="18"/>
      <c r="B1564" s="16"/>
      <c r="C1564" s="16"/>
      <c r="D1564" s="51" t="str">
        <f aca="false">IF(C1564="","",IFERROR(IF(LEFT(C1564,1)="L",INDEX('Leads Pipeline'!$F$5:$F$1004,MATCH(C1564,'Leads Pipeline'!$A$5:$A$1004,0)),INDEX('Active Clients'!$D$5:$D$504,MATCH(C1564,'Active Clients'!$A$5:$A$504,0)))&amp;"","ID not found"))</f>
        <v/>
      </c>
      <c r="E1564" s="51" t="str">
        <f aca="false">IF(C1564="","",IFERROR(IF(LEFT(C1564,1)="L",INDEX('Leads Pipeline'!$D$5:$D$1004,MATCH(C1564,'Leads Pipeline'!$A$5:$A$1004,0)),INDEX('Active Clients'!$B$5:$B$504,MATCH(C1564,'Active Clients'!$A$5:$A$504,0)))&amp;"","ID not found"))</f>
        <v/>
      </c>
      <c r="F1564" s="51" t="str">
        <f aca="false">IF(C1564="","",IFERROR(IF(LEFT(C1564,1)="L",INDEX('Leads Pipeline'!$E$5:$E$1004,MATCH(C1564,'Leads Pipeline'!$A$5:$A$1004,0)),INDEX('Active Clients'!$C$5:$C$504,MATCH(C1564,'Active Clients'!$A$5:$A$504,0)))&amp;"","ID not found"))</f>
        <v/>
      </c>
      <c r="G1564" s="16"/>
      <c r="H1564" s="16"/>
      <c r="I1564" s="16"/>
      <c r="J1564" s="16"/>
      <c r="K1564" s="16"/>
      <c r="L1564" s="18"/>
    </row>
    <row r="1565" customFormat="false" ht="15" hidden="false" customHeight="false" outlineLevel="0" collapsed="false">
      <c r="A1565" s="18"/>
      <c r="B1565" s="16"/>
      <c r="C1565" s="16"/>
      <c r="D1565" s="51" t="str">
        <f aca="false">IF(C1565="","",IFERROR(IF(LEFT(C1565,1)="L",INDEX('Leads Pipeline'!$F$5:$F$1004,MATCH(C1565,'Leads Pipeline'!$A$5:$A$1004,0)),INDEX('Active Clients'!$D$5:$D$504,MATCH(C1565,'Active Clients'!$A$5:$A$504,0)))&amp;"","ID not found"))</f>
        <v/>
      </c>
      <c r="E1565" s="51" t="str">
        <f aca="false">IF(C1565="","",IFERROR(IF(LEFT(C1565,1)="L",INDEX('Leads Pipeline'!$D$5:$D$1004,MATCH(C1565,'Leads Pipeline'!$A$5:$A$1004,0)),INDEX('Active Clients'!$B$5:$B$504,MATCH(C1565,'Active Clients'!$A$5:$A$504,0)))&amp;"","ID not found"))</f>
        <v/>
      </c>
      <c r="F1565" s="51" t="str">
        <f aca="false">IF(C1565="","",IFERROR(IF(LEFT(C1565,1)="L",INDEX('Leads Pipeline'!$E$5:$E$1004,MATCH(C1565,'Leads Pipeline'!$A$5:$A$1004,0)),INDEX('Active Clients'!$C$5:$C$504,MATCH(C1565,'Active Clients'!$A$5:$A$504,0)))&amp;"","ID not found"))</f>
        <v/>
      </c>
      <c r="G1565" s="16"/>
      <c r="H1565" s="16"/>
      <c r="I1565" s="16"/>
      <c r="J1565" s="16"/>
      <c r="K1565" s="16"/>
      <c r="L1565" s="18"/>
    </row>
    <row r="1566" customFormat="false" ht="15" hidden="false" customHeight="false" outlineLevel="0" collapsed="false">
      <c r="A1566" s="18"/>
      <c r="B1566" s="16"/>
      <c r="C1566" s="16"/>
      <c r="D1566" s="51" t="str">
        <f aca="false">IF(C1566="","",IFERROR(IF(LEFT(C1566,1)="L",INDEX('Leads Pipeline'!$F$5:$F$1004,MATCH(C1566,'Leads Pipeline'!$A$5:$A$1004,0)),INDEX('Active Clients'!$D$5:$D$504,MATCH(C1566,'Active Clients'!$A$5:$A$504,0)))&amp;"","ID not found"))</f>
        <v/>
      </c>
      <c r="E1566" s="51" t="str">
        <f aca="false">IF(C1566="","",IFERROR(IF(LEFT(C1566,1)="L",INDEX('Leads Pipeline'!$D$5:$D$1004,MATCH(C1566,'Leads Pipeline'!$A$5:$A$1004,0)),INDEX('Active Clients'!$B$5:$B$504,MATCH(C1566,'Active Clients'!$A$5:$A$504,0)))&amp;"","ID not found"))</f>
        <v/>
      </c>
      <c r="F1566" s="51" t="str">
        <f aca="false">IF(C1566="","",IFERROR(IF(LEFT(C1566,1)="L",INDEX('Leads Pipeline'!$E$5:$E$1004,MATCH(C1566,'Leads Pipeline'!$A$5:$A$1004,0)),INDEX('Active Clients'!$C$5:$C$504,MATCH(C1566,'Active Clients'!$A$5:$A$504,0)))&amp;"","ID not found"))</f>
        <v/>
      </c>
      <c r="G1566" s="16"/>
      <c r="H1566" s="16"/>
      <c r="I1566" s="16"/>
      <c r="J1566" s="16"/>
      <c r="K1566" s="16"/>
      <c r="L1566" s="18"/>
    </row>
    <row r="1567" customFormat="false" ht="15" hidden="false" customHeight="false" outlineLevel="0" collapsed="false">
      <c r="A1567" s="18"/>
      <c r="B1567" s="16"/>
      <c r="C1567" s="16"/>
      <c r="D1567" s="51" t="str">
        <f aca="false">IF(C1567="","",IFERROR(IF(LEFT(C1567,1)="L",INDEX('Leads Pipeline'!$F$5:$F$1004,MATCH(C1567,'Leads Pipeline'!$A$5:$A$1004,0)),INDEX('Active Clients'!$D$5:$D$504,MATCH(C1567,'Active Clients'!$A$5:$A$504,0)))&amp;"","ID not found"))</f>
        <v/>
      </c>
      <c r="E1567" s="51" t="str">
        <f aca="false">IF(C1567="","",IFERROR(IF(LEFT(C1567,1)="L",INDEX('Leads Pipeline'!$D$5:$D$1004,MATCH(C1567,'Leads Pipeline'!$A$5:$A$1004,0)),INDEX('Active Clients'!$B$5:$B$504,MATCH(C1567,'Active Clients'!$A$5:$A$504,0)))&amp;"","ID not found"))</f>
        <v/>
      </c>
      <c r="F1567" s="51" t="str">
        <f aca="false">IF(C1567="","",IFERROR(IF(LEFT(C1567,1)="L",INDEX('Leads Pipeline'!$E$5:$E$1004,MATCH(C1567,'Leads Pipeline'!$A$5:$A$1004,0)),INDEX('Active Clients'!$C$5:$C$504,MATCH(C1567,'Active Clients'!$A$5:$A$504,0)))&amp;"","ID not found"))</f>
        <v/>
      </c>
      <c r="G1567" s="16"/>
      <c r="H1567" s="16"/>
      <c r="I1567" s="16"/>
      <c r="J1567" s="16"/>
      <c r="K1567" s="16"/>
      <c r="L1567" s="18"/>
    </row>
    <row r="1568" customFormat="false" ht="15" hidden="false" customHeight="false" outlineLevel="0" collapsed="false">
      <c r="A1568" s="18"/>
      <c r="B1568" s="16"/>
      <c r="C1568" s="16"/>
      <c r="D1568" s="51" t="str">
        <f aca="false">IF(C1568="","",IFERROR(IF(LEFT(C1568,1)="L",INDEX('Leads Pipeline'!$F$5:$F$1004,MATCH(C1568,'Leads Pipeline'!$A$5:$A$1004,0)),INDEX('Active Clients'!$D$5:$D$504,MATCH(C1568,'Active Clients'!$A$5:$A$504,0)))&amp;"","ID not found"))</f>
        <v/>
      </c>
      <c r="E1568" s="51" t="str">
        <f aca="false">IF(C1568="","",IFERROR(IF(LEFT(C1568,1)="L",INDEX('Leads Pipeline'!$D$5:$D$1004,MATCH(C1568,'Leads Pipeline'!$A$5:$A$1004,0)),INDEX('Active Clients'!$B$5:$B$504,MATCH(C1568,'Active Clients'!$A$5:$A$504,0)))&amp;"","ID not found"))</f>
        <v/>
      </c>
      <c r="F1568" s="51" t="str">
        <f aca="false">IF(C1568="","",IFERROR(IF(LEFT(C1568,1)="L",INDEX('Leads Pipeline'!$E$5:$E$1004,MATCH(C1568,'Leads Pipeline'!$A$5:$A$1004,0)),INDEX('Active Clients'!$C$5:$C$504,MATCH(C1568,'Active Clients'!$A$5:$A$504,0)))&amp;"","ID not found"))</f>
        <v/>
      </c>
      <c r="G1568" s="16"/>
      <c r="H1568" s="16"/>
      <c r="I1568" s="16"/>
      <c r="J1568" s="16"/>
      <c r="K1568" s="16"/>
      <c r="L1568" s="18"/>
    </row>
    <row r="1569" customFormat="false" ht="15" hidden="false" customHeight="false" outlineLevel="0" collapsed="false">
      <c r="A1569" s="18"/>
      <c r="B1569" s="16"/>
      <c r="C1569" s="16"/>
      <c r="D1569" s="51" t="str">
        <f aca="false">IF(C1569="","",IFERROR(IF(LEFT(C1569,1)="L",INDEX('Leads Pipeline'!$F$5:$F$1004,MATCH(C1569,'Leads Pipeline'!$A$5:$A$1004,0)),INDEX('Active Clients'!$D$5:$D$504,MATCH(C1569,'Active Clients'!$A$5:$A$504,0)))&amp;"","ID not found"))</f>
        <v/>
      </c>
      <c r="E1569" s="51" t="str">
        <f aca="false">IF(C1569="","",IFERROR(IF(LEFT(C1569,1)="L",INDEX('Leads Pipeline'!$D$5:$D$1004,MATCH(C1569,'Leads Pipeline'!$A$5:$A$1004,0)),INDEX('Active Clients'!$B$5:$B$504,MATCH(C1569,'Active Clients'!$A$5:$A$504,0)))&amp;"","ID not found"))</f>
        <v/>
      </c>
      <c r="F1569" s="51" t="str">
        <f aca="false">IF(C1569="","",IFERROR(IF(LEFT(C1569,1)="L",INDEX('Leads Pipeline'!$E$5:$E$1004,MATCH(C1569,'Leads Pipeline'!$A$5:$A$1004,0)),INDEX('Active Clients'!$C$5:$C$504,MATCH(C1569,'Active Clients'!$A$5:$A$504,0)))&amp;"","ID not found"))</f>
        <v/>
      </c>
      <c r="G1569" s="16"/>
      <c r="H1569" s="16"/>
      <c r="I1569" s="16"/>
      <c r="J1569" s="16"/>
      <c r="K1569" s="16"/>
      <c r="L1569" s="18"/>
    </row>
    <row r="1570" customFormat="false" ht="15" hidden="false" customHeight="false" outlineLevel="0" collapsed="false">
      <c r="A1570" s="18"/>
      <c r="B1570" s="16"/>
      <c r="C1570" s="16"/>
      <c r="D1570" s="51" t="str">
        <f aca="false">IF(C1570="","",IFERROR(IF(LEFT(C1570,1)="L",INDEX('Leads Pipeline'!$F$5:$F$1004,MATCH(C1570,'Leads Pipeline'!$A$5:$A$1004,0)),INDEX('Active Clients'!$D$5:$D$504,MATCH(C1570,'Active Clients'!$A$5:$A$504,0)))&amp;"","ID not found"))</f>
        <v/>
      </c>
      <c r="E1570" s="51" t="str">
        <f aca="false">IF(C1570="","",IFERROR(IF(LEFT(C1570,1)="L",INDEX('Leads Pipeline'!$D$5:$D$1004,MATCH(C1570,'Leads Pipeline'!$A$5:$A$1004,0)),INDEX('Active Clients'!$B$5:$B$504,MATCH(C1570,'Active Clients'!$A$5:$A$504,0)))&amp;"","ID not found"))</f>
        <v/>
      </c>
      <c r="F1570" s="51" t="str">
        <f aca="false">IF(C1570="","",IFERROR(IF(LEFT(C1570,1)="L",INDEX('Leads Pipeline'!$E$5:$E$1004,MATCH(C1570,'Leads Pipeline'!$A$5:$A$1004,0)),INDEX('Active Clients'!$C$5:$C$504,MATCH(C1570,'Active Clients'!$A$5:$A$504,0)))&amp;"","ID not found"))</f>
        <v/>
      </c>
      <c r="G1570" s="16"/>
      <c r="H1570" s="16"/>
      <c r="I1570" s="16"/>
      <c r="J1570" s="16"/>
      <c r="K1570" s="16"/>
      <c r="L1570" s="18"/>
    </row>
    <row r="1571" customFormat="false" ht="15" hidden="false" customHeight="false" outlineLevel="0" collapsed="false">
      <c r="A1571" s="18"/>
      <c r="B1571" s="16"/>
      <c r="C1571" s="16"/>
      <c r="D1571" s="51" t="str">
        <f aca="false">IF(C1571="","",IFERROR(IF(LEFT(C1571,1)="L",INDEX('Leads Pipeline'!$F$5:$F$1004,MATCH(C1571,'Leads Pipeline'!$A$5:$A$1004,0)),INDEX('Active Clients'!$D$5:$D$504,MATCH(C1571,'Active Clients'!$A$5:$A$504,0)))&amp;"","ID not found"))</f>
        <v/>
      </c>
      <c r="E1571" s="51" t="str">
        <f aca="false">IF(C1571="","",IFERROR(IF(LEFT(C1571,1)="L",INDEX('Leads Pipeline'!$D$5:$D$1004,MATCH(C1571,'Leads Pipeline'!$A$5:$A$1004,0)),INDEX('Active Clients'!$B$5:$B$504,MATCH(C1571,'Active Clients'!$A$5:$A$504,0)))&amp;"","ID not found"))</f>
        <v/>
      </c>
      <c r="F1571" s="51" t="str">
        <f aca="false">IF(C1571="","",IFERROR(IF(LEFT(C1571,1)="L",INDEX('Leads Pipeline'!$E$5:$E$1004,MATCH(C1571,'Leads Pipeline'!$A$5:$A$1004,0)),INDEX('Active Clients'!$C$5:$C$504,MATCH(C1571,'Active Clients'!$A$5:$A$504,0)))&amp;"","ID not found"))</f>
        <v/>
      </c>
      <c r="G1571" s="16"/>
      <c r="H1571" s="16"/>
      <c r="I1571" s="16"/>
      <c r="J1571" s="16"/>
      <c r="K1571" s="16"/>
      <c r="L1571" s="18"/>
    </row>
    <row r="1572" customFormat="false" ht="15" hidden="false" customHeight="false" outlineLevel="0" collapsed="false">
      <c r="A1572" s="18"/>
      <c r="B1572" s="16"/>
      <c r="C1572" s="16"/>
      <c r="D1572" s="51" t="str">
        <f aca="false">IF(C1572="","",IFERROR(IF(LEFT(C1572,1)="L",INDEX('Leads Pipeline'!$F$5:$F$1004,MATCH(C1572,'Leads Pipeline'!$A$5:$A$1004,0)),INDEX('Active Clients'!$D$5:$D$504,MATCH(C1572,'Active Clients'!$A$5:$A$504,0)))&amp;"","ID not found"))</f>
        <v/>
      </c>
      <c r="E1572" s="51" t="str">
        <f aca="false">IF(C1572="","",IFERROR(IF(LEFT(C1572,1)="L",INDEX('Leads Pipeline'!$D$5:$D$1004,MATCH(C1572,'Leads Pipeline'!$A$5:$A$1004,0)),INDEX('Active Clients'!$B$5:$B$504,MATCH(C1572,'Active Clients'!$A$5:$A$504,0)))&amp;"","ID not found"))</f>
        <v/>
      </c>
      <c r="F1572" s="51" t="str">
        <f aca="false">IF(C1572="","",IFERROR(IF(LEFT(C1572,1)="L",INDEX('Leads Pipeline'!$E$5:$E$1004,MATCH(C1572,'Leads Pipeline'!$A$5:$A$1004,0)),INDEX('Active Clients'!$C$5:$C$504,MATCH(C1572,'Active Clients'!$A$5:$A$504,0)))&amp;"","ID not found"))</f>
        <v/>
      </c>
      <c r="G1572" s="16"/>
      <c r="H1572" s="16"/>
      <c r="I1572" s="16"/>
      <c r="J1572" s="16"/>
      <c r="K1572" s="16"/>
      <c r="L1572" s="18"/>
    </row>
    <row r="1573" customFormat="false" ht="15" hidden="false" customHeight="false" outlineLevel="0" collapsed="false">
      <c r="A1573" s="18"/>
      <c r="B1573" s="16"/>
      <c r="C1573" s="16"/>
      <c r="D1573" s="51" t="str">
        <f aca="false">IF(C1573="","",IFERROR(IF(LEFT(C1573,1)="L",INDEX('Leads Pipeline'!$F$5:$F$1004,MATCH(C1573,'Leads Pipeline'!$A$5:$A$1004,0)),INDEX('Active Clients'!$D$5:$D$504,MATCH(C1573,'Active Clients'!$A$5:$A$504,0)))&amp;"","ID not found"))</f>
        <v/>
      </c>
      <c r="E1573" s="51" t="str">
        <f aca="false">IF(C1573="","",IFERROR(IF(LEFT(C1573,1)="L",INDEX('Leads Pipeline'!$D$5:$D$1004,MATCH(C1573,'Leads Pipeline'!$A$5:$A$1004,0)),INDEX('Active Clients'!$B$5:$B$504,MATCH(C1573,'Active Clients'!$A$5:$A$504,0)))&amp;"","ID not found"))</f>
        <v/>
      </c>
      <c r="F1573" s="51" t="str">
        <f aca="false">IF(C1573="","",IFERROR(IF(LEFT(C1573,1)="L",INDEX('Leads Pipeline'!$E$5:$E$1004,MATCH(C1573,'Leads Pipeline'!$A$5:$A$1004,0)),INDEX('Active Clients'!$C$5:$C$504,MATCH(C1573,'Active Clients'!$A$5:$A$504,0)))&amp;"","ID not found"))</f>
        <v/>
      </c>
      <c r="G1573" s="16"/>
      <c r="H1573" s="16"/>
      <c r="I1573" s="16"/>
      <c r="J1573" s="16"/>
      <c r="K1573" s="16"/>
      <c r="L1573" s="18"/>
    </row>
    <row r="1574" customFormat="false" ht="15" hidden="false" customHeight="false" outlineLevel="0" collapsed="false">
      <c r="A1574" s="18"/>
      <c r="B1574" s="16"/>
      <c r="C1574" s="16"/>
      <c r="D1574" s="51" t="str">
        <f aca="false">IF(C1574="","",IFERROR(IF(LEFT(C1574,1)="L",INDEX('Leads Pipeline'!$F$5:$F$1004,MATCH(C1574,'Leads Pipeline'!$A$5:$A$1004,0)),INDEX('Active Clients'!$D$5:$D$504,MATCH(C1574,'Active Clients'!$A$5:$A$504,0)))&amp;"","ID not found"))</f>
        <v/>
      </c>
      <c r="E1574" s="51" t="str">
        <f aca="false">IF(C1574="","",IFERROR(IF(LEFT(C1574,1)="L",INDEX('Leads Pipeline'!$D$5:$D$1004,MATCH(C1574,'Leads Pipeline'!$A$5:$A$1004,0)),INDEX('Active Clients'!$B$5:$B$504,MATCH(C1574,'Active Clients'!$A$5:$A$504,0)))&amp;"","ID not found"))</f>
        <v/>
      </c>
      <c r="F1574" s="51" t="str">
        <f aca="false">IF(C1574="","",IFERROR(IF(LEFT(C1574,1)="L",INDEX('Leads Pipeline'!$E$5:$E$1004,MATCH(C1574,'Leads Pipeline'!$A$5:$A$1004,0)),INDEX('Active Clients'!$C$5:$C$504,MATCH(C1574,'Active Clients'!$A$5:$A$504,0)))&amp;"","ID not found"))</f>
        <v/>
      </c>
      <c r="G1574" s="16"/>
      <c r="H1574" s="16"/>
      <c r="I1574" s="16"/>
      <c r="J1574" s="16"/>
      <c r="K1574" s="16"/>
      <c r="L1574" s="18"/>
    </row>
    <row r="1575" customFormat="false" ht="15" hidden="false" customHeight="false" outlineLevel="0" collapsed="false">
      <c r="A1575" s="18"/>
      <c r="B1575" s="16"/>
      <c r="C1575" s="16"/>
      <c r="D1575" s="51" t="str">
        <f aca="false">IF(C1575="","",IFERROR(IF(LEFT(C1575,1)="L",INDEX('Leads Pipeline'!$F$5:$F$1004,MATCH(C1575,'Leads Pipeline'!$A$5:$A$1004,0)),INDEX('Active Clients'!$D$5:$D$504,MATCH(C1575,'Active Clients'!$A$5:$A$504,0)))&amp;"","ID not found"))</f>
        <v/>
      </c>
      <c r="E1575" s="51" t="str">
        <f aca="false">IF(C1575="","",IFERROR(IF(LEFT(C1575,1)="L",INDEX('Leads Pipeline'!$D$5:$D$1004,MATCH(C1575,'Leads Pipeline'!$A$5:$A$1004,0)),INDEX('Active Clients'!$B$5:$B$504,MATCH(C1575,'Active Clients'!$A$5:$A$504,0)))&amp;"","ID not found"))</f>
        <v/>
      </c>
      <c r="F1575" s="51" t="str">
        <f aca="false">IF(C1575="","",IFERROR(IF(LEFT(C1575,1)="L",INDEX('Leads Pipeline'!$E$5:$E$1004,MATCH(C1575,'Leads Pipeline'!$A$5:$A$1004,0)),INDEX('Active Clients'!$C$5:$C$504,MATCH(C1575,'Active Clients'!$A$5:$A$504,0)))&amp;"","ID not found"))</f>
        <v/>
      </c>
      <c r="G1575" s="16"/>
      <c r="H1575" s="16"/>
      <c r="I1575" s="16"/>
      <c r="J1575" s="16"/>
      <c r="K1575" s="16"/>
      <c r="L1575" s="18"/>
    </row>
    <row r="1576" customFormat="false" ht="15" hidden="false" customHeight="false" outlineLevel="0" collapsed="false">
      <c r="A1576" s="18"/>
      <c r="B1576" s="16"/>
      <c r="C1576" s="16"/>
      <c r="D1576" s="51" t="str">
        <f aca="false">IF(C1576="","",IFERROR(IF(LEFT(C1576,1)="L",INDEX('Leads Pipeline'!$F$5:$F$1004,MATCH(C1576,'Leads Pipeline'!$A$5:$A$1004,0)),INDEX('Active Clients'!$D$5:$D$504,MATCH(C1576,'Active Clients'!$A$5:$A$504,0)))&amp;"","ID not found"))</f>
        <v/>
      </c>
      <c r="E1576" s="51" t="str">
        <f aca="false">IF(C1576="","",IFERROR(IF(LEFT(C1576,1)="L",INDEX('Leads Pipeline'!$D$5:$D$1004,MATCH(C1576,'Leads Pipeline'!$A$5:$A$1004,0)),INDEX('Active Clients'!$B$5:$B$504,MATCH(C1576,'Active Clients'!$A$5:$A$504,0)))&amp;"","ID not found"))</f>
        <v/>
      </c>
      <c r="F1576" s="51" t="str">
        <f aca="false">IF(C1576="","",IFERROR(IF(LEFT(C1576,1)="L",INDEX('Leads Pipeline'!$E$5:$E$1004,MATCH(C1576,'Leads Pipeline'!$A$5:$A$1004,0)),INDEX('Active Clients'!$C$5:$C$504,MATCH(C1576,'Active Clients'!$A$5:$A$504,0)))&amp;"","ID not found"))</f>
        <v/>
      </c>
      <c r="G1576" s="16"/>
      <c r="H1576" s="16"/>
      <c r="I1576" s="16"/>
      <c r="J1576" s="16"/>
      <c r="K1576" s="16"/>
      <c r="L1576" s="18"/>
    </row>
    <row r="1577" customFormat="false" ht="15" hidden="false" customHeight="false" outlineLevel="0" collapsed="false">
      <c r="A1577" s="18"/>
      <c r="B1577" s="16"/>
      <c r="C1577" s="16"/>
      <c r="D1577" s="51" t="str">
        <f aca="false">IF(C1577="","",IFERROR(IF(LEFT(C1577,1)="L",INDEX('Leads Pipeline'!$F$5:$F$1004,MATCH(C1577,'Leads Pipeline'!$A$5:$A$1004,0)),INDEX('Active Clients'!$D$5:$D$504,MATCH(C1577,'Active Clients'!$A$5:$A$504,0)))&amp;"","ID not found"))</f>
        <v/>
      </c>
      <c r="E1577" s="51" t="str">
        <f aca="false">IF(C1577="","",IFERROR(IF(LEFT(C1577,1)="L",INDEX('Leads Pipeline'!$D$5:$D$1004,MATCH(C1577,'Leads Pipeline'!$A$5:$A$1004,0)),INDEX('Active Clients'!$B$5:$B$504,MATCH(C1577,'Active Clients'!$A$5:$A$504,0)))&amp;"","ID not found"))</f>
        <v/>
      </c>
      <c r="F1577" s="51" t="str">
        <f aca="false">IF(C1577="","",IFERROR(IF(LEFT(C1577,1)="L",INDEX('Leads Pipeline'!$E$5:$E$1004,MATCH(C1577,'Leads Pipeline'!$A$5:$A$1004,0)),INDEX('Active Clients'!$C$5:$C$504,MATCH(C1577,'Active Clients'!$A$5:$A$504,0)))&amp;"","ID not found"))</f>
        <v/>
      </c>
      <c r="G1577" s="16"/>
      <c r="H1577" s="16"/>
      <c r="I1577" s="16"/>
      <c r="J1577" s="16"/>
      <c r="K1577" s="16"/>
      <c r="L1577" s="18"/>
    </row>
    <row r="1578" customFormat="false" ht="15" hidden="false" customHeight="false" outlineLevel="0" collapsed="false">
      <c r="A1578" s="18"/>
      <c r="B1578" s="16"/>
      <c r="C1578" s="16"/>
      <c r="D1578" s="51" t="str">
        <f aca="false">IF(C1578="","",IFERROR(IF(LEFT(C1578,1)="L",INDEX('Leads Pipeline'!$F$5:$F$1004,MATCH(C1578,'Leads Pipeline'!$A$5:$A$1004,0)),INDEX('Active Clients'!$D$5:$D$504,MATCH(C1578,'Active Clients'!$A$5:$A$504,0)))&amp;"","ID not found"))</f>
        <v/>
      </c>
      <c r="E1578" s="51" t="str">
        <f aca="false">IF(C1578="","",IFERROR(IF(LEFT(C1578,1)="L",INDEX('Leads Pipeline'!$D$5:$D$1004,MATCH(C1578,'Leads Pipeline'!$A$5:$A$1004,0)),INDEX('Active Clients'!$B$5:$B$504,MATCH(C1578,'Active Clients'!$A$5:$A$504,0)))&amp;"","ID not found"))</f>
        <v/>
      </c>
      <c r="F1578" s="51" t="str">
        <f aca="false">IF(C1578="","",IFERROR(IF(LEFT(C1578,1)="L",INDEX('Leads Pipeline'!$E$5:$E$1004,MATCH(C1578,'Leads Pipeline'!$A$5:$A$1004,0)),INDEX('Active Clients'!$C$5:$C$504,MATCH(C1578,'Active Clients'!$A$5:$A$504,0)))&amp;"","ID not found"))</f>
        <v/>
      </c>
      <c r="G1578" s="16"/>
      <c r="H1578" s="16"/>
      <c r="I1578" s="16"/>
      <c r="J1578" s="16"/>
      <c r="K1578" s="16"/>
      <c r="L1578" s="18"/>
    </row>
    <row r="1579" customFormat="false" ht="15" hidden="false" customHeight="false" outlineLevel="0" collapsed="false">
      <c r="A1579" s="18"/>
      <c r="B1579" s="16"/>
      <c r="C1579" s="16"/>
      <c r="D1579" s="51" t="str">
        <f aca="false">IF(C1579="","",IFERROR(IF(LEFT(C1579,1)="L",INDEX('Leads Pipeline'!$F$5:$F$1004,MATCH(C1579,'Leads Pipeline'!$A$5:$A$1004,0)),INDEX('Active Clients'!$D$5:$D$504,MATCH(C1579,'Active Clients'!$A$5:$A$504,0)))&amp;"","ID not found"))</f>
        <v/>
      </c>
      <c r="E1579" s="51" t="str">
        <f aca="false">IF(C1579="","",IFERROR(IF(LEFT(C1579,1)="L",INDEX('Leads Pipeline'!$D$5:$D$1004,MATCH(C1579,'Leads Pipeline'!$A$5:$A$1004,0)),INDEX('Active Clients'!$B$5:$B$504,MATCH(C1579,'Active Clients'!$A$5:$A$504,0)))&amp;"","ID not found"))</f>
        <v/>
      </c>
      <c r="F1579" s="51" t="str">
        <f aca="false">IF(C1579="","",IFERROR(IF(LEFT(C1579,1)="L",INDEX('Leads Pipeline'!$E$5:$E$1004,MATCH(C1579,'Leads Pipeline'!$A$5:$A$1004,0)),INDEX('Active Clients'!$C$5:$C$504,MATCH(C1579,'Active Clients'!$A$5:$A$504,0)))&amp;"","ID not found"))</f>
        <v/>
      </c>
      <c r="G1579" s="16"/>
      <c r="H1579" s="16"/>
      <c r="I1579" s="16"/>
      <c r="J1579" s="16"/>
      <c r="K1579" s="16"/>
      <c r="L1579" s="18"/>
    </row>
    <row r="1580" customFormat="false" ht="15" hidden="false" customHeight="false" outlineLevel="0" collapsed="false">
      <c r="A1580" s="18"/>
      <c r="B1580" s="16"/>
      <c r="C1580" s="16"/>
      <c r="D1580" s="51" t="str">
        <f aca="false">IF(C1580="","",IFERROR(IF(LEFT(C1580,1)="L",INDEX('Leads Pipeline'!$F$5:$F$1004,MATCH(C1580,'Leads Pipeline'!$A$5:$A$1004,0)),INDEX('Active Clients'!$D$5:$D$504,MATCH(C1580,'Active Clients'!$A$5:$A$504,0)))&amp;"","ID not found"))</f>
        <v/>
      </c>
      <c r="E1580" s="51" t="str">
        <f aca="false">IF(C1580="","",IFERROR(IF(LEFT(C1580,1)="L",INDEX('Leads Pipeline'!$D$5:$D$1004,MATCH(C1580,'Leads Pipeline'!$A$5:$A$1004,0)),INDEX('Active Clients'!$B$5:$B$504,MATCH(C1580,'Active Clients'!$A$5:$A$504,0)))&amp;"","ID not found"))</f>
        <v/>
      </c>
      <c r="F1580" s="51" t="str">
        <f aca="false">IF(C1580="","",IFERROR(IF(LEFT(C1580,1)="L",INDEX('Leads Pipeline'!$E$5:$E$1004,MATCH(C1580,'Leads Pipeline'!$A$5:$A$1004,0)),INDEX('Active Clients'!$C$5:$C$504,MATCH(C1580,'Active Clients'!$A$5:$A$504,0)))&amp;"","ID not found"))</f>
        <v/>
      </c>
      <c r="G1580" s="16"/>
      <c r="H1580" s="16"/>
      <c r="I1580" s="16"/>
      <c r="J1580" s="16"/>
      <c r="K1580" s="16"/>
      <c r="L1580" s="18"/>
    </row>
    <row r="1581" customFormat="false" ht="15" hidden="false" customHeight="false" outlineLevel="0" collapsed="false">
      <c r="A1581" s="18"/>
      <c r="B1581" s="16"/>
      <c r="C1581" s="16"/>
      <c r="D1581" s="51" t="str">
        <f aca="false">IF(C1581="","",IFERROR(IF(LEFT(C1581,1)="L",INDEX('Leads Pipeline'!$F$5:$F$1004,MATCH(C1581,'Leads Pipeline'!$A$5:$A$1004,0)),INDEX('Active Clients'!$D$5:$D$504,MATCH(C1581,'Active Clients'!$A$5:$A$504,0)))&amp;"","ID not found"))</f>
        <v/>
      </c>
      <c r="E1581" s="51" t="str">
        <f aca="false">IF(C1581="","",IFERROR(IF(LEFT(C1581,1)="L",INDEX('Leads Pipeline'!$D$5:$D$1004,MATCH(C1581,'Leads Pipeline'!$A$5:$A$1004,0)),INDEX('Active Clients'!$B$5:$B$504,MATCH(C1581,'Active Clients'!$A$5:$A$504,0)))&amp;"","ID not found"))</f>
        <v/>
      </c>
      <c r="F1581" s="51" t="str">
        <f aca="false">IF(C1581="","",IFERROR(IF(LEFT(C1581,1)="L",INDEX('Leads Pipeline'!$E$5:$E$1004,MATCH(C1581,'Leads Pipeline'!$A$5:$A$1004,0)),INDEX('Active Clients'!$C$5:$C$504,MATCH(C1581,'Active Clients'!$A$5:$A$504,0)))&amp;"","ID not found"))</f>
        <v/>
      </c>
      <c r="G1581" s="16"/>
      <c r="H1581" s="16"/>
      <c r="I1581" s="16"/>
      <c r="J1581" s="16"/>
      <c r="K1581" s="16"/>
      <c r="L1581" s="18"/>
    </row>
    <row r="1582" customFormat="false" ht="15" hidden="false" customHeight="false" outlineLevel="0" collapsed="false">
      <c r="A1582" s="18"/>
      <c r="B1582" s="16"/>
      <c r="C1582" s="16"/>
      <c r="D1582" s="51" t="str">
        <f aca="false">IF(C1582="","",IFERROR(IF(LEFT(C1582,1)="L",INDEX('Leads Pipeline'!$F$5:$F$1004,MATCH(C1582,'Leads Pipeline'!$A$5:$A$1004,0)),INDEX('Active Clients'!$D$5:$D$504,MATCH(C1582,'Active Clients'!$A$5:$A$504,0)))&amp;"","ID not found"))</f>
        <v/>
      </c>
      <c r="E1582" s="51" t="str">
        <f aca="false">IF(C1582="","",IFERROR(IF(LEFT(C1582,1)="L",INDEX('Leads Pipeline'!$D$5:$D$1004,MATCH(C1582,'Leads Pipeline'!$A$5:$A$1004,0)),INDEX('Active Clients'!$B$5:$B$504,MATCH(C1582,'Active Clients'!$A$5:$A$504,0)))&amp;"","ID not found"))</f>
        <v/>
      </c>
      <c r="F1582" s="51" t="str">
        <f aca="false">IF(C1582="","",IFERROR(IF(LEFT(C1582,1)="L",INDEX('Leads Pipeline'!$E$5:$E$1004,MATCH(C1582,'Leads Pipeline'!$A$5:$A$1004,0)),INDEX('Active Clients'!$C$5:$C$504,MATCH(C1582,'Active Clients'!$A$5:$A$504,0)))&amp;"","ID not found"))</f>
        <v/>
      </c>
      <c r="G1582" s="16"/>
      <c r="H1582" s="16"/>
      <c r="I1582" s="16"/>
      <c r="J1582" s="16"/>
      <c r="K1582" s="16"/>
      <c r="L1582" s="18"/>
    </row>
    <row r="1583" customFormat="false" ht="15" hidden="false" customHeight="false" outlineLevel="0" collapsed="false">
      <c r="A1583" s="18"/>
      <c r="B1583" s="16"/>
      <c r="C1583" s="16"/>
      <c r="D1583" s="51" t="str">
        <f aca="false">IF(C1583="","",IFERROR(IF(LEFT(C1583,1)="L",INDEX('Leads Pipeline'!$F$5:$F$1004,MATCH(C1583,'Leads Pipeline'!$A$5:$A$1004,0)),INDEX('Active Clients'!$D$5:$D$504,MATCH(C1583,'Active Clients'!$A$5:$A$504,0)))&amp;"","ID not found"))</f>
        <v/>
      </c>
      <c r="E1583" s="51" t="str">
        <f aca="false">IF(C1583="","",IFERROR(IF(LEFT(C1583,1)="L",INDEX('Leads Pipeline'!$D$5:$D$1004,MATCH(C1583,'Leads Pipeline'!$A$5:$A$1004,0)),INDEX('Active Clients'!$B$5:$B$504,MATCH(C1583,'Active Clients'!$A$5:$A$504,0)))&amp;"","ID not found"))</f>
        <v/>
      </c>
      <c r="F1583" s="51" t="str">
        <f aca="false">IF(C1583="","",IFERROR(IF(LEFT(C1583,1)="L",INDEX('Leads Pipeline'!$E$5:$E$1004,MATCH(C1583,'Leads Pipeline'!$A$5:$A$1004,0)),INDEX('Active Clients'!$C$5:$C$504,MATCH(C1583,'Active Clients'!$A$5:$A$504,0)))&amp;"","ID not found"))</f>
        <v/>
      </c>
      <c r="G1583" s="16"/>
      <c r="H1583" s="16"/>
      <c r="I1583" s="16"/>
      <c r="J1583" s="16"/>
      <c r="K1583" s="16"/>
      <c r="L1583" s="18"/>
    </row>
    <row r="1584" customFormat="false" ht="15" hidden="false" customHeight="false" outlineLevel="0" collapsed="false">
      <c r="A1584" s="18"/>
      <c r="B1584" s="16"/>
      <c r="C1584" s="16"/>
      <c r="D1584" s="51" t="str">
        <f aca="false">IF(C1584="","",IFERROR(IF(LEFT(C1584,1)="L",INDEX('Leads Pipeline'!$F$5:$F$1004,MATCH(C1584,'Leads Pipeline'!$A$5:$A$1004,0)),INDEX('Active Clients'!$D$5:$D$504,MATCH(C1584,'Active Clients'!$A$5:$A$504,0)))&amp;"","ID not found"))</f>
        <v/>
      </c>
      <c r="E1584" s="51" t="str">
        <f aca="false">IF(C1584="","",IFERROR(IF(LEFT(C1584,1)="L",INDEX('Leads Pipeline'!$D$5:$D$1004,MATCH(C1584,'Leads Pipeline'!$A$5:$A$1004,0)),INDEX('Active Clients'!$B$5:$B$504,MATCH(C1584,'Active Clients'!$A$5:$A$504,0)))&amp;"","ID not found"))</f>
        <v/>
      </c>
      <c r="F1584" s="51" t="str">
        <f aca="false">IF(C1584="","",IFERROR(IF(LEFT(C1584,1)="L",INDEX('Leads Pipeline'!$E$5:$E$1004,MATCH(C1584,'Leads Pipeline'!$A$5:$A$1004,0)),INDEX('Active Clients'!$C$5:$C$504,MATCH(C1584,'Active Clients'!$A$5:$A$504,0)))&amp;"","ID not found"))</f>
        <v/>
      </c>
      <c r="G1584" s="16"/>
      <c r="H1584" s="16"/>
      <c r="I1584" s="16"/>
      <c r="J1584" s="16"/>
      <c r="K1584" s="16"/>
      <c r="L1584" s="18"/>
    </row>
    <row r="1585" customFormat="false" ht="15" hidden="false" customHeight="false" outlineLevel="0" collapsed="false">
      <c r="A1585" s="18"/>
      <c r="B1585" s="16"/>
      <c r="C1585" s="16"/>
      <c r="D1585" s="51" t="str">
        <f aca="false">IF(C1585="","",IFERROR(IF(LEFT(C1585,1)="L",INDEX('Leads Pipeline'!$F$5:$F$1004,MATCH(C1585,'Leads Pipeline'!$A$5:$A$1004,0)),INDEX('Active Clients'!$D$5:$D$504,MATCH(C1585,'Active Clients'!$A$5:$A$504,0)))&amp;"","ID not found"))</f>
        <v/>
      </c>
      <c r="E1585" s="51" t="str">
        <f aca="false">IF(C1585="","",IFERROR(IF(LEFT(C1585,1)="L",INDEX('Leads Pipeline'!$D$5:$D$1004,MATCH(C1585,'Leads Pipeline'!$A$5:$A$1004,0)),INDEX('Active Clients'!$B$5:$B$504,MATCH(C1585,'Active Clients'!$A$5:$A$504,0)))&amp;"","ID not found"))</f>
        <v/>
      </c>
      <c r="F1585" s="51" t="str">
        <f aca="false">IF(C1585="","",IFERROR(IF(LEFT(C1585,1)="L",INDEX('Leads Pipeline'!$E$5:$E$1004,MATCH(C1585,'Leads Pipeline'!$A$5:$A$1004,0)),INDEX('Active Clients'!$C$5:$C$504,MATCH(C1585,'Active Clients'!$A$5:$A$504,0)))&amp;"","ID not found"))</f>
        <v/>
      </c>
      <c r="G1585" s="16"/>
      <c r="H1585" s="16"/>
      <c r="I1585" s="16"/>
      <c r="J1585" s="16"/>
      <c r="K1585" s="16"/>
      <c r="L1585" s="18"/>
    </row>
    <row r="1586" customFormat="false" ht="15" hidden="false" customHeight="false" outlineLevel="0" collapsed="false">
      <c r="A1586" s="18"/>
      <c r="B1586" s="16"/>
      <c r="C1586" s="16"/>
      <c r="D1586" s="51" t="str">
        <f aca="false">IF(C1586="","",IFERROR(IF(LEFT(C1586,1)="L",INDEX('Leads Pipeline'!$F$5:$F$1004,MATCH(C1586,'Leads Pipeline'!$A$5:$A$1004,0)),INDEX('Active Clients'!$D$5:$D$504,MATCH(C1586,'Active Clients'!$A$5:$A$504,0)))&amp;"","ID not found"))</f>
        <v/>
      </c>
      <c r="E1586" s="51" t="str">
        <f aca="false">IF(C1586="","",IFERROR(IF(LEFT(C1586,1)="L",INDEX('Leads Pipeline'!$D$5:$D$1004,MATCH(C1586,'Leads Pipeline'!$A$5:$A$1004,0)),INDEX('Active Clients'!$B$5:$B$504,MATCH(C1586,'Active Clients'!$A$5:$A$504,0)))&amp;"","ID not found"))</f>
        <v/>
      </c>
      <c r="F1586" s="51" t="str">
        <f aca="false">IF(C1586="","",IFERROR(IF(LEFT(C1586,1)="L",INDEX('Leads Pipeline'!$E$5:$E$1004,MATCH(C1586,'Leads Pipeline'!$A$5:$A$1004,0)),INDEX('Active Clients'!$C$5:$C$504,MATCH(C1586,'Active Clients'!$A$5:$A$504,0)))&amp;"","ID not found"))</f>
        <v/>
      </c>
      <c r="G1586" s="16"/>
      <c r="H1586" s="16"/>
      <c r="I1586" s="16"/>
      <c r="J1586" s="16"/>
      <c r="K1586" s="16"/>
      <c r="L1586" s="18"/>
    </row>
    <row r="1587" customFormat="false" ht="15" hidden="false" customHeight="false" outlineLevel="0" collapsed="false">
      <c r="A1587" s="18"/>
      <c r="B1587" s="16"/>
      <c r="C1587" s="16"/>
      <c r="D1587" s="51" t="str">
        <f aca="false">IF(C1587="","",IFERROR(IF(LEFT(C1587,1)="L",INDEX('Leads Pipeline'!$F$5:$F$1004,MATCH(C1587,'Leads Pipeline'!$A$5:$A$1004,0)),INDEX('Active Clients'!$D$5:$D$504,MATCH(C1587,'Active Clients'!$A$5:$A$504,0)))&amp;"","ID not found"))</f>
        <v/>
      </c>
      <c r="E1587" s="51" t="str">
        <f aca="false">IF(C1587="","",IFERROR(IF(LEFT(C1587,1)="L",INDEX('Leads Pipeline'!$D$5:$D$1004,MATCH(C1587,'Leads Pipeline'!$A$5:$A$1004,0)),INDEX('Active Clients'!$B$5:$B$504,MATCH(C1587,'Active Clients'!$A$5:$A$504,0)))&amp;"","ID not found"))</f>
        <v/>
      </c>
      <c r="F1587" s="51" t="str">
        <f aca="false">IF(C1587="","",IFERROR(IF(LEFT(C1587,1)="L",INDEX('Leads Pipeline'!$E$5:$E$1004,MATCH(C1587,'Leads Pipeline'!$A$5:$A$1004,0)),INDEX('Active Clients'!$C$5:$C$504,MATCH(C1587,'Active Clients'!$A$5:$A$504,0)))&amp;"","ID not found"))</f>
        <v/>
      </c>
      <c r="G1587" s="16"/>
      <c r="H1587" s="16"/>
      <c r="I1587" s="16"/>
      <c r="J1587" s="16"/>
      <c r="K1587" s="16"/>
      <c r="L1587" s="18"/>
    </row>
    <row r="1588" customFormat="false" ht="15" hidden="false" customHeight="false" outlineLevel="0" collapsed="false">
      <c r="A1588" s="18"/>
      <c r="B1588" s="16"/>
      <c r="C1588" s="16"/>
      <c r="D1588" s="51" t="str">
        <f aca="false">IF(C1588="","",IFERROR(IF(LEFT(C1588,1)="L",INDEX('Leads Pipeline'!$F$5:$F$1004,MATCH(C1588,'Leads Pipeline'!$A$5:$A$1004,0)),INDEX('Active Clients'!$D$5:$D$504,MATCH(C1588,'Active Clients'!$A$5:$A$504,0)))&amp;"","ID not found"))</f>
        <v/>
      </c>
      <c r="E1588" s="51" t="str">
        <f aca="false">IF(C1588="","",IFERROR(IF(LEFT(C1588,1)="L",INDEX('Leads Pipeline'!$D$5:$D$1004,MATCH(C1588,'Leads Pipeline'!$A$5:$A$1004,0)),INDEX('Active Clients'!$B$5:$B$504,MATCH(C1588,'Active Clients'!$A$5:$A$504,0)))&amp;"","ID not found"))</f>
        <v/>
      </c>
      <c r="F1588" s="51" t="str">
        <f aca="false">IF(C1588="","",IFERROR(IF(LEFT(C1588,1)="L",INDEX('Leads Pipeline'!$E$5:$E$1004,MATCH(C1588,'Leads Pipeline'!$A$5:$A$1004,0)),INDEX('Active Clients'!$C$5:$C$504,MATCH(C1588,'Active Clients'!$A$5:$A$504,0)))&amp;"","ID not found"))</f>
        <v/>
      </c>
      <c r="G1588" s="16"/>
      <c r="H1588" s="16"/>
      <c r="I1588" s="16"/>
      <c r="J1588" s="16"/>
      <c r="K1588" s="16"/>
      <c r="L1588" s="18"/>
    </row>
    <row r="1589" customFormat="false" ht="15" hidden="false" customHeight="false" outlineLevel="0" collapsed="false">
      <c r="A1589" s="18"/>
      <c r="B1589" s="16"/>
      <c r="C1589" s="16"/>
      <c r="D1589" s="51" t="str">
        <f aca="false">IF(C1589="","",IFERROR(IF(LEFT(C1589,1)="L",INDEX('Leads Pipeline'!$F$5:$F$1004,MATCH(C1589,'Leads Pipeline'!$A$5:$A$1004,0)),INDEX('Active Clients'!$D$5:$D$504,MATCH(C1589,'Active Clients'!$A$5:$A$504,0)))&amp;"","ID not found"))</f>
        <v/>
      </c>
      <c r="E1589" s="51" t="str">
        <f aca="false">IF(C1589="","",IFERROR(IF(LEFT(C1589,1)="L",INDEX('Leads Pipeline'!$D$5:$D$1004,MATCH(C1589,'Leads Pipeline'!$A$5:$A$1004,0)),INDEX('Active Clients'!$B$5:$B$504,MATCH(C1589,'Active Clients'!$A$5:$A$504,0)))&amp;"","ID not found"))</f>
        <v/>
      </c>
      <c r="F1589" s="51" t="str">
        <f aca="false">IF(C1589="","",IFERROR(IF(LEFT(C1589,1)="L",INDEX('Leads Pipeline'!$E$5:$E$1004,MATCH(C1589,'Leads Pipeline'!$A$5:$A$1004,0)),INDEX('Active Clients'!$C$5:$C$504,MATCH(C1589,'Active Clients'!$A$5:$A$504,0)))&amp;"","ID not found"))</f>
        <v/>
      </c>
      <c r="G1589" s="16"/>
      <c r="H1589" s="16"/>
      <c r="I1589" s="16"/>
      <c r="J1589" s="16"/>
      <c r="K1589" s="16"/>
      <c r="L1589" s="18"/>
    </row>
    <row r="1590" customFormat="false" ht="15" hidden="false" customHeight="false" outlineLevel="0" collapsed="false">
      <c r="A1590" s="18"/>
      <c r="B1590" s="16"/>
      <c r="C1590" s="16"/>
      <c r="D1590" s="51" t="str">
        <f aca="false">IF(C1590="","",IFERROR(IF(LEFT(C1590,1)="L",INDEX('Leads Pipeline'!$F$5:$F$1004,MATCH(C1590,'Leads Pipeline'!$A$5:$A$1004,0)),INDEX('Active Clients'!$D$5:$D$504,MATCH(C1590,'Active Clients'!$A$5:$A$504,0)))&amp;"","ID not found"))</f>
        <v/>
      </c>
      <c r="E1590" s="51" t="str">
        <f aca="false">IF(C1590="","",IFERROR(IF(LEFT(C1590,1)="L",INDEX('Leads Pipeline'!$D$5:$D$1004,MATCH(C1590,'Leads Pipeline'!$A$5:$A$1004,0)),INDEX('Active Clients'!$B$5:$B$504,MATCH(C1590,'Active Clients'!$A$5:$A$504,0)))&amp;"","ID not found"))</f>
        <v/>
      </c>
      <c r="F1590" s="51" t="str">
        <f aca="false">IF(C1590="","",IFERROR(IF(LEFT(C1590,1)="L",INDEX('Leads Pipeline'!$E$5:$E$1004,MATCH(C1590,'Leads Pipeline'!$A$5:$A$1004,0)),INDEX('Active Clients'!$C$5:$C$504,MATCH(C1590,'Active Clients'!$A$5:$A$504,0)))&amp;"","ID not found"))</f>
        <v/>
      </c>
      <c r="G1590" s="16"/>
      <c r="H1590" s="16"/>
      <c r="I1590" s="16"/>
      <c r="J1590" s="16"/>
      <c r="K1590" s="16"/>
      <c r="L1590" s="18"/>
    </row>
    <row r="1591" customFormat="false" ht="15" hidden="false" customHeight="false" outlineLevel="0" collapsed="false">
      <c r="A1591" s="18"/>
      <c r="B1591" s="16"/>
      <c r="C1591" s="16"/>
      <c r="D1591" s="51" t="str">
        <f aca="false">IF(C1591="","",IFERROR(IF(LEFT(C1591,1)="L",INDEX('Leads Pipeline'!$F$5:$F$1004,MATCH(C1591,'Leads Pipeline'!$A$5:$A$1004,0)),INDEX('Active Clients'!$D$5:$D$504,MATCH(C1591,'Active Clients'!$A$5:$A$504,0)))&amp;"","ID not found"))</f>
        <v/>
      </c>
      <c r="E1591" s="51" t="str">
        <f aca="false">IF(C1591="","",IFERROR(IF(LEFT(C1591,1)="L",INDEX('Leads Pipeline'!$D$5:$D$1004,MATCH(C1591,'Leads Pipeline'!$A$5:$A$1004,0)),INDEX('Active Clients'!$B$5:$B$504,MATCH(C1591,'Active Clients'!$A$5:$A$504,0)))&amp;"","ID not found"))</f>
        <v/>
      </c>
      <c r="F1591" s="51" t="str">
        <f aca="false">IF(C1591="","",IFERROR(IF(LEFT(C1591,1)="L",INDEX('Leads Pipeline'!$E$5:$E$1004,MATCH(C1591,'Leads Pipeline'!$A$5:$A$1004,0)),INDEX('Active Clients'!$C$5:$C$504,MATCH(C1591,'Active Clients'!$A$5:$A$504,0)))&amp;"","ID not found"))</f>
        <v/>
      </c>
      <c r="G1591" s="16"/>
      <c r="H1591" s="16"/>
      <c r="I1591" s="16"/>
      <c r="J1591" s="16"/>
      <c r="K1591" s="16"/>
      <c r="L1591" s="18"/>
    </row>
    <row r="1592" customFormat="false" ht="15" hidden="false" customHeight="false" outlineLevel="0" collapsed="false">
      <c r="A1592" s="18"/>
      <c r="B1592" s="16"/>
      <c r="C1592" s="16"/>
      <c r="D1592" s="51" t="str">
        <f aca="false">IF(C1592="","",IFERROR(IF(LEFT(C1592,1)="L",INDEX('Leads Pipeline'!$F$5:$F$1004,MATCH(C1592,'Leads Pipeline'!$A$5:$A$1004,0)),INDEX('Active Clients'!$D$5:$D$504,MATCH(C1592,'Active Clients'!$A$5:$A$504,0)))&amp;"","ID not found"))</f>
        <v/>
      </c>
      <c r="E1592" s="51" t="str">
        <f aca="false">IF(C1592="","",IFERROR(IF(LEFT(C1592,1)="L",INDEX('Leads Pipeline'!$D$5:$D$1004,MATCH(C1592,'Leads Pipeline'!$A$5:$A$1004,0)),INDEX('Active Clients'!$B$5:$B$504,MATCH(C1592,'Active Clients'!$A$5:$A$504,0)))&amp;"","ID not found"))</f>
        <v/>
      </c>
      <c r="F1592" s="51" t="str">
        <f aca="false">IF(C1592="","",IFERROR(IF(LEFT(C1592,1)="L",INDEX('Leads Pipeline'!$E$5:$E$1004,MATCH(C1592,'Leads Pipeline'!$A$5:$A$1004,0)),INDEX('Active Clients'!$C$5:$C$504,MATCH(C1592,'Active Clients'!$A$5:$A$504,0)))&amp;"","ID not found"))</f>
        <v/>
      </c>
      <c r="G1592" s="16"/>
      <c r="H1592" s="16"/>
      <c r="I1592" s="16"/>
      <c r="J1592" s="16"/>
      <c r="K1592" s="16"/>
      <c r="L1592" s="18"/>
    </row>
    <row r="1593" customFormat="false" ht="15" hidden="false" customHeight="false" outlineLevel="0" collapsed="false">
      <c r="A1593" s="18"/>
      <c r="B1593" s="16"/>
      <c r="C1593" s="16"/>
      <c r="D1593" s="51" t="str">
        <f aca="false">IF(C1593="","",IFERROR(IF(LEFT(C1593,1)="L",INDEX('Leads Pipeline'!$F$5:$F$1004,MATCH(C1593,'Leads Pipeline'!$A$5:$A$1004,0)),INDEX('Active Clients'!$D$5:$D$504,MATCH(C1593,'Active Clients'!$A$5:$A$504,0)))&amp;"","ID not found"))</f>
        <v/>
      </c>
      <c r="E1593" s="51" t="str">
        <f aca="false">IF(C1593="","",IFERROR(IF(LEFT(C1593,1)="L",INDEX('Leads Pipeline'!$D$5:$D$1004,MATCH(C1593,'Leads Pipeline'!$A$5:$A$1004,0)),INDEX('Active Clients'!$B$5:$B$504,MATCH(C1593,'Active Clients'!$A$5:$A$504,0)))&amp;"","ID not found"))</f>
        <v/>
      </c>
      <c r="F1593" s="51" t="str">
        <f aca="false">IF(C1593="","",IFERROR(IF(LEFT(C1593,1)="L",INDEX('Leads Pipeline'!$E$5:$E$1004,MATCH(C1593,'Leads Pipeline'!$A$5:$A$1004,0)),INDEX('Active Clients'!$C$5:$C$504,MATCH(C1593,'Active Clients'!$A$5:$A$504,0)))&amp;"","ID not found"))</f>
        <v/>
      </c>
      <c r="G1593" s="16"/>
      <c r="H1593" s="16"/>
      <c r="I1593" s="16"/>
      <c r="J1593" s="16"/>
      <c r="K1593" s="16"/>
      <c r="L1593" s="18"/>
    </row>
    <row r="1594" customFormat="false" ht="15" hidden="false" customHeight="false" outlineLevel="0" collapsed="false">
      <c r="A1594" s="18"/>
      <c r="B1594" s="16"/>
      <c r="C1594" s="16"/>
      <c r="D1594" s="51" t="str">
        <f aca="false">IF(C1594="","",IFERROR(IF(LEFT(C1594,1)="L",INDEX('Leads Pipeline'!$F$5:$F$1004,MATCH(C1594,'Leads Pipeline'!$A$5:$A$1004,0)),INDEX('Active Clients'!$D$5:$D$504,MATCH(C1594,'Active Clients'!$A$5:$A$504,0)))&amp;"","ID not found"))</f>
        <v/>
      </c>
      <c r="E1594" s="51" t="str">
        <f aca="false">IF(C1594="","",IFERROR(IF(LEFT(C1594,1)="L",INDEX('Leads Pipeline'!$D$5:$D$1004,MATCH(C1594,'Leads Pipeline'!$A$5:$A$1004,0)),INDEX('Active Clients'!$B$5:$B$504,MATCH(C1594,'Active Clients'!$A$5:$A$504,0)))&amp;"","ID not found"))</f>
        <v/>
      </c>
      <c r="F1594" s="51" t="str">
        <f aca="false">IF(C1594="","",IFERROR(IF(LEFT(C1594,1)="L",INDEX('Leads Pipeline'!$E$5:$E$1004,MATCH(C1594,'Leads Pipeline'!$A$5:$A$1004,0)),INDEX('Active Clients'!$C$5:$C$504,MATCH(C1594,'Active Clients'!$A$5:$A$504,0)))&amp;"","ID not found"))</f>
        <v/>
      </c>
      <c r="G1594" s="16"/>
      <c r="H1594" s="16"/>
      <c r="I1594" s="16"/>
      <c r="J1594" s="16"/>
      <c r="K1594" s="16"/>
      <c r="L1594" s="18"/>
    </row>
    <row r="1595" customFormat="false" ht="15" hidden="false" customHeight="false" outlineLevel="0" collapsed="false">
      <c r="A1595" s="18"/>
      <c r="B1595" s="16"/>
      <c r="C1595" s="16"/>
      <c r="D1595" s="51" t="str">
        <f aca="false">IF(C1595="","",IFERROR(IF(LEFT(C1595,1)="L",INDEX('Leads Pipeline'!$F$5:$F$1004,MATCH(C1595,'Leads Pipeline'!$A$5:$A$1004,0)),INDEX('Active Clients'!$D$5:$D$504,MATCH(C1595,'Active Clients'!$A$5:$A$504,0)))&amp;"","ID not found"))</f>
        <v/>
      </c>
      <c r="E1595" s="51" t="str">
        <f aca="false">IF(C1595="","",IFERROR(IF(LEFT(C1595,1)="L",INDEX('Leads Pipeline'!$D$5:$D$1004,MATCH(C1595,'Leads Pipeline'!$A$5:$A$1004,0)),INDEX('Active Clients'!$B$5:$B$504,MATCH(C1595,'Active Clients'!$A$5:$A$504,0)))&amp;"","ID not found"))</f>
        <v/>
      </c>
      <c r="F1595" s="51" t="str">
        <f aca="false">IF(C1595="","",IFERROR(IF(LEFT(C1595,1)="L",INDEX('Leads Pipeline'!$E$5:$E$1004,MATCH(C1595,'Leads Pipeline'!$A$5:$A$1004,0)),INDEX('Active Clients'!$C$5:$C$504,MATCH(C1595,'Active Clients'!$A$5:$A$504,0)))&amp;"","ID not found"))</f>
        <v/>
      </c>
      <c r="G1595" s="16"/>
      <c r="H1595" s="16"/>
      <c r="I1595" s="16"/>
      <c r="J1595" s="16"/>
      <c r="K1595" s="16"/>
      <c r="L1595" s="18"/>
    </row>
    <row r="1596" customFormat="false" ht="15" hidden="false" customHeight="false" outlineLevel="0" collapsed="false">
      <c r="A1596" s="18"/>
      <c r="B1596" s="16"/>
      <c r="C1596" s="16"/>
      <c r="D1596" s="51" t="str">
        <f aca="false">IF(C1596="","",IFERROR(IF(LEFT(C1596,1)="L",INDEX('Leads Pipeline'!$F$5:$F$1004,MATCH(C1596,'Leads Pipeline'!$A$5:$A$1004,0)),INDEX('Active Clients'!$D$5:$D$504,MATCH(C1596,'Active Clients'!$A$5:$A$504,0)))&amp;"","ID not found"))</f>
        <v/>
      </c>
      <c r="E1596" s="51" t="str">
        <f aca="false">IF(C1596="","",IFERROR(IF(LEFT(C1596,1)="L",INDEX('Leads Pipeline'!$D$5:$D$1004,MATCH(C1596,'Leads Pipeline'!$A$5:$A$1004,0)),INDEX('Active Clients'!$B$5:$B$504,MATCH(C1596,'Active Clients'!$A$5:$A$504,0)))&amp;"","ID not found"))</f>
        <v/>
      </c>
      <c r="F1596" s="51" t="str">
        <f aca="false">IF(C1596="","",IFERROR(IF(LEFT(C1596,1)="L",INDEX('Leads Pipeline'!$E$5:$E$1004,MATCH(C1596,'Leads Pipeline'!$A$5:$A$1004,0)),INDEX('Active Clients'!$C$5:$C$504,MATCH(C1596,'Active Clients'!$A$5:$A$504,0)))&amp;"","ID not found"))</f>
        <v/>
      </c>
      <c r="G1596" s="16"/>
      <c r="H1596" s="16"/>
      <c r="I1596" s="16"/>
      <c r="J1596" s="16"/>
      <c r="K1596" s="16"/>
      <c r="L1596" s="18"/>
    </row>
    <row r="1597" customFormat="false" ht="15" hidden="false" customHeight="false" outlineLevel="0" collapsed="false">
      <c r="A1597" s="18"/>
      <c r="B1597" s="16"/>
      <c r="C1597" s="16"/>
      <c r="D1597" s="51" t="str">
        <f aca="false">IF(C1597="","",IFERROR(IF(LEFT(C1597,1)="L",INDEX('Leads Pipeline'!$F$5:$F$1004,MATCH(C1597,'Leads Pipeline'!$A$5:$A$1004,0)),INDEX('Active Clients'!$D$5:$D$504,MATCH(C1597,'Active Clients'!$A$5:$A$504,0)))&amp;"","ID not found"))</f>
        <v/>
      </c>
      <c r="E1597" s="51" t="str">
        <f aca="false">IF(C1597="","",IFERROR(IF(LEFT(C1597,1)="L",INDEX('Leads Pipeline'!$D$5:$D$1004,MATCH(C1597,'Leads Pipeline'!$A$5:$A$1004,0)),INDEX('Active Clients'!$B$5:$B$504,MATCH(C1597,'Active Clients'!$A$5:$A$504,0)))&amp;"","ID not found"))</f>
        <v/>
      </c>
      <c r="F1597" s="51" t="str">
        <f aca="false">IF(C1597="","",IFERROR(IF(LEFT(C1597,1)="L",INDEX('Leads Pipeline'!$E$5:$E$1004,MATCH(C1597,'Leads Pipeline'!$A$5:$A$1004,0)),INDEX('Active Clients'!$C$5:$C$504,MATCH(C1597,'Active Clients'!$A$5:$A$504,0)))&amp;"","ID not found"))</f>
        <v/>
      </c>
      <c r="G1597" s="16"/>
      <c r="H1597" s="16"/>
      <c r="I1597" s="16"/>
      <c r="J1597" s="16"/>
      <c r="K1597" s="16"/>
      <c r="L1597" s="18"/>
    </row>
    <row r="1598" customFormat="false" ht="15" hidden="false" customHeight="false" outlineLevel="0" collapsed="false">
      <c r="A1598" s="18"/>
      <c r="B1598" s="16"/>
      <c r="C1598" s="16"/>
      <c r="D1598" s="51" t="str">
        <f aca="false">IF(C1598="","",IFERROR(IF(LEFT(C1598,1)="L",INDEX('Leads Pipeline'!$F$5:$F$1004,MATCH(C1598,'Leads Pipeline'!$A$5:$A$1004,0)),INDEX('Active Clients'!$D$5:$D$504,MATCH(C1598,'Active Clients'!$A$5:$A$504,0)))&amp;"","ID not found"))</f>
        <v/>
      </c>
      <c r="E1598" s="51" t="str">
        <f aca="false">IF(C1598="","",IFERROR(IF(LEFT(C1598,1)="L",INDEX('Leads Pipeline'!$D$5:$D$1004,MATCH(C1598,'Leads Pipeline'!$A$5:$A$1004,0)),INDEX('Active Clients'!$B$5:$B$504,MATCH(C1598,'Active Clients'!$A$5:$A$504,0)))&amp;"","ID not found"))</f>
        <v/>
      </c>
      <c r="F1598" s="51" t="str">
        <f aca="false">IF(C1598="","",IFERROR(IF(LEFT(C1598,1)="L",INDEX('Leads Pipeline'!$E$5:$E$1004,MATCH(C1598,'Leads Pipeline'!$A$5:$A$1004,0)),INDEX('Active Clients'!$C$5:$C$504,MATCH(C1598,'Active Clients'!$A$5:$A$504,0)))&amp;"","ID not found"))</f>
        <v/>
      </c>
      <c r="G1598" s="16"/>
      <c r="H1598" s="16"/>
      <c r="I1598" s="16"/>
      <c r="J1598" s="16"/>
      <c r="K1598" s="16"/>
      <c r="L1598" s="18"/>
    </row>
    <row r="1599" customFormat="false" ht="15" hidden="false" customHeight="false" outlineLevel="0" collapsed="false">
      <c r="A1599" s="18"/>
      <c r="B1599" s="16"/>
      <c r="C1599" s="16"/>
      <c r="D1599" s="51" t="str">
        <f aca="false">IF(C1599="","",IFERROR(IF(LEFT(C1599,1)="L",INDEX('Leads Pipeline'!$F$5:$F$1004,MATCH(C1599,'Leads Pipeline'!$A$5:$A$1004,0)),INDEX('Active Clients'!$D$5:$D$504,MATCH(C1599,'Active Clients'!$A$5:$A$504,0)))&amp;"","ID not found"))</f>
        <v/>
      </c>
      <c r="E1599" s="51" t="str">
        <f aca="false">IF(C1599="","",IFERROR(IF(LEFT(C1599,1)="L",INDEX('Leads Pipeline'!$D$5:$D$1004,MATCH(C1599,'Leads Pipeline'!$A$5:$A$1004,0)),INDEX('Active Clients'!$B$5:$B$504,MATCH(C1599,'Active Clients'!$A$5:$A$504,0)))&amp;"","ID not found"))</f>
        <v/>
      </c>
      <c r="F1599" s="51" t="str">
        <f aca="false">IF(C1599="","",IFERROR(IF(LEFT(C1599,1)="L",INDEX('Leads Pipeline'!$E$5:$E$1004,MATCH(C1599,'Leads Pipeline'!$A$5:$A$1004,0)),INDEX('Active Clients'!$C$5:$C$504,MATCH(C1599,'Active Clients'!$A$5:$A$504,0)))&amp;"","ID not found"))</f>
        <v/>
      </c>
      <c r="G1599" s="16"/>
      <c r="H1599" s="16"/>
      <c r="I1599" s="16"/>
      <c r="J1599" s="16"/>
      <c r="K1599" s="16"/>
      <c r="L1599" s="18"/>
    </row>
    <row r="1600" customFormat="false" ht="15" hidden="false" customHeight="false" outlineLevel="0" collapsed="false">
      <c r="A1600" s="18"/>
      <c r="B1600" s="16"/>
      <c r="C1600" s="16"/>
      <c r="D1600" s="51" t="str">
        <f aca="false">IF(C1600="","",IFERROR(IF(LEFT(C1600,1)="L",INDEX('Leads Pipeline'!$F$5:$F$1004,MATCH(C1600,'Leads Pipeline'!$A$5:$A$1004,0)),INDEX('Active Clients'!$D$5:$D$504,MATCH(C1600,'Active Clients'!$A$5:$A$504,0)))&amp;"","ID not found"))</f>
        <v/>
      </c>
      <c r="E1600" s="51" t="str">
        <f aca="false">IF(C1600="","",IFERROR(IF(LEFT(C1600,1)="L",INDEX('Leads Pipeline'!$D$5:$D$1004,MATCH(C1600,'Leads Pipeline'!$A$5:$A$1004,0)),INDEX('Active Clients'!$B$5:$B$504,MATCH(C1600,'Active Clients'!$A$5:$A$504,0)))&amp;"","ID not found"))</f>
        <v/>
      </c>
      <c r="F1600" s="51" t="str">
        <f aca="false">IF(C1600="","",IFERROR(IF(LEFT(C1600,1)="L",INDEX('Leads Pipeline'!$E$5:$E$1004,MATCH(C1600,'Leads Pipeline'!$A$5:$A$1004,0)),INDEX('Active Clients'!$C$5:$C$504,MATCH(C1600,'Active Clients'!$A$5:$A$504,0)))&amp;"","ID not found"))</f>
        <v/>
      </c>
      <c r="G1600" s="16"/>
      <c r="H1600" s="16"/>
      <c r="I1600" s="16"/>
      <c r="J1600" s="16"/>
      <c r="K1600" s="16"/>
      <c r="L1600" s="18"/>
    </row>
    <row r="1601" customFormat="false" ht="15" hidden="false" customHeight="false" outlineLevel="0" collapsed="false">
      <c r="A1601" s="18"/>
      <c r="B1601" s="16"/>
      <c r="C1601" s="16"/>
      <c r="D1601" s="51" t="str">
        <f aca="false">IF(C1601="","",IFERROR(IF(LEFT(C1601,1)="L",INDEX('Leads Pipeline'!$F$5:$F$1004,MATCH(C1601,'Leads Pipeline'!$A$5:$A$1004,0)),INDEX('Active Clients'!$D$5:$D$504,MATCH(C1601,'Active Clients'!$A$5:$A$504,0)))&amp;"","ID not found"))</f>
        <v/>
      </c>
      <c r="E1601" s="51" t="str">
        <f aca="false">IF(C1601="","",IFERROR(IF(LEFT(C1601,1)="L",INDEX('Leads Pipeline'!$D$5:$D$1004,MATCH(C1601,'Leads Pipeline'!$A$5:$A$1004,0)),INDEX('Active Clients'!$B$5:$B$504,MATCH(C1601,'Active Clients'!$A$5:$A$504,0)))&amp;"","ID not found"))</f>
        <v/>
      </c>
      <c r="F1601" s="51" t="str">
        <f aca="false">IF(C1601="","",IFERROR(IF(LEFT(C1601,1)="L",INDEX('Leads Pipeline'!$E$5:$E$1004,MATCH(C1601,'Leads Pipeline'!$A$5:$A$1004,0)),INDEX('Active Clients'!$C$5:$C$504,MATCH(C1601,'Active Clients'!$A$5:$A$504,0)))&amp;"","ID not found"))</f>
        <v/>
      </c>
      <c r="G1601" s="16"/>
      <c r="H1601" s="16"/>
      <c r="I1601" s="16"/>
      <c r="J1601" s="16"/>
      <c r="K1601" s="16"/>
      <c r="L1601" s="18"/>
    </row>
    <row r="1602" customFormat="false" ht="15" hidden="false" customHeight="false" outlineLevel="0" collapsed="false">
      <c r="A1602" s="18"/>
      <c r="B1602" s="16"/>
      <c r="C1602" s="16"/>
      <c r="D1602" s="51" t="str">
        <f aca="false">IF(C1602="","",IFERROR(IF(LEFT(C1602,1)="L",INDEX('Leads Pipeline'!$F$5:$F$1004,MATCH(C1602,'Leads Pipeline'!$A$5:$A$1004,0)),INDEX('Active Clients'!$D$5:$D$504,MATCH(C1602,'Active Clients'!$A$5:$A$504,0)))&amp;"","ID not found"))</f>
        <v/>
      </c>
      <c r="E1602" s="51" t="str">
        <f aca="false">IF(C1602="","",IFERROR(IF(LEFT(C1602,1)="L",INDEX('Leads Pipeline'!$D$5:$D$1004,MATCH(C1602,'Leads Pipeline'!$A$5:$A$1004,0)),INDEX('Active Clients'!$B$5:$B$504,MATCH(C1602,'Active Clients'!$A$5:$A$504,0)))&amp;"","ID not found"))</f>
        <v/>
      </c>
      <c r="F1602" s="51" t="str">
        <f aca="false">IF(C1602="","",IFERROR(IF(LEFT(C1602,1)="L",INDEX('Leads Pipeline'!$E$5:$E$1004,MATCH(C1602,'Leads Pipeline'!$A$5:$A$1004,0)),INDEX('Active Clients'!$C$5:$C$504,MATCH(C1602,'Active Clients'!$A$5:$A$504,0)))&amp;"","ID not found"))</f>
        <v/>
      </c>
      <c r="G1602" s="16"/>
      <c r="H1602" s="16"/>
      <c r="I1602" s="16"/>
      <c r="J1602" s="16"/>
      <c r="K1602" s="16"/>
      <c r="L1602" s="18"/>
    </row>
    <row r="1603" customFormat="false" ht="15" hidden="false" customHeight="false" outlineLevel="0" collapsed="false">
      <c r="A1603" s="18"/>
      <c r="B1603" s="16"/>
      <c r="C1603" s="16"/>
      <c r="D1603" s="51" t="str">
        <f aca="false">IF(C1603="","",IFERROR(IF(LEFT(C1603,1)="L",INDEX('Leads Pipeline'!$F$5:$F$1004,MATCH(C1603,'Leads Pipeline'!$A$5:$A$1004,0)),INDEX('Active Clients'!$D$5:$D$504,MATCH(C1603,'Active Clients'!$A$5:$A$504,0)))&amp;"","ID not found"))</f>
        <v/>
      </c>
      <c r="E1603" s="51" t="str">
        <f aca="false">IF(C1603="","",IFERROR(IF(LEFT(C1603,1)="L",INDEX('Leads Pipeline'!$D$5:$D$1004,MATCH(C1603,'Leads Pipeline'!$A$5:$A$1004,0)),INDEX('Active Clients'!$B$5:$B$504,MATCH(C1603,'Active Clients'!$A$5:$A$504,0)))&amp;"","ID not found"))</f>
        <v/>
      </c>
      <c r="F1603" s="51" t="str">
        <f aca="false">IF(C1603="","",IFERROR(IF(LEFT(C1603,1)="L",INDEX('Leads Pipeline'!$E$5:$E$1004,MATCH(C1603,'Leads Pipeline'!$A$5:$A$1004,0)),INDEX('Active Clients'!$C$5:$C$504,MATCH(C1603,'Active Clients'!$A$5:$A$504,0)))&amp;"","ID not found"))</f>
        <v/>
      </c>
      <c r="G1603" s="16"/>
      <c r="H1603" s="16"/>
      <c r="I1603" s="16"/>
      <c r="J1603" s="16"/>
      <c r="K1603" s="16"/>
      <c r="L1603" s="18"/>
    </row>
    <row r="1604" customFormat="false" ht="15" hidden="false" customHeight="false" outlineLevel="0" collapsed="false">
      <c r="A1604" s="18"/>
      <c r="B1604" s="16"/>
      <c r="C1604" s="16"/>
      <c r="D1604" s="51" t="str">
        <f aca="false">IF(C1604="","",IFERROR(IF(LEFT(C1604,1)="L",INDEX('Leads Pipeline'!$F$5:$F$1004,MATCH(C1604,'Leads Pipeline'!$A$5:$A$1004,0)),INDEX('Active Clients'!$D$5:$D$504,MATCH(C1604,'Active Clients'!$A$5:$A$504,0)))&amp;"","ID not found"))</f>
        <v/>
      </c>
      <c r="E1604" s="51" t="str">
        <f aca="false">IF(C1604="","",IFERROR(IF(LEFT(C1604,1)="L",INDEX('Leads Pipeline'!$D$5:$D$1004,MATCH(C1604,'Leads Pipeline'!$A$5:$A$1004,0)),INDEX('Active Clients'!$B$5:$B$504,MATCH(C1604,'Active Clients'!$A$5:$A$504,0)))&amp;"","ID not found"))</f>
        <v/>
      </c>
      <c r="F1604" s="51" t="str">
        <f aca="false">IF(C1604="","",IFERROR(IF(LEFT(C1604,1)="L",INDEX('Leads Pipeline'!$E$5:$E$1004,MATCH(C1604,'Leads Pipeline'!$A$5:$A$1004,0)),INDEX('Active Clients'!$C$5:$C$504,MATCH(C1604,'Active Clients'!$A$5:$A$504,0)))&amp;"","ID not found"))</f>
        <v/>
      </c>
      <c r="G1604" s="16"/>
      <c r="H1604" s="16"/>
      <c r="I1604" s="16"/>
      <c r="J1604" s="16"/>
      <c r="K1604" s="16"/>
      <c r="L1604" s="18"/>
    </row>
    <row r="1605" customFormat="false" ht="15" hidden="false" customHeight="false" outlineLevel="0" collapsed="false">
      <c r="A1605" s="18"/>
      <c r="B1605" s="16"/>
      <c r="C1605" s="16"/>
      <c r="D1605" s="51" t="str">
        <f aca="false">IF(C1605="","",IFERROR(IF(LEFT(C1605,1)="L",INDEX('Leads Pipeline'!$F$5:$F$1004,MATCH(C1605,'Leads Pipeline'!$A$5:$A$1004,0)),INDEX('Active Clients'!$D$5:$D$504,MATCH(C1605,'Active Clients'!$A$5:$A$504,0)))&amp;"","ID not found"))</f>
        <v/>
      </c>
      <c r="E1605" s="51" t="str">
        <f aca="false">IF(C1605="","",IFERROR(IF(LEFT(C1605,1)="L",INDEX('Leads Pipeline'!$D$5:$D$1004,MATCH(C1605,'Leads Pipeline'!$A$5:$A$1004,0)),INDEX('Active Clients'!$B$5:$B$504,MATCH(C1605,'Active Clients'!$A$5:$A$504,0)))&amp;"","ID not found"))</f>
        <v/>
      </c>
      <c r="F1605" s="51" t="str">
        <f aca="false">IF(C1605="","",IFERROR(IF(LEFT(C1605,1)="L",INDEX('Leads Pipeline'!$E$5:$E$1004,MATCH(C1605,'Leads Pipeline'!$A$5:$A$1004,0)),INDEX('Active Clients'!$C$5:$C$504,MATCH(C1605,'Active Clients'!$A$5:$A$504,0)))&amp;"","ID not found"))</f>
        <v/>
      </c>
      <c r="G1605" s="16"/>
      <c r="H1605" s="16"/>
      <c r="I1605" s="16"/>
      <c r="J1605" s="16"/>
      <c r="K1605" s="16"/>
      <c r="L1605" s="18"/>
    </row>
    <row r="1606" customFormat="false" ht="15" hidden="false" customHeight="false" outlineLevel="0" collapsed="false">
      <c r="A1606" s="18"/>
      <c r="B1606" s="16"/>
      <c r="C1606" s="16"/>
      <c r="D1606" s="51" t="str">
        <f aca="false">IF(C1606="","",IFERROR(IF(LEFT(C1606,1)="L",INDEX('Leads Pipeline'!$F$5:$F$1004,MATCH(C1606,'Leads Pipeline'!$A$5:$A$1004,0)),INDEX('Active Clients'!$D$5:$D$504,MATCH(C1606,'Active Clients'!$A$5:$A$504,0)))&amp;"","ID not found"))</f>
        <v/>
      </c>
      <c r="E1606" s="51" t="str">
        <f aca="false">IF(C1606="","",IFERROR(IF(LEFT(C1606,1)="L",INDEX('Leads Pipeline'!$D$5:$D$1004,MATCH(C1606,'Leads Pipeline'!$A$5:$A$1004,0)),INDEX('Active Clients'!$B$5:$B$504,MATCH(C1606,'Active Clients'!$A$5:$A$504,0)))&amp;"","ID not found"))</f>
        <v/>
      </c>
      <c r="F1606" s="51" t="str">
        <f aca="false">IF(C1606="","",IFERROR(IF(LEFT(C1606,1)="L",INDEX('Leads Pipeline'!$E$5:$E$1004,MATCH(C1606,'Leads Pipeline'!$A$5:$A$1004,0)),INDEX('Active Clients'!$C$5:$C$504,MATCH(C1606,'Active Clients'!$A$5:$A$504,0)))&amp;"","ID not found"))</f>
        <v/>
      </c>
      <c r="G1606" s="16"/>
      <c r="H1606" s="16"/>
      <c r="I1606" s="16"/>
      <c r="J1606" s="16"/>
      <c r="K1606" s="16"/>
      <c r="L1606" s="18"/>
    </row>
    <row r="1607" customFormat="false" ht="15" hidden="false" customHeight="false" outlineLevel="0" collapsed="false">
      <c r="A1607" s="18"/>
      <c r="B1607" s="16"/>
      <c r="C1607" s="16"/>
      <c r="D1607" s="51" t="str">
        <f aca="false">IF(C1607="","",IFERROR(IF(LEFT(C1607,1)="L",INDEX('Leads Pipeline'!$F$5:$F$1004,MATCH(C1607,'Leads Pipeline'!$A$5:$A$1004,0)),INDEX('Active Clients'!$D$5:$D$504,MATCH(C1607,'Active Clients'!$A$5:$A$504,0)))&amp;"","ID not found"))</f>
        <v/>
      </c>
      <c r="E1607" s="51" t="str">
        <f aca="false">IF(C1607="","",IFERROR(IF(LEFT(C1607,1)="L",INDEX('Leads Pipeline'!$D$5:$D$1004,MATCH(C1607,'Leads Pipeline'!$A$5:$A$1004,0)),INDEX('Active Clients'!$B$5:$B$504,MATCH(C1607,'Active Clients'!$A$5:$A$504,0)))&amp;"","ID not found"))</f>
        <v/>
      </c>
      <c r="F1607" s="51" t="str">
        <f aca="false">IF(C1607="","",IFERROR(IF(LEFT(C1607,1)="L",INDEX('Leads Pipeline'!$E$5:$E$1004,MATCH(C1607,'Leads Pipeline'!$A$5:$A$1004,0)),INDEX('Active Clients'!$C$5:$C$504,MATCH(C1607,'Active Clients'!$A$5:$A$504,0)))&amp;"","ID not found"))</f>
        <v/>
      </c>
      <c r="G1607" s="16"/>
      <c r="H1607" s="16"/>
      <c r="I1607" s="16"/>
      <c r="J1607" s="16"/>
      <c r="K1607" s="16"/>
      <c r="L1607" s="18"/>
    </row>
    <row r="1608" customFormat="false" ht="15" hidden="false" customHeight="false" outlineLevel="0" collapsed="false">
      <c r="A1608" s="18"/>
      <c r="B1608" s="16"/>
      <c r="C1608" s="16"/>
      <c r="D1608" s="51" t="str">
        <f aca="false">IF(C1608="","",IFERROR(IF(LEFT(C1608,1)="L",INDEX('Leads Pipeline'!$F$5:$F$1004,MATCH(C1608,'Leads Pipeline'!$A$5:$A$1004,0)),INDEX('Active Clients'!$D$5:$D$504,MATCH(C1608,'Active Clients'!$A$5:$A$504,0)))&amp;"","ID not found"))</f>
        <v/>
      </c>
      <c r="E1608" s="51" t="str">
        <f aca="false">IF(C1608="","",IFERROR(IF(LEFT(C1608,1)="L",INDEX('Leads Pipeline'!$D$5:$D$1004,MATCH(C1608,'Leads Pipeline'!$A$5:$A$1004,0)),INDEX('Active Clients'!$B$5:$B$504,MATCH(C1608,'Active Clients'!$A$5:$A$504,0)))&amp;"","ID not found"))</f>
        <v/>
      </c>
      <c r="F1608" s="51" t="str">
        <f aca="false">IF(C1608="","",IFERROR(IF(LEFT(C1608,1)="L",INDEX('Leads Pipeline'!$E$5:$E$1004,MATCH(C1608,'Leads Pipeline'!$A$5:$A$1004,0)),INDEX('Active Clients'!$C$5:$C$504,MATCH(C1608,'Active Clients'!$A$5:$A$504,0)))&amp;"","ID not found"))</f>
        <v/>
      </c>
      <c r="G1608" s="16"/>
      <c r="H1608" s="16"/>
      <c r="I1608" s="16"/>
      <c r="J1608" s="16"/>
      <c r="K1608" s="16"/>
      <c r="L1608" s="18"/>
    </row>
    <row r="1609" customFormat="false" ht="15" hidden="false" customHeight="false" outlineLevel="0" collapsed="false">
      <c r="A1609" s="18"/>
      <c r="B1609" s="16"/>
      <c r="C1609" s="16"/>
      <c r="D1609" s="51" t="str">
        <f aca="false">IF(C1609="","",IFERROR(IF(LEFT(C1609,1)="L",INDEX('Leads Pipeline'!$F$5:$F$1004,MATCH(C1609,'Leads Pipeline'!$A$5:$A$1004,0)),INDEX('Active Clients'!$D$5:$D$504,MATCH(C1609,'Active Clients'!$A$5:$A$504,0)))&amp;"","ID not found"))</f>
        <v/>
      </c>
      <c r="E1609" s="51" t="str">
        <f aca="false">IF(C1609="","",IFERROR(IF(LEFT(C1609,1)="L",INDEX('Leads Pipeline'!$D$5:$D$1004,MATCH(C1609,'Leads Pipeline'!$A$5:$A$1004,0)),INDEX('Active Clients'!$B$5:$B$504,MATCH(C1609,'Active Clients'!$A$5:$A$504,0)))&amp;"","ID not found"))</f>
        <v/>
      </c>
      <c r="F1609" s="51" t="str">
        <f aca="false">IF(C1609="","",IFERROR(IF(LEFT(C1609,1)="L",INDEX('Leads Pipeline'!$E$5:$E$1004,MATCH(C1609,'Leads Pipeline'!$A$5:$A$1004,0)),INDEX('Active Clients'!$C$5:$C$504,MATCH(C1609,'Active Clients'!$A$5:$A$504,0)))&amp;"","ID not found"))</f>
        <v/>
      </c>
      <c r="G1609" s="16"/>
      <c r="H1609" s="16"/>
      <c r="I1609" s="16"/>
      <c r="J1609" s="16"/>
      <c r="K1609" s="16"/>
      <c r="L1609" s="18"/>
    </row>
    <row r="1610" customFormat="false" ht="15" hidden="false" customHeight="false" outlineLevel="0" collapsed="false">
      <c r="A1610" s="18"/>
      <c r="B1610" s="16"/>
      <c r="C1610" s="16"/>
      <c r="D1610" s="51" t="str">
        <f aca="false">IF(C1610="","",IFERROR(IF(LEFT(C1610,1)="L",INDEX('Leads Pipeline'!$F$5:$F$1004,MATCH(C1610,'Leads Pipeline'!$A$5:$A$1004,0)),INDEX('Active Clients'!$D$5:$D$504,MATCH(C1610,'Active Clients'!$A$5:$A$504,0)))&amp;"","ID not found"))</f>
        <v/>
      </c>
      <c r="E1610" s="51" t="str">
        <f aca="false">IF(C1610="","",IFERROR(IF(LEFT(C1610,1)="L",INDEX('Leads Pipeline'!$D$5:$D$1004,MATCH(C1610,'Leads Pipeline'!$A$5:$A$1004,0)),INDEX('Active Clients'!$B$5:$B$504,MATCH(C1610,'Active Clients'!$A$5:$A$504,0)))&amp;"","ID not found"))</f>
        <v/>
      </c>
      <c r="F1610" s="51" t="str">
        <f aca="false">IF(C1610="","",IFERROR(IF(LEFT(C1610,1)="L",INDEX('Leads Pipeline'!$E$5:$E$1004,MATCH(C1610,'Leads Pipeline'!$A$5:$A$1004,0)),INDEX('Active Clients'!$C$5:$C$504,MATCH(C1610,'Active Clients'!$A$5:$A$504,0)))&amp;"","ID not found"))</f>
        <v/>
      </c>
      <c r="G1610" s="16"/>
      <c r="H1610" s="16"/>
      <c r="I1610" s="16"/>
      <c r="J1610" s="16"/>
      <c r="K1610" s="16"/>
      <c r="L1610" s="18"/>
    </row>
    <row r="1611" customFormat="false" ht="15" hidden="false" customHeight="false" outlineLevel="0" collapsed="false">
      <c r="A1611" s="18"/>
      <c r="B1611" s="16"/>
      <c r="C1611" s="16"/>
      <c r="D1611" s="51" t="str">
        <f aca="false">IF(C1611="","",IFERROR(IF(LEFT(C1611,1)="L",INDEX('Leads Pipeline'!$F$5:$F$1004,MATCH(C1611,'Leads Pipeline'!$A$5:$A$1004,0)),INDEX('Active Clients'!$D$5:$D$504,MATCH(C1611,'Active Clients'!$A$5:$A$504,0)))&amp;"","ID not found"))</f>
        <v/>
      </c>
      <c r="E1611" s="51" t="str">
        <f aca="false">IF(C1611="","",IFERROR(IF(LEFT(C1611,1)="L",INDEX('Leads Pipeline'!$D$5:$D$1004,MATCH(C1611,'Leads Pipeline'!$A$5:$A$1004,0)),INDEX('Active Clients'!$B$5:$B$504,MATCH(C1611,'Active Clients'!$A$5:$A$504,0)))&amp;"","ID not found"))</f>
        <v/>
      </c>
      <c r="F1611" s="51" t="str">
        <f aca="false">IF(C1611="","",IFERROR(IF(LEFT(C1611,1)="L",INDEX('Leads Pipeline'!$E$5:$E$1004,MATCH(C1611,'Leads Pipeline'!$A$5:$A$1004,0)),INDEX('Active Clients'!$C$5:$C$504,MATCH(C1611,'Active Clients'!$A$5:$A$504,0)))&amp;"","ID not found"))</f>
        <v/>
      </c>
      <c r="G1611" s="16"/>
      <c r="H1611" s="16"/>
      <c r="I1611" s="16"/>
      <c r="J1611" s="16"/>
      <c r="K1611" s="16"/>
      <c r="L1611" s="18"/>
    </row>
    <row r="1612" customFormat="false" ht="15" hidden="false" customHeight="false" outlineLevel="0" collapsed="false">
      <c r="A1612" s="18"/>
      <c r="B1612" s="16"/>
      <c r="C1612" s="16"/>
      <c r="D1612" s="51" t="str">
        <f aca="false">IF(C1612="","",IFERROR(IF(LEFT(C1612,1)="L",INDEX('Leads Pipeline'!$F$5:$F$1004,MATCH(C1612,'Leads Pipeline'!$A$5:$A$1004,0)),INDEX('Active Clients'!$D$5:$D$504,MATCH(C1612,'Active Clients'!$A$5:$A$504,0)))&amp;"","ID not found"))</f>
        <v/>
      </c>
      <c r="E1612" s="51" t="str">
        <f aca="false">IF(C1612="","",IFERROR(IF(LEFT(C1612,1)="L",INDEX('Leads Pipeline'!$D$5:$D$1004,MATCH(C1612,'Leads Pipeline'!$A$5:$A$1004,0)),INDEX('Active Clients'!$B$5:$B$504,MATCH(C1612,'Active Clients'!$A$5:$A$504,0)))&amp;"","ID not found"))</f>
        <v/>
      </c>
      <c r="F1612" s="51" t="str">
        <f aca="false">IF(C1612="","",IFERROR(IF(LEFT(C1612,1)="L",INDEX('Leads Pipeline'!$E$5:$E$1004,MATCH(C1612,'Leads Pipeline'!$A$5:$A$1004,0)),INDEX('Active Clients'!$C$5:$C$504,MATCH(C1612,'Active Clients'!$A$5:$A$504,0)))&amp;"","ID not found"))</f>
        <v/>
      </c>
      <c r="G1612" s="16"/>
      <c r="H1612" s="16"/>
      <c r="I1612" s="16"/>
      <c r="J1612" s="16"/>
      <c r="K1612" s="16"/>
      <c r="L1612" s="18"/>
    </row>
    <row r="1613" customFormat="false" ht="15" hidden="false" customHeight="false" outlineLevel="0" collapsed="false">
      <c r="A1613" s="18"/>
      <c r="B1613" s="16"/>
      <c r="C1613" s="16"/>
      <c r="D1613" s="51" t="str">
        <f aca="false">IF(C1613="","",IFERROR(IF(LEFT(C1613,1)="L",INDEX('Leads Pipeline'!$F$5:$F$1004,MATCH(C1613,'Leads Pipeline'!$A$5:$A$1004,0)),INDEX('Active Clients'!$D$5:$D$504,MATCH(C1613,'Active Clients'!$A$5:$A$504,0)))&amp;"","ID not found"))</f>
        <v/>
      </c>
      <c r="E1613" s="51" t="str">
        <f aca="false">IF(C1613="","",IFERROR(IF(LEFT(C1613,1)="L",INDEX('Leads Pipeline'!$D$5:$D$1004,MATCH(C1613,'Leads Pipeline'!$A$5:$A$1004,0)),INDEX('Active Clients'!$B$5:$B$504,MATCH(C1613,'Active Clients'!$A$5:$A$504,0)))&amp;"","ID not found"))</f>
        <v/>
      </c>
      <c r="F1613" s="51" t="str">
        <f aca="false">IF(C1613="","",IFERROR(IF(LEFT(C1613,1)="L",INDEX('Leads Pipeline'!$E$5:$E$1004,MATCH(C1613,'Leads Pipeline'!$A$5:$A$1004,0)),INDEX('Active Clients'!$C$5:$C$504,MATCH(C1613,'Active Clients'!$A$5:$A$504,0)))&amp;"","ID not found"))</f>
        <v/>
      </c>
      <c r="G1613" s="16"/>
      <c r="H1613" s="16"/>
      <c r="I1613" s="16"/>
      <c r="J1613" s="16"/>
      <c r="K1613" s="16"/>
      <c r="L1613" s="18"/>
    </row>
    <row r="1614" customFormat="false" ht="15" hidden="false" customHeight="false" outlineLevel="0" collapsed="false">
      <c r="A1614" s="18"/>
      <c r="B1614" s="16"/>
      <c r="C1614" s="16"/>
      <c r="D1614" s="51" t="str">
        <f aca="false">IF(C1614="","",IFERROR(IF(LEFT(C1614,1)="L",INDEX('Leads Pipeline'!$F$5:$F$1004,MATCH(C1614,'Leads Pipeline'!$A$5:$A$1004,0)),INDEX('Active Clients'!$D$5:$D$504,MATCH(C1614,'Active Clients'!$A$5:$A$504,0)))&amp;"","ID not found"))</f>
        <v/>
      </c>
      <c r="E1614" s="51" t="str">
        <f aca="false">IF(C1614="","",IFERROR(IF(LEFT(C1614,1)="L",INDEX('Leads Pipeline'!$D$5:$D$1004,MATCH(C1614,'Leads Pipeline'!$A$5:$A$1004,0)),INDEX('Active Clients'!$B$5:$B$504,MATCH(C1614,'Active Clients'!$A$5:$A$504,0)))&amp;"","ID not found"))</f>
        <v/>
      </c>
      <c r="F1614" s="51" t="str">
        <f aca="false">IF(C1614="","",IFERROR(IF(LEFT(C1614,1)="L",INDEX('Leads Pipeline'!$E$5:$E$1004,MATCH(C1614,'Leads Pipeline'!$A$5:$A$1004,0)),INDEX('Active Clients'!$C$5:$C$504,MATCH(C1614,'Active Clients'!$A$5:$A$504,0)))&amp;"","ID not found"))</f>
        <v/>
      </c>
      <c r="G1614" s="16"/>
      <c r="H1614" s="16"/>
      <c r="I1614" s="16"/>
      <c r="J1614" s="16"/>
      <c r="K1614" s="16"/>
      <c r="L1614" s="18"/>
    </row>
    <row r="1615" customFormat="false" ht="15" hidden="false" customHeight="false" outlineLevel="0" collapsed="false">
      <c r="A1615" s="18"/>
      <c r="B1615" s="16"/>
      <c r="C1615" s="16"/>
      <c r="D1615" s="51" t="str">
        <f aca="false">IF(C1615="","",IFERROR(IF(LEFT(C1615,1)="L",INDEX('Leads Pipeline'!$F$5:$F$1004,MATCH(C1615,'Leads Pipeline'!$A$5:$A$1004,0)),INDEX('Active Clients'!$D$5:$D$504,MATCH(C1615,'Active Clients'!$A$5:$A$504,0)))&amp;"","ID not found"))</f>
        <v/>
      </c>
      <c r="E1615" s="51" t="str">
        <f aca="false">IF(C1615="","",IFERROR(IF(LEFT(C1615,1)="L",INDEX('Leads Pipeline'!$D$5:$D$1004,MATCH(C1615,'Leads Pipeline'!$A$5:$A$1004,0)),INDEX('Active Clients'!$B$5:$B$504,MATCH(C1615,'Active Clients'!$A$5:$A$504,0)))&amp;"","ID not found"))</f>
        <v/>
      </c>
      <c r="F1615" s="51" t="str">
        <f aca="false">IF(C1615="","",IFERROR(IF(LEFT(C1615,1)="L",INDEX('Leads Pipeline'!$E$5:$E$1004,MATCH(C1615,'Leads Pipeline'!$A$5:$A$1004,0)),INDEX('Active Clients'!$C$5:$C$504,MATCH(C1615,'Active Clients'!$A$5:$A$504,0)))&amp;"","ID not found"))</f>
        <v/>
      </c>
      <c r="G1615" s="16"/>
      <c r="H1615" s="16"/>
      <c r="I1615" s="16"/>
      <c r="J1615" s="16"/>
      <c r="K1615" s="16"/>
      <c r="L1615" s="18"/>
    </row>
    <row r="1616" customFormat="false" ht="15" hidden="false" customHeight="false" outlineLevel="0" collapsed="false">
      <c r="A1616" s="18"/>
      <c r="B1616" s="16"/>
      <c r="C1616" s="16"/>
      <c r="D1616" s="51" t="str">
        <f aca="false">IF(C1616="","",IFERROR(IF(LEFT(C1616,1)="L",INDEX('Leads Pipeline'!$F$5:$F$1004,MATCH(C1616,'Leads Pipeline'!$A$5:$A$1004,0)),INDEX('Active Clients'!$D$5:$D$504,MATCH(C1616,'Active Clients'!$A$5:$A$504,0)))&amp;"","ID not found"))</f>
        <v/>
      </c>
      <c r="E1616" s="51" t="str">
        <f aca="false">IF(C1616="","",IFERROR(IF(LEFT(C1616,1)="L",INDEX('Leads Pipeline'!$D$5:$D$1004,MATCH(C1616,'Leads Pipeline'!$A$5:$A$1004,0)),INDEX('Active Clients'!$B$5:$B$504,MATCH(C1616,'Active Clients'!$A$5:$A$504,0)))&amp;"","ID not found"))</f>
        <v/>
      </c>
      <c r="F1616" s="51" t="str">
        <f aca="false">IF(C1616="","",IFERROR(IF(LEFT(C1616,1)="L",INDEX('Leads Pipeline'!$E$5:$E$1004,MATCH(C1616,'Leads Pipeline'!$A$5:$A$1004,0)),INDEX('Active Clients'!$C$5:$C$504,MATCH(C1616,'Active Clients'!$A$5:$A$504,0)))&amp;"","ID not found"))</f>
        <v/>
      </c>
      <c r="G1616" s="16"/>
      <c r="H1616" s="16"/>
      <c r="I1616" s="16"/>
      <c r="J1616" s="16"/>
      <c r="K1616" s="16"/>
      <c r="L1616" s="18"/>
    </row>
    <row r="1617" customFormat="false" ht="15" hidden="false" customHeight="false" outlineLevel="0" collapsed="false">
      <c r="A1617" s="18"/>
      <c r="B1617" s="16"/>
      <c r="C1617" s="16"/>
      <c r="D1617" s="51" t="str">
        <f aca="false">IF(C1617="","",IFERROR(IF(LEFT(C1617,1)="L",INDEX('Leads Pipeline'!$F$5:$F$1004,MATCH(C1617,'Leads Pipeline'!$A$5:$A$1004,0)),INDEX('Active Clients'!$D$5:$D$504,MATCH(C1617,'Active Clients'!$A$5:$A$504,0)))&amp;"","ID not found"))</f>
        <v/>
      </c>
      <c r="E1617" s="51" t="str">
        <f aca="false">IF(C1617="","",IFERROR(IF(LEFT(C1617,1)="L",INDEX('Leads Pipeline'!$D$5:$D$1004,MATCH(C1617,'Leads Pipeline'!$A$5:$A$1004,0)),INDEX('Active Clients'!$B$5:$B$504,MATCH(C1617,'Active Clients'!$A$5:$A$504,0)))&amp;"","ID not found"))</f>
        <v/>
      </c>
      <c r="F1617" s="51" t="str">
        <f aca="false">IF(C1617="","",IFERROR(IF(LEFT(C1617,1)="L",INDEX('Leads Pipeline'!$E$5:$E$1004,MATCH(C1617,'Leads Pipeline'!$A$5:$A$1004,0)),INDEX('Active Clients'!$C$5:$C$504,MATCH(C1617,'Active Clients'!$A$5:$A$504,0)))&amp;"","ID not found"))</f>
        <v/>
      </c>
      <c r="G1617" s="16"/>
      <c r="H1617" s="16"/>
      <c r="I1617" s="16"/>
      <c r="J1617" s="16"/>
      <c r="K1617" s="16"/>
      <c r="L1617" s="18"/>
    </row>
    <row r="1618" customFormat="false" ht="15" hidden="false" customHeight="false" outlineLevel="0" collapsed="false">
      <c r="A1618" s="18"/>
      <c r="B1618" s="16"/>
      <c r="C1618" s="16"/>
      <c r="D1618" s="51" t="str">
        <f aca="false">IF(C1618="","",IFERROR(IF(LEFT(C1618,1)="L",INDEX('Leads Pipeline'!$F$5:$F$1004,MATCH(C1618,'Leads Pipeline'!$A$5:$A$1004,0)),INDEX('Active Clients'!$D$5:$D$504,MATCH(C1618,'Active Clients'!$A$5:$A$504,0)))&amp;"","ID not found"))</f>
        <v/>
      </c>
      <c r="E1618" s="51" t="str">
        <f aca="false">IF(C1618="","",IFERROR(IF(LEFT(C1618,1)="L",INDEX('Leads Pipeline'!$D$5:$D$1004,MATCH(C1618,'Leads Pipeline'!$A$5:$A$1004,0)),INDEX('Active Clients'!$B$5:$B$504,MATCH(C1618,'Active Clients'!$A$5:$A$504,0)))&amp;"","ID not found"))</f>
        <v/>
      </c>
      <c r="F1618" s="51" t="str">
        <f aca="false">IF(C1618="","",IFERROR(IF(LEFT(C1618,1)="L",INDEX('Leads Pipeline'!$E$5:$E$1004,MATCH(C1618,'Leads Pipeline'!$A$5:$A$1004,0)),INDEX('Active Clients'!$C$5:$C$504,MATCH(C1618,'Active Clients'!$A$5:$A$504,0)))&amp;"","ID not found"))</f>
        <v/>
      </c>
      <c r="G1618" s="16"/>
      <c r="H1618" s="16"/>
      <c r="I1618" s="16"/>
      <c r="J1618" s="16"/>
      <c r="K1618" s="16"/>
      <c r="L1618" s="18"/>
    </row>
    <row r="1619" customFormat="false" ht="15" hidden="false" customHeight="false" outlineLevel="0" collapsed="false">
      <c r="A1619" s="18"/>
      <c r="B1619" s="16"/>
      <c r="C1619" s="16"/>
      <c r="D1619" s="51" t="str">
        <f aca="false">IF(C1619="","",IFERROR(IF(LEFT(C1619,1)="L",INDEX('Leads Pipeline'!$F$5:$F$1004,MATCH(C1619,'Leads Pipeline'!$A$5:$A$1004,0)),INDEX('Active Clients'!$D$5:$D$504,MATCH(C1619,'Active Clients'!$A$5:$A$504,0)))&amp;"","ID not found"))</f>
        <v/>
      </c>
      <c r="E1619" s="51" t="str">
        <f aca="false">IF(C1619="","",IFERROR(IF(LEFT(C1619,1)="L",INDEX('Leads Pipeline'!$D$5:$D$1004,MATCH(C1619,'Leads Pipeline'!$A$5:$A$1004,0)),INDEX('Active Clients'!$B$5:$B$504,MATCH(C1619,'Active Clients'!$A$5:$A$504,0)))&amp;"","ID not found"))</f>
        <v/>
      </c>
      <c r="F1619" s="51" t="str">
        <f aca="false">IF(C1619="","",IFERROR(IF(LEFT(C1619,1)="L",INDEX('Leads Pipeline'!$E$5:$E$1004,MATCH(C1619,'Leads Pipeline'!$A$5:$A$1004,0)),INDEX('Active Clients'!$C$5:$C$504,MATCH(C1619,'Active Clients'!$A$5:$A$504,0)))&amp;"","ID not found"))</f>
        <v/>
      </c>
      <c r="G1619" s="16"/>
      <c r="H1619" s="16"/>
      <c r="I1619" s="16"/>
      <c r="J1619" s="16"/>
      <c r="K1619" s="16"/>
      <c r="L1619" s="18"/>
    </row>
    <row r="1620" customFormat="false" ht="15" hidden="false" customHeight="false" outlineLevel="0" collapsed="false">
      <c r="A1620" s="18"/>
      <c r="B1620" s="16"/>
      <c r="C1620" s="16"/>
      <c r="D1620" s="51" t="str">
        <f aca="false">IF(C1620="","",IFERROR(IF(LEFT(C1620,1)="L",INDEX('Leads Pipeline'!$F$5:$F$1004,MATCH(C1620,'Leads Pipeline'!$A$5:$A$1004,0)),INDEX('Active Clients'!$D$5:$D$504,MATCH(C1620,'Active Clients'!$A$5:$A$504,0)))&amp;"","ID not found"))</f>
        <v/>
      </c>
      <c r="E1620" s="51" t="str">
        <f aca="false">IF(C1620="","",IFERROR(IF(LEFT(C1620,1)="L",INDEX('Leads Pipeline'!$D$5:$D$1004,MATCH(C1620,'Leads Pipeline'!$A$5:$A$1004,0)),INDEX('Active Clients'!$B$5:$B$504,MATCH(C1620,'Active Clients'!$A$5:$A$504,0)))&amp;"","ID not found"))</f>
        <v/>
      </c>
      <c r="F1620" s="51" t="str">
        <f aca="false">IF(C1620="","",IFERROR(IF(LEFT(C1620,1)="L",INDEX('Leads Pipeline'!$E$5:$E$1004,MATCH(C1620,'Leads Pipeline'!$A$5:$A$1004,0)),INDEX('Active Clients'!$C$5:$C$504,MATCH(C1620,'Active Clients'!$A$5:$A$504,0)))&amp;"","ID not found"))</f>
        <v/>
      </c>
      <c r="G1620" s="16"/>
      <c r="H1620" s="16"/>
      <c r="I1620" s="16"/>
      <c r="J1620" s="16"/>
      <c r="K1620" s="16"/>
      <c r="L1620" s="18"/>
    </row>
    <row r="1621" customFormat="false" ht="15" hidden="false" customHeight="false" outlineLevel="0" collapsed="false">
      <c r="A1621" s="18"/>
      <c r="B1621" s="16"/>
      <c r="C1621" s="16"/>
      <c r="D1621" s="51" t="str">
        <f aca="false">IF(C1621="","",IFERROR(IF(LEFT(C1621,1)="L",INDEX('Leads Pipeline'!$F$5:$F$1004,MATCH(C1621,'Leads Pipeline'!$A$5:$A$1004,0)),INDEX('Active Clients'!$D$5:$D$504,MATCH(C1621,'Active Clients'!$A$5:$A$504,0)))&amp;"","ID not found"))</f>
        <v/>
      </c>
      <c r="E1621" s="51" t="str">
        <f aca="false">IF(C1621="","",IFERROR(IF(LEFT(C1621,1)="L",INDEX('Leads Pipeline'!$D$5:$D$1004,MATCH(C1621,'Leads Pipeline'!$A$5:$A$1004,0)),INDEX('Active Clients'!$B$5:$B$504,MATCH(C1621,'Active Clients'!$A$5:$A$504,0)))&amp;"","ID not found"))</f>
        <v/>
      </c>
      <c r="F1621" s="51" t="str">
        <f aca="false">IF(C1621="","",IFERROR(IF(LEFT(C1621,1)="L",INDEX('Leads Pipeline'!$E$5:$E$1004,MATCH(C1621,'Leads Pipeline'!$A$5:$A$1004,0)),INDEX('Active Clients'!$C$5:$C$504,MATCH(C1621,'Active Clients'!$A$5:$A$504,0)))&amp;"","ID not found"))</f>
        <v/>
      </c>
      <c r="G1621" s="16"/>
      <c r="H1621" s="16"/>
      <c r="I1621" s="16"/>
      <c r="J1621" s="16"/>
      <c r="K1621" s="16"/>
      <c r="L1621" s="18"/>
    </row>
    <row r="1622" customFormat="false" ht="15" hidden="false" customHeight="false" outlineLevel="0" collapsed="false">
      <c r="A1622" s="18"/>
      <c r="B1622" s="16"/>
      <c r="C1622" s="16"/>
      <c r="D1622" s="51" t="str">
        <f aca="false">IF(C1622="","",IFERROR(IF(LEFT(C1622,1)="L",INDEX('Leads Pipeline'!$F$5:$F$1004,MATCH(C1622,'Leads Pipeline'!$A$5:$A$1004,0)),INDEX('Active Clients'!$D$5:$D$504,MATCH(C1622,'Active Clients'!$A$5:$A$504,0)))&amp;"","ID not found"))</f>
        <v/>
      </c>
      <c r="E1622" s="51" t="str">
        <f aca="false">IF(C1622="","",IFERROR(IF(LEFT(C1622,1)="L",INDEX('Leads Pipeline'!$D$5:$D$1004,MATCH(C1622,'Leads Pipeline'!$A$5:$A$1004,0)),INDEX('Active Clients'!$B$5:$B$504,MATCH(C1622,'Active Clients'!$A$5:$A$504,0)))&amp;"","ID not found"))</f>
        <v/>
      </c>
      <c r="F1622" s="51" t="str">
        <f aca="false">IF(C1622="","",IFERROR(IF(LEFT(C1622,1)="L",INDEX('Leads Pipeline'!$E$5:$E$1004,MATCH(C1622,'Leads Pipeline'!$A$5:$A$1004,0)),INDEX('Active Clients'!$C$5:$C$504,MATCH(C1622,'Active Clients'!$A$5:$A$504,0)))&amp;"","ID not found"))</f>
        <v/>
      </c>
      <c r="G1622" s="16"/>
      <c r="H1622" s="16"/>
      <c r="I1622" s="16"/>
      <c r="J1622" s="16"/>
      <c r="K1622" s="16"/>
      <c r="L1622" s="18"/>
    </row>
    <row r="1623" customFormat="false" ht="15" hidden="false" customHeight="false" outlineLevel="0" collapsed="false">
      <c r="A1623" s="18"/>
      <c r="B1623" s="16"/>
      <c r="C1623" s="16"/>
      <c r="D1623" s="51" t="str">
        <f aca="false">IF(C1623="","",IFERROR(IF(LEFT(C1623,1)="L",INDEX('Leads Pipeline'!$F$5:$F$1004,MATCH(C1623,'Leads Pipeline'!$A$5:$A$1004,0)),INDEX('Active Clients'!$D$5:$D$504,MATCH(C1623,'Active Clients'!$A$5:$A$504,0)))&amp;"","ID not found"))</f>
        <v/>
      </c>
      <c r="E1623" s="51" t="str">
        <f aca="false">IF(C1623="","",IFERROR(IF(LEFT(C1623,1)="L",INDEX('Leads Pipeline'!$D$5:$D$1004,MATCH(C1623,'Leads Pipeline'!$A$5:$A$1004,0)),INDEX('Active Clients'!$B$5:$B$504,MATCH(C1623,'Active Clients'!$A$5:$A$504,0)))&amp;"","ID not found"))</f>
        <v/>
      </c>
      <c r="F1623" s="51" t="str">
        <f aca="false">IF(C1623="","",IFERROR(IF(LEFT(C1623,1)="L",INDEX('Leads Pipeline'!$E$5:$E$1004,MATCH(C1623,'Leads Pipeline'!$A$5:$A$1004,0)),INDEX('Active Clients'!$C$5:$C$504,MATCH(C1623,'Active Clients'!$A$5:$A$504,0)))&amp;"","ID not found"))</f>
        <v/>
      </c>
      <c r="G1623" s="16"/>
      <c r="H1623" s="16"/>
      <c r="I1623" s="16"/>
      <c r="J1623" s="16"/>
      <c r="K1623" s="16"/>
      <c r="L1623" s="18"/>
    </row>
    <row r="1624" customFormat="false" ht="15" hidden="false" customHeight="false" outlineLevel="0" collapsed="false">
      <c r="A1624" s="18"/>
      <c r="B1624" s="16"/>
      <c r="C1624" s="16"/>
      <c r="D1624" s="51" t="str">
        <f aca="false">IF(C1624="","",IFERROR(IF(LEFT(C1624,1)="L",INDEX('Leads Pipeline'!$F$5:$F$1004,MATCH(C1624,'Leads Pipeline'!$A$5:$A$1004,0)),INDEX('Active Clients'!$D$5:$D$504,MATCH(C1624,'Active Clients'!$A$5:$A$504,0)))&amp;"","ID not found"))</f>
        <v/>
      </c>
      <c r="E1624" s="51" t="str">
        <f aca="false">IF(C1624="","",IFERROR(IF(LEFT(C1624,1)="L",INDEX('Leads Pipeline'!$D$5:$D$1004,MATCH(C1624,'Leads Pipeline'!$A$5:$A$1004,0)),INDEX('Active Clients'!$B$5:$B$504,MATCH(C1624,'Active Clients'!$A$5:$A$504,0)))&amp;"","ID not found"))</f>
        <v/>
      </c>
      <c r="F1624" s="51" t="str">
        <f aca="false">IF(C1624="","",IFERROR(IF(LEFT(C1624,1)="L",INDEX('Leads Pipeline'!$E$5:$E$1004,MATCH(C1624,'Leads Pipeline'!$A$5:$A$1004,0)),INDEX('Active Clients'!$C$5:$C$504,MATCH(C1624,'Active Clients'!$A$5:$A$504,0)))&amp;"","ID not found"))</f>
        <v/>
      </c>
      <c r="G1624" s="16"/>
      <c r="H1624" s="16"/>
      <c r="I1624" s="16"/>
      <c r="J1624" s="16"/>
      <c r="K1624" s="16"/>
      <c r="L1624" s="18"/>
    </row>
    <row r="1625" customFormat="false" ht="15" hidden="false" customHeight="false" outlineLevel="0" collapsed="false">
      <c r="A1625" s="18"/>
      <c r="B1625" s="16"/>
      <c r="C1625" s="16"/>
      <c r="D1625" s="51" t="str">
        <f aca="false">IF(C1625="","",IFERROR(IF(LEFT(C1625,1)="L",INDEX('Leads Pipeline'!$F$5:$F$1004,MATCH(C1625,'Leads Pipeline'!$A$5:$A$1004,0)),INDEX('Active Clients'!$D$5:$D$504,MATCH(C1625,'Active Clients'!$A$5:$A$504,0)))&amp;"","ID not found"))</f>
        <v/>
      </c>
      <c r="E1625" s="51" t="str">
        <f aca="false">IF(C1625="","",IFERROR(IF(LEFT(C1625,1)="L",INDEX('Leads Pipeline'!$D$5:$D$1004,MATCH(C1625,'Leads Pipeline'!$A$5:$A$1004,0)),INDEX('Active Clients'!$B$5:$B$504,MATCH(C1625,'Active Clients'!$A$5:$A$504,0)))&amp;"","ID not found"))</f>
        <v/>
      </c>
      <c r="F1625" s="51" t="str">
        <f aca="false">IF(C1625="","",IFERROR(IF(LEFT(C1625,1)="L",INDEX('Leads Pipeline'!$E$5:$E$1004,MATCH(C1625,'Leads Pipeline'!$A$5:$A$1004,0)),INDEX('Active Clients'!$C$5:$C$504,MATCH(C1625,'Active Clients'!$A$5:$A$504,0)))&amp;"","ID not found"))</f>
        <v/>
      </c>
      <c r="G1625" s="16"/>
      <c r="H1625" s="16"/>
      <c r="I1625" s="16"/>
      <c r="J1625" s="16"/>
      <c r="K1625" s="16"/>
      <c r="L1625" s="18"/>
    </row>
    <row r="1626" customFormat="false" ht="15" hidden="false" customHeight="false" outlineLevel="0" collapsed="false">
      <c r="A1626" s="18"/>
      <c r="B1626" s="16"/>
      <c r="C1626" s="16"/>
      <c r="D1626" s="51" t="str">
        <f aca="false">IF(C1626="","",IFERROR(IF(LEFT(C1626,1)="L",INDEX('Leads Pipeline'!$F$5:$F$1004,MATCH(C1626,'Leads Pipeline'!$A$5:$A$1004,0)),INDEX('Active Clients'!$D$5:$D$504,MATCH(C1626,'Active Clients'!$A$5:$A$504,0)))&amp;"","ID not found"))</f>
        <v/>
      </c>
      <c r="E1626" s="51" t="str">
        <f aca="false">IF(C1626="","",IFERROR(IF(LEFT(C1626,1)="L",INDEX('Leads Pipeline'!$D$5:$D$1004,MATCH(C1626,'Leads Pipeline'!$A$5:$A$1004,0)),INDEX('Active Clients'!$B$5:$B$504,MATCH(C1626,'Active Clients'!$A$5:$A$504,0)))&amp;"","ID not found"))</f>
        <v/>
      </c>
      <c r="F1626" s="51" t="str">
        <f aca="false">IF(C1626="","",IFERROR(IF(LEFT(C1626,1)="L",INDEX('Leads Pipeline'!$E$5:$E$1004,MATCH(C1626,'Leads Pipeline'!$A$5:$A$1004,0)),INDEX('Active Clients'!$C$5:$C$504,MATCH(C1626,'Active Clients'!$A$5:$A$504,0)))&amp;"","ID not found"))</f>
        <v/>
      </c>
      <c r="G1626" s="16"/>
      <c r="H1626" s="16"/>
      <c r="I1626" s="16"/>
      <c r="J1626" s="16"/>
      <c r="K1626" s="16"/>
      <c r="L1626" s="18"/>
    </row>
    <row r="1627" customFormat="false" ht="15" hidden="false" customHeight="false" outlineLevel="0" collapsed="false">
      <c r="A1627" s="18"/>
      <c r="B1627" s="16"/>
      <c r="C1627" s="16"/>
      <c r="D1627" s="51" t="str">
        <f aca="false">IF(C1627="","",IFERROR(IF(LEFT(C1627,1)="L",INDEX('Leads Pipeline'!$F$5:$F$1004,MATCH(C1627,'Leads Pipeline'!$A$5:$A$1004,0)),INDEX('Active Clients'!$D$5:$D$504,MATCH(C1627,'Active Clients'!$A$5:$A$504,0)))&amp;"","ID not found"))</f>
        <v/>
      </c>
      <c r="E1627" s="51" t="str">
        <f aca="false">IF(C1627="","",IFERROR(IF(LEFT(C1627,1)="L",INDEX('Leads Pipeline'!$D$5:$D$1004,MATCH(C1627,'Leads Pipeline'!$A$5:$A$1004,0)),INDEX('Active Clients'!$B$5:$B$504,MATCH(C1627,'Active Clients'!$A$5:$A$504,0)))&amp;"","ID not found"))</f>
        <v/>
      </c>
      <c r="F1627" s="51" t="str">
        <f aca="false">IF(C1627="","",IFERROR(IF(LEFT(C1627,1)="L",INDEX('Leads Pipeline'!$E$5:$E$1004,MATCH(C1627,'Leads Pipeline'!$A$5:$A$1004,0)),INDEX('Active Clients'!$C$5:$C$504,MATCH(C1627,'Active Clients'!$A$5:$A$504,0)))&amp;"","ID not found"))</f>
        <v/>
      </c>
      <c r="G1627" s="16"/>
      <c r="H1627" s="16"/>
      <c r="I1627" s="16"/>
      <c r="J1627" s="16"/>
      <c r="K1627" s="16"/>
      <c r="L1627" s="18"/>
    </row>
    <row r="1628" customFormat="false" ht="15" hidden="false" customHeight="false" outlineLevel="0" collapsed="false">
      <c r="A1628" s="18"/>
      <c r="B1628" s="16"/>
      <c r="C1628" s="16"/>
      <c r="D1628" s="51" t="str">
        <f aca="false">IF(C1628="","",IFERROR(IF(LEFT(C1628,1)="L",INDEX('Leads Pipeline'!$F$5:$F$1004,MATCH(C1628,'Leads Pipeline'!$A$5:$A$1004,0)),INDEX('Active Clients'!$D$5:$D$504,MATCH(C1628,'Active Clients'!$A$5:$A$504,0)))&amp;"","ID not found"))</f>
        <v/>
      </c>
      <c r="E1628" s="51" t="str">
        <f aca="false">IF(C1628="","",IFERROR(IF(LEFT(C1628,1)="L",INDEX('Leads Pipeline'!$D$5:$D$1004,MATCH(C1628,'Leads Pipeline'!$A$5:$A$1004,0)),INDEX('Active Clients'!$B$5:$B$504,MATCH(C1628,'Active Clients'!$A$5:$A$504,0)))&amp;"","ID not found"))</f>
        <v/>
      </c>
      <c r="F1628" s="51" t="str">
        <f aca="false">IF(C1628="","",IFERROR(IF(LEFT(C1628,1)="L",INDEX('Leads Pipeline'!$E$5:$E$1004,MATCH(C1628,'Leads Pipeline'!$A$5:$A$1004,0)),INDEX('Active Clients'!$C$5:$C$504,MATCH(C1628,'Active Clients'!$A$5:$A$504,0)))&amp;"","ID not found"))</f>
        <v/>
      </c>
      <c r="G1628" s="16"/>
      <c r="H1628" s="16"/>
      <c r="I1628" s="16"/>
      <c r="J1628" s="16"/>
      <c r="K1628" s="16"/>
      <c r="L1628" s="18"/>
    </row>
    <row r="1629" customFormat="false" ht="15" hidden="false" customHeight="false" outlineLevel="0" collapsed="false">
      <c r="A1629" s="18"/>
      <c r="B1629" s="16"/>
      <c r="C1629" s="16"/>
      <c r="D1629" s="51" t="str">
        <f aca="false">IF(C1629="","",IFERROR(IF(LEFT(C1629,1)="L",INDEX('Leads Pipeline'!$F$5:$F$1004,MATCH(C1629,'Leads Pipeline'!$A$5:$A$1004,0)),INDEX('Active Clients'!$D$5:$D$504,MATCH(C1629,'Active Clients'!$A$5:$A$504,0)))&amp;"","ID not found"))</f>
        <v/>
      </c>
      <c r="E1629" s="51" t="str">
        <f aca="false">IF(C1629="","",IFERROR(IF(LEFT(C1629,1)="L",INDEX('Leads Pipeline'!$D$5:$D$1004,MATCH(C1629,'Leads Pipeline'!$A$5:$A$1004,0)),INDEX('Active Clients'!$B$5:$B$504,MATCH(C1629,'Active Clients'!$A$5:$A$504,0)))&amp;"","ID not found"))</f>
        <v/>
      </c>
      <c r="F1629" s="51" t="str">
        <f aca="false">IF(C1629="","",IFERROR(IF(LEFT(C1629,1)="L",INDEX('Leads Pipeline'!$E$5:$E$1004,MATCH(C1629,'Leads Pipeline'!$A$5:$A$1004,0)),INDEX('Active Clients'!$C$5:$C$504,MATCH(C1629,'Active Clients'!$A$5:$A$504,0)))&amp;"","ID not found"))</f>
        <v/>
      </c>
      <c r="G1629" s="16"/>
      <c r="H1629" s="16"/>
      <c r="I1629" s="16"/>
      <c r="J1629" s="16"/>
      <c r="K1629" s="16"/>
      <c r="L1629" s="18"/>
    </row>
    <row r="1630" customFormat="false" ht="15" hidden="false" customHeight="false" outlineLevel="0" collapsed="false">
      <c r="A1630" s="18"/>
      <c r="B1630" s="16"/>
      <c r="C1630" s="16"/>
      <c r="D1630" s="51" t="str">
        <f aca="false">IF(C1630="","",IFERROR(IF(LEFT(C1630,1)="L",INDEX('Leads Pipeline'!$F$5:$F$1004,MATCH(C1630,'Leads Pipeline'!$A$5:$A$1004,0)),INDEX('Active Clients'!$D$5:$D$504,MATCH(C1630,'Active Clients'!$A$5:$A$504,0)))&amp;"","ID not found"))</f>
        <v/>
      </c>
      <c r="E1630" s="51" t="str">
        <f aca="false">IF(C1630="","",IFERROR(IF(LEFT(C1630,1)="L",INDEX('Leads Pipeline'!$D$5:$D$1004,MATCH(C1630,'Leads Pipeline'!$A$5:$A$1004,0)),INDEX('Active Clients'!$B$5:$B$504,MATCH(C1630,'Active Clients'!$A$5:$A$504,0)))&amp;"","ID not found"))</f>
        <v/>
      </c>
      <c r="F1630" s="51" t="str">
        <f aca="false">IF(C1630="","",IFERROR(IF(LEFT(C1630,1)="L",INDEX('Leads Pipeline'!$E$5:$E$1004,MATCH(C1630,'Leads Pipeline'!$A$5:$A$1004,0)),INDEX('Active Clients'!$C$5:$C$504,MATCH(C1630,'Active Clients'!$A$5:$A$504,0)))&amp;"","ID not found"))</f>
        <v/>
      </c>
      <c r="G1630" s="16"/>
      <c r="H1630" s="16"/>
      <c r="I1630" s="16"/>
      <c r="J1630" s="16"/>
      <c r="K1630" s="16"/>
      <c r="L1630" s="18"/>
    </row>
    <row r="1631" customFormat="false" ht="15" hidden="false" customHeight="false" outlineLevel="0" collapsed="false">
      <c r="A1631" s="18"/>
      <c r="B1631" s="16"/>
      <c r="C1631" s="16"/>
      <c r="D1631" s="51" t="str">
        <f aca="false">IF(C1631="","",IFERROR(IF(LEFT(C1631,1)="L",INDEX('Leads Pipeline'!$F$5:$F$1004,MATCH(C1631,'Leads Pipeline'!$A$5:$A$1004,0)),INDEX('Active Clients'!$D$5:$D$504,MATCH(C1631,'Active Clients'!$A$5:$A$504,0)))&amp;"","ID not found"))</f>
        <v/>
      </c>
      <c r="E1631" s="51" t="str">
        <f aca="false">IF(C1631="","",IFERROR(IF(LEFT(C1631,1)="L",INDEX('Leads Pipeline'!$D$5:$D$1004,MATCH(C1631,'Leads Pipeline'!$A$5:$A$1004,0)),INDEX('Active Clients'!$B$5:$B$504,MATCH(C1631,'Active Clients'!$A$5:$A$504,0)))&amp;"","ID not found"))</f>
        <v/>
      </c>
      <c r="F1631" s="51" t="str">
        <f aca="false">IF(C1631="","",IFERROR(IF(LEFT(C1631,1)="L",INDEX('Leads Pipeline'!$E$5:$E$1004,MATCH(C1631,'Leads Pipeline'!$A$5:$A$1004,0)),INDEX('Active Clients'!$C$5:$C$504,MATCH(C1631,'Active Clients'!$A$5:$A$504,0)))&amp;"","ID not found"))</f>
        <v/>
      </c>
      <c r="G1631" s="16"/>
      <c r="H1631" s="16"/>
      <c r="I1631" s="16"/>
      <c r="J1631" s="16"/>
      <c r="K1631" s="16"/>
      <c r="L1631" s="18"/>
    </row>
    <row r="1632" customFormat="false" ht="15" hidden="false" customHeight="false" outlineLevel="0" collapsed="false">
      <c r="A1632" s="18"/>
      <c r="B1632" s="16"/>
      <c r="C1632" s="16"/>
      <c r="D1632" s="51" t="str">
        <f aca="false">IF(C1632="","",IFERROR(IF(LEFT(C1632,1)="L",INDEX('Leads Pipeline'!$F$5:$F$1004,MATCH(C1632,'Leads Pipeline'!$A$5:$A$1004,0)),INDEX('Active Clients'!$D$5:$D$504,MATCH(C1632,'Active Clients'!$A$5:$A$504,0)))&amp;"","ID not found"))</f>
        <v/>
      </c>
      <c r="E1632" s="51" t="str">
        <f aca="false">IF(C1632="","",IFERROR(IF(LEFT(C1632,1)="L",INDEX('Leads Pipeline'!$D$5:$D$1004,MATCH(C1632,'Leads Pipeline'!$A$5:$A$1004,0)),INDEX('Active Clients'!$B$5:$B$504,MATCH(C1632,'Active Clients'!$A$5:$A$504,0)))&amp;"","ID not found"))</f>
        <v/>
      </c>
      <c r="F1632" s="51" t="str">
        <f aca="false">IF(C1632="","",IFERROR(IF(LEFT(C1632,1)="L",INDEX('Leads Pipeline'!$E$5:$E$1004,MATCH(C1632,'Leads Pipeline'!$A$5:$A$1004,0)),INDEX('Active Clients'!$C$5:$C$504,MATCH(C1632,'Active Clients'!$A$5:$A$504,0)))&amp;"","ID not found"))</f>
        <v/>
      </c>
      <c r="G1632" s="16"/>
      <c r="H1632" s="16"/>
      <c r="I1632" s="16"/>
      <c r="J1632" s="16"/>
      <c r="K1632" s="16"/>
      <c r="L1632" s="18"/>
    </row>
    <row r="1633" customFormat="false" ht="15" hidden="false" customHeight="false" outlineLevel="0" collapsed="false">
      <c r="A1633" s="18"/>
      <c r="B1633" s="16"/>
      <c r="C1633" s="16"/>
      <c r="D1633" s="51" t="str">
        <f aca="false">IF(C1633="","",IFERROR(IF(LEFT(C1633,1)="L",INDEX('Leads Pipeline'!$F$5:$F$1004,MATCH(C1633,'Leads Pipeline'!$A$5:$A$1004,0)),INDEX('Active Clients'!$D$5:$D$504,MATCH(C1633,'Active Clients'!$A$5:$A$504,0)))&amp;"","ID not found"))</f>
        <v/>
      </c>
      <c r="E1633" s="51" t="str">
        <f aca="false">IF(C1633="","",IFERROR(IF(LEFT(C1633,1)="L",INDEX('Leads Pipeline'!$D$5:$D$1004,MATCH(C1633,'Leads Pipeline'!$A$5:$A$1004,0)),INDEX('Active Clients'!$B$5:$B$504,MATCH(C1633,'Active Clients'!$A$5:$A$504,0)))&amp;"","ID not found"))</f>
        <v/>
      </c>
      <c r="F1633" s="51" t="str">
        <f aca="false">IF(C1633="","",IFERROR(IF(LEFT(C1633,1)="L",INDEX('Leads Pipeline'!$E$5:$E$1004,MATCH(C1633,'Leads Pipeline'!$A$5:$A$1004,0)),INDEX('Active Clients'!$C$5:$C$504,MATCH(C1633,'Active Clients'!$A$5:$A$504,0)))&amp;"","ID not found"))</f>
        <v/>
      </c>
      <c r="G1633" s="16"/>
      <c r="H1633" s="16"/>
      <c r="I1633" s="16"/>
      <c r="J1633" s="16"/>
      <c r="K1633" s="16"/>
      <c r="L1633" s="18"/>
    </row>
    <row r="1634" customFormat="false" ht="15" hidden="false" customHeight="false" outlineLevel="0" collapsed="false">
      <c r="A1634" s="18"/>
      <c r="B1634" s="16"/>
      <c r="C1634" s="16"/>
      <c r="D1634" s="51" t="str">
        <f aca="false">IF(C1634="","",IFERROR(IF(LEFT(C1634,1)="L",INDEX('Leads Pipeline'!$F$5:$F$1004,MATCH(C1634,'Leads Pipeline'!$A$5:$A$1004,0)),INDEX('Active Clients'!$D$5:$D$504,MATCH(C1634,'Active Clients'!$A$5:$A$504,0)))&amp;"","ID not found"))</f>
        <v/>
      </c>
      <c r="E1634" s="51" t="str">
        <f aca="false">IF(C1634="","",IFERROR(IF(LEFT(C1634,1)="L",INDEX('Leads Pipeline'!$D$5:$D$1004,MATCH(C1634,'Leads Pipeline'!$A$5:$A$1004,0)),INDEX('Active Clients'!$B$5:$B$504,MATCH(C1634,'Active Clients'!$A$5:$A$504,0)))&amp;"","ID not found"))</f>
        <v/>
      </c>
      <c r="F1634" s="51" t="str">
        <f aca="false">IF(C1634="","",IFERROR(IF(LEFT(C1634,1)="L",INDEX('Leads Pipeline'!$E$5:$E$1004,MATCH(C1634,'Leads Pipeline'!$A$5:$A$1004,0)),INDEX('Active Clients'!$C$5:$C$504,MATCH(C1634,'Active Clients'!$A$5:$A$504,0)))&amp;"","ID not found"))</f>
        <v/>
      </c>
      <c r="G1634" s="16"/>
      <c r="H1634" s="16"/>
      <c r="I1634" s="16"/>
      <c r="J1634" s="16"/>
      <c r="K1634" s="16"/>
      <c r="L1634" s="18"/>
    </row>
    <row r="1635" customFormat="false" ht="15" hidden="false" customHeight="false" outlineLevel="0" collapsed="false">
      <c r="A1635" s="18"/>
      <c r="B1635" s="16"/>
      <c r="C1635" s="16"/>
      <c r="D1635" s="51" t="str">
        <f aca="false">IF(C1635="","",IFERROR(IF(LEFT(C1635,1)="L",INDEX('Leads Pipeline'!$F$5:$F$1004,MATCH(C1635,'Leads Pipeline'!$A$5:$A$1004,0)),INDEX('Active Clients'!$D$5:$D$504,MATCH(C1635,'Active Clients'!$A$5:$A$504,0)))&amp;"","ID not found"))</f>
        <v/>
      </c>
      <c r="E1635" s="51" t="str">
        <f aca="false">IF(C1635="","",IFERROR(IF(LEFT(C1635,1)="L",INDEX('Leads Pipeline'!$D$5:$D$1004,MATCH(C1635,'Leads Pipeline'!$A$5:$A$1004,0)),INDEX('Active Clients'!$B$5:$B$504,MATCH(C1635,'Active Clients'!$A$5:$A$504,0)))&amp;"","ID not found"))</f>
        <v/>
      </c>
      <c r="F1635" s="51" t="str">
        <f aca="false">IF(C1635="","",IFERROR(IF(LEFT(C1635,1)="L",INDEX('Leads Pipeline'!$E$5:$E$1004,MATCH(C1635,'Leads Pipeline'!$A$5:$A$1004,0)),INDEX('Active Clients'!$C$5:$C$504,MATCH(C1635,'Active Clients'!$A$5:$A$504,0)))&amp;"","ID not found"))</f>
        <v/>
      </c>
      <c r="G1635" s="16"/>
      <c r="H1635" s="16"/>
      <c r="I1635" s="16"/>
      <c r="J1635" s="16"/>
      <c r="K1635" s="16"/>
      <c r="L1635" s="18"/>
    </row>
    <row r="1636" customFormat="false" ht="15" hidden="false" customHeight="false" outlineLevel="0" collapsed="false">
      <c r="A1636" s="18"/>
      <c r="B1636" s="16"/>
      <c r="C1636" s="16"/>
      <c r="D1636" s="51" t="str">
        <f aca="false">IF(C1636="","",IFERROR(IF(LEFT(C1636,1)="L",INDEX('Leads Pipeline'!$F$5:$F$1004,MATCH(C1636,'Leads Pipeline'!$A$5:$A$1004,0)),INDEX('Active Clients'!$D$5:$D$504,MATCH(C1636,'Active Clients'!$A$5:$A$504,0)))&amp;"","ID not found"))</f>
        <v/>
      </c>
      <c r="E1636" s="51" t="str">
        <f aca="false">IF(C1636="","",IFERROR(IF(LEFT(C1636,1)="L",INDEX('Leads Pipeline'!$D$5:$D$1004,MATCH(C1636,'Leads Pipeline'!$A$5:$A$1004,0)),INDEX('Active Clients'!$B$5:$B$504,MATCH(C1636,'Active Clients'!$A$5:$A$504,0)))&amp;"","ID not found"))</f>
        <v/>
      </c>
      <c r="F1636" s="51" t="str">
        <f aca="false">IF(C1636="","",IFERROR(IF(LEFT(C1636,1)="L",INDEX('Leads Pipeline'!$E$5:$E$1004,MATCH(C1636,'Leads Pipeline'!$A$5:$A$1004,0)),INDEX('Active Clients'!$C$5:$C$504,MATCH(C1636,'Active Clients'!$A$5:$A$504,0)))&amp;"","ID not found"))</f>
        <v/>
      </c>
      <c r="G1636" s="16"/>
      <c r="H1636" s="16"/>
      <c r="I1636" s="16"/>
      <c r="J1636" s="16"/>
      <c r="K1636" s="16"/>
      <c r="L1636" s="18"/>
    </row>
    <row r="1637" customFormat="false" ht="15" hidden="false" customHeight="false" outlineLevel="0" collapsed="false">
      <c r="A1637" s="18"/>
      <c r="B1637" s="16"/>
      <c r="C1637" s="16"/>
      <c r="D1637" s="51" t="str">
        <f aca="false">IF(C1637="","",IFERROR(IF(LEFT(C1637,1)="L",INDEX('Leads Pipeline'!$F$5:$F$1004,MATCH(C1637,'Leads Pipeline'!$A$5:$A$1004,0)),INDEX('Active Clients'!$D$5:$D$504,MATCH(C1637,'Active Clients'!$A$5:$A$504,0)))&amp;"","ID not found"))</f>
        <v/>
      </c>
      <c r="E1637" s="51" t="str">
        <f aca="false">IF(C1637="","",IFERROR(IF(LEFT(C1637,1)="L",INDEX('Leads Pipeline'!$D$5:$D$1004,MATCH(C1637,'Leads Pipeline'!$A$5:$A$1004,0)),INDEX('Active Clients'!$B$5:$B$504,MATCH(C1637,'Active Clients'!$A$5:$A$504,0)))&amp;"","ID not found"))</f>
        <v/>
      </c>
      <c r="F1637" s="51" t="str">
        <f aca="false">IF(C1637="","",IFERROR(IF(LEFT(C1637,1)="L",INDEX('Leads Pipeline'!$E$5:$E$1004,MATCH(C1637,'Leads Pipeline'!$A$5:$A$1004,0)),INDEX('Active Clients'!$C$5:$C$504,MATCH(C1637,'Active Clients'!$A$5:$A$504,0)))&amp;"","ID not found"))</f>
        <v/>
      </c>
      <c r="G1637" s="16"/>
      <c r="H1637" s="16"/>
      <c r="I1637" s="16"/>
      <c r="J1637" s="16"/>
      <c r="K1637" s="16"/>
      <c r="L1637" s="18"/>
    </row>
    <row r="1638" customFormat="false" ht="15" hidden="false" customHeight="false" outlineLevel="0" collapsed="false">
      <c r="A1638" s="18"/>
      <c r="B1638" s="16"/>
      <c r="C1638" s="16"/>
      <c r="D1638" s="51" t="str">
        <f aca="false">IF(C1638="","",IFERROR(IF(LEFT(C1638,1)="L",INDEX('Leads Pipeline'!$F$5:$F$1004,MATCH(C1638,'Leads Pipeline'!$A$5:$A$1004,0)),INDEX('Active Clients'!$D$5:$D$504,MATCH(C1638,'Active Clients'!$A$5:$A$504,0)))&amp;"","ID not found"))</f>
        <v/>
      </c>
      <c r="E1638" s="51" t="str">
        <f aca="false">IF(C1638="","",IFERROR(IF(LEFT(C1638,1)="L",INDEX('Leads Pipeline'!$D$5:$D$1004,MATCH(C1638,'Leads Pipeline'!$A$5:$A$1004,0)),INDEX('Active Clients'!$B$5:$B$504,MATCH(C1638,'Active Clients'!$A$5:$A$504,0)))&amp;"","ID not found"))</f>
        <v/>
      </c>
      <c r="F1638" s="51" t="str">
        <f aca="false">IF(C1638="","",IFERROR(IF(LEFT(C1638,1)="L",INDEX('Leads Pipeline'!$E$5:$E$1004,MATCH(C1638,'Leads Pipeline'!$A$5:$A$1004,0)),INDEX('Active Clients'!$C$5:$C$504,MATCH(C1638,'Active Clients'!$A$5:$A$504,0)))&amp;"","ID not found"))</f>
        <v/>
      </c>
      <c r="G1638" s="16"/>
      <c r="H1638" s="16"/>
      <c r="I1638" s="16"/>
      <c r="J1638" s="16"/>
      <c r="K1638" s="16"/>
      <c r="L1638" s="18"/>
    </row>
    <row r="1639" customFormat="false" ht="15" hidden="false" customHeight="false" outlineLevel="0" collapsed="false">
      <c r="A1639" s="18"/>
      <c r="B1639" s="16"/>
      <c r="C1639" s="16"/>
      <c r="D1639" s="51" t="str">
        <f aca="false">IF(C1639="","",IFERROR(IF(LEFT(C1639,1)="L",INDEX('Leads Pipeline'!$F$5:$F$1004,MATCH(C1639,'Leads Pipeline'!$A$5:$A$1004,0)),INDEX('Active Clients'!$D$5:$D$504,MATCH(C1639,'Active Clients'!$A$5:$A$504,0)))&amp;"","ID not found"))</f>
        <v/>
      </c>
      <c r="E1639" s="51" t="str">
        <f aca="false">IF(C1639="","",IFERROR(IF(LEFT(C1639,1)="L",INDEX('Leads Pipeline'!$D$5:$D$1004,MATCH(C1639,'Leads Pipeline'!$A$5:$A$1004,0)),INDEX('Active Clients'!$B$5:$B$504,MATCH(C1639,'Active Clients'!$A$5:$A$504,0)))&amp;"","ID not found"))</f>
        <v/>
      </c>
      <c r="F1639" s="51" t="str">
        <f aca="false">IF(C1639="","",IFERROR(IF(LEFT(C1639,1)="L",INDEX('Leads Pipeline'!$E$5:$E$1004,MATCH(C1639,'Leads Pipeline'!$A$5:$A$1004,0)),INDEX('Active Clients'!$C$5:$C$504,MATCH(C1639,'Active Clients'!$A$5:$A$504,0)))&amp;"","ID not found"))</f>
        <v/>
      </c>
      <c r="G1639" s="16"/>
      <c r="H1639" s="16"/>
      <c r="I1639" s="16"/>
      <c r="J1639" s="16"/>
      <c r="K1639" s="16"/>
      <c r="L1639" s="18"/>
    </row>
    <row r="1640" customFormat="false" ht="15" hidden="false" customHeight="false" outlineLevel="0" collapsed="false">
      <c r="A1640" s="18"/>
      <c r="B1640" s="16"/>
      <c r="C1640" s="16"/>
      <c r="D1640" s="51" t="str">
        <f aca="false">IF(C1640="","",IFERROR(IF(LEFT(C1640,1)="L",INDEX('Leads Pipeline'!$F$5:$F$1004,MATCH(C1640,'Leads Pipeline'!$A$5:$A$1004,0)),INDEX('Active Clients'!$D$5:$D$504,MATCH(C1640,'Active Clients'!$A$5:$A$504,0)))&amp;"","ID not found"))</f>
        <v/>
      </c>
      <c r="E1640" s="51" t="str">
        <f aca="false">IF(C1640="","",IFERROR(IF(LEFT(C1640,1)="L",INDEX('Leads Pipeline'!$D$5:$D$1004,MATCH(C1640,'Leads Pipeline'!$A$5:$A$1004,0)),INDEX('Active Clients'!$B$5:$B$504,MATCH(C1640,'Active Clients'!$A$5:$A$504,0)))&amp;"","ID not found"))</f>
        <v/>
      </c>
      <c r="F1640" s="51" t="str">
        <f aca="false">IF(C1640="","",IFERROR(IF(LEFT(C1640,1)="L",INDEX('Leads Pipeline'!$E$5:$E$1004,MATCH(C1640,'Leads Pipeline'!$A$5:$A$1004,0)),INDEX('Active Clients'!$C$5:$C$504,MATCH(C1640,'Active Clients'!$A$5:$A$504,0)))&amp;"","ID not found"))</f>
        <v/>
      </c>
      <c r="G1640" s="16"/>
      <c r="H1640" s="16"/>
      <c r="I1640" s="16"/>
      <c r="J1640" s="16"/>
      <c r="K1640" s="16"/>
      <c r="L1640" s="18"/>
    </row>
    <row r="1641" customFormat="false" ht="15" hidden="false" customHeight="false" outlineLevel="0" collapsed="false">
      <c r="A1641" s="18"/>
      <c r="B1641" s="16"/>
      <c r="C1641" s="16"/>
      <c r="D1641" s="51" t="str">
        <f aca="false">IF(C1641="","",IFERROR(IF(LEFT(C1641,1)="L",INDEX('Leads Pipeline'!$F$5:$F$1004,MATCH(C1641,'Leads Pipeline'!$A$5:$A$1004,0)),INDEX('Active Clients'!$D$5:$D$504,MATCH(C1641,'Active Clients'!$A$5:$A$504,0)))&amp;"","ID not found"))</f>
        <v/>
      </c>
      <c r="E1641" s="51" t="str">
        <f aca="false">IF(C1641="","",IFERROR(IF(LEFT(C1641,1)="L",INDEX('Leads Pipeline'!$D$5:$D$1004,MATCH(C1641,'Leads Pipeline'!$A$5:$A$1004,0)),INDEX('Active Clients'!$B$5:$B$504,MATCH(C1641,'Active Clients'!$A$5:$A$504,0)))&amp;"","ID not found"))</f>
        <v/>
      </c>
      <c r="F1641" s="51" t="str">
        <f aca="false">IF(C1641="","",IFERROR(IF(LEFT(C1641,1)="L",INDEX('Leads Pipeline'!$E$5:$E$1004,MATCH(C1641,'Leads Pipeline'!$A$5:$A$1004,0)),INDEX('Active Clients'!$C$5:$C$504,MATCH(C1641,'Active Clients'!$A$5:$A$504,0)))&amp;"","ID not found"))</f>
        <v/>
      </c>
      <c r="G1641" s="16"/>
      <c r="H1641" s="16"/>
      <c r="I1641" s="16"/>
      <c r="J1641" s="16"/>
      <c r="K1641" s="16"/>
      <c r="L1641" s="18"/>
    </row>
    <row r="1642" customFormat="false" ht="15" hidden="false" customHeight="false" outlineLevel="0" collapsed="false">
      <c r="A1642" s="18"/>
      <c r="B1642" s="16"/>
      <c r="C1642" s="16"/>
      <c r="D1642" s="51" t="str">
        <f aca="false">IF(C1642="","",IFERROR(IF(LEFT(C1642,1)="L",INDEX('Leads Pipeline'!$F$5:$F$1004,MATCH(C1642,'Leads Pipeline'!$A$5:$A$1004,0)),INDEX('Active Clients'!$D$5:$D$504,MATCH(C1642,'Active Clients'!$A$5:$A$504,0)))&amp;"","ID not found"))</f>
        <v/>
      </c>
      <c r="E1642" s="51" t="str">
        <f aca="false">IF(C1642="","",IFERROR(IF(LEFT(C1642,1)="L",INDEX('Leads Pipeline'!$D$5:$D$1004,MATCH(C1642,'Leads Pipeline'!$A$5:$A$1004,0)),INDEX('Active Clients'!$B$5:$B$504,MATCH(C1642,'Active Clients'!$A$5:$A$504,0)))&amp;"","ID not found"))</f>
        <v/>
      </c>
      <c r="F1642" s="51" t="str">
        <f aca="false">IF(C1642="","",IFERROR(IF(LEFT(C1642,1)="L",INDEX('Leads Pipeline'!$E$5:$E$1004,MATCH(C1642,'Leads Pipeline'!$A$5:$A$1004,0)),INDEX('Active Clients'!$C$5:$C$504,MATCH(C1642,'Active Clients'!$A$5:$A$504,0)))&amp;"","ID not found"))</f>
        <v/>
      </c>
      <c r="G1642" s="16"/>
      <c r="H1642" s="16"/>
      <c r="I1642" s="16"/>
      <c r="J1642" s="16"/>
      <c r="K1642" s="16"/>
      <c r="L1642" s="18"/>
    </row>
    <row r="1643" customFormat="false" ht="15" hidden="false" customHeight="false" outlineLevel="0" collapsed="false">
      <c r="A1643" s="18"/>
      <c r="B1643" s="16"/>
      <c r="C1643" s="16"/>
      <c r="D1643" s="51" t="str">
        <f aca="false">IF(C1643="","",IFERROR(IF(LEFT(C1643,1)="L",INDEX('Leads Pipeline'!$F$5:$F$1004,MATCH(C1643,'Leads Pipeline'!$A$5:$A$1004,0)),INDEX('Active Clients'!$D$5:$D$504,MATCH(C1643,'Active Clients'!$A$5:$A$504,0)))&amp;"","ID not found"))</f>
        <v/>
      </c>
      <c r="E1643" s="51" t="str">
        <f aca="false">IF(C1643="","",IFERROR(IF(LEFT(C1643,1)="L",INDEX('Leads Pipeline'!$D$5:$D$1004,MATCH(C1643,'Leads Pipeline'!$A$5:$A$1004,0)),INDEX('Active Clients'!$B$5:$B$504,MATCH(C1643,'Active Clients'!$A$5:$A$504,0)))&amp;"","ID not found"))</f>
        <v/>
      </c>
      <c r="F1643" s="51" t="str">
        <f aca="false">IF(C1643="","",IFERROR(IF(LEFT(C1643,1)="L",INDEX('Leads Pipeline'!$E$5:$E$1004,MATCH(C1643,'Leads Pipeline'!$A$5:$A$1004,0)),INDEX('Active Clients'!$C$5:$C$504,MATCH(C1643,'Active Clients'!$A$5:$A$504,0)))&amp;"","ID not found"))</f>
        <v/>
      </c>
      <c r="G1643" s="16"/>
      <c r="H1643" s="16"/>
      <c r="I1643" s="16"/>
      <c r="J1643" s="16"/>
      <c r="K1643" s="16"/>
      <c r="L1643" s="18"/>
    </row>
    <row r="1644" customFormat="false" ht="15" hidden="false" customHeight="false" outlineLevel="0" collapsed="false">
      <c r="A1644" s="18"/>
      <c r="B1644" s="16"/>
      <c r="C1644" s="16"/>
      <c r="D1644" s="51" t="str">
        <f aca="false">IF(C1644="","",IFERROR(IF(LEFT(C1644,1)="L",INDEX('Leads Pipeline'!$F$5:$F$1004,MATCH(C1644,'Leads Pipeline'!$A$5:$A$1004,0)),INDEX('Active Clients'!$D$5:$D$504,MATCH(C1644,'Active Clients'!$A$5:$A$504,0)))&amp;"","ID not found"))</f>
        <v/>
      </c>
      <c r="E1644" s="51" t="str">
        <f aca="false">IF(C1644="","",IFERROR(IF(LEFT(C1644,1)="L",INDEX('Leads Pipeline'!$D$5:$D$1004,MATCH(C1644,'Leads Pipeline'!$A$5:$A$1004,0)),INDEX('Active Clients'!$B$5:$B$504,MATCH(C1644,'Active Clients'!$A$5:$A$504,0)))&amp;"","ID not found"))</f>
        <v/>
      </c>
      <c r="F1644" s="51" t="str">
        <f aca="false">IF(C1644="","",IFERROR(IF(LEFT(C1644,1)="L",INDEX('Leads Pipeline'!$E$5:$E$1004,MATCH(C1644,'Leads Pipeline'!$A$5:$A$1004,0)),INDEX('Active Clients'!$C$5:$C$504,MATCH(C1644,'Active Clients'!$A$5:$A$504,0)))&amp;"","ID not found"))</f>
        <v/>
      </c>
      <c r="G1644" s="16"/>
      <c r="H1644" s="16"/>
      <c r="I1644" s="16"/>
      <c r="J1644" s="16"/>
      <c r="K1644" s="16"/>
      <c r="L1644" s="18"/>
    </row>
    <row r="1645" customFormat="false" ht="15" hidden="false" customHeight="false" outlineLevel="0" collapsed="false">
      <c r="A1645" s="18"/>
      <c r="B1645" s="16"/>
      <c r="C1645" s="16"/>
      <c r="D1645" s="51" t="str">
        <f aca="false">IF(C1645="","",IFERROR(IF(LEFT(C1645,1)="L",INDEX('Leads Pipeline'!$F$5:$F$1004,MATCH(C1645,'Leads Pipeline'!$A$5:$A$1004,0)),INDEX('Active Clients'!$D$5:$D$504,MATCH(C1645,'Active Clients'!$A$5:$A$504,0)))&amp;"","ID not found"))</f>
        <v/>
      </c>
      <c r="E1645" s="51" t="str">
        <f aca="false">IF(C1645="","",IFERROR(IF(LEFT(C1645,1)="L",INDEX('Leads Pipeline'!$D$5:$D$1004,MATCH(C1645,'Leads Pipeline'!$A$5:$A$1004,0)),INDEX('Active Clients'!$B$5:$B$504,MATCH(C1645,'Active Clients'!$A$5:$A$504,0)))&amp;"","ID not found"))</f>
        <v/>
      </c>
      <c r="F1645" s="51" t="str">
        <f aca="false">IF(C1645="","",IFERROR(IF(LEFT(C1645,1)="L",INDEX('Leads Pipeline'!$E$5:$E$1004,MATCH(C1645,'Leads Pipeline'!$A$5:$A$1004,0)),INDEX('Active Clients'!$C$5:$C$504,MATCH(C1645,'Active Clients'!$A$5:$A$504,0)))&amp;"","ID not found"))</f>
        <v/>
      </c>
      <c r="G1645" s="16"/>
      <c r="H1645" s="16"/>
      <c r="I1645" s="16"/>
      <c r="J1645" s="16"/>
      <c r="K1645" s="16"/>
      <c r="L1645" s="18"/>
    </row>
    <row r="1646" customFormat="false" ht="15" hidden="false" customHeight="false" outlineLevel="0" collapsed="false">
      <c r="A1646" s="18"/>
      <c r="B1646" s="16"/>
      <c r="C1646" s="16"/>
      <c r="D1646" s="51" t="str">
        <f aca="false">IF(C1646="","",IFERROR(IF(LEFT(C1646,1)="L",INDEX('Leads Pipeline'!$F$5:$F$1004,MATCH(C1646,'Leads Pipeline'!$A$5:$A$1004,0)),INDEX('Active Clients'!$D$5:$D$504,MATCH(C1646,'Active Clients'!$A$5:$A$504,0)))&amp;"","ID not found"))</f>
        <v/>
      </c>
      <c r="E1646" s="51" t="str">
        <f aca="false">IF(C1646="","",IFERROR(IF(LEFT(C1646,1)="L",INDEX('Leads Pipeline'!$D$5:$D$1004,MATCH(C1646,'Leads Pipeline'!$A$5:$A$1004,0)),INDEX('Active Clients'!$B$5:$B$504,MATCH(C1646,'Active Clients'!$A$5:$A$504,0)))&amp;"","ID not found"))</f>
        <v/>
      </c>
      <c r="F1646" s="51" t="str">
        <f aca="false">IF(C1646="","",IFERROR(IF(LEFT(C1646,1)="L",INDEX('Leads Pipeline'!$E$5:$E$1004,MATCH(C1646,'Leads Pipeline'!$A$5:$A$1004,0)),INDEX('Active Clients'!$C$5:$C$504,MATCH(C1646,'Active Clients'!$A$5:$A$504,0)))&amp;"","ID not found"))</f>
        <v/>
      </c>
      <c r="G1646" s="16"/>
      <c r="H1646" s="16"/>
      <c r="I1646" s="16"/>
      <c r="J1646" s="16"/>
      <c r="K1646" s="16"/>
      <c r="L1646" s="18"/>
    </row>
    <row r="1647" customFormat="false" ht="15" hidden="false" customHeight="false" outlineLevel="0" collapsed="false">
      <c r="A1647" s="18"/>
      <c r="B1647" s="16"/>
      <c r="C1647" s="16"/>
      <c r="D1647" s="51" t="str">
        <f aca="false">IF(C1647="","",IFERROR(IF(LEFT(C1647,1)="L",INDEX('Leads Pipeline'!$F$5:$F$1004,MATCH(C1647,'Leads Pipeline'!$A$5:$A$1004,0)),INDEX('Active Clients'!$D$5:$D$504,MATCH(C1647,'Active Clients'!$A$5:$A$504,0)))&amp;"","ID not found"))</f>
        <v/>
      </c>
      <c r="E1647" s="51" t="str">
        <f aca="false">IF(C1647="","",IFERROR(IF(LEFT(C1647,1)="L",INDEX('Leads Pipeline'!$D$5:$D$1004,MATCH(C1647,'Leads Pipeline'!$A$5:$A$1004,0)),INDEX('Active Clients'!$B$5:$B$504,MATCH(C1647,'Active Clients'!$A$5:$A$504,0)))&amp;"","ID not found"))</f>
        <v/>
      </c>
      <c r="F1647" s="51" t="str">
        <f aca="false">IF(C1647="","",IFERROR(IF(LEFT(C1647,1)="L",INDEX('Leads Pipeline'!$E$5:$E$1004,MATCH(C1647,'Leads Pipeline'!$A$5:$A$1004,0)),INDEX('Active Clients'!$C$5:$C$504,MATCH(C1647,'Active Clients'!$A$5:$A$504,0)))&amp;"","ID not found"))</f>
        <v/>
      </c>
      <c r="G1647" s="16"/>
      <c r="H1647" s="16"/>
      <c r="I1647" s="16"/>
      <c r="J1647" s="16"/>
      <c r="K1647" s="16"/>
      <c r="L1647" s="18"/>
    </row>
    <row r="1648" customFormat="false" ht="15" hidden="false" customHeight="false" outlineLevel="0" collapsed="false">
      <c r="A1648" s="18"/>
      <c r="B1648" s="16"/>
      <c r="C1648" s="16"/>
      <c r="D1648" s="51" t="str">
        <f aca="false">IF(C1648="","",IFERROR(IF(LEFT(C1648,1)="L",INDEX('Leads Pipeline'!$F$5:$F$1004,MATCH(C1648,'Leads Pipeline'!$A$5:$A$1004,0)),INDEX('Active Clients'!$D$5:$D$504,MATCH(C1648,'Active Clients'!$A$5:$A$504,0)))&amp;"","ID not found"))</f>
        <v/>
      </c>
      <c r="E1648" s="51" t="str">
        <f aca="false">IF(C1648="","",IFERROR(IF(LEFT(C1648,1)="L",INDEX('Leads Pipeline'!$D$5:$D$1004,MATCH(C1648,'Leads Pipeline'!$A$5:$A$1004,0)),INDEX('Active Clients'!$B$5:$B$504,MATCH(C1648,'Active Clients'!$A$5:$A$504,0)))&amp;"","ID not found"))</f>
        <v/>
      </c>
      <c r="F1648" s="51" t="str">
        <f aca="false">IF(C1648="","",IFERROR(IF(LEFT(C1648,1)="L",INDEX('Leads Pipeline'!$E$5:$E$1004,MATCH(C1648,'Leads Pipeline'!$A$5:$A$1004,0)),INDEX('Active Clients'!$C$5:$C$504,MATCH(C1648,'Active Clients'!$A$5:$A$504,0)))&amp;"","ID not found"))</f>
        <v/>
      </c>
      <c r="G1648" s="16"/>
      <c r="H1648" s="16"/>
      <c r="I1648" s="16"/>
      <c r="J1648" s="16"/>
      <c r="K1648" s="16"/>
      <c r="L1648" s="18"/>
    </row>
    <row r="1649" customFormat="false" ht="15" hidden="false" customHeight="false" outlineLevel="0" collapsed="false">
      <c r="A1649" s="18"/>
      <c r="B1649" s="16"/>
      <c r="C1649" s="16"/>
      <c r="D1649" s="51" t="str">
        <f aca="false">IF(C1649="","",IFERROR(IF(LEFT(C1649,1)="L",INDEX('Leads Pipeline'!$F$5:$F$1004,MATCH(C1649,'Leads Pipeline'!$A$5:$A$1004,0)),INDEX('Active Clients'!$D$5:$D$504,MATCH(C1649,'Active Clients'!$A$5:$A$504,0)))&amp;"","ID not found"))</f>
        <v/>
      </c>
      <c r="E1649" s="51" t="str">
        <f aca="false">IF(C1649="","",IFERROR(IF(LEFT(C1649,1)="L",INDEX('Leads Pipeline'!$D$5:$D$1004,MATCH(C1649,'Leads Pipeline'!$A$5:$A$1004,0)),INDEX('Active Clients'!$B$5:$B$504,MATCH(C1649,'Active Clients'!$A$5:$A$504,0)))&amp;"","ID not found"))</f>
        <v/>
      </c>
      <c r="F1649" s="51" t="str">
        <f aca="false">IF(C1649="","",IFERROR(IF(LEFT(C1649,1)="L",INDEX('Leads Pipeline'!$E$5:$E$1004,MATCH(C1649,'Leads Pipeline'!$A$5:$A$1004,0)),INDEX('Active Clients'!$C$5:$C$504,MATCH(C1649,'Active Clients'!$A$5:$A$504,0)))&amp;"","ID not found"))</f>
        <v/>
      </c>
      <c r="G1649" s="16"/>
      <c r="H1649" s="16"/>
      <c r="I1649" s="16"/>
      <c r="J1649" s="16"/>
      <c r="K1649" s="16"/>
      <c r="L1649" s="18"/>
    </row>
    <row r="1650" customFormat="false" ht="15" hidden="false" customHeight="false" outlineLevel="0" collapsed="false">
      <c r="A1650" s="18"/>
      <c r="B1650" s="16"/>
      <c r="C1650" s="16"/>
      <c r="D1650" s="51" t="str">
        <f aca="false">IF(C1650="","",IFERROR(IF(LEFT(C1650,1)="L",INDEX('Leads Pipeline'!$F$5:$F$1004,MATCH(C1650,'Leads Pipeline'!$A$5:$A$1004,0)),INDEX('Active Clients'!$D$5:$D$504,MATCH(C1650,'Active Clients'!$A$5:$A$504,0)))&amp;"","ID not found"))</f>
        <v/>
      </c>
      <c r="E1650" s="51" t="str">
        <f aca="false">IF(C1650="","",IFERROR(IF(LEFT(C1650,1)="L",INDEX('Leads Pipeline'!$D$5:$D$1004,MATCH(C1650,'Leads Pipeline'!$A$5:$A$1004,0)),INDEX('Active Clients'!$B$5:$B$504,MATCH(C1650,'Active Clients'!$A$5:$A$504,0)))&amp;"","ID not found"))</f>
        <v/>
      </c>
      <c r="F1650" s="51" t="str">
        <f aca="false">IF(C1650="","",IFERROR(IF(LEFT(C1650,1)="L",INDEX('Leads Pipeline'!$E$5:$E$1004,MATCH(C1650,'Leads Pipeline'!$A$5:$A$1004,0)),INDEX('Active Clients'!$C$5:$C$504,MATCH(C1650,'Active Clients'!$A$5:$A$504,0)))&amp;"","ID not found"))</f>
        <v/>
      </c>
      <c r="G1650" s="16"/>
      <c r="H1650" s="16"/>
      <c r="I1650" s="16"/>
      <c r="J1650" s="16"/>
      <c r="K1650" s="16"/>
      <c r="L1650" s="18"/>
    </row>
    <row r="1651" customFormat="false" ht="15" hidden="false" customHeight="false" outlineLevel="0" collapsed="false">
      <c r="A1651" s="18"/>
      <c r="B1651" s="16"/>
      <c r="C1651" s="16"/>
      <c r="D1651" s="51" t="str">
        <f aca="false">IF(C1651="","",IFERROR(IF(LEFT(C1651,1)="L",INDEX('Leads Pipeline'!$F$5:$F$1004,MATCH(C1651,'Leads Pipeline'!$A$5:$A$1004,0)),INDEX('Active Clients'!$D$5:$D$504,MATCH(C1651,'Active Clients'!$A$5:$A$504,0)))&amp;"","ID not found"))</f>
        <v/>
      </c>
      <c r="E1651" s="51" t="str">
        <f aca="false">IF(C1651="","",IFERROR(IF(LEFT(C1651,1)="L",INDEX('Leads Pipeline'!$D$5:$D$1004,MATCH(C1651,'Leads Pipeline'!$A$5:$A$1004,0)),INDEX('Active Clients'!$B$5:$B$504,MATCH(C1651,'Active Clients'!$A$5:$A$504,0)))&amp;"","ID not found"))</f>
        <v/>
      </c>
      <c r="F1651" s="51" t="str">
        <f aca="false">IF(C1651="","",IFERROR(IF(LEFT(C1651,1)="L",INDEX('Leads Pipeline'!$E$5:$E$1004,MATCH(C1651,'Leads Pipeline'!$A$5:$A$1004,0)),INDEX('Active Clients'!$C$5:$C$504,MATCH(C1651,'Active Clients'!$A$5:$A$504,0)))&amp;"","ID not found"))</f>
        <v/>
      </c>
      <c r="G1651" s="16"/>
      <c r="H1651" s="16"/>
      <c r="I1651" s="16"/>
      <c r="J1651" s="16"/>
      <c r="K1651" s="16"/>
      <c r="L1651" s="18"/>
    </row>
    <row r="1652" customFormat="false" ht="15" hidden="false" customHeight="false" outlineLevel="0" collapsed="false">
      <c r="A1652" s="18"/>
      <c r="B1652" s="16"/>
      <c r="C1652" s="16"/>
      <c r="D1652" s="51" t="str">
        <f aca="false">IF(C1652="","",IFERROR(IF(LEFT(C1652,1)="L",INDEX('Leads Pipeline'!$F$5:$F$1004,MATCH(C1652,'Leads Pipeline'!$A$5:$A$1004,0)),INDEX('Active Clients'!$D$5:$D$504,MATCH(C1652,'Active Clients'!$A$5:$A$504,0)))&amp;"","ID not found"))</f>
        <v/>
      </c>
      <c r="E1652" s="51" t="str">
        <f aca="false">IF(C1652="","",IFERROR(IF(LEFT(C1652,1)="L",INDEX('Leads Pipeline'!$D$5:$D$1004,MATCH(C1652,'Leads Pipeline'!$A$5:$A$1004,0)),INDEX('Active Clients'!$B$5:$B$504,MATCH(C1652,'Active Clients'!$A$5:$A$504,0)))&amp;"","ID not found"))</f>
        <v/>
      </c>
      <c r="F1652" s="51" t="str">
        <f aca="false">IF(C1652="","",IFERROR(IF(LEFT(C1652,1)="L",INDEX('Leads Pipeline'!$E$5:$E$1004,MATCH(C1652,'Leads Pipeline'!$A$5:$A$1004,0)),INDEX('Active Clients'!$C$5:$C$504,MATCH(C1652,'Active Clients'!$A$5:$A$504,0)))&amp;"","ID not found"))</f>
        <v/>
      </c>
      <c r="G1652" s="16"/>
      <c r="H1652" s="16"/>
      <c r="I1652" s="16"/>
      <c r="J1652" s="16"/>
      <c r="K1652" s="16"/>
      <c r="L1652" s="18"/>
    </row>
    <row r="1653" customFormat="false" ht="15" hidden="false" customHeight="false" outlineLevel="0" collapsed="false">
      <c r="A1653" s="18"/>
      <c r="B1653" s="16"/>
      <c r="C1653" s="16"/>
      <c r="D1653" s="51" t="str">
        <f aca="false">IF(C1653="","",IFERROR(IF(LEFT(C1653,1)="L",INDEX('Leads Pipeline'!$F$5:$F$1004,MATCH(C1653,'Leads Pipeline'!$A$5:$A$1004,0)),INDEX('Active Clients'!$D$5:$D$504,MATCH(C1653,'Active Clients'!$A$5:$A$504,0)))&amp;"","ID not found"))</f>
        <v/>
      </c>
      <c r="E1653" s="51" t="str">
        <f aca="false">IF(C1653="","",IFERROR(IF(LEFT(C1653,1)="L",INDEX('Leads Pipeline'!$D$5:$D$1004,MATCH(C1653,'Leads Pipeline'!$A$5:$A$1004,0)),INDEX('Active Clients'!$B$5:$B$504,MATCH(C1653,'Active Clients'!$A$5:$A$504,0)))&amp;"","ID not found"))</f>
        <v/>
      </c>
      <c r="F1653" s="51" t="str">
        <f aca="false">IF(C1653="","",IFERROR(IF(LEFT(C1653,1)="L",INDEX('Leads Pipeline'!$E$5:$E$1004,MATCH(C1653,'Leads Pipeline'!$A$5:$A$1004,0)),INDEX('Active Clients'!$C$5:$C$504,MATCH(C1653,'Active Clients'!$A$5:$A$504,0)))&amp;"","ID not found"))</f>
        <v/>
      </c>
      <c r="G1653" s="16"/>
      <c r="H1653" s="16"/>
      <c r="I1653" s="16"/>
      <c r="J1653" s="16"/>
      <c r="K1653" s="16"/>
      <c r="L1653" s="18"/>
    </row>
    <row r="1654" customFormat="false" ht="15" hidden="false" customHeight="false" outlineLevel="0" collapsed="false">
      <c r="A1654" s="18"/>
      <c r="B1654" s="16"/>
      <c r="C1654" s="16"/>
      <c r="D1654" s="51" t="str">
        <f aca="false">IF(C1654="","",IFERROR(IF(LEFT(C1654,1)="L",INDEX('Leads Pipeline'!$F$5:$F$1004,MATCH(C1654,'Leads Pipeline'!$A$5:$A$1004,0)),INDEX('Active Clients'!$D$5:$D$504,MATCH(C1654,'Active Clients'!$A$5:$A$504,0)))&amp;"","ID not found"))</f>
        <v/>
      </c>
      <c r="E1654" s="51" t="str">
        <f aca="false">IF(C1654="","",IFERROR(IF(LEFT(C1654,1)="L",INDEX('Leads Pipeline'!$D$5:$D$1004,MATCH(C1654,'Leads Pipeline'!$A$5:$A$1004,0)),INDEX('Active Clients'!$B$5:$B$504,MATCH(C1654,'Active Clients'!$A$5:$A$504,0)))&amp;"","ID not found"))</f>
        <v/>
      </c>
      <c r="F1654" s="51" t="str">
        <f aca="false">IF(C1654="","",IFERROR(IF(LEFT(C1654,1)="L",INDEX('Leads Pipeline'!$E$5:$E$1004,MATCH(C1654,'Leads Pipeline'!$A$5:$A$1004,0)),INDEX('Active Clients'!$C$5:$C$504,MATCH(C1654,'Active Clients'!$A$5:$A$504,0)))&amp;"","ID not found"))</f>
        <v/>
      </c>
      <c r="G1654" s="16"/>
      <c r="H1654" s="16"/>
      <c r="I1654" s="16"/>
      <c r="J1654" s="16"/>
      <c r="K1654" s="16"/>
      <c r="L1654" s="18"/>
    </row>
    <row r="1655" customFormat="false" ht="15" hidden="false" customHeight="false" outlineLevel="0" collapsed="false">
      <c r="A1655" s="18"/>
      <c r="B1655" s="16"/>
      <c r="C1655" s="16"/>
      <c r="D1655" s="51" t="str">
        <f aca="false">IF(C1655="","",IFERROR(IF(LEFT(C1655,1)="L",INDEX('Leads Pipeline'!$F$5:$F$1004,MATCH(C1655,'Leads Pipeline'!$A$5:$A$1004,0)),INDEX('Active Clients'!$D$5:$D$504,MATCH(C1655,'Active Clients'!$A$5:$A$504,0)))&amp;"","ID not found"))</f>
        <v/>
      </c>
      <c r="E1655" s="51" t="str">
        <f aca="false">IF(C1655="","",IFERROR(IF(LEFT(C1655,1)="L",INDEX('Leads Pipeline'!$D$5:$D$1004,MATCH(C1655,'Leads Pipeline'!$A$5:$A$1004,0)),INDEX('Active Clients'!$B$5:$B$504,MATCH(C1655,'Active Clients'!$A$5:$A$504,0)))&amp;"","ID not found"))</f>
        <v/>
      </c>
      <c r="F1655" s="51" t="str">
        <f aca="false">IF(C1655="","",IFERROR(IF(LEFT(C1655,1)="L",INDEX('Leads Pipeline'!$E$5:$E$1004,MATCH(C1655,'Leads Pipeline'!$A$5:$A$1004,0)),INDEX('Active Clients'!$C$5:$C$504,MATCH(C1655,'Active Clients'!$A$5:$A$504,0)))&amp;"","ID not found"))</f>
        <v/>
      </c>
      <c r="G1655" s="16"/>
      <c r="H1655" s="16"/>
      <c r="I1655" s="16"/>
      <c r="J1655" s="16"/>
      <c r="K1655" s="16"/>
      <c r="L1655" s="18"/>
    </row>
    <row r="1656" customFormat="false" ht="15" hidden="false" customHeight="false" outlineLevel="0" collapsed="false">
      <c r="A1656" s="18"/>
      <c r="B1656" s="16"/>
      <c r="C1656" s="16"/>
      <c r="D1656" s="51" t="str">
        <f aca="false">IF(C1656="","",IFERROR(IF(LEFT(C1656,1)="L",INDEX('Leads Pipeline'!$F$5:$F$1004,MATCH(C1656,'Leads Pipeline'!$A$5:$A$1004,0)),INDEX('Active Clients'!$D$5:$D$504,MATCH(C1656,'Active Clients'!$A$5:$A$504,0)))&amp;"","ID not found"))</f>
        <v/>
      </c>
      <c r="E1656" s="51" t="str">
        <f aca="false">IF(C1656="","",IFERROR(IF(LEFT(C1656,1)="L",INDEX('Leads Pipeline'!$D$5:$D$1004,MATCH(C1656,'Leads Pipeline'!$A$5:$A$1004,0)),INDEX('Active Clients'!$B$5:$B$504,MATCH(C1656,'Active Clients'!$A$5:$A$504,0)))&amp;"","ID not found"))</f>
        <v/>
      </c>
      <c r="F1656" s="51" t="str">
        <f aca="false">IF(C1656="","",IFERROR(IF(LEFT(C1656,1)="L",INDEX('Leads Pipeline'!$E$5:$E$1004,MATCH(C1656,'Leads Pipeline'!$A$5:$A$1004,0)),INDEX('Active Clients'!$C$5:$C$504,MATCH(C1656,'Active Clients'!$A$5:$A$504,0)))&amp;"","ID not found"))</f>
        <v/>
      </c>
      <c r="G1656" s="16"/>
      <c r="H1656" s="16"/>
      <c r="I1656" s="16"/>
      <c r="J1656" s="16"/>
      <c r="K1656" s="16"/>
      <c r="L1656" s="18"/>
    </row>
    <row r="1657" customFormat="false" ht="15" hidden="false" customHeight="false" outlineLevel="0" collapsed="false">
      <c r="A1657" s="18"/>
      <c r="B1657" s="16"/>
      <c r="C1657" s="16"/>
      <c r="D1657" s="51" t="str">
        <f aca="false">IF(C1657="","",IFERROR(IF(LEFT(C1657,1)="L",INDEX('Leads Pipeline'!$F$5:$F$1004,MATCH(C1657,'Leads Pipeline'!$A$5:$A$1004,0)),INDEX('Active Clients'!$D$5:$D$504,MATCH(C1657,'Active Clients'!$A$5:$A$504,0)))&amp;"","ID not found"))</f>
        <v/>
      </c>
      <c r="E1657" s="51" t="str">
        <f aca="false">IF(C1657="","",IFERROR(IF(LEFT(C1657,1)="L",INDEX('Leads Pipeline'!$D$5:$D$1004,MATCH(C1657,'Leads Pipeline'!$A$5:$A$1004,0)),INDEX('Active Clients'!$B$5:$B$504,MATCH(C1657,'Active Clients'!$A$5:$A$504,0)))&amp;"","ID not found"))</f>
        <v/>
      </c>
      <c r="F1657" s="51" t="str">
        <f aca="false">IF(C1657="","",IFERROR(IF(LEFT(C1657,1)="L",INDEX('Leads Pipeline'!$E$5:$E$1004,MATCH(C1657,'Leads Pipeline'!$A$5:$A$1004,0)),INDEX('Active Clients'!$C$5:$C$504,MATCH(C1657,'Active Clients'!$A$5:$A$504,0)))&amp;"","ID not found"))</f>
        <v/>
      </c>
      <c r="G1657" s="16"/>
      <c r="H1657" s="16"/>
      <c r="I1657" s="16"/>
      <c r="J1657" s="16"/>
      <c r="K1657" s="16"/>
      <c r="L1657" s="18"/>
    </row>
    <row r="1658" customFormat="false" ht="15" hidden="false" customHeight="false" outlineLevel="0" collapsed="false">
      <c r="A1658" s="18"/>
      <c r="B1658" s="16"/>
      <c r="C1658" s="16"/>
      <c r="D1658" s="51" t="str">
        <f aca="false">IF(C1658="","",IFERROR(IF(LEFT(C1658,1)="L",INDEX('Leads Pipeline'!$F$5:$F$1004,MATCH(C1658,'Leads Pipeline'!$A$5:$A$1004,0)),INDEX('Active Clients'!$D$5:$D$504,MATCH(C1658,'Active Clients'!$A$5:$A$504,0)))&amp;"","ID not found"))</f>
        <v/>
      </c>
      <c r="E1658" s="51" t="str">
        <f aca="false">IF(C1658="","",IFERROR(IF(LEFT(C1658,1)="L",INDEX('Leads Pipeline'!$D$5:$D$1004,MATCH(C1658,'Leads Pipeline'!$A$5:$A$1004,0)),INDEX('Active Clients'!$B$5:$B$504,MATCH(C1658,'Active Clients'!$A$5:$A$504,0)))&amp;"","ID not found"))</f>
        <v/>
      </c>
      <c r="F1658" s="51" t="str">
        <f aca="false">IF(C1658="","",IFERROR(IF(LEFT(C1658,1)="L",INDEX('Leads Pipeline'!$E$5:$E$1004,MATCH(C1658,'Leads Pipeline'!$A$5:$A$1004,0)),INDEX('Active Clients'!$C$5:$C$504,MATCH(C1658,'Active Clients'!$A$5:$A$504,0)))&amp;"","ID not found"))</f>
        <v/>
      </c>
      <c r="G1658" s="16"/>
      <c r="H1658" s="16"/>
      <c r="I1658" s="16"/>
      <c r="J1658" s="16"/>
      <c r="K1658" s="16"/>
      <c r="L1658" s="18"/>
    </row>
    <row r="1659" customFormat="false" ht="15" hidden="false" customHeight="false" outlineLevel="0" collapsed="false">
      <c r="A1659" s="18"/>
      <c r="B1659" s="16"/>
      <c r="C1659" s="16"/>
      <c r="D1659" s="51" t="str">
        <f aca="false">IF(C1659="","",IFERROR(IF(LEFT(C1659,1)="L",INDEX('Leads Pipeline'!$F$5:$F$1004,MATCH(C1659,'Leads Pipeline'!$A$5:$A$1004,0)),INDEX('Active Clients'!$D$5:$D$504,MATCH(C1659,'Active Clients'!$A$5:$A$504,0)))&amp;"","ID not found"))</f>
        <v/>
      </c>
      <c r="E1659" s="51" t="str">
        <f aca="false">IF(C1659="","",IFERROR(IF(LEFT(C1659,1)="L",INDEX('Leads Pipeline'!$D$5:$D$1004,MATCH(C1659,'Leads Pipeline'!$A$5:$A$1004,0)),INDEX('Active Clients'!$B$5:$B$504,MATCH(C1659,'Active Clients'!$A$5:$A$504,0)))&amp;"","ID not found"))</f>
        <v/>
      </c>
      <c r="F1659" s="51" t="str">
        <f aca="false">IF(C1659="","",IFERROR(IF(LEFT(C1659,1)="L",INDEX('Leads Pipeline'!$E$5:$E$1004,MATCH(C1659,'Leads Pipeline'!$A$5:$A$1004,0)),INDEX('Active Clients'!$C$5:$C$504,MATCH(C1659,'Active Clients'!$A$5:$A$504,0)))&amp;"","ID not found"))</f>
        <v/>
      </c>
      <c r="G1659" s="16"/>
      <c r="H1659" s="16"/>
      <c r="I1659" s="16"/>
      <c r="J1659" s="16"/>
      <c r="K1659" s="16"/>
      <c r="L1659" s="18"/>
    </row>
    <row r="1660" customFormat="false" ht="15" hidden="false" customHeight="false" outlineLevel="0" collapsed="false">
      <c r="A1660" s="18"/>
      <c r="B1660" s="16"/>
      <c r="C1660" s="16"/>
      <c r="D1660" s="51" t="str">
        <f aca="false">IF(C1660="","",IFERROR(IF(LEFT(C1660,1)="L",INDEX('Leads Pipeline'!$F$5:$F$1004,MATCH(C1660,'Leads Pipeline'!$A$5:$A$1004,0)),INDEX('Active Clients'!$D$5:$D$504,MATCH(C1660,'Active Clients'!$A$5:$A$504,0)))&amp;"","ID not found"))</f>
        <v/>
      </c>
      <c r="E1660" s="51" t="str">
        <f aca="false">IF(C1660="","",IFERROR(IF(LEFT(C1660,1)="L",INDEX('Leads Pipeline'!$D$5:$D$1004,MATCH(C1660,'Leads Pipeline'!$A$5:$A$1004,0)),INDEX('Active Clients'!$B$5:$B$504,MATCH(C1660,'Active Clients'!$A$5:$A$504,0)))&amp;"","ID not found"))</f>
        <v/>
      </c>
      <c r="F1660" s="51" t="str">
        <f aca="false">IF(C1660="","",IFERROR(IF(LEFT(C1660,1)="L",INDEX('Leads Pipeline'!$E$5:$E$1004,MATCH(C1660,'Leads Pipeline'!$A$5:$A$1004,0)),INDEX('Active Clients'!$C$5:$C$504,MATCH(C1660,'Active Clients'!$A$5:$A$504,0)))&amp;"","ID not found"))</f>
        <v/>
      </c>
      <c r="G1660" s="16"/>
      <c r="H1660" s="16"/>
      <c r="I1660" s="16"/>
      <c r="J1660" s="16"/>
      <c r="K1660" s="16"/>
      <c r="L1660" s="18"/>
    </row>
    <row r="1661" customFormat="false" ht="15" hidden="false" customHeight="false" outlineLevel="0" collapsed="false">
      <c r="A1661" s="18"/>
      <c r="B1661" s="16"/>
      <c r="C1661" s="16"/>
      <c r="D1661" s="51" t="str">
        <f aca="false">IF(C1661="","",IFERROR(IF(LEFT(C1661,1)="L",INDEX('Leads Pipeline'!$F$5:$F$1004,MATCH(C1661,'Leads Pipeline'!$A$5:$A$1004,0)),INDEX('Active Clients'!$D$5:$D$504,MATCH(C1661,'Active Clients'!$A$5:$A$504,0)))&amp;"","ID not found"))</f>
        <v/>
      </c>
      <c r="E1661" s="51" t="str">
        <f aca="false">IF(C1661="","",IFERROR(IF(LEFT(C1661,1)="L",INDEX('Leads Pipeline'!$D$5:$D$1004,MATCH(C1661,'Leads Pipeline'!$A$5:$A$1004,0)),INDEX('Active Clients'!$B$5:$B$504,MATCH(C1661,'Active Clients'!$A$5:$A$504,0)))&amp;"","ID not found"))</f>
        <v/>
      </c>
      <c r="F1661" s="51" t="str">
        <f aca="false">IF(C1661="","",IFERROR(IF(LEFT(C1661,1)="L",INDEX('Leads Pipeline'!$E$5:$E$1004,MATCH(C1661,'Leads Pipeline'!$A$5:$A$1004,0)),INDEX('Active Clients'!$C$5:$C$504,MATCH(C1661,'Active Clients'!$A$5:$A$504,0)))&amp;"","ID not found"))</f>
        <v/>
      </c>
      <c r="G1661" s="16"/>
      <c r="H1661" s="16"/>
      <c r="I1661" s="16"/>
      <c r="J1661" s="16"/>
      <c r="K1661" s="16"/>
      <c r="L1661" s="18"/>
    </row>
    <row r="1662" customFormat="false" ht="15" hidden="false" customHeight="false" outlineLevel="0" collapsed="false">
      <c r="A1662" s="18"/>
      <c r="B1662" s="16"/>
      <c r="C1662" s="16"/>
      <c r="D1662" s="51" t="str">
        <f aca="false">IF(C1662="","",IFERROR(IF(LEFT(C1662,1)="L",INDEX('Leads Pipeline'!$F$5:$F$1004,MATCH(C1662,'Leads Pipeline'!$A$5:$A$1004,0)),INDEX('Active Clients'!$D$5:$D$504,MATCH(C1662,'Active Clients'!$A$5:$A$504,0)))&amp;"","ID not found"))</f>
        <v/>
      </c>
      <c r="E1662" s="51" t="str">
        <f aca="false">IF(C1662="","",IFERROR(IF(LEFT(C1662,1)="L",INDEX('Leads Pipeline'!$D$5:$D$1004,MATCH(C1662,'Leads Pipeline'!$A$5:$A$1004,0)),INDEX('Active Clients'!$B$5:$B$504,MATCH(C1662,'Active Clients'!$A$5:$A$504,0)))&amp;"","ID not found"))</f>
        <v/>
      </c>
      <c r="F1662" s="51" t="str">
        <f aca="false">IF(C1662="","",IFERROR(IF(LEFT(C1662,1)="L",INDEX('Leads Pipeline'!$E$5:$E$1004,MATCH(C1662,'Leads Pipeline'!$A$5:$A$1004,0)),INDEX('Active Clients'!$C$5:$C$504,MATCH(C1662,'Active Clients'!$A$5:$A$504,0)))&amp;"","ID not found"))</f>
        <v/>
      </c>
      <c r="G1662" s="16"/>
      <c r="H1662" s="16"/>
      <c r="I1662" s="16"/>
      <c r="J1662" s="16"/>
      <c r="K1662" s="16"/>
      <c r="L1662" s="18"/>
    </row>
    <row r="1663" customFormat="false" ht="15" hidden="false" customHeight="false" outlineLevel="0" collapsed="false">
      <c r="A1663" s="18"/>
      <c r="B1663" s="16"/>
      <c r="C1663" s="16"/>
      <c r="D1663" s="51" t="str">
        <f aca="false">IF(C1663="","",IFERROR(IF(LEFT(C1663,1)="L",INDEX('Leads Pipeline'!$F$5:$F$1004,MATCH(C1663,'Leads Pipeline'!$A$5:$A$1004,0)),INDEX('Active Clients'!$D$5:$D$504,MATCH(C1663,'Active Clients'!$A$5:$A$504,0)))&amp;"","ID not found"))</f>
        <v/>
      </c>
      <c r="E1663" s="51" t="str">
        <f aca="false">IF(C1663="","",IFERROR(IF(LEFT(C1663,1)="L",INDEX('Leads Pipeline'!$D$5:$D$1004,MATCH(C1663,'Leads Pipeline'!$A$5:$A$1004,0)),INDEX('Active Clients'!$B$5:$B$504,MATCH(C1663,'Active Clients'!$A$5:$A$504,0)))&amp;"","ID not found"))</f>
        <v/>
      </c>
      <c r="F1663" s="51" t="str">
        <f aca="false">IF(C1663="","",IFERROR(IF(LEFT(C1663,1)="L",INDEX('Leads Pipeline'!$E$5:$E$1004,MATCH(C1663,'Leads Pipeline'!$A$5:$A$1004,0)),INDEX('Active Clients'!$C$5:$C$504,MATCH(C1663,'Active Clients'!$A$5:$A$504,0)))&amp;"","ID not found"))</f>
        <v/>
      </c>
      <c r="G1663" s="16"/>
      <c r="H1663" s="16"/>
      <c r="I1663" s="16"/>
      <c r="J1663" s="16"/>
      <c r="K1663" s="16"/>
      <c r="L1663" s="18"/>
    </row>
    <row r="1664" customFormat="false" ht="15" hidden="false" customHeight="false" outlineLevel="0" collapsed="false">
      <c r="A1664" s="18"/>
      <c r="B1664" s="16"/>
      <c r="C1664" s="16"/>
      <c r="D1664" s="51" t="str">
        <f aca="false">IF(C1664="","",IFERROR(IF(LEFT(C1664,1)="L",INDEX('Leads Pipeline'!$F$5:$F$1004,MATCH(C1664,'Leads Pipeline'!$A$5:$A$1004,0)),INDEX('Active Clients'!$D$5:$D$504,MATCH(C1664,'Active Clients'!$A$5:$A$504,0)))&amp;"","ID not found"))</f>
        <v/>
      </c>
      <c r="E1664" s="51" t="str">
        <f aca="false">IF(C1664="","",IFERROR(IF(LEFT(C1664,1)="L",INDEX('Leads Pipeline'!$D$5:$D$1004,MATCH(C1664,'Leads Pipeline'!$A$5:$A$1004,0)),INDEX('Active Clients'!$B$5:$B$504,MATCH(C1664,'Active Clients'!$A$5:$A$504,0)))&amp;"","ID not found"))</f>
        <v/>
      </c>
      <c r="F1664" s="51" t="str">
        <f aca="false">IF(C1664="","",IFERROR(IF(LEFT(C1664,1)="L",INDEX('Leads Pipeline'!$E$5:$E$1004,MATCH(C1664,'Leads Pipeline'!$A$5:$A$1004,0)),INDEX('Active Clients'!$C$5:$C$504,MATCH(C1664,'Active Clients'!$A$5:$A$504,0)))&amp;"","ID not found"))</f>
        <v/>
      </c>
      <c r="G1664" s="16"/>
      <c r="H1664" s="16"/>
      <c r="I1664" s="16"/>
      <c r="J1664" s="16"/>
      <c r="K1664" s="16"/>
      <c r="L1664" s="18"/>
    </row>
    <row r="1665" customFormat="false" ht="15" hidden="false" customHeight="false" outlineLevel="0" collapsed="false">
      <c r="A1665" s="18"/>
      <c r="B1665" s="16"/>
      <c r="C1665" s="16"/>
      <c r="D1665" s="51" t="str">
        <f aca="false">IF(C1665="","",IFERROR(IF(LEFT(C1665,1)="L",INDEX('Leads Pipeline'!$F$5:$F$1004,MATCH(C1665,'Leads Pipeline'!$A$5:$A$1004,0)),INDEX('Active Clients'!$D$5:$D$504,MATCH(C1665,'Active Clients'!$A$5:$A$504,0)))&amp;"","ID not found"))</f>
        <v/>
      </c>
      <c r="E1665" s="51" t="str">
        <f aca="false">IF(C1665="","",IFERROR(IF(LEFT(C1665,1)="L",INDEX('Leads Pipeline'!$D$5:$D$1004,MATCH(C1665,'Leads Pipeline'!$A$5:$A$1004,0)),INDEX('Active Clients'!$B$5:$B$504,MATCH(C1665,'Active Clients'!$A$5:$A$504,0)))&amp;"","ID not found"))</f>
        <v/>
      </c>
      <c r="F1665" s="51" t="str">
        <f aca="false">IF(C1665="","",IFERROR(IF(LEFT(C1665,1)="L",INDEX('Leads Pipeline'!$E$5:$E$1004,MATCH(C1665,'Leads Pipeline'!$A$5:$A$1004,0)),INDEX('Active Clients'!$C$5:$C$504,MATCH(C1665,'Active Clients'!$A$5:$A$504,0)))&amp;"","ID not found"))</f>
        <v/>
      </c>
      <c r="G1665" s="16"/>
      <c r="H1665" s="16"/>
      <c r="I1665" s="16"/>
      <c r="J1665" s="16"/>
      <c r="K1665" s="16"/>
      <c r="L1665" s="18"/>
    </row>
    <row r="1666" customFormat="false" ht="15" hidden="false" customHeight="false" outlineLevel="0" collapsed="false">
      <c r="A1666" s="18"/>
      <c r="B1666" s="16"/>
      <c r="C1666" s="16"/>
      <c r="D1666" s="51" t="str">
        <f aca="false">IF(C1666="","",IFERROR(IF(LEFT(C1666,1)="L",INDEX('Leads Pipeline'!$F$5:$F$1004,MATCH(C1666,'Leads Pipeline'!$A$5:$A$1004,0)),INDEX('Active Clients'!$D$5:$D$504,MATCH(C1666,'Active Clients'!$A$5:$A$504,0)))&amp;"","ID not found"))</f>
        <v/>
      </c>
      <c r="E1666" s="51" t="str">
        <f aca="false">IF(C1666="","",IFERROR(IF(LEFT(C1666,1)="L",INDEX('Leads Pipeline'!$D$5:$D$1004,MATCH(C1666,'Leads Pipeline'!$A$5:$A$1004,0)),INDEX('Active Clients'!$B$5:$B$504,MATCH(C1666,'Active Clients'!$A$5:$A$504,0)))&amp;"","ID not found"))</f>
        <v/>
      </c>
      <c r="F1666" s="51" t="str">
        <f aca="false">IF(C1666="","",IFERROR(IF(LEFT(C1666,1)="L",INDEX('Leads Pipeline'!$E$5:$E$1004,MATCH(C1666,'Leads Pipeline'!$A$5:$A$1004,0)),INDEX('Active Clients'!$C$5:$C$504,MATCH(C1666,'Active Clients'!$A$5:$A$504,0)))&amp;"","ID not found"))</f>
        <v/>
      </c>
      <c r="G1666" s="16"/>
      <c r="H1666" s="16"/>
      <c r="I1666" s="16"/>
      <c r="J1666" s="16"/>
      <c r="K1666" s="16"/>
      <c r="L1666" s="18"/>
    </row>
    <row r="1667" customFormat="false" ht="15" hidden="false" customHeight="false" outlineLevel="0" collapsed="false">
      <c r="A1667" s="18"/>
      <c r="B1667" s="16"/>
      <c r="C1667" s="16"/>
      <c r="D1667" s="51" t="str">
        <f aca="false">IF(C1667="","",IFERROR(IF(LEFT(C1667,1)="L",INDEX('Leads Pipeline'!$F$5:$F$1004,MATCH(C1667,'Leads Pipeline'!$A$5:$A$1004,0)),INDEX('Active Clients'!$D$5:$D$504,MATCH(C1667,'Active Clients'!$A$5:$A$504,0)))&amp;"","ID not found"))</f>
        <v/>
      </c>
      <c r="E1667" s="51" t="str">
        <f aca="false">IF(C1667="","",IFERROR(IF(LEFT(C1667,1)="L",INDEX('Leads Pipeline'!$D$5:$D$1004,MATCH(C1667,'Leads Pipeline'!$A$5:$A$1004,0)),INDEX('Active Clients'!$B$5:$B$504,MATCH(C1667,'Active Clients'!$A$5:$A$504,0)))&amp;"","ID not found"))</f>
        <v/>
      </c>
      <c r="F1667" s="51" t="str">
        <f aca="false">IF(C1667="","",IFERROR(IF(LEFT(C1667,1)="L",INDEX('Leads Pipeline'!$E$5:$E$1004,MATCH(C1667,'Leads Pipeline'!$A$5:$A$1004,0)),INDEX('Active Clients'!$C$5:$C$504,MATCH(C1667,'Active Clients'!$A$5:$A$504,0)))&amp;"","ID not found"))</f>
        <v/>
      </c>
      <c r="G1667" s="16"/>
      <c r="H1667" s="16"/>
      <c r="I1667" s="16"/>
      <c r="J1667" s="16"/>
      <c r="K1667" s="16"/>
      <c r="L1667" s="18"/>
    </row>
    <row r="1668" customFormat="false" ht="15" hidden="false" customHeight="false" outlineLevel="0" collapsed="false">
      <c r="A1668" s="18"/>
      <c r="B1668" s="16"/>
      <c r="C1668" s="16"/>
      <c r="D1668" s="51" t="str">
        <f aca="false">IF(C1668="","",IFERROR(IF(LEFT(C1668,1)="L",INDEX('Leads Pipeline'!$F$5:$F$1004,MATCH(C1668,'Leads Pipeline'!$A$5:$A$1004,0)),INDEX('Active Clients'!$D$5:$D$504,MATCH(C1668,'Active Clients'!$A$5:$A$504,0)))&amp;"","ID not found"))</f>
        <v/>
      </c>
      <c r="E1668" s="51" t="str">
        <f aca="false">IF(C1668="","",IFERROR(IF(LEFT(C1668,1)="L",INDEX('Leads Pipeline'!$D$5:$D$1004,MATCH(C1668,'Leads Pipeline'!$A$5:$A$1004,0)),INDEX('Active Clients'!$B$5:$B$504,MATCH(C1668,'Active Clients'!$A$5:$A$504,0)))&amp;"","ID not found"))</f>
        <v/>
      </c>
      <c r="F1668" s="51" t="str">
        <f aca="false">IF(C1668="","",IFERROR(IF(LEFT(C1668,1)="L",INDEX('Leads Pipeline'!$E$5:$E$1004,MATCH(C1668,'Leads Pipeline'!$A$5:$A$1004,0)),INDEX('Active Clients'!$C$5:$C$504,MATCH(C1668,'Active Clients'!$A$5:$A$504,0)))&amp;"","ID not found"))</f>
        <v/>
      </c>
      <c r="G1668" s="16"/>
      <c r="H1668" s="16"/>
      <c r="I1668" s="16"/>
      <c r="J1668" s="16"/>
      <c r="K1668" s="16"/>
      <c r="L1668" s="18"/>
    </row>
    <row r="1669" customFormat="false" ht="15" hidden="false" customHeight="false" outlineLevel="0" collapsed="false">
      <c r="A1669" s="18"/>
      <c r="B1669" s="16"/>
      <c r="C1669" s="16"/>
      <c r="D1669" s="51" t="str">
        <f aca="false">IF(C1669="","",IFERROR(IF(LEFT(C1669,1)="L",INDEX('Leads Pipeline'!$F$5:$F$1004,MATCH(C1669,'Leads Pipeline'!$A$5:$A$1004,0)),INDEX('Active Clients'!$D$5:$D$504,MATCH(C1669,'Active Clients'!$A$5:$A$504,0)))&amp;"","ID not found"))</f>
        <v/>
      </c>
      <c r="E1669" s="51" t="str">
        <f aca="false">IF(C1669="","",IFERROR(IF(LEFT(C1669,1)="L",INDEX('Leads Pipeline'!$D$5:$D$1004,MATCH(C1669,'Leads Pipeline'!$A$5:$A$1004,0)),INDEX('Active Clients'!$B$5:$B$504,MATCH(C1669,'Active Clients'!$A$5:$A$504,0)))&amp;"","ID not found"))</f>
        <v/>
      </c>
      <c r="F1669" s="51" t="str">
        <f aca="false">IF(C1669="","",IFERROR(IF(LEFT(C1669,1)="L",INDEX('Leads Pipeline'!$E$5:$E$1004,MATCH(C1669,'Leads Pipeline'!$A$5:$A$1004,0)),INDEX('Active Clients'!$C$5:$C$504,MATCH(C1669,'Active Clients'!$A$5:$A$504,0)))&amp;"","ID not found"))</f>
        <v/>
      </c>
      <c r="G1669" s="16"/>
      <c r="H1669" s="16"/>
      <c r="I1669" s="16"/>
      <c r="J1669" s="16"/>
      <c r="K1669" s="16"/>
      <c r="L1669" s="18"/>
    </row>
    <row r="1670" customFormat="false" ht="15" hidden="false" customHeight="false" outlineLevel="0" collapsed="false">
      <c r="A1670" s="18"/>
      <c r="B1670" s="16"/>
      <c r="C1670" s="16"/>
      <c r="D1670" s="51" t="str">
        <f aca="false">IF(C1670="","",IFERROR(IF(LEFT(C1670,1)="L",INDEX('Leads Pipeline'!$F$5:$F$1004,MATCH(C1670,'Leads Pipeline'!$A$5:$A$1004,0)),INDEX('Active Clients'!$D$5:$D$504,MATCH(C1670,'Active Clients'!$A$5:$A$504,0)))&amp;"","ID not found"))</f>
        <v/>
      </c>
      <c r="E1670" s="51" t="str">
        <f aca="false">IF(C1670="","",IFERROR(IF(LEFT(C1670,1)="L",INDEX('Leads Pipeline'!$D$5:$D$1004,MATCH(C1670,'Leads Pipeline'!$A$5:$A$1004,0)),INDEX('Active Clients'!$B$5:$B$504,MATCH(C1670,'Active Clients'!$A$5:$A$504,0)))&amp;"","ID not found"))</f>
        <v/>
      </c>
      <c r="F1670" s="51" t="str">
        <f aca="false">IF(C1670="","",IFERROR(IF(LEFT(C1670,1)="L",INDEX('Leads Pipeline'!$E$5:$E$1004,MATCH(C1670,'Leads Pipeline'!$A$5:$A$1004,0)),INDEX('Active Clients'!$C$5:$C$504,MATCH(C1670,'Active Clients'!$A$5:$A$504,0)))&amp;"","ID not found"))</f>
        <v/>
      </c>
      <c r="G1670" s="16"/>
      <c r="H1670" s="16"/>
      <c r="I1670" s="16"/>
      <c r="J1670" s="16"/>
      <c r="K1670" s="16"/>
      <c r="L1670" s="18"/>
    </row>
    <row r="1671" customFormat="false" ht="15" hidden="false" customHeight="false" outlineLevel="0" collapsed="false">
      <c r="A1671" s="18"/>
      <c r="B1671" s="16"/>
      <c r="C1671" s="16"/>
      <c r="D1671" s="51" t="str">
        <f aca="false">IF(C1671="","",IFERROR(IF(LEFT(C1671,1)="L",INDEX('Leads Pipeline'!$F$5:$F$1004,MATCH(C1671,'Leads Pipeline'!$A$5:$A$1004,0)),INDEX('Active Clients'!$D$5:$D$504,MATCH(C1671,'Active Clients'!$A$5:$A$504,0)))&amp;"","ID not found"))</f>
        <v/>
      </c>
      <c r="E1671" s="51" t="str">
        <f aca="false">IF(C1671="","",IFERROR(IF(LEFT(C1671,1)="L",INDEX('Leads Pipeline'!$D$5:$D$1004,MATCH(C1671,'Leads Pipeline'!$A$5:$A$1004,0)),INDEX('Active Clients'!$B$5:$B$504,MATCH(C1671,'Active Clients'!$A$5:$A$504,0)))&amp;"","ID not found"))</f>
        <v/>
      </c>
      <c r="F1671" s="51" t="str">
        <f aca="false">IF(C1671="","",IFERROR(IF(LEFT(C1671,1)="L",INDEX('Leads Pipeline'!$E$5:$E$1004,MATCH(C1671,'Leads Pipeline'!$A$5:$A$1004,0)),INDEX('Active Clients'!$C$5:$C$504,MATCH(C1671,'Active Clients'!$A$5:$A$504,0)))&amp;"","ID not found"))</f>
        <v/>
      </c>
      <c r="G1671" s="16"/>
      <c r="H1671" s="16"/>
      <c r="I1671" s="16"/>
      <c r="J1671" s="16"/>
      <c r="K1671" s="16"/>
      <c r="L1671" s="18"/>
    </row>
    <row r="1672" customFormat="false" ht="15" hidden="false" customHeight="false" outlineLevel="0" collapsed="false">
      <c r="A1672" s="18"/>
      <c r="B1672" s="16"/>
      <c r="C1672" s="16"/>
      <c r="D1672" s="51" t="str">
        <f aca="false">IF(C1672="","",IFERROR(IF(LEFT(C1672,1)="L",INDEX('Leads Pipeline'!$F$5:$F$1004,MATCH(C1672,'Leads Pipeline'!$A$5:$A$1004,0)),INDEX('Active Clients'!$D$5:$D$504,MATCH(C1672,'Active Clients'!$A$5:$A$504,0)))&amp;"","ID not found"))</f>
        <v/>
      </c>
      <c r="E1672" s="51" t="str">
        <f aca="false">IF(C1672="","",IFERROR(IF(LEFT(C1672,1)="L",INDEX('Leads Pipeline'!$D$5:$D$1004,MATCH(C1672,'Leads Pipeline'!$A$5:$A$1004,0)),INDEX('Active Clients'!$B$5:$B$504,MATCH(C1672,'Active Clients'!$A$5:$A$504,0)))&amp;"","ID not found"))</f>
        <v/>
      </c>
      <c r="F1672" s="51" t="str">
        <f aca="false">IF(C1672="","",IFERROR(IF(LEFT(C1672,1)="L",INDEX('Leads Pipeline'!$E$5:$E$1004,MATCH(C1672,'Leads Pipeline'!$A$5:$A$1004,0)),INDEX('Active Clients'!$C$5:$C$504,MATCH(C1672,'Active Clients'!$A$5:$A$504,0)))&amp;"","ID not found"))</f>
        <v/>
      </c>
      <c r="G1672" s="16"/>
      <c r="H1672" s="16"/>
      <c r="I1672" s="16"/>
      <c r="J1672" s="16"/>
      <c r="K1672" s="16"/>
      <c r="L1672" s="18"/>
    </row>
    <row r="1673" customFormat="false" ht="15" hidden="false" customHeight="false" outlineLevel="0" collapsed="false">
      <c r="A1673" s="18"/>
      <c r="B1673" s="16"/>
      <c r="C1673" s="16"/>
      <c r="D1673" s="51" t="str">
        <f aca="false">IF(C1673="","",IFERROR(IF(LEFT(C1673,1)="L",INDEX('Leads Pipeline'!$F$5:$F$1004,MATCH(C1673,'Leads Pipeline'!$A$5:$A$1004,0)),INDEX('Active Clients'!$D$5:$D$504,MATCH(C1673,'Active Clients'!$A$5:$A$504,0)))&amp;"","ID not found"))</f>
        <v/>
      </c>
      <c r="E1673" s="51" t="str">
        <f aca="false">IF(C1673="","",IFERROR(IF(LEFT(C1673,1)="L",INDEX('Leads Pipeline'!$D$5:$D$1004,MATCH(C1673,'Leads Pipeline'!$A$5:$A$1004,0)),INDEX('Active Clients'!$B$5:$B$504,MATCH(C1673,'Active Clients'!$A$5:$A$504,0)))&amp;"","ID not found"))</f>
        <v/>
      </c>
      <c r="F1673" s="51" t="str">
        <f aca="false">IF(C1673="","",IFERROR(IF(LEFT(C1673,1)="L",INDEX('Leads Pipeline'!$E$5:$E$1004,MATCH(C1673,'Leads Pipeline'!$A$5:$A$1004,0)),INDEX('Active Clients'!$C$5:$C$504,MATCH(C1673,'Active Clients'!$A$5:$A$504,0)))&amp;"","ID not found"))</f>
        <v/>
      </c>
      <c r="G1673" s="16"/>
      <c r="H1673" s="16"/>
      <c r="I1673" s="16"/>
      <c r="J1673" s="16"/>
      <c r="K1673" s="16"/>
      <c r="L1673" s="18"/>
    </row>
    <row r="1674" customFormat="false" ht="15" hidden="false" customHeight="false" outlineLevel="0" collapsed="false">
      <c r="A1674" s="18"/>
      <c r="B1674" s="16"/>
      <c r="C1674" s="16"/>
      <c r="D1674" s="51" t="str">
        <f aca="false">IF(C1674="","",IFERROR(IF(LEFT(C1674,1)="L",INDEX('Leads Pipeline'!$F$5:$F$1004,MATCH(C1674,'Leads Pipeline'!$A$5:$A$1004,0)),INDEX('Active Clients'!$D$5:$D$504,MATCH(C1674,'Active Clients'!$A$5:$A$504,0)))&amp;"","ID not found"))</f>
        <v/>
      </c>
      <c r="E1674" s="51" t="str">
        <f aca="false">IF(C1674="","",IFERROR(IF(LEFT(C1674,1)="L",INDEX('Leads Pipeline'!$D$5:$D$1004,MATCH(C1674,'Leads Pipeline'!$A$5:$A$1004,0)),INDEX('Active Clients'!$B$5:$B$504,MATCH(C1674,'Active Clients'!$A$5:$A$504,0)))&amp;"","ID not found"))</f>
        <v/>
      </c>
      <c r="F1674" s="51" t="str">
        <f aca="false">IF(C1674="","",IFERROR(IF(LEFT(C1674,1)="L",INDEX('Leads Pipeline'!$E$5:$E$1004,MATCH(C1674,'Leads Pipeline'!$A$5:$A$1004,0)),INDEX('Active Clients'!$C$5:$C$504,MATCH(C1674,'Active Clients'!$A$5:$A$504,0)))&amp;"","ID not found"))</f>
        <v/>
      </c>
      <c r="G1674" s="16"/>
      <c r="H1674" s="16"/>
      <c r="I1674" s="16"/>
      <c r="J1674" s="16"/>
      <c r="K1674" s="16"/>
      <c r="L1674" s="18"/>
    </row>
    <row r="1675" customFormat="false" ht="15" hidden="false" customHeight="false" outlineLevel="0" collapsed="false">
      <c r="A1675" s="18"/>
      <c r="B1675" s="16"/>
      <c r="C1675" s="16"/>
      <c r="D1675" s="51" t="str">
        <f aca="false">IF(C1675="","",IFERROR(IF(LEFT(C1675,1)="L",INDEX('Leads Pipeline'!$F$5:$F$1004,MATCH(C1675,'Leads Pipeline'!$A$5:$A$1004,0)),INDEX('Active Clients'!$D$5:$D$504,MATCH(C1675,'Active Clients'!$A$5:$A$504,0)))&amp;"","ID not found"))</f>
        <v/>
      </c>
      <c r="E1675" s="51" t="str">
        <f aca="false">IF(C1675="","",IFERROR(IF(LEFT(C1675,1)="L",INDEX('Leads Pipeline'!$D$5:$D$1004,MATCH(C1675,'Leads Pipeline'!$A$5:$A$1004,0)),INDEX('Active Clients'!$B$5:$B$504,MATCH(C1675,'Active Clients'!$A$5:$A$504,0)))&amp;"","ID not found"))</f>
        <v/>
      </c>
      <c r="F1675" s="51" t="str">
        <f aca="false">IF(C1675="","",IFERROR(IF(LEFT(C1675,1)="L",INDEX('Leads Pipeline'!$E$5:$E$1004,MATCH(C1675,'Leads Pipeline'!$A$5:$A$1004,0)),INDEX('Active Clients'!$C$5:$C$504,MATCH(C1675,'Active Clients'!$A$5:$A$504,0)))&amp;"","ID not found"))</f>
        <v/>
      </c>
      <c r="G1675" s="16"/>
      <c r="H1675" s="16"/>
      <c r="I1675" s="16"/>
      <c r="J1675" s="16"/>
      <c r="K1675" s="16"/>
      <c r="L1675" s="18"/>
    </row>
    <row r="1676" customFormat="false" ht="15" hidden="false" customHeight="false" outlineLevel="0" collapsed="false">
      <c r="A1676" s="18"/>
      <c r="B1676" s="16"/>
      <c r="C1676" s="16"/>
      <c r="D1676" s="51" t="str">
        <f aca="false">IF(C1676="","",IFERROR(IF(LEFT(C1676,1)="L",INDEX('Leads Pipeline'!$F$5:$F$1004,MATCH(C1676,'Leads Pipeline'!$A$5:$A$1004,0)),INDEX('Active Clients'!$D$5:$D$504,MATCH(C1676,'Active Clients'!$A$5:$A$504,0)))&amp;"","ID not found"))</f>
        <v/>
      </c>
      <c r="E1676" s="51" t="str">
        <f aca="false">IF(C1676="","",IFERROR(IF(LEFT(C1676,1)="L",INDEX('Leads Pipeline'!$D$5:$D$1004,MATCH(C1676,'Leads Pipeline'!$A$5:$A$1004,0)),INDEX('Active Clients'!$B$5:$B$504,MATCH(C1676,'Active Clients'!$A$5:$A$504,0)))&amp;"","ID not found"))</f>
        <v/>
      </c>
      <c r="F1676" s="51" t="str">
        <f aca="false">IF(C1676="","",IFERROR(IF(LEFT(C1676,1)="L",INDEX('Leads Pipeline'!$E$5:$E$1004,MATCH(C1676,'Leads Pipeline'!$A$5:$A$1004,0)),INDEX('Active Clients'!$C$5:$C$504,MATCH(C1676,'Active Clients'!$A$5:$A$504,0)))&amp;"","ID not found"))</f>
        <v/>
      </c>
      <c r="G1676" s="16"/>
      <c r="H1676" s="16"/>
      <c r="I1676" s="16"/>
      <c r="J1676" s="16"/>
      <c r="K1676" s="16"/>
      <c r="L1676" s="18"/>
    </row>
    <row r="1677" customFormat="false" ht="15" hidden="false" customHeight="false" outlineLevel="0" collapsed="false">
      <c r="A1677" s="18"/>
      <c r="B1677" s="16"/>
      <c r="C1677" s="16"/>
      <c r="D1677" s="51" t="str">
        <f aca="false">IF(C1677="","",IFERROR(IF(LEFT(C1677,1)="L",INDEX('Leads Pipeline'!$F$5:$F$1004,MATCH(C1677,'Leads Pipeline'!$A$5:$A$1004,0)),INDEX('Active Clients'!$D$5:$D$504,MATCH(C1677,'Active Clients'!$A$5:$A$504,0)))&amp;"","ID not found"))</f>
        <v/>
      </c>
      <c r="E1677" s="51" t="str">
        <f aca="false">IF(C1677="","",IFERROR(IF(LEFT(C1677,1)="L",INDEX('Leads Pipeline'!$D$5:$D$1004,MATCH(C1677,'Leads Pipeline'!$A$5:$A$1004,0)),INDEX('Active Clients'!$B$5:$B$504,MATCH(C1677,'Active Clients'!$A$5:$A$504,0)))&amp;"","ID not found"))</f>
        <v/>
      </c>
      <c r="F1677" s="51" t="str">
        <f aca="false">IF(C1677="","",IFERROR(IF(LEFT(C1677,1)="L",INDEX('Leads Pipeline'!$E$5:$E$1004,MATCH(C1677,'Leads Pipeline'!$A$5:$A$1004,0)),INDEX('Active Clients'!$C$5:$C$504,MATCH(C1677,'Active Clients'!$A$5:$A$504,0)))&amp;"","ID not found"))</f>
        <v/>
      </c>
      <c r="G1677" s="16"/>
      <c r="H1677" s="16"/>
      <c r="I1677" s="16"/>
      <c r="J1677" s="16"/>
      <c r="K1677" s="16"/>
      <c r="L1677" s="18"/>
    </row>
    <row r="1678" customFormat="false" ht="15" hidden="false" customHeight="false" outlineLevel="0" collapsed="false">
      <c r="A1678" s="18"/>
      <c r="B1678" s="16"/>
      <c r="C1678" s="16"/>
      <c r="D1678" s="51" t="str">
        <f aca="false">IF(C1678="","",IFERROR(IF(LEFT(C1678,1)="L",INDEX('Leads Pipeline'!$F$5:$F$1004,MATCH(C1678,'Leads Pipeline'!$A$5:$A$1004,0)),INDEX('Active Clients'!$D$5:$D$504,MATCH(C1678,'Active Clients'!$A$5:$A$504,0)))&amp;"","ID not found"))</f>
        <v/>
      </c>
      <c r="E1678" s="51" t="str">
        <f aca="false">IF(C1678="","",IFERROR(IF(LEFT(C1678,1)="L",INDEX('Leads Pipeline'!$D$5:$D$1004,MATCH(C1678,'Leads Pipeline'!$A$5:$A$1004,0)),INDEX('Active Clients'!$B$5:$B$504,MATCH(C1678,'Active Clients'!$A$5:$A$504,0)))&amp;"","ID not found"))</f>
        <v/>
      </c>
      <c r="F1678" s="51" t="str">
        <f aca="false">IF(C1678="","",IFERROR(IF(LEFT(C1678,1)="L",INDEX('Leads Pipeline'!$E$5:$E$1004,MATCH(C1678,'Leads Pipeline'!$A$5:$A$1004,0)),INDEX('Active Clients'!$C$5:$C$504,MATCH(C1678,'Active Clients'!$A$5:$A$504,0)))&amp;"","ID not found"))</f>
        <v/>
      </c>
      <c r="G1678" s="16"/>
      <c r="H1678" s="16"/>
      <c r="I1678" s="16"/>
      <c r="J1678" s="16"/>
      <c r="K1678" s="16"/>
      <c r="L1678" s="18"/>
    </row>
    <row r="1679" customFormat="false" ht="15" hidden="false" customHeight="false" outlineLevel="0" collapsed="false">
      <c r="A1679" s="18"/>
      <c r="B1679" s="16"/>
      <c r="C1679" s="16"/>
      <c r="D1679" s="51" t="str">
        <f aca="false">IF(C1679="","",IFERROR(IF(LEFT(C1679,1)="L",INDEX('Leads Pipeline'!$F$5:$F$1004,MATCH(C1679,'Leads Pipeline'!$A$5:$A$1004,0)),INDEX('Active Clients'!$D$5:$D$504,MATCH(C1679,'Active Clients'!$A$5:$A$504,0)))&amp;"","ID not found"))</f>
        <v/>
      </c>
      <c r="E1679" s="51" t="str">
        <f aca="false">IF(C1679="","",IFERROR(IF(LEFT(C1679,1)="L",INDEX('Leads Pipeline'!$D$5:$D$1004,MATCH(C1679,'Leads Pipeline'!$A$5:$A$1004,0)),INDEX('Active Clients'!$B$5:$B$504,MATCH(C1679,'Active Clients'!$A$5:$A$504,0)))&amp;"","ID not found"))</f>
        <v/>
      </c>
      <c r="F1679" s="51" t="str">
        <f aca="false">IF(C1679="","",IFERROR(IF(LEFT(C1679,1)="L",INDEX('Leads Pipeline'!$E$5:$E$1004,MATCH(C1679,'Leads Pipeline'!$A$5:$A$1004,0)),INDEX('Active Clients'!$C$5:$C$504,MATCH(C1679,'Active Clients'!$A$5:$A$504,0)))&amp;"","ID not found"))</f>
        <v/>
      </c>
      <c r="G1679" s="16"/>
      <c r="H1679" s="16"/>
      <c r="I1679" s="16"/>
      <c r="J1679" s="16"/>
      <c r="K1679" s="16"/>
      <c r="L1679" s="18"/>
    </row>
    <row r="1680" customFormat="false" ht="15" hidden="false" customHeight="false" outlineLevel="0" collapsed="false">
      <c r="A1680" s="18"/>
      <c r="B1680" s="16"/>
      <c r="C1680" s="16"/>
      <c r="D1680" s="51" t="str">
        <f aca="false">IF(C1680="","",IFERROR(IF(LEFT(C1680,1)="L",INDEX('Leads Pipeline'!$F$5:$F$1004,MATCH(C1680,'Leads Pipeline'!$A$5:$A$1004,0)),INDEX('Active Clients'!$D$5:$D$504,MATCH(C1680,'Active Clients'!$A$5:$A$504,0)))&amp;"","ID not found"))</f>
        <v/>
      </c>
      <c r="E1680" s="51" t="str">
        <f aca="false">IF(C1680="","",IFERROR(IF(LEFT(C1680,1)="L",INDEX('Leads Pipeline'!$D$5:$D$1004,MATCH(C1680,'Leads Pipeline'!$A$5:$A$1004,0)),INDEX('Active Clients'!$B$5:$B$504,MATCH(C1680,'Active Clients'!$A$5:$A$504,0)))&amp;"","ID not found"))</f>
        <v/>
      </c>
      <c r="F1680" s="51" t="str">
        <f aca="false">IF(C1680="","",IFERROR(IF(LEFT(C1680,1)="L",INDEX('Leads Pipeline'!$E$5:$E$1004,MATCH(C1680,'Leads Pipeline'!$A$5:$A$1004,0)),INDEX('Active Clients'!$C$5:$C$504,MATCH(C1680,'Active Clients'!$A$5:$A$504,0)))&amp;"","ID not found"))</f>
        <v/>
      </c>
      <c r="G1680" s="16"/>
      <c r="H1680" s="16"/>
      <c r="I1680" s="16"/>
      <c r="J1680" s="16"/>
      <c r="K1680" s="16"/>
      <c r="L1680" s="18"/>
    </row>
    <row r="1681" customFormat="false" ht="15" hidden="false" customHeight="false" outlineLevel="0" collapsed="false">
      <c r="A1681" s="18"/>
      <c r="B1681" s="16"/>
      <c r="C1681" s="16"/>
      <c r="D1681" s="51" t="str">
        <f aca="false">IF(C1681="","",IFERROR(IF(LEFT(C1681,1)="L",INDEX('Leads Pipeline'!$F$5:$F$1004,MATCH(C1681,'Leads Pipeline'!$A$5:$A$1004,0)),INDEX('Active Clients'!$D$5:$D$504,MATCH(C1681,'Active Clients'!$A$5:$A$504,0)))&amp;"","ID not found"))</f>
        <v/>
      </c>
      <c r="E1681" s="51" t="str">
        <f aca="false">IF(C1681="","",IFERROR(IF(LEFT(C1681,1)="L",INDEX('Leads Pipeline'!$D$5:$D$1004,MATCH(C1681,'Leads Pipeline'!$A$5:$A$1004,0)),INDEX('Active Clients'!$B$5:$B$504,MATCH(C1681,'Active Clients'!$A$5:$A$504,0)))&amp;"","ID not found"))</f>
        <v/>
      </c>
      <c r="F1681" s="51" t="str">
        <f aca="false">IF(C1681="","",IFERROR(IF(LEFT(C1681,1)="L",INDEX('Leads Pipeline'!$E$5:$E$1004,MATCH(C1681,'Leads Pipeline'!$A$5:$A$1004,0)),INDEX('Active Clients'!$C$5:$C$504,MATCH(C1681,'Active Clients'!$A$5:$A$504,0)))&amp;"","ID not found"))</f>
        <v/>
      </c>
      <c r="G1681" s="16"/>
      <c r="H1681" s="16"/>
      <c r="I1681" s="16"/>
      <c r="J1681" s="16"/>
      <c r="K1681" s="16"/>
      <c r="L1681" s="18"/>
    </row>
    <row r="1682" customFormat="false" ht="15" hidden="false" customHeight="false" outlineLevel="0" collapsed="false">
      <c r="A1682" s="18"/>
      <c r="B1682" s="16"/>
      <c r="C1682" s="16"/>
      <c r="D1682" s="51" t="str">
        <f aca="false">IF(C1682="","",IFERROR(IF(LEFT(C1682,1)="L",INDEX('Leads Pipeline'!$F$5:$F$1004,MATCH(C1682,'Leads Pipeline'!$A$5:$A$1004,0)),INDEX('Active Clients'!$D$5:$D$504,MATCH(C1682,'Active Clients'!$A$5:$A$504,0)))&amp;"","ID not found"))</f>
        <v/>
      </c>
      <c r="E1682" s="51" t="str">
        <f aca="false">IF(C1682="","",IFERROR(IF(LEFT(C1682,1)="L",INDEX('Leads Pipeline'!$D$5:$D$1004,MATCH(C1682,'Leads Pipeline'!$A$5:$A$1004,0)),INDEX('Active Clients'!$B$5:$B$504,MATCH(C1682,'Active Clients'!$A$5:$A$504,0)))&amp;"","ID not found"))</f>
        <v/>
      </c>
      <c r="F1682" s="51" t="str">
        <f aca="false">IF(C1682="","",IFERROR(IF(LEFT(C1682,1)="L",INDEX('Leads Pipeline'!$E$5:$E$1004,MATCH(C1682,'Leads Pipeline'!$A$5:$A$1004,0)),INDEX('Active Clients'!$C$5:$C$504,MATCH(C1682,'Active Clients'!$A$5:$A$504,0)))&amp;"","ID not found"))</f>
        <v/>
      </c>
      <c r="G1682" s="16"/>
      <c r="H1682" s="16"/>
      <c r="I1682" s="16"/>
      <c r="J1682" s="16"/>
      <c r="K1682" s="16"/>
      <c r="L1682" s="18"/>
    </row>
    <row r="1683" customFormat="false" ht="15" hidden="false" customHeight="false" outlineLevel="0" collapsed="false">
      <c r="A1683" s="18"/>
      <c r="B1683" s="16"/>
      <c r="C1683" s="16"/>
      <c r="D1683" s="51" t="str">
        <f aca="false">IF(C1683="","",IFERROR(IF(LEFT(C1683,1)="L",INDEX('Leads Pipeline'!$F$5:$F$1004,MATCH(C1683,'Leads Pipeline'!$A$5:$A$1004,0)),INDEX('Active Clients'!$D$5:$D$504,MATCH(C1683,'Active Clients'!$A$5:$A$504,0)))&amp;"","ID not found"))</f>
        <v/>
      </c>
      <c r="E1683" s="51" t="str">
        <f aca="false">IF(C1683="","",IFERROR(IF(LEFT(C1683,1)="L",INDEX('Leads Pipeline'!$D$5:$D$1004,MATCH(C1683,'Leads Pipeline'!$A$5:$A$1004,0)),INDEX('Active Clients'!$B$5:$B$504,MATCH(C1683,'Active Clients'!$A$5:$A$504,0)))&amp;"","ID not found"))</f>
        <v/>
      </c>
      <c r="F1683" s="51" t="str">
        <f aca="false">IF(C1683="","",IFERROR(IF(LEFT(C1683,1)="L",INDEX('Leads Pipeline'!$E$5:$E$1004,MATCH(C1683,'Leads Pipeline'!$A$5:$A$1004,0)),INDEX('Active Clients'!$C$5:$C$504,MATCH(C1683,'Active Clients'!$A$5:$A$504,0)))&amp;"","ID not found"))</f>
        <v/>
      </c>
      <c r="G1683" s="16"/>
      <c r="H1683" s="16"/>
      <c r="I1683" s="16"/>
      <c r="J1683" s="16"/>
      <c r="K1683" s="16"/>
      <c r="L1683" s="18"/>
    </row>
    <row r="1684" customFormat="false" ht="15" hidden="false" customHeight="false" outlineLevel="0" collapsed="false">
      <c r="A1684" s="18"/>
      <c r="B1684" s="16"/>
      <c r="C1684" s="16"/>
      <c r="D1684" s="51" t="str">
        <f aca="false">IF(C1684="","",IFERROR(IF(LEFT(C1684,1)="L",INDEX('Leads Pipeline'!$F$5:$F$1004,MATCH(C1684,'Leads Pipeline'!$A$5:$A$1004,0)),INDEX('Active Clients'!$D$5:$D$504,MATCH(C1684,'Active Clients'!$A$5:$A$504,0)))&amp;"","ID not found"))</f>
        <v/>
      </c>
      <c r="E1684" s="51" t="str">
        <f aca="false">IF(C1684="","",IFERROR(IF(LEFT(C1684,1)="L",INDEX('Leads Pipeline'!$D$5:$D$1004,MATCH(C1684,'Leads Pipeline'!$A$5:$A$1004,0)),INDEX('Active Clients'!$B$5:$B$504,MATCH(C1684,'Active Clients'!$A$5:$A$504,0)))&amp;"","ID not found"))</f>
        <v/>
      </c>
      <c r="F1684" s="51" t="str">
        <f aca="false">IF(C1684="","",IFERROR(IF(LEFT(C1684,1)="L",INDEX('Leads Pipeline'!$E$5:$E$1004,MATCH(C1684,'Leads Pipeline'!$A$5:$A$1004,0)),INDEX('Active Clients'!$C$5:$C$504,MATCH(C1684,'Active Clients'!$A$5:$A$504,0)))&amp;"","ID not found"))</f>
        <v/>
      </c>
      <c r="G1684" s="16"/>
      <c r="H1684" s="16"/>
      <c r="I1684" s="16"/>
      <c r="J1684" s="16"/>
      <c r="K1684" s="16"/>
      <c r="L1684" s="18"/>
    </row>
    <row r="1685" customFormat="false" ht="15" hidden="false" customHeight="false" outlineLevel="0" collapsed="false">
      <c r="A1685" s="18"/>
      <c r="B1685" s="16"/>
      <c r="C1685" s="16"/>
      <c r="D1685" s="51" t="str">
        <f aca="false">IF(C1685="","",IFERROR(IF(LEFT(C1685,1)="L",INDEX('Leads Pipeline'!$F$5:$F$1004,MATCH(C1685,'Leads Pipeline'!$A$5:$A$1004,0)),INDEX('Active Clients'!$D$5:$D$504,MATCH(C1685,'Active Clients'!$A$5:$A$504,0)))&amp;"","ID not found"))</f>
        <v/>
      </c>
      <c r="E1685" s="51" t="str">
        <f aca="false">IF(C1685="","",IFERROR(IF(LEFT(C1685,1)="L",INDEX('Leads Pipeline'!$D$5:$D$1004,MATCH(C1685,'Leads Pipeline'!$A$5:$A$1004,0)),INDEX('Active Clients'!$B$5:$B$504,MATCH(C1685,'Active Clients'!$A$5:$A$504,0)))&amp;"","ID not found"))</f>
        <v/>
      </c>
      <c r="F1685" s="51" t="str">
        <f aca="false">IF(C1685="","",IFERROR(IF(LEFT(C1685,1)="L",INDEX('Leads Pipeline'!$E$5:$E$1004,MATCH(C1685,'Leads Pipeline'!$A$5:$A$1004,0)),INDEX('Active Clients'!$C$5:$C$504,MATCH(C1685,'Active Clients'!$A$5:$A$504,0)))&amp;"","ID not found"))</f>
        <v/>
      </c>
      <c r="G1685" s="16"/>
      <c r="H1685" s="16"/>
      <c r="I1685" s="16"/>
      <c r="J1685" s="16"/>
      <c r="K1685" s="16"/>
      <c r="L1685" s="18"/>
    </row>
    <row r="1686" customFormat="false" ht="15" hidden="false" customHeight="false" outlineLevel="0" collapsed="false">
      <c r="A1686" s="18"/>
      <c r="B1686" s="16"/>
      <c r="C1686" s="16"/>
      <c r="D1686" s="51" t="str">
        <f aca="false">IF(C1686="","",IFERROR(IF(LEFT(C1686,1)="L",INDEX('Leads Pipeline'!$F$5:$F$1004,MATCH(C1686,'Leads Pipeline'!$A$5:$A$1004,0)),INDEX('Active Clients'!$D$5:$D$504,MATCH(C1686,'Active Clients'!$A$5:$A$504,0)))&amp;"","ID not found"))</f>
        <v/>
      </c>
      <c r="E1686" s="51" t="str">
        <f aca="false">IF(C1686="","",IFERROR(IF(LEFT(C1686,1)="L",INDEX('Leads Pipeline'!$D$5:$D$1004,MATCH(C1686,'Leads Pipeline'!$A$5:$A$1004,0)),INDEX('Active Clients'!$B$5:$B$504,MATCH(C1686,'Active Clients'!$A$5:$A$504,0)))&amp;"","ID not found"))</f>
        <v/>
      </c>
      <c r="F1686" s="51" t="str">
        <f aca="false">IF(C1686="","",IFERROR(IF(LEFT(C1686,1)="L",INDEX('Leads Pipeline'!$E$5:$E$1004,MATCH(C1686,'Leads Pipeline'!$A$5:$A$1004,0)),INDEX('Active Clients'!$C$5:$C$504,MATCH(C1686,'Active Clients'!$A$5:$A$504,0)))&amp;"","ID not found"))</f>
        <v/>
      </c>
      <c r="G1686" s="16"/>
      <c r="H1686" s="16"/>
      <c r="I1686" s="16"/>
      <c r="J1686" s="16"/>
      <c r="K1686" s="16"/>
      <c r="L1686" s="18"/>
    </row>
    <row r="1687" customFormat="false" ht="15" hidden="false" customHeight="false" outlineLevel="0" collapsed="false">
      <c r="A1687" s="18"/>
      <c r="B1687" s="16"/>
      <c r="C1687" s="16"/>
      <c r="D1687" s="51" t="str">
        <f aca="false">IF(C1687="","",IFERROR(IF(LEFT(C1687,1)="L",INDEX('Leads Pipeline'!$F$5:$F$1004,MATCH(C1687,'Leads Pipeline'!$A$5:$A$1004,0)),INDEX('Active Clients'!$D$5:$D$504,MATCH(C1687,'Active Clients'!$A$5:$A$504,0)))&amp;"","ID not found"))</f>
        <v/>
      </c>
      <c r="E1687" s="51" t="str">
        <f aca="false">IF(C1687="","",IFERROR(IF(LEFT(C1687,1)="L",INDEX('Leads Pipeline'!$D$5:$D$1004,MATCH(C1687,'Leads Pipeline'!$A$5:$A$1004,0)),INDEX('Active Clients'!$B$5:$B$504,MATCH(C1687,'Active Clients'!$A$5:$A$504,0)))&amp;"","ID not found"))</f>
        <v/>
      </c>
      <c r="F1687" s="51" t="str">
        <f aca="false">IF(C1687="","",IFERROR(IF(LEFT(C1687,1)="L",INDEX('Leads Pipeline'!$E$5:$E$1004,MATCH(C1687,'Leads Pipeline'!$A$5:$A$1004,0)),INDEX('Active Clients'!$C$5:$C$504,MATCH(C1687,'Active Clients'!$A$5:$A$504,0)))&amp;"","ID not found"))</f>
        <v/>
      </c>
      <c r="G1687" s="16"/>
      <c r="H1687" s="16"/>
      <c r="I1687" s="16"/>
      <c r="J1687" s="16"/>
      <c r="K1687" s="16"/>
      <c r="L1687" s="18"/>
    </row>
    <row r="1688" customFormat="false" ht="15" hidden="false" customHeight="false" outlineLevel="0" collapsed="false">
      <c r="A1688" s="18"/>
      <c r="B1688" s="16"/>
      <c r="C1688" s="16"/>
      <c r="D1688" s="51" t="str">
        <f aca="false">IF(C1688="","",IFERROR(IF(LEFT(C1688,1)="L",INDEX('Leads Pipeline'!$F$5:$F$1004,MATCH(C1688,'Leads Pipeline'!$A$5:$A$1004,0)),INDEX('Active Clients'!$D$5:$D$504,MATCH(C1688,'Active Clients'!$A$5:$A$504,0)))&amp;"","ID not found"))</f>
        <v/>
      </c>
      <c r="E1688" s="51" t="str">
        <f aca="false">IF(C1688="","",IFERROR(IF(LEFT(C1688,1)="L",INDEX('Leads Pipeline'!$D$5:$D$1004,MATCH(C1688,'Leads Pipeline'!$A$5:$A$1004,0)),INDEX('Active Clients'!$B$5:$B$504,MATCH(C1688,'Active Clients'!$A$5:$A$504,0)))&amp;"","ID not found"))</f>
        <v/>
      </c>
      <c r="F1688" s="51" t="str">
        <f aca="false">IF(C1688="","",IFERROR(IF(LEFT(C1688,1)="L",INDEX('Leads Pipeline'!$E$5:$E$1004,MATCH(C1688,'Leads Pipeline'!$A$5:$A$1004,0)),INDEX('Active Clients'!$C$5:$C$504,MATCH(C1688,'Active Clients'!$A$5:$A$504,0)))&amp;"","ID not found"))</f>
        <v/>
      </c>
      <c r="G1688" s="16"/>
      <c r="H1688" s="16"/>
      <c r="I1688" s="16"/>
      <c r="J1688" s="16"/>
      <c r="K1688" s="16"/>
      <c r="L1688" s="18"/>
    </row>
    <row r="1689" customFormat="false" ht="15" hidden="false" customHeight="false" outlineLevel="0" collapsed="false">
      <c r="A1689" s="18"/>
      <c r="B1689" s="16"/>
      <c r="C1689" s="16"/>
      <c r="D1689" s="51" t="str">
        <f aca="false">IF(C1689="","",IFERROR(IF(LEFT(C1689,1)="L",INDEX('Leads Pipeline'!$F$5:$F$1004,MATCH(C1689,'Leads Pipeline'!$A$5:$A$1004,0)),INDEX('Active Clients'!$D$5:$D$504,MATCH(C1689,'Active Clients'!$A$5:$A$504,0)))&amp;"","ID not found"))</f>
        <v/>
      </c>
      <c r="E1689" s="51" t="str">
        <f aca="false">IF(C1689="","",IFERROR(IF(LEFT(C1689,1)="L",INDEX('Leads Pipeline'!$D$5:$D$1004,MATCH(C1689,'Leads Pipeline'!$A$5:$A$1004,0)),INDEX('Active Clients'!$B$5:$B$504,MATCH(C1689,'Active Clients'!$A$5:$A$504,0)))&amp;"","ID not found"))</f>
        <v/>
      </c>
      <c r="F1689" s="51" t="str">
        <f aca="false">IF(C1689="","",IFERROR(IF(LEFT(C1689,1)="L",INDEX('Leads Pipeline'!$E$5:$E$1004,MATCH(C1689,'Leads Pipeline'!$A$5:$A$1004,0)),INDEX('Active Clients'!$C$5:$C$504,MATCH(C1689,'Active Clients'!$A$5:$A$504,0)))&amp;"","ID not found"))</f>
        <v/>
      </c>
      <c r="G1689" s="16"/>
      <c r="H1689" s="16"/>
      <c r="I1689" s="16"/>
      <c r="J1689" s="16"/>
      <c r="K1689" s="16"/>
      <c r="L1689" s="18"/>
    </row>
    <row r="1690" customFormat="false" ht="15" hidden="false" customHeight="false" outlineLevel="0" collapsed="false">
      <c r="A1690" s="18"/>
      <c r="B1690" s="16"/>
      <c r="C1690" s="16"/>
      <c r="D1690" s="51" t="str">
        <f aca="false">IF(C1690="","",IFERROR(IF(LEFT(C1690,1)="L",INDEX('Leads Pipeline'!$F$5:$F$1004,MATCH(C1690,'Leads Pipeline'!$A$5:$A$1004,0)),INDEX('Active Clients'!$D$5:$D$504,MATCH(C1690,'Active Clients'!$A$5:$A$504,0)))&amp;"","ID not found"))</f>
        <v/>
      </c>
      <c r="E1690" s="51" t="str">
        <f aca="false">IF(C1690="","",IFERROR(IF(LEFT(C1690,1)="L",INDEX('Leads Pipeline'!$D$5:$D$1004,MATCH(C1690,'Leads Pipeline'!$A$5:$A$1004,0)),INDEX('Active Clients'!$B$5:$B$504,MATCH(C1690,'Active Clients'!$A$5:$A$504,0)))&amp;"","ID not found"))</f>
        <v/>
      </c>
      <c r="F1690" s="51" t="str">
        <f aca="false">IF(C1690="","",IFERROR(IF(LEFT(C1690,1)="L",INDEX('Leads Pipeline'!$E$5:$E$1004,MATCH(C1690,'Leads Pipeline'!$A$5:$A$1004,0)),INDEX('Active Clients'!$C$5:$C$504,MATCH(C1690,'Active Clients'!$A$5:$A$504,0)))&amp;"","ID not found"))</f>
        <v/>
      </c>
      <c r="G1690" s="16"/>
      <c r="H1690" s="16"/>
      <c r="I1690" s="16"/>
      <c r="J1690" s="16"/>
      <c r="K1690" s="16"/>
      <c r="L1690" s="18"/>
    </row>
    <row r="1691" customFormat="false" ht="15" hidden="false" customHeight="false" outlineLevel="0" collapsed="false">
      <c r="A1691" s="18"/>
      <c r="B1691" s="16"/>
      <c r="C1691" s="16"/>
      <c r="D1691" s="51" t="str">
        <f aca="false">IF(C1691="","",IFERROR(IF(LEFT(C1691,1)="L",INDEX('Leads Pipeline'!$F$5:$F$1004,MATCH(C1691,'Leads Pipeline'!$A$5:$A$1004,0)),INDEX('Active Clients'!$D$5:$D$504,MATCH(C1691,'Active Clients'!$A$5:$A$504,0)))&amp;"","ID not found"))</f>
        <v/>
      </c>
      <c r="E1691" s="51" t="str">
        <f aca="false">IF(C1691="","",IFERROR(IF(LEFT(C1691,1)="L",INDEX('Leads Pipeline'!$D$5:$D$1004,MATCH(C1691,'Leads Pipeline'!$A$5:$A$1004,0)),INDEX('Active Clients'!$B$5:$B$504,MATCH(C1691,'Active Clients'!$A$5:$A$504,0)))&amp;"","ID not found"))</f>
        <v/>
      </c>
      <c r="F1691" s="51" t="str">
        <f aca="false">IF(C1691="","",IFERROR(IF(LEFT(C1691,1)="L",INDEX('Leads Pipeline'!$E$5:$E$1004,MATCH(C1691,'Leads Pipeline'!$A$5:$A$1004,0)),INDEX('Active Clients'!$C$5:$C$504,MATCH(C1691,'Active Clients'!$A$5:$A$504,0)))&amp;"","ID not found"))</f>
        <v/>
      </c>
      <c r="G1691" s="16"/>
      <c r="H1691" s="16"/>
      <c r="I1691" s="16"/>
      <c r="J1691" s="16"/>
      <c r="K1691" s="16"/>
      <c r="L1691" s="18"/>
    </row>
    <row r="1692" customFormat="false" ht="15" hidden="false" customHeight="false" outlineLevel="0" collapsed="false">
      <c r="A1692" s="18"/>
      <c r="B1692" s="16"/>
      <c r="C1692" s="16"/>
      <c r="D1692" s="51" t="str">
        <f aca="false">IF(C1692="","",IFERROR(IF(LEFT(C1692,1)="L",INDEX('Leads Pipeline'!$F$5:$F$1004,MATCH(C1692,'Leads Pipeline'!$A$5:$A$1004,0)),INDEX('Active Clients'!$D$5:$D$504,MATCH(C1692,'Active Clients'!$A$5:$A$504,0)))&amp;"","ID not found"))</f>
        <v/>
      </c>
      <c r="E1692" s="51" t="str">
        <f aca="false">IF(C1692="","",IFERROR(IF(LEFT(C1692,1)="L",INDEX('Leads Pipeline'!$D$5:$D$1004,MATCH(C1692,'Leads Pipeline'!$A$5:$A$1004,0)),INDEX('Active Clients'!$B$5:$B$504,MATCH(C1692,'Active Clients'!$A$5:$A$504,0)))&amp;"","ID not found"))</f>
        <v/>
      </c>
      <c r="F1692" s="51" t="str">
        <f aca="false">IF(C1692="","",IFERROR(IF(LEFT(C1692,1)="L",INDEX('Leads Pipeline'!$E$5:$E$1004,MATCH(C1692,'Leads Pipeline'!$A$5:$A$1004,0)),INDEX('Active Clients'!$C$5:$C$504,MATCH(C1692,'Active Clients'!$A$5:$A$504,0)))&amp;"","ID not found"))</f>
        <v/>
      </c>
      <c r="G1692" s="16"/>
      <c r="H1692" s="16"/>
      <c r="I1692" s="16"/>
      <c r="J1692" s="16"/>
      <c r="K1692" s="16"/>
      <c r="L1692" s="18"/>
    </row>
    <row r="1693" customFormat="false" ht="15" hidden="false" customHeight="false" outlineLevel="0" collapsed="false">
      <c r="A1693" s="18"/>
      <c r="B1693" s="16"/>
      <c r="C1693" s="16"/>
      <c r="D1693" s="51" t="str">
        <f aca="false">IF(C1693="","",IFERROR(IF(LEFT(C1693,1)="L",INDEX('Leads Pipeline'!$F$5:$F$1004,MATCH(C1693,'Leads Pipeline'!$A$5:$A$1004,0)),INDEX('Active Clients'!$D$5:$D$504,MATCH(C1693,'Active Clients'!$A$5:$A$504,0)))&amp;"","ID not found"))</f>
        <v/>
      </c>
      <c r="E1693" s="51" t="str">
        <f aca="false">IF(C1693="","",IFERROR(IF(LEFT(C1693,1)="L",INDEX('Leads Pipeline'!$D$5:$D$1004,MATCH(C1693,'Leads Pipeline'!$A$5:$A$1004,0)),INDEX('Active Clients'!$B$5:$B$504,MATCH(C1693,'Active Clients'!$A$5:$A$504,0)))&amp;"","ID not found"))</f>
        <v/>
      </c>
      <c r="F1693" s="51" t="str">
        <f aca="false">IF(C1693="","",IFERROR(IF(LEFT(C1693,1)="L",INDEX('Leads Pipeline'!$E$5:$E$1004,MATCH(C1693,'Leads Pipeline'!$A$5:$A$1004,0)),INDEX('Active Clients'!$C$5:$C$504,MATCH(C1693,'Active Clients'!$A$5:$A$504,0)))&amp;"","ID not found"))</f>
        <v/>
      </c>
      <c r="G1693" s="16"/>
      <c r="H1693" s="16"/>
      <c r="I1693" s="16"/>
      <c r="J1693" s="16"/>
      <c r="K1693" s="16"/>
      <c r="L1693" s="18"/>
    </row>
    <row r="1694" customFormat="false" ht="15" hidden="false" customHeight="false" outlineLevel="0" collapsed="false">
      <c r="A1694" s="18"/>
      <c r="B1694" s="16"/>
      <c r="C1694" s="16"/>
      <c r="D1694" s="51" t="str">
        <f aca="false">IF(C1694="","",IFERROR(IF(LEFT(C1694,1)="L",INDEX('Leads Pipeline'!$F$5:$F$1004,MATCH(C1694,'Leads Pipeline'!$A$5:$A$1004,0)),INDEX('Active Clients'!$D$5:$D$504,MATCH(C1694,'Active Clients'!$A$5:$A$504,0)))&amp;"","ID not found"))</f>
        <v/>
      </c>
      <c r="E1694" s="51" t="str">
        <f aca="false">IF(C1694="","",IFERROR(IF(LEFT(C1694,1)="L",INDEX('Leads Pipeline'!$D$5:$D$1004,MATCH(C1694,'Leads Pipeline'!$A$5:$A$1004,0)),INDEX('Active Clients'!$B$5:$B$504,MATCH(C1694,'Active Clients'!$A$5:$A$504,0)))&amp;"","ID not found"))</f>
        <v/>
      </c>
      <c r="F1694" s="51" t="str">
        <f aca="false">IF(C1694="","",IFERROR(IF(LEFT(C1694,1)="L",INDEX('Leads Pipeline'!$E$5:$E$1004,MATCH(C1694,'Leads Pipeline'!$A$5:$A$1004,0)),INDEX('Active Clients'!$C$5:$C$504,MATCH(C1694,'Active Clients'!$A$5:$A$504,0)))&amp;"","ID not found"))</f>
        <v/>
      </c>
      <c r="G1694" s="16"/>
      <c r="H1694" s="16"/>
      <c r="I1694" s="16"/>
      <c r="J1694" s="16"/>
      <c r="K1694" s="16"/>
      <c r="L1694" s="18"/>
    </row>
    <row r="1695" customFormat="false" ht="15" hidden="false" customHeight="false" outlineLevel="0" collapsed="false">
      <c r="A1695" s="18"/>
      <c r="B1695" s="16"/>
      <c r="C1695" s="16"/>
      <c r="D1695" s="51" t="str">
        <f aca="false">IF(C1695="","",IFERROR(IF(LEFT(C1695,1)="L",INDEX('Leads Pipeline'!$F$5:$F$1004,MATCH(C1695,'Leads Pipeline'!$A$5:$A$1004,0)),INDEX('Active Clients'!$D$5:$D$504,MATCH(C1695,'Active Clients'!$A$5:$A$504,0)))&amp;"","ID not found"))</f>
        <v/>
      </c>
      <c r="E1695" s="51" t="str">
        <f aca="false">IF(C1695="","",IFERROR(IF(LEFT(C1695,1)="L",INDEX('Leads Pipeline'!$D$5:$D$1004,MATCH(C1695,'Leads Pipeline'!$A$5:$A$1004,0)),INDEX('Active Clients'!$B$5:$B$504,MATCH(C1695,'Active Clients'!$A$5:$A$504,0)))&amp;"","ID not found"))</f>
        <v/>
      </c>
      <c r="F1695" s="51" t="str">
        <f aca="false">IF(C1695="","",IFERROR(IF(LEFT(C1695,1)="L",INDEX('Leads Pipeline'!$E$5:$E$1004,MATCH(C1695,'Leads Pipeline'!$A$5:$A$1004,0)),INDEX('Active Clients'!$C$5:$C$504,MATCH(C1695,'Active Clients'!$A$5:$A$504,0)))&amp;"","ID not found"))</f>
        <v/>
      </c>
      <c r="G1695" s="16"/>
      <c r="H1695" s="16"/>
      <c r="I1695" s="16"/>
      <c r="J1695" s="16"/>
      <c r="K1695" s="16"/>
      <c r="L1695" s="18"/>
    </row>
    <row r="1696" customFormat="false" ht="15" hidden="false" customHeight="false" outlineLevel="0" collapsed="false">
      <c r="A1696" s="18"/>
      <c r="B1696" s="16"/>
      <c r="C1696" s="16"/>
      <c r="D1696" s="51" t="str">
        <f aca="false">IF(C1696="","",IFERROR(IF(LEFT(C1696,1)="L",INDEX('Leads Pipeline'!$F$5:$F$1004,MATCH(C1696,'Leads Pipeline'!$A$5:$A$1004,0)),INDEX('Active Clients'!$D$5:$D$504,MATCH(C1696,'Active Clients'!$A$5:$A$504,0)))&amp;"","ID not found"))</f>
        <v/>
      </c>
      <c r="E1696" s="51" t="str">
        <f aca="false">IF(C1696="","",IFERROR(IF(LEFT(C1696,1)="L",INDEX('Leads Pipeline'!$D$5:$D$1004,MATCH(C1696,'Leads Pipeline'!$A$5:$A$1004,0)),INDEX('Active Clients'!$B$5:$B$504,MATCH(C1696,'Active Clients'!$A$5:$A$504,0)))&amp;"","ID not found"))</f>
        <v/>
      </c>
      <c r="F1696" s="51" t="str">
        <f aca="false">IF(C1696="","",IFERROR(IF(LEFT(C1696,1)="L",INDEX('Leads Pipeline'!$E$5:$E$1004,MATCH(C1696,'Leads Pipeline'!$A$5:$A$1004,0)),INDEX('Active Clients'!$C$5:$C$504,MATCH(C1696,'Active Clients'!$A$5:$A$504,0)))&amp;"","ID not found"))</f>
        <v/>
      </c>
      <c r="G1696" s="16"/>
      <c r="H1696" s="16"/>
      <c r="I1696" s="16"/>
      <c r="J1696" s="16"/>
      <c r="K1696" s="16"/>
      <c r="L1696" s="18"/>
    </row>
    <row r="1697" customFormat="false" ht="15" hidden="false" customHeight="false" outlineLevel="0" collapsed="false">
      <c r="A1697" s="18"/>
      <c r="B1697" s="16"/>
      <c r="C1697" s="16"/>
      <c r="D1697" s="51" t="str">
        <f aca="false">IF(C1697="","",IFERROR(IF(LEFT(C1697,1)="L",INDEX('Leads Pipeline'!$F$5:$F$1004,MATCH(C1697,'Leads Pipeline'!$A$5:$A$1004,0)),INDEX('Active Clients'!$D$5:$D$504,MATCH(C1697,'Active Clients'!$A$5:$A$504,0)))&amp;"","ID not found"))</f>
        <v/>
      </c>
      <c r="E1697" s="51" t="str">
        <f aca="false">IF(C1697="","",IFERROR(IF(LEFT(C1697,1)="L",INDEX('Leads Pipeline'!$D$5:$D$1004,MATCH(C1697,'Leads Pipeline'!$A$5:$A$1004,0)),INDEX('Active Clients'!$B$5:$B$504,MATCH(C1697,'Active Clients'!$A$5:$A$504,0)))&amp;"","ID not found"))</f>
        <v/>
      </c>
      <c r="F1697" s="51" t="str">
        <f aca="false">IF(C1697="","",IFERROR(IF(LEFT(C1697,1)="L",INDEX('Leads Pipeline'!$E$5:$E$1004,MATCH(C1697,'Leads Pipeline'!$A$5:$A$1004,0)),INDEX('Active Clients'!$C$5:$C$504,MATCH(C1697,'Active Clients'!$A$5:$A$504,0)))&amp;"","ID not found"))</f>
        <v/>
      </c>
      <c r="G1697" s="16"/>
      <c r="H1697" s="16"/>
      <c r="I1697" s="16"/>
      <c r="J1697" s="16"/>
      <c r="K1697" s="16"/>
      <c r="L1697" s="18"/>
    </row>
    <row r="1698" customFormat="false" ht="15" hidden="false" customHeight="false" outlineLevel="0" collapsed="false">
      <c r="A1698" s="18"/>
      <c r="B1698" s="16"/>
      <c r="C1698" s="16"/>
      <c r="D1698" s="51" t="str">
        <f aca="false">IF(C1698="","",IFERROR(IF(LEFT(C1698,1)="L",INDEX('Leads Pipeline'!$F$5:$F$1004,MATCH(C1698,'Leads Pipeline'!$A$5:$A$1004,0)),INDEX('Active Clients'!$D$5:$D$504,MATCH(C1698,'Active Clients'!$A$5:$A$504,0)))&amp;"","ID not found"))</f>
        <v/>
      </c>
      <c r="E1698" s="51" t="str">
        <f aca="false">IF(C1698="","",IFERROR(IF(LEFT(C1698,1)="L",INDEX('Leads Pipeline'!$D$5:$D$1004,MATCH(C1698,'Leads Pipeline'!$A$5:$A$1004,0)),INDEX('Active Clients'!$B$5:$B$504,MATCH(C1698,'Active Clients'!$A$5:$A$504,0)))&amp;"","ID not found"))</f>
        <v/>
      </c>
      <c r="F1698" s="51" t="str">
        <f aca="false">IF(C1698="","",IFERROR(IF(LEFT(C1698,1)="L",INDEX('Leads Pipeline'!$E$5:$E$1004,MATCH(C1698,'Leads Pipeline'!$A$5:$A$1004,0)),INDEX('Active Clients'!$C$5:$C$504,MATCH(C1698,'Active Clients'!$A$5:$A$504,0)))&amp;"","ID not found"))</f>
        <v/>
      </c>
      <c r="G1698" s="16"/>
      <c r="H1698" s="16"/>
      <c r="I1698" s="16"/>
      <c r="J1698" s="16"/>
      <c r="K1698" s="16"/>
      <c r="L1698" s="18"/>
    </row>
    <row r="1699" customFormat="false" ht="15" hidden="false" customHeight="false" outlineLevel="0" collapsed="false">
      <c r="A1699" s="18"/>
      <c r="B1699" s="16"/>
      <c r="C1699" s="16"/>
      <c r="D1699" s="51" t="str">
        <f aca="false">IF(C1699="","",IFERROR(IF(LEFT(C1699,1)="L",INDEX('Leads Pipeline'!$F$5:$F$1004,MATCH(C1699,'Leads Pipeline'!$A$5:$A$1004,0)),INDEX('Active Clients'!$D$5:$D$504,MATCH(C1699,'Active Clients'!$A$5:$A$504,0)))&amp;"","ID not found"))</f>
        <v/>
      </c>
      <c r="E1699" s="51" t="str">
        <f aca="false">IF(C1699="","",IFERROR(IF(LEFT(C1699,1)="L",INDEX('Leads Pipeline'!$D$5:$D$1004,MATCH(C1699,'Leads Pipeline'!$A$5:$A$1004,0)),INDEX('Active Clients'!$B$5:$B$504,MATCH(C1699,'Active Clients'!$A$5:$A$504,0)))&amp;"","ID not found"))</f>
        <v/>
      </c>
      <c r="F1699" s="51" t="str">
        <f aca="false">IF(C1699="","",IFERROR(IF(LEFT(C1699,1)="L",INDEX('Leads Pipeline'!$E$5:$E$1004,MATCH(C1699,'Leads Pipeline'!$A$5:$A$1004,0)),INDEX('Active Clients'!$C$5:$C$504,MATCH(C1699,'Active Clients'!$A$5:$A$504,0)))&amp;"","ID not found"))</f>
        <v/>
      </c>
      <c r="G1699" s="16"/>
      <c r="H1699" s="16"/>
      <c r="I1699" s="16"/>
      <c r="J1699" s="16"/>
      <c r="K1699" s="16"/>
      <c r="L1699" s="18"/>
    </row>
    <row r="1700" customFormat="false" ht="15" hidden="false" customHeight="false" outlineLevel="0" collapsed="false">
      <c r="A1700" s="18"/>
      <c r="B1700" s="16"/>
      <c r="C1700" s="16"/>
      <c r="D1700" s="51" t="str">
        <f aca="false">IF(C1700="","",IFERROR(IF(LEFT(C1700,1)="L",INDEX('Leads Pipeline'!$F$5:$F$1004,MATCH(C1700,'Leads Pipeline'!$A$5:$A$1004,0)),INDEX('Active Clients'!$D$5:$D$504,MATCH(C1700,'Active Clients'!$A$5:$A$504,0)))&amp;"","ID not found"))</f>
        <v/>
      </c>
      <c r="E1700" s="51" t="str">
        <f aca="false">IF(C1700="","",IFERROR(IF(LEFT(C1700,1)="L",INDEX('Leads Pipeline'!$D$5:$D$1004,MATCH(C1700,'Leads Pipeline'!$A$5:$A$1004,0)),INDEX('Active Clients'!$B$5:$B$504,MATCH(C1700,'Active Clients'!$A$5:$A$504,0)))&amp;"","ID not found"))</f>
        <v/>
      </c>
      <c r="F1700" s="51" t="str">
        <f aca="false">IF(C1700="","",IFERROR(IF(LEFT(C1700,1)="L",INDEX('Leads Pipeline'!$E$5:$E$1004,MATCH(C1700,'Leads Pipeline'!$A$5:$A$1004,0)),INDEX('Active Clients'!$C$5:$C$504,MATCH(C1700,'Active Clients'!$A$5:$A$504,0)))&amp;"","ID not found"))</f>
        <v/>
      </c>
      <c r="G1700" s="16"/>
      <c r="H1700" s="16"/>
      <c r="I1700" s="16"/>
      <c r="J1700" s="16"/>
      <c r="K1700" s="16"/>
      <c r="L1700" s="18"/>
    </row>
    <row r="1701" customFormat="false" ht="15" hidden="false" customHeight="false" outlineLevel="0" collapsed="false">
      <c r="A1701" s="18"/>
      <c r="B1701" s="16"/>
      <c r="C1701" s="16"/>
      <c r="D1701" s="51" t="str">
        <f aca="false">IF(C1701="","",IFERROR(IF(LEFT(C1701,1)="L",INDEX('Leads Pipeline'!$F$5:$F$1004,MATCH(C1701,'Leads Pipeline'!$A$5:$A$1004,0)),INDEX('Active Clients'!$D$5:$D$504,MATCH(C1701,'Active Clients'!$A$5:$A$504,0)))&amp;"","ID not found"))</f>
        <v/>
      </c>
      <c r="E1701" s="51" t="str">
        <f aca="false">IF(C1701="","",IFERROR(IF(LEFT(C1701,1)="L",INDEX('Leads Pipeline'!$D$5:$D$1004,MATCH(C1701,'Leads Pipeline'!$A$5:$A$1004,0)),INDEX('Active Clients'!$B$5:$B$504,MATCH(C1701,'Active Clients'!$A$5:$A$504,0)))&amp;"","ID not found"))</f>
        <v/>
      </c>
      <c r="F1701" s="51" t="str">
        <f aca="false">IF(C1701="","",IFERROR(IF(LEFT(C1701,1)="L",INDEX('Leads Pipeline'!$E$5:$E$1004,MATCH(C1701,'Leads Pipeline'!$A$5:$A$1004,0)),INDEX('Active Clients'!$C$5:$C$504,MATCH(C1701,'Active Clients'!$A$5:$A$504,0)))&amp;"","ID not found"))</f>
        <v/>
      </c>
      <c r="G1701" s="16"/>
      <c r="H1701" s="16"/>
      <c r="I1701" s="16"/>
      <c r="J1701" s="16"/>
      <c r="K1701" s="16"/>
      <c r="L1701" s="18"/>
    </row>
    <row r="1702" customFormat="false" ht="15" hidden="false" customHeight="false" outlineLevel="0" collapsed="false">
      <c r="A1702" s="18"/>
      <c r="B1702" s="16"/>
      <c r="C1702" s="16"/>
      <c r="D1702" s="51" t="str">
        <f aca="false">IF(C1702="","",IFERROR(IF(LEFT(C1702,1)="L",INDEX('Leads Pipeline'!$F$5:$F$1004,MATCH(C1702,'Leads Pipeline'!$A$5:$A$1004,0)),INDEX('Active Clients'!$D$5:$D$504,MATCH(C1702,'Active Clients'!$A$5:$A$504,0)))&amp;"","ID not found"))</f>
        <v/>
      </c>
      <c r="E1702" s="51" t="str">
        <f aca="false">IF(C1702="","",IFERROR(IF(LEFT(C1702,1)="L",INDEX('Leads Pipeline'!$D$5:$D$1004,MATCH(C1702,'Leads Pipeline'!$A$5:$A$1004,0)),INDEX('Active Clients'!$B$5:$B$504,MATCH(C1702,'Active Clients'!$A$5:$A$504,0)))&amp;"","ID not found"))</f>
        <v/>
      </c>
      <c r="F1702" s="51" t="str">
        <f aca="false">IF(C1702="","",IFERROR(IF(LEFT(C1702,1)="L",INDEX('Leads Pipeline'!$E$5:$E$1004,MATCH(C1702,'Leads Pipeline'!$A$5:$A$1004,0)),INDEX('Active Clients'!$C$5:$C$504,MATCH(C1702,'Active Clients'!$A$5:$A$504,0)))&amp;"","ID not found"))</f>
        <v/>
      </c>
      <c r="G1702" s="16"/>
      <c r="H1702" s="16"/>
      <c r="I1702" s="16"/>
      <c r="J1702" s="16"/>
      <c r="K1702" s="16"/>
      <c r="L1702" s="18"/>
    </row>
    <row r="1703" customFormat="false" ht="15" hidden="false" customHeight="false" outlineLevel="0" collapsed="false">
      <c r="A1703" s="18"/>
      <c r="B1703" s="16"/>
      <c r="C1703" s="16"/>
      <c r="D1703" s="51" t="str">
        <f aca="false">IF(C1703="","",IFERROR(IF(LEFT(C1703,1)="L",INDEX('Leads Pipeline'!$F$5:$F$1004,MATCH(C1703,'Leads Pipeline'!$A$5:$A$1004,0)),INDEX('Active Clients'!$D$5:$D$504,MATCH(C1703,'Active Clients'!$A$5:$A$504,0)))&amp;"","ID not found"))</f>
        <v/>
      </c>
      <c r="E1703" s="51" t="str">
        <f aca="false">IF(C1703="","",IFERROR(IF(LEFT(C1703,1)="L",INDEX('Leads Pipeline'!$D$5:$D$1004,MATCH(C1703,'Leads Pipeline'!$A$5:$A$1004,0)),INDEX('Active Clients'!$B$5:$B$504,MATCH(C1703,'Active Clients'!$A$5:$A$504,0)))&amp;"","ID not found"))</f>
        <v/>
      </c>
      <c r="F1703" s="51" t="str">
        <f aca="false">IF(C1703="","",IFERROR(IF(LEFT(C1703,1)="L",INDEX('Leads Pipeline'!$E$5:$E$1004,MATCH(C1703,'Leads Pipeline'!$A$5:$A$1004,0)),INDEX('Active Clients'!$C$5:$C$504,MATCH(C1703,'Active Clients'!$A$5:$A$504,0)))&amp;"","ID not found"))</f>
        <v/>
      </c>
      <c r="G1703" s="16"/>
      <c r="H1703" s="16"/>
      <c r="I1703" s="16"/>
      <c r="J1703" s="16"/>
      <c r="K1703" s="16"/>
      <c r="L1703" s="18"/>
    </row>
    <row r="1704" customFormat="false" ht="15" hidden="false" customHeight="false" outlineLevel="0" collapsed="false">
      <c r="A1704" s="18"/>
      <c r="B1704" s="16"/>
      <c r="C1704" s="16"/>
      <c r="D1704" s="51" t="str">
        <f aca="false">IF(C1704="","",IFERROR(IF(LEFT(C1704,1)="L",INDEX('Leads Pipeline'!$F$5:$F$1004,MATCH(C1704,'Leads Pipeline'!$A$5:$A$1004,0)),INDEX('Active Clients'!$D$5:$D$504,MATCH(C1704,'Active Clients'!$A$5:$A$504,0)))&amp;"","ID not found"))</f>
        <v/>
      </c>
      <c r="E1704" s="51" t="str">
        <f aca="false">IF(C1704="","",IFERROR(IF(LEFT(C1704,1)="L",INDEX('Leads Pipeline'!$D$5:$D$1004,MATCH(C1704,'Leads Pipeline'!$A$5:$A$1004,0)),INDEX('Active Clients'!$B$5:$B$504,MATCH(C1704,'Active Clients'!$A$5:$A$504,0)))&amp;"","ID not found"))</f>
        <v/>
      </c>
      <c r="F1704" s="51" t="str">
        <f aca="false">IF(C1704="","",IFERROR(IF(LEFT(C1704,1)="L",INDEX('Leads Pipeline'!$E$5:$E$1004,MATCH(C1704,'Leads Pipeline'!$A$5:$A$1004,0)),INDEX('Active Clients'!$C$5:$C$504,MATCH(C1704,'Active Clients'!$A$5:$A$504,0)))&amp;"","ID not found"))</f>
        <v/>
      </c>
      <c r="G1704" s="16"/>
      <c r="H1704" s="16"/>
      <c r="I1704" s="16"/>
      <c r="J1704" s="16"/>
      <c r="K1704" s="16"/>
      <c r="L1704" s="18"/>
    </row>
    <row r="1705" customFormat="false" ht="15" hidden="false" customHeight="false" outlineLevel="0" collapsed="false">
      <c r="A1705" s="18"/>
      <c r="B1705" s="16"/>
      <c r="C1705" s="16"/>
      <c r="D1705" s="51" t="str">
        <f aca="false">IF(C1705="","",IFERROR(IF(LEFT(C1705,1)="L",INDEX('Leads Pipeline'!$F$5:$F$1004,MATCH(C1705,'Leads Pipeline'!$A$5:$A$1004,0)),INDEX('Active Clients'!$D$5:$D$504,MATCH(C1705,'Active Clients'!$A$5:$A$504,0)))&amp;"","ID not found"))</f>
        <v/>
      </c>
      <c r="E1705" s="51" t="str">
        <f aca="false">IF(C1705="","",IFERROR(IF(LEFT(C1705,1)="L",INDEX('Leads Pipeline'!$D$5:$D$1004,MATCH(C1705,'Leads Pipeline'!$A$5:$A$1004,0)),INDEX('Active Clients'!$B$5:$B$504,MATCH(C1705,'Active Clients'!$A$5:$A$504,0)))&amp;"","ID not found"))</f>
        <v/>
      </c>
      <c r="F1705" s="51" t="str">
        <f aca="false">IF(C1705="","",IFERROR(IF(LEFT(C1705,1)="L",INDEX('Leads Pipeline'!$E$5:$E$1004,MATCH(C1705,'Leads Pipeline'!$A$5:$A$1004,0)),INDEX('Active Clients'!$C$5:$C$504,MATCH(C1705,'Active Clients'!$A$5:$A$504,0)))&amp;"","ID not found"))</f>
        <v/>
      </c>
      <c r="G1705" s="16"/>
      <c r="H1705" s="16"/>
      <c r="I1705" s="16"/>
      <c r="J1705" s="16"/>
      <c r="K1705" s="16"/>
      <c r="L1705" s="18"/>
    </row>
    <row r="1706" customFormat="false" ht="15" hidden="false" customHeight="false" outlineLevel="0" collapsed="false">
      <c r="A1706" s="18"/>
      <c r="B1706" s="16"/>
      <c r="C1706" s="16"/>
      <c r="D1706" s="51" t="str">
        <f aca="false">IF(C1706="","",IFERROR(IF(LEFT(C1706,1)="L",INDEX('Leads Pipeline'!$F$5:$F$1004,MATCH(C1706,'Leads Pipeline'!$A$5:$A$1004,0)),INDEX('Active Clients'!$D$5:$D$504,MATCH(C1706,'Active Clients'!$A$5:$A$504,0)))&amp;"","ID not found"))</f>
        <v/>
      </c>
      <c r="E1706" s="51" t="str">
        <f aca="false">IF(C1706="","",IFERROR(IF(LEFT(C1706,1)="L",INDEX('Leads Pipeline'!$D$5:$D$1004,MATCH(C1706,'Leads Pipeline'!$A$5:$A$1004,0)),INDEX('Active Clients'!$B$5:$B$504,MATCH(C1706,'Active Clients'!$A$5:$A$504,0)))&amp;"","ID not found"))</f>
        <v/>
      </c>
      <c r="F1706" s="51" t="str">
        <f aca="false">IF(C1706="","",IFERROR(IF(LEFT(C1706,1)="L",INDEX('Leads Pipeline'!$E$5:$E$1004,MATCH(C1706,'Leads Pipeline'!$A$5:$A$1004,0)),INDEX('Active Clients'!$C$5:$C$504,MATCH(C1706,'Active Clients'!$A$5:$A$504,0)))&amp;"","ID not found"))</f>
        <v/>
      </c>
      <c r="G1706" s="16"/>
      <c r="H1706" s="16"/>
      <c r="I1706" s="16"/>
      <c r="J1706" s="16"/>
      <c r="K1706" s="16"/>
      <c r="L1706" s="18"/>
    </row>
    <row r="1707" customFormat="false" ht="15" hidden="false" customHeight="false" outlineLevel="0" collapsed="false">
      <c r="A1707" s="18"/>
      <c r="B1707" s="16"/>
      <c r="C1707" s="16"/>
      <c r="D1707" s="51" t="str">
        <f aca="false">IF(C1707="","",IFERROR(IF(LEFT(C1707,1)="L",INDEX('Leads Pipeline'!$F$5:$F$1004,MATCH(C1707,'Leads Pipeline'!$A$5:$A$1004,0)),INDEX('Active Clients'!$D$5:$D$504,MATCH(C1707,'Active Clients'!$A$5:$A$504,0)))&amp;"","ID not found"))</f>
        <v/>
      </c>
      <c r="E1707" s="51" t="str">
        <f aca="false">IF(C1707="","",IFERROR(IF(LEFT(C1707,1)="L",INDEX('Leads Pipeline'!$D$5:$D$1004,MATCH(C1707,'Leads Pipeline'!$A$5:$A$1004,0)),INDEX('Active Clients'!$B$5:$B$504,MATCH(C1707,'Active Clients'!$A$5:$A$504,0)))&amp;"","ID not found"))</f>
        <v/>
      </c>
      <c r="F1707" s="51" t="str">
        <f aca="false">IF(C1707="","",IFERROR(IF(LEFT(C1707,1)="L",INDEX('Leads Pipeline'!$E$5:$E$1004,MATCH(C1707,'Leads Pipeline'!$A$5:$A$1004,0)),INDEX('Active Clients'!$C$5:$C$504,MATCH(C1707,'Active Clients'!$A$5:$A$504,0)))&amp;"","ID not found"))</f>
        <v/>
      </c>
      <c r="G1707" s="16"/>
      <c r="H1707" s="16"/>
      <c r="I1707" s="16"/>
      <c r="J1707" s="16"/>
      <c r="K1707" s="16"/>
      <c r="L1707" s="18"/>
    </row>
    <row r="1708" customFormat="false" ht="15" hidden="false" customHeight="false" outlineLevel="0" collapsed="false">
      <c r="A1708" s="18"/>
      <c r="B1708" s="16"/>
      <c r="C1708" s="16"/>
      <c r="D1708" s="51" t="str">
        <f aca="false">IF(C1708="","",IFERROR(IF(LEFT(C1708,1)="L",INDEX('Leads Pipeline'!$F$5:$F$1004,MATCH(C1708,'Leads Pipeline'!$A$5:$A$1004,0)),INDEX('Active Clients'!$D$5:$D$504,MATCH(C1708,'Active Clients'!$A$5:$A$504,0)))&amp;"","ID not found"))</f>
        <v/>
      </c>
      <c r="E1708" s="51" t="str">
        <f aca="false">IF(C1708="","",IFERROR(IF(LEFT(C1708,1)="L",INDEX('Leads Pipeline'!$D$5:$D$1004,MATCH(C1708,'Leads Pipeline'!$A$5:$A$1004,0)),INDEX('Active Clients'!$B$5:$B$504,MATCH(C1708,'Active Clients'!$A$5:$A$504,0)))&amp;"","ID not found"))</f>
        <v/>
      </c>
      <c r="F1708" s="51" t="str">
        <f aca="false">IF(C1708="","",IFERROR(IF(LEFT(C1708,1)="L",INDEX('Leads Pipeline'!$E$5:$E$1004,MATCH(C1708,'Leads Pipeline'!$A$5:$A$1004,0)),INDEX('Active Clients'!$C$5:$C$504,MATCH(C1708,'Active Clients'!$A$5:$A$504,0)))&amp;"","ID not found"))</f>
        <v/>
      </c>
      <c r="G1708" s="16"/>
      <c r="H1708" s="16"/>
      <c r="I1708" s="16"/>
      <c r="J1708" s="16"/>
      <c r="K1708" s="16"/>
      <c r="L1708" s="18"/>
    </row>
    <row r="1709" customFormat="false" ht="15" hidden="false" customHeight="false" outlineLevel="0" collapsed="false">
      <c r="A1709" s="18"/>
      <c r="B1709" s="16"/>
      <c r="C1709" s="16"/>
      <c r="D1709" s="51" t="str">
        <f aca="false">IF(C1709="","",IFERROR(IF(LEFT(C1709,1)="L",INDEX('Leads Pipeline'!$F$5:$F$1004,MATCH(C1709,'Leads Pipeline'!$A$5:$A$1004,0)),INDEX('Active Clients'!$D$5:$D$504,MATCH(C1709,'Active Clients'!$A$5:$A$504,0)))&amp;"","ID not found"))</f>
        <v/>
      </c>
      <c r="E1709" s="51" t="str">
        <f aca="false">IF(C1709="","",IFERROR(IF(LEFT(C1709,1)="L",INDEX('Leads Pipeline'!$D$5:$D$1004,MATCH(C1709,'Leads Pipeline'!$A$5:$A$1004,0)),INDEX('Active Clients'!$B$5:$B$504,MATCH(C1709,'Active Clients'!$A$5:$A$504,0)))&amp;"","ID not found"))</f>
        <v/>
      </c>
      <c r="F1709" s="51" t="str">
        <f aca="false">IF(C1709="","",IFERROR(IF(LEFT(C1709,1)="L",INDEX('Leads Pipeline'!$E$5:$E$1004,MATCH(C1709,'Leads Pipeline'!$A$5:$A$1004,0)),INDEX('Active Clients'!$C$5:$C$504,MATCH(C1709,'Active Clients'!$A$5:$A$504,0)))&amp;"","ID not found"))</f>
        <v/>
      </c>
      <c r="G1709" s="16"/>
      <c r="H1709" s="16"/>
      <c r="I1709" s="16"/>
      <c r="J1709" s="16"/>
      <c r="K1709" s="16"/>
      <c r="L1709" s="18"/>
    </row>
    <row r="1710" customFormat="false" ht="15" hidden="false" customHeight="false" outlineLevel="0" collapsed="false">
      <c r="A1710" s="18"/>
      <c r="B1710" s="16"/>
      <c r="C1710" s="16"/>
      <c r="D1710" s="51" t="str">
        <f aca="false">IF(C1710="","",IFERROR(IF(LEFT(C1710,1)="L",INDEX('Leads Pipeline'!$F$5:$F$1004,MATCH(C1710,'Leads Pipeline'!$A$5:$A$1004,0)),INDEX('Active Clients'!$D$5:$D$504,MATCH(C1710,'Active Clients'!$A$5:$A$504,0)))&amp;"","ID not found"))</f>
        <v/>
      </c>
      <c r="E1710" s="51" t="str">
        <f aca="false">IF(C1710="","",IFERROR(IF(LEFT(C1710,1)="L",INDEX('Leads Pipeline'!$D$5:$D$1004,MATCH(C1710,'Leads Pipeline'!$A$5:$A$1004,0)),INDEX('Active Clients'!$B$5:$B$504,MATCH(C1710,'Active Clients'!$A$5:$A$504,0)))&amp;"","ID not found"))</f>
        <v/>
      </c>
      <c r="F1710" s="51" t="str">
        <f aca="false">IF(C1710="","",IFERROR(IF(LEFT(C1710,1)="L",INDEX('Leads Pipeline'!$E$5:$E$1004,MATCH(C1710,'Leads Pipeline'!$A$5:$A$1004,0)),INDEX('Active Clients'!$C$5:$C$504,MATCH(C1710,'Active Clients'!$A$5:$A$504,0)))&amp;"","ID not found"))</f>
        <v/>
      </c>
      <c r="G1710" s="16"/>
      <c r="H1710" s="16"/>
      <c r="I1710" s="16"/>
      <c r="J1710" s="16"/>
      <c r="K1710" s="16"/>
      <c r="L1710" s="18"/>
    </row>
    <row r="1711" customFormat="false" ht="15" hidden="false" customHeight="false" outlineLevel="0" collapsed="false">
      <c r="A1711" s="18"/>
      <c r="B1711" s="16"/>
      <c r="C1711" s="16"/>
      <c r="D1711" s="51" t="str">
        <f aca="false">IF(C1711="","",IFERROR(IF(LEFT(C1711,1)="L",INDEX('Leads Pipeline'!$F$5:$F$1004,MATCH(C1711,'Leads Pipeline'!$A$5:$A$1004,0)),INDEX('Active Clients'!$D$5:$D$504,MATCH(C1711,'Active Clients'!$A$5:$A$504,0)))&amp;"","ID not found"))</f>
        <v/>
      </c>
      <c r="E1711" s="51" t="str">
        <f aca="false">IF(C1711="","",IFERROR(IF(LEFT(C1711,1)="L",INDEX('Leads Pipeline'!$D$5:$D$1004,MATCH(C1711,'Leads Pipeline'!$A$5:$A$1004,0)),INDEX('Active Clients'!$B$5:$B$504,MATCH(C1711,'Active Clients'!$A$5:$A$504,0)))&amp;"","ID not found"))</f>
        <v/>
      </c>
      <c r="F1711" s="51" t="str">
        <f aca="false">IF(C1711="","",IFERROR(IF(LEFT(C1711,1)="L",INDEX('Leads Pipeline'!$E$5:$E$1004,MATCH(C1711,'Leads Pipeline'!$A$5:$A$1004,0)),INDEX('Active Clients'!$C$5:$C$504,MATCH(C1711,'Active Clients'!$A$5:$A$504,0)))&amp;"","ID not found"))</f>
        <v/>
      </c>
      <c r="G1711" s="16"/>
      <c r="H1711" s="16"/>
      <c r="I1711" s="16"/>
      <c r="J1711" s="16"/>
      <c r="K1711" s="16"/>
      <c r="L1711" s="18"/>
    </row>
    <row r="1712" customFormat="false" ht="15" hidden="false" customHeight="false" outlineLevel="0" collapsed="false">
      <c r="A1712" s="18"/>
      <c r="B1712" s="16"/>
      <c r="C1712" s="16"/>
      <c r="D1712" s="51" t="str">
        <f aca="false">IF(C1712="","",IFERROR(IF(LEFT(C1712,1)="L",INDEX('Leads Pipeline'!$F$5:$F$1004,MATCH(C1712,'Leads Pipeline'!$A$5:$A$1004,0)),INDEX('Active Clients'!$D$5:$D$504,MATCH(C1712,'Active Clients'!$A$5:$A$504,0)))&amp;"","ID not found"))</f>
        <v/>
      </c>
      <c r="E1712" s="51" t="str">
        <f aca="false">IF(C1712="","",IFERROR(IF(LEFT(C1712,1)="L",INDEX('Leads Pipeline'!$D$5:$D$1004,MATCH(C1712,'Leads Pipeline'!$A$5:$A$1004,0)),INDEX('Active Clients'!$B$5:$B$504,MATCH(C1712,'Active Clients'!$A$5:$A$504,0)))&amp;"","ID not found"))</f>
        <v/>
      </c>
      <c r="F1712" s="51" t="str">
        <f aca="false">IF(C1712="","",IFERROR(IF(LEFT(C1712,1)="L",INDEX('Leads Pipeline'!$E$5:$E$1004,MATCH(C1712,'Leads Pipeline'!$A$5:$A$1004,0)),INDEX('Active Clients'!$C$5:$C$504,MATCH(C1712,'Active Clients'!$A$5:$A$504,0)))&amp;"","ID not found"))</f>
        <v/>
      </c>
      <c r="G1712" s="16"/>
      <c r="H1712" s="16"/>
      <c r="I1712" s="16"/>
      <c r="J1712" s="16"/>
      <c r="K1712" s="16"/>
      <c r="L1712" s="18"/>
    </row>
    <row r="1713" customFormat="false" ht="15" hidden="false" customHeight="false" outlineLevel="0" collapsed="false">
      <c r="A1713" s="18"/>
      <c r="B1713" s="16"/>
      <c r="C1713" s="16"/>
      <c r="D1713" s="51" t="str">
        <f aca="false">IF(C1713="","",IFERROR(IF(LEFT(C1713,1)="L",INDEX('Leads Pipeline'!$F$5:$F$1004,MATCH(C1713,'Leads Pipeline'!$A$5:$A$1004,0)),INDEX('Active Clients'!$D$5:$D$504,MATCH(C1713,'Active Clients'!$A$5:$A$504,0)))&amp;"","ID not found"))</f>
        <v/>
      </c>
      <c r="E1713" s="51" t="str">
        <f aca="false">IF(C1713="","",IFERROR(IF(LEFT(C1713,1)="L",INDEX('Leads Pipeline'!$D$5:$D$1004,MATCH(C1713,'Leads Pipeline'!$A$5:$A$1004,0)),INDEX('Active Clients'!$B$5:$B$504,MATCH(C1713,'Active Clients'!$A$5:$A$504,0)))&amp;"","ID not found"))</f>
        <v/>
      </c>
      <c r="F1713" s="51" t="str">
        <f aca="false">IF(C1713="","",IFERROR(IF(LEFT(C1713,1)="L",INDEX('Leads Pipeline'!$E$5:$E$1004,MATCH(C1713,'Leads Pipeline'!$A$5:$A$1004,0)),INDEX('Active Clients'!$C$5:$C$504,MATCH(C1713,'Active Clients'!$A$5:$A$504,0)))&amp;"","ID not found"))</f>
        <v/>
      </c>
      <c r="G1713" s="16"/>
      <c r="H1713" s="16"/>
      <c r="I1713" s="16"/>
      <c r="J1713" s="16"/>
      <c r="K1713" s="16"/>
      <c r="L1713" s="18"/>
    </row>
    <row r="1714" customFormat="false" ht="15" hidden="false" customHeight="false" outlineLevel="0" collapsed="false">
      <c r="A1714" s="18"/>
      <c r="B1714" s="16"/>
      <c r="C1714" s="16"/>
      <c r="D1714" s="51" t="str">
        <f aca="false">IF(C1714="","",IFERROR(IF(LEFT(C1714,1)="L",INDEX('Leads Pipeline'!$F$5:$F$1004,MATCH(C1714,'Leads Pipeline'!$A$5:$A$1004,0)),INDEX('Active Clients'!$D$5:$D$504,MATCH(C1714,'Active Clients'!$A$5:$A$504,0)))&amp;"","ID not found"))</f>
        <v/>
      </c>
      <c r="E1714" s="51" t="str">
        <f aca="false">IF(C1714="","",IFERROR(IF(LEFT(C1714,1)="L",INDEX('Leads Pipeline'!$D$5:$D$1004,MATCH(C1714,'Leads Pipeline'!$A$5:$A$1004,0)),INDEX('Active Clients'!$B$5:$B$504,MATCH(C1714,'Active Clients'!$A$5:$A$504,0)))&amp;"","ID not found"))</f>
        <v/>
      </c>
      <c r="F1714" s="51" t="str">
        <f aca="false">IF(C1714="","",IFERROR(IF(LEFT(C1714,1)="L",INDEX('Leads Pipeline'!$E$5:$E$1004,MATCH(C1714,'Leads Pipeline'!$A$5:$A$1004,0)),INDEX('Active Clients'!$C$5:$C$504,MATCH(C1714,'Active Clients'!$A$5:$A$504,0)))&amp;"","ID not found"))</f>
        <v/>
      </c>
      <c r="G1714" s="16"/>
      <c r="H1714" s="16"/>
      <c r="I1714" s="16"/>
      <c r="J1714" s="16"/>
      <c r="K1714" s="16"/>
      <c r="L1714" s="18"/>
    </row>
    <row r="1715" customFormat="false" ht="15" hidden="false" customHeight="false" outlineLevel="0" collapsed="false">
      <c r="A1715" s="18"/>
      <c r="B1715" s="16"/>
      <c r="C1715" s="16"/>
      <c r="D1715" s="51" t="str">
        <f aca="false">IF(C1715="","",IFERROR(IF(LEFT(C1715,1)="L",INDEX('Leads Pipeline'!$F$5:$F$1004,MATCH(C1715,'Leads Pipeline'!$A$5:$A$1004,0)),INDEX('Active Clients'!$D$5:$D$504,MATCH(C1715,'Active Clients'!$A$5:$A$504,0)))&amp;"","ID not found"))</f>
        <v/>
      </c>
      <c r="E1715" s="51" t="str">
        <f aca="false">IF(C1715="","",IFERROR(IF(LEFT(C1715,1)="L",INDEX('Leads Pipeline'!$D$5:$D$1004,MATCH(C1715,'Leads Pipeline'!$A$5:$A$1004,0)),INDEX('Active Clients'!$B$5:$B$504,MATCH(C1715,'Active Clients'!$A$5:$A$504,0)))&amp;"","ID not found"))</f>
        <v/>
      </c>
      <c r="F1715" s="51" t="str">
        <f aca="false">IF(C1715="","",IFERROR(IF(LEFT(C1715,1)="L",INDEX('Leads Pipeline'!$E$5:$E$1004,MATCH(C1715,'Leads Pipeline'!$A$5:$A$1004,0)),INDEX('Active Clients'!$C$5:$C$504,MATCH(C1715,'Active Clients'!$A$5:$A$504,0)))&amp;"","ID not found"))</f>
        <v/>
      </c>
      <c r="G1715" s="16"/>
      <c r="H1715" s="16"/>
      <c r="I1715" s="16"/>
      <c r="J1715" s="16"/>
      <c r="K1715" s="16"/>
      <c r="L1715" s="18"/>
    </row>
    <row r="1716" customFormat="false" ht="15" hidden="false" customHeight="false" outlineLevel="0" collapsed="false">
      <c r="A1716" s="18"/>
      <c r="B1716" s="16"/>
      <c r="C1716" s="16"/>
      <c r="D1716" s="51" t="str">
        <f aca="false">IF(C1716="","",IFERROR(IF(LEFT(C1716,1)="L",INDEX('Leads Pipeline'!$F$5:$F$1004,MATCH(C1716,'Leads Pipeline'!$A$5:$A$1004,0)),INDEX('Active Clients'!$D$5:$D$504,MATCH(C1716,'Active Clients'!$A$5:$A$504,0)))&amp;"","ID not found"))</f>
        <v/>
      </c>
      <c r="E1716" s="51" t="str">
        <f aca="false">IF(C1716="","",IFERROR(IF(LEFT(C1716,1)="L",INDEX('Leads Pipeline'!$D$5:$D$1004,MATCH(C1716,'Leads Pipeline'!$A$5:$A$1004,0)),INDEX('Active Clients'!$B$5:$B$504,MATCH(C1716,'Active Clients'!$A$5:$A$504,0)))&amp;"","ID not found"))</f>
        <v/>
      </c>
      <c r="F1716" s="51" t="str">
        <f aca="false">IF(C1716="","",IFERROR(IF(LEFT(C1716,1)="L",INDEX('Leads Pipeline'!$E$5:$E$1004,MATCH(C1716,'Leads Pipeline'!$A$5:$A$1004,0)),INDEX('Active Clients'!$C$5:$C$504,MATCH(C1716,'Active Clients'!$A$5:$A$504,0)))&amp;"","ID not found"))</f>
        <v/>
      </c>
      <c r="G1716" s="16"/>
      <c r="H1716" s="16"/>
      <c r="I1716" s="16"/>
      <c r="J1716" s="16"/>
      <c r="K1716" s="16"/>
      <c r="L1716" s="18"/>
    </row>
    <row r="1717" customFormat="false" ht="15" hidden="false" customHeight="false" outlineLevel="0" collapsed="false">
      <c r="A1717" s="18"/>
      <c r="B1717" s="16"/>
      <c r="C1717" s="16"/>
      <c r="D1717" s="51" t="str">
        <f aca="false">IF(C1717="","",IFERROR(IF(LEFT(C1717,1)="L",INDEX('Leads Pipeline'!$F$5:$F$1004,MATCH(C1717,'Leads Pipeline'!$A$5:$A$1004,0)),INDEX('Active Clients'!$D$5:$D$504,MATCH(C1717,'Active Clients'!$A$5:$A$504,0)))&amp;"","ID not found"))</f>
        <v/>
      </c>
      <c r="E1717" s="51" t="str">
        <f aca="false">IF(C1717="","",IFERROR(IF(LEFT(C1717,1)="L",INDEX('Leads Pipeline'!$D$5:$D$1004,MATCH(C1717,'Leads Pipeline'!$A$5:$A$1004,0)),INDEX('Active Clients'!$B$5:$B$504,MATCH(C1717,'Active Clients'!$A$5:$A$504,0)))&amp;"","ID not found"))</f>
        <v/>
      </c>
      <c r="F1717" s="51" t="str">
        <f aca="false">IF(C1717="","",IFERROR(IF(LEFT(C1717,1)="L",INDEX('Leads Pipeline'!$E$5:$E$1004,MATCH(C1717,'Leads Pipeline'!$A$5:$A$1004,0)),INDEX('Active Clients'!$C$5:$C$504,MATCH(C1717,'Active Clients'!$A$5:$A$504,0)))&amp;"","ID not found"))</f>
        <v/>
      </c>
      <c r="G1717" s="16"/>
      <c r="H1717" s="16"/>
      <c r="I1717" s="16"/>
      <c r="J1717" s="16"/>
      <c r="K1717" s="16"/>
      <c r="L1717" s="18"/>
    </row>
    <row r="1718" customFormat="false" ht="15" hidden="false" customHeight="false" outlineLevel="0" collapsed="false">
      <c r="A1718" s="18"/>
      <c r="B1718" s="16"/>
      <c r="C1718" s="16"/>
      <c r="D1718" s="51" t="str">
        <f aca="false">IF(C1718="","",IFERROR(IF(LEFT(C1718,1)="L",INDEX('Leads Pipeline'!$F$5:$F$1004,MATCH(C1718,'Leads Pipeline'!$A$5:$A$1004,0)),INDEX('Active Clients'!$D$5:$D$504,MATCH(C1718,'Active Clients'!$A$5:$A$504,0)))&amp;"","ID not found"))</f>
        <v/>
      </c>
      <c r="E1718" s="51" t="str">
        <f aca="false">IF(C1718="","",IFERROR(IF(LEFT(C1718,1)="L",INDEX('Leads Pipeline'!$D$5:$D$1004,MATCH(C1718,'Leads Pipeline'!$A$5:$A$1004,0)),INDEX('Active Clients'!$B$5:$B$504,MATCH(C1718,'Active Clients'!$A$5:$A$504,0)))&amp;"","ID not found"))</f>
        <v/>
      </c>
      <c r="F1718" s="51" t="str">
        <f aca="false">IF(C1718="","",IFERROR(IF(LEFT(C1718,1)="L",INDEX('Leads Pipeline'!$E$5:$E$1004,MATCH(C1718,'Leads Pipeline'!$A$5:$A$1004,0)),INDEX('Active Clients'!$C$5:$C$504,MATCH(C1718,'Active Clients'!$A$5:$A$504,0)))&amp;"","ID not found"))</f>
        <v/>
      </c>
      <c r="G1718" s="16"/>
      <c r="H1718" s="16"/>
      <c r="I1718" s="16"/>
      <c r="J1718" s="16"/>
      <c r="K1718" s="16"/>
      <c r="L1718" s="18"/>
    </row>
    <row r="1719" customFormat="false" ht="15" hidden="false" customHeight="false" outlineLevel="0" collapsed="false">
      <c r="A1719" s="18"/>
      <c r="B1719" s="16"/>
      <c r="C1719" s="16"/>
      <c r="D1719" s="51" t="str">
        <f aca="false">IF(C1719="","",IFERROR(IF(LEFT(C1719,1)="L",INDEX('Leads Pipeline'!$F$5:$F$1004,MATCH(C1719,'Leads Pipeline'!$A$5:$A$1004,0)),INDEX('Active Clients'!$D$5:$D$504,MATCH(C1719,'Active Clients'!$A$5:$A$504,0)))&amp;"","ID not found"))</f>
        <v/>
      </c>
      <c r="E1719" s="51" t="str">
        <f aca="false">IF(C1719="","",IFERROR(IF(LEFT(C1719,1)="L",INDEX('Leads Pipeline'!$D$5:$D$1004,MATCH(C1719,'Leads Pipeline'!$A$5:$A$1004,0)),INDEX('Active Clients'!$B$5:$B$504,MATCH(C1719,'Active Clients'!$A$5:$A$504,0)))&amp;"","ID not found"))</f>
        <v/>
      </c>
      <c r="F1719" s="51" t="str">
        <f aca="false">IF(C1719="","",IFERROR(IF(LEFT(C1719,1)="L",INDEX('Leads Pipeline'!$E$5:$E$1004,MATCH(C1719,'Leads Pipeline'!$A$5:$A$1004,0)),INDEX('Active Clients'!$C$5:$C$504,MATCH(C1719,'Active Clients'!$A$5:$A$504,0)))&amp;"","ID not found"))</f>
        <v/>
      </c>
      <c r="G1719" s="16"/>
      <c r="H1719" s="16"/>
      <c r="I1719" s="16"/>
      <c r="J1719" s="16"/>
      <c r="K1719" s="16"/>
      <c r="L1719" s="18"/>
    </row>
    <row r="1720" customFormat="false" ht="15" hidden="false" customHeight="false" outlineLevel="0" collapsed="false">
      <c r="A1720" s="18"/>
      <c r="B1720" s="16"/>
      <c r="C1720" s="16"/>
      <c r="D1720" s="51" t="str">
        <f aca="false">IF(C1720="","",IFERROR(IF(LEFT(C1720,1)="L",INDEX('Leads Pipeline'!$F$5:$F$1004,MATCH(C1720,'Leads Pipeline'!$A$5:$A$1004,0)),INDEX('Active Clients'!$D$5:$D$504,MATCH(C1720,'Active Clients'!$A$5:$A$504,0)))&amp;"","ID not found"))</f>
        <v/>
      </c>
      <c r="E1720" s="51" t="str">
        <f aca="false">IF(C1720="","",IFERROR(IF(LEFT(C1720,1)="L",INDEX('Leads Pipeline'!$D$5:$D$1004,MATCH(C1720,'Leads Pipeline'!$A$5:$A$1004,0)),INDEX('Active Clients'!$B$5:$B$504,MATCH(C1720,'Active Clients'!$A$5:$A$504,0)))&amp;"","ID not found"))</f>
        <v/>
      </c>
      <c r="F1720" s="51" t="str">
        <f aca="false">IF(C1720="","",IFERROR(IF(LEFT(C1720,1)="L",INDEX('Leads Pipeline'!$E$5:$E$1004,MATCH(C1720,'Leads Pipeline'!$A$5:$A$1004,0)),INDEX('Active Clients'!$C$5:$C$504,MATCH(C1720,'Active Clients'!$A$5:$A$504,0)))&amp;"","ID not found"))</f>
        <v/>
      </c>
      <c r="G1720" s="16"/>
      <c r="H1720" s="16"/>
      <c r="I1720" s="16"/>
      <c r="J1720" s="16"/>
      <c r="K1720" s="16"/>
      <c r="L1720" s="18"/>
    </row>
    <row r="1721" customFormat="false" ht="15" hidden="false" customHeight="false" outlineLevel="0" collapsed="false">
      <c r="A1721" s="18"/>
      <c r="B1721" s="16"/>
      <c r="C1721" s="16"/>
      <c r="D1721" s="51" t="str">
        <f aca="false">IF(C1721="","",IFERROR(IF(LEFT(C1721,1)="L",INDEX('Leads Pipeline'!$F$5:$F$1004,MATCH(C1721,'Leads Pipeline'!$A$5:$A$1004,0)),INDEX('Active Clients'!$D$5:$D$504,MATCH(C1721,'Active Clients'!$A$5:$A$504,0)))&amp;"","ID not found"))</f>
        <v/>
      </c>
      <c r="E1721" s="51" t="str">
        <f aca="false">IF(C1721="","",IFERROR(IF(LEFT(C1721,1)="L",INDEX('Leads Pipeline'!$D$5:$D$1004,MATCH(C1721,'Leads Pipeline'!$A$5:$A$1004,0)),INDEX('Active Clients'!$B$5:$B$504,MATCH(C1721,'Active Clients'!$A$5:$A$504,0)))&amp;"","ID not found"))</f>
        <v/>
      </c>
      <c r="F1721" s="51" t="str">
        <f aca="false">IF(C1721="","",IFERROR(IF(LEFT(C1721,1)="L",INDEX('Leads Pipeline'!$E$5:$E$1004,MATCH(C1721,'Leads Pipeline'!$A$5:$A$1004,0)),INDEX('Active Clients'!$C$5:$C$504,MATCH(C1721,'Active Clients'!$A$5:$A$504,0)))&amp;"","ID not found"))</f>
        <v/>
      </c>
      <c r="G1721" s="16"/>
      <c r="H1721" s="16"/>
      <c r="I1721" s="16"/>
      <c r="J1721" s="16"/>
      <c r="K1721" s="16"/>
      <c r="L1721" s="18"/>
    </row>
    <row r="1722" customFormat="false" ht="15" hidden="false" customHeight="false" outlineLevel="0" collapsed="false">
      <c r="A1722" s="18"/>
      <c r="B1722" s="16"/>
      <c r="C1722" s="16"/>
      <c r="D1722" s="51" t="str">
        <f aca="false">IF(C1722="","",IFERROR(IF(LEFT(C1722,1)="L",INDEX('Leads Pipeline'!$F$5:$F$1004,MATCH(C1722,'Leads Pipeline'!$A$5:$A$1004,0)),INDEX('Active Clients'!$D$5:$D$504,MATCH(C1722,'Active Clients'!$A$5:$A$504,0)))&amp;"","ID not found"))</f>
        <v/>
      </c>
      <c r="E1722" s="51" t="str">
        <f aca="false">IF(C1722="","",IFERROR(IF(LEFT(C1722,1)="L",INDEX('Leads Pipeline'!$D$5:$D$1004,MATCH(C1722,'Leads Pipeline'!$A$5:$A$1004,0)),INDEX('Active Clients'!$B$5:$B$504,MATCH(C1722,'Active Clients'!$A$5:$A$504,0)))&amp;"","ID not found"))</f>
        <v/>
      </c>
      <c r="F1722" s="51" t="str">
        <f aca="false">IF(C1722="","",IFERROR(IF(LEFT(C1722,1)="L",INDEX('Leads Pipeline'!$E$5:$E$1004,MATCH(C1722,'Leads Pipeline'!$A$5:$A$1004,0)),INDEX('Active Clients'!$C$5:$C$504,MATCH(C1722,'Active Clients'!$A$5:$A$504,0)))&amp;"","ID not found"))</f>
        <v/>
      </c>
      <c r="G1722" s="16"/>
      <c r="H1722" s="16"/>
      <c r="I1722" s="16"/>
      <c r="J1722" s="16"/>
      <c r="K1722" s="16"/>
      <c r="L1722" s="18"/>
    </row>
    <row r="1723" customFormat="false" ht="15" hidden="false" customHeight="false" outlineLevel="0" collapsed="false">
      <c r="A1723" s="18"/>
      <c r="B1723" s="16"/>
      <c r="C1723" s="16"/>
      <c r="D1723" s="51" t="str">
        <f aca="false">IF(C1723="","",IFERROR(IF(LEFT(C1723,1)="L",INDEX('Leads Pipeline'!$F$5:$F$1004,MATCH(C1723,'Leads Pipeline'!$A$5:$A$1004,0)),INDEX('Active Clients'!$D$5:$D$504,MATCH(C1723,'Active Clients'!$A$5:$A$504,0)))&amp;"","ID not found"))</f>
        <v/>
      </c>
      <c r="E1723" s="51" t="str">
        <f aca="false">IF(C1723="","",IFERROR(IF(LEFT(C1723,1)="L",INDEX('Leads Pipeline'!$D$5:$D$1004,MATCH(C1723,'Leads Pipeline'!$A$5:$A$1004,0)),INDEX('Active Clients'!$B$5:$B$504,MATCH(C1723,'Active Clients'!$A$5:$A$504,0)))&amp;"","ID not found"))</f>
        <v/>
      </c>
      <c r="F1723" s="51" t="str">
        <f aca="false">IF(C1723="","",IFERROR(IF(LEFT(C1723,1)="L",INDEX('Leads Pipeline'!$E$5:$E$1004,MATCH(C1723,'Leads Pipeline'!$A$5:$A$1004,0)),INDEX('Active Clients'!$C$5:$C$504,MATCH(C1723,'Active Clients'!$A$5:$A$504,0)))&amp;"","ID not found"))</f>
        <v/>
      </c>
      <c r="G1723" s="16"/>
      <c r="H1723" s="16"/>
      <c r="I1723" s="16"/>
      <c r="J1723" s="16"/>
      <c r="K1723" s="16"/>
      <c r="L1723" s="18"/>
    </row>
    <row r="1724" customFormat="false" ht="15" hidden="false" customHeight="false" outlineLevel="0" collapsed="false">
      <c r="A1724" s="18"/>
      <c r="B1724" s="16"/>
      <c r="C1724" s="16"/>
      <c r="D1724" s="51" t="str">
        <f aca="false">IF(C1724="","",IFERROR(IF(LEFT(C1724,1)="L",INDEX('Leads Pipeline'!$F$5:$F$1004,MATCH(C1724,'Leads Pipeline'!$A$5:$A$1004,0)),INDEX('Active Clients'!$D$5:$D$504,MATCH(C1724,'Active Clients'!$A$5:$A$504,0)))&amp;"","ID not found"))</f>
        <v/>
      </c>
      <c r="E1724" s="51" t="str">
        <f aca="false">IF(C1724="","",IFERROR(IF(LEFT(C1724,1)="L",INDEX('Leads Pipeline'!$D$5:$D$1004,MATCH(C1724,'Leads Pipeline'!$A$5:$A$1004,0)),INDEX('Active Clients'!$B$5:$B$504,MATCH(C1724,'Active Clients'!$A$5:$A$504,0)))&amp;"","ID not found"))</f>
        <v/>
      </c>
      <c r="F1724" s="51" t="str">
        <f aca="false">IF(C1724="","",IFERROR(IF(LEFT(C1724,1)="L",INDEX('Leads Pipeline'!$E$5:$E$1004,MATCH(C1724,'Leads Pipeline'!$A$5:$A$1004,0)),INDEX('Active Clients'!$C$5:$C$504,MATCH(C1724,'Active Clients'!$A$5:$A$504,0)))&amp;"","ID not found"))</f>
        <v/>
      </c>
      <c r="G1724" s="16"/>
      <c r="H1724" s="16"/>
      <c r="I1724" s="16"/>
      <c r="J1724" s="16"/>
      <c r="K1724" s="16"/>
      <c r="L1724" s="18"/>
    </row>
    <row r="1725" customFormat="false" ht="15" hidden="false" customHeight="false" outlineLevel="0" collapsed="false">
      <c r="A1725" s="18"/>
      <c r="B1725" s="16"/>
      <c r="C1725" s="16"/>
      <c r="D1725" s="51" t="str">
        <f aca="false">IF(C1725="","",IFERROR(IF(LEFT(C1725,1)="L",INDEX('Leads Pipeline'!$F$5:$F$1004,MATCH(C1725,'Leads Pipeline'!$A$5:$A$1004,0)),INDEX('Active Clients'!$D$5:$D$504,MATCH(C1725,'Active Clients'!$A$5:$A$504,0)))&amp;"","ID not found"))</f>
        <v/>
      </c>
      <c r="E1725" s="51" t="str">
        <f aca="false">IF(C1725="","",IFERROR(IF(LEFT(C1725,1)="L",INDEX('Leads Pipeline'!$D$5:$D$1004,MATCH(C1725,'Leads Pipeline'!$A$5:$A$1004,0)),INDEX('Active Clients'!$B$5:$B$504,MATCH(C1725,'Active Clients'!$A$5:$A$504,0)))&amp;"","ID not found"))</f>
        <v/>
      </c>
      <c r="F1725" s="51" t="str">
        <f aca="false">IF(C1725="","",IFERROR(IF(LEFT(C1725,1)="L",INDEX('Leads Pipeline'!$E$5:$E$1004,MATCH(C1725,'Leads Pipeline'!$A$5:$A$1004,0)),INDEX('Active Clients'!$C$5:$C$504,MATCH(C1725,'Active Clients'!$A$5:$A$504,0)))&amp;"","ID not found"))</f>
        <v/>
      </c>
      <c r="G1725" s="16"/>
      <c r="H1725" s="16"/>
      <c r="I1725" s="16"/>
      <c r="J1725" s="16"/>
      <c r="K1725" s="16"/>
      <c r="L1725" s="18"/>
    </row>
    <row r="1726" customFormat="false" ht="15" hidden="false" customHeight="false" outlineLevel="0" collapsed="false">
      <c r="A1726" s="18"/>
      <c r="B1726" s="16"/>
      <c r="C1726" s="16"/>
      <c r="D1726" s="51" t="str">
        <f aca="false">IF(C1726="","",IFERROR(IF(LEFT(C1726,1)="L",INDEX('Leads Pipeline'!$F$5:$F$1004,MATCH(C1726,'Leads Pipeline'!$A$5:$A$1004,0)),INDEX('Active Clients'!$D$5:$D$504,MATCH(C1726,'Active Clients'!$A$5:$A$504,0)))&amp;"","ID not found"))</f>
        <v/>
      </c>
      <c r="E1726" s="51" t="str">
        <f aca="false">IF(C1726="","",IFERROR(IF(LEFT(C1726,1)="L",INDEX('Leads Pipeline'!$D$5:$D$1004,MATCH(C1726,'Leads Pipeline'!$A$5:$A$1004,0)),INDEX('Active Clients'!$B$5:$B$504,MATCH(C1726,'Active Clients'!$A$5:$A$504,0)))&amp;"","ID not found"))</f>
        <v/>
      </c>
      <c r="F1726" s="51" t="str">
        <f aca="false">IF(C1726="","",IFERROR(IF(LEFT(C1726,1)="L",INDEX('Leads Pipeline'!$E$5:$E$1004,MATCH(C1726,'Leads Pipeline'!$A$5:$A$1004,0)),INDEX('Active Clients'!$C$5:$C$504,MATCH(C1726,'Active Clients'!$A$5:$A$504,0)))&amp;"","ID not found"))</f>
        <v/>
      </c>
      <c r="G1726" s="16"/>
      <c r="H1726" s="16"/>
      <c r="I1726" s="16"/>
      <c r="J1726" s="16"/>
      <c r="K1726" s="16"/>
      <c r="L1726" s="18"/>
    </row>
    <row r="1727" customFormat="false" ht="15" hidden="false" customHeight="false" outlineLevel="0" collapsed="false">
      <c r="A1727" s="18"/>
      <c r="B1727" s="16"/>
      <c r="C1727" s="16"/>
      <c r="D1727" s="51" t="str">
        <f aca="false">IF(C1727="","",IFERROR(IF(LEFT(C1727,1)="L",INDEX('Leads Pipeline'!$F$5:$F$1004,MATCH(C1727,'Leads Pipeline'!$A$5:$A$1004,0)),INDEX('Active Clients'!$D$5:$D$504,MATCH(C1727,'Active Clients'!$A$5:$A$504,0)))&amp;"","ID not found"))</f>
        <v/>
      </c>
      <c r="E1727" s="51" t="str">
        <f aca="false">IF(C1727="","",IFERROR(IF(LEFT(C1727,1)="L",INDEX('Leads Pipeline'!$D$5:$D$1004,MATCH(C1727,'Leads Pipeline'!$A$5:$A$1004,0)),INDEX('Active Clients'!$B$5:$B$504,MATCH(C1727,'Active Clients'!$A$5:$A$504,0)))&amp;"","ID not found"))</f>
        <v/>
      </c>
      <c r="F1727" s="51" t="str">
        <f aca="false">IF(C1727="","",IFERROR(IF(LEFT(C1727,1)="L",INDEX('Leads Pipeline'!$E$5:$E$1004,MATCH(C1727,'Leads Pipeline'!$A$5:$A$1004,0)),INDEX('Active Clients'!$C$5:$C$504,MATCH(C1727,'Active Clients'!$A$5:$A$504,0)))&amp;"","ID not found"))</f>
        <v/>
      </c>
      <c r="G1727" s="16"/>
      <c r="H1727" s="16"/>
      <c r="I1727" s="16"/>
      <c r="J1727" s="16"/>
      <c r="K1727" s="16"/>
      <c r="L1727" s="18"/>
    </row>
    <row r="1728" customFormat="false" ht="15" hidden="false" customHeight="false" outlineLevel="0" collapsed="false">
      <c r="A1728" s="18"/>
      <c r="B1728" s="16"/>
      <c r="C1728" s="16"/>
      <c r="D1728" s="51" t="str">
        <f aca="false">IF(C1728="","",IFERROR(IF(LEFT(C1728,1)="L",INDEX('Leads Pipeline'!$F$5:$F$1004,MATCH(C1728,'Leads Pipeline'!$A$5:$A$1004,0)),INDEX('Active Clients'!$D$5:$D$504,MATCH(C1728,'Active Clients'!$A$5:$A$504,0)))&amp;"","ID not found"))</f>
        <v/>
      </c>
      <c r="E1728" s="51" t="str">
        <f aca="false">IF(C1728="","",IFERROR(IF(LEFT(C1728,1)="L",INDEX('Leads Pipeline'!$D$5:$D$1004,MATCH(C1728,'Leads Pipeline'!$A$5:$A$1004,0)),INDEX('Active Clients'!$B$5:$B$504,MATCH(C1728,'Active Clients'!$A$5:$A$504,0)))&amp;"","ID not found"))</f>
        <v/>
      </c>
      <c r="F1728" s="51" t="str">
        <f aca="false">IF(C1728="","",IFERROR(IF(LEFT(C1728,1)="L",INDEX('Leads Pipeline'!$E$5:$E$1004,MATCH(C1728,'Leads Pipeline'!$A$5:$A$1004,0)),INDEX('Active Clients'!$C$5:$C$504,MATCH(C1728,'Active Clients'!$A$5:$A$504,0)))&amp;"","ID not found"))</f>
        <v/>
      </c>
      <c r="G1728" s="16"/>
      <c r="H1728" s="16"/>
      <c r="I1728" s="16"/>
      <c r="J1728" s="16"/>
      <c r="K1728" s="16"/>
      <c r="L1728" s="18"/>
    </row>
    <row r="1729" customFormat="false" ht="15" hidden="false" customHeight="false" outlineLevel="0" collapsed="false">
      <c r="A1729" s="18"/>
      <c r="B1729" s="16"/>
      <c r="C1729" s="16"/>
      <c r="D1729" s="51" t="str">
        <f aca="false">IF(C1729="","",IFERROR(IF(LEFT(C1729,1)="L",INDEX('Leads Pipeline'!$F$5:$F$1004,MATCH(C1729,'Leads Pipeline'!$A$5:$A$1004,0)),INDEX('Active Clients'!$D$5:$D$504,MATCH(C1729,'Active Clients'!$A$5:$A$504,0)))&amp;"","ID not found"))</f>
        <v/>
      </c>
      <c r="E1729" s="51" t="str">
        <f aca="false">IF(C1729="","",IFERROR(IF(LEFT(C1729,1)="L",INDEX('Leads Pipeline'!$D$5:$D$1004,MATCH(C1729,'Leads Pipeline'!$A$5:$A$1004,0)),INDEX('Active Clients'!$B$5:$B$504,MATCH(C1729,'Active Clients'!$A$5:$A$504,0)))&amp;"","ID not found"))</f>
        <v/>
      </c>
      <c r="F1729" s="51" t="str">
        <f aca="false">IF(C1729="","",IFERROR(IF(LEFT(C1729,1)="L",INDEX('Leads Pipeline'!$E$5:$E$1004,MATCH(C1729,'Leads Pipeline'!$A$5:$A$1004,0)),INDEX('Active Clients'!$C$5:$C$504,MATCH(C1729,'Active Clients'!$A$5:$A$504,0)))&amp;"","ID not found"))</f>
        <v/>
      </c>
      <c r="G1729" s="16"/>
      <c r="H1729" s="16"/>
      <c r="I1729" s="16"/>
      <c r="J1729" s="16"/>
      <c r="K1729" s="16"/>
      <c r="L1729" s="18"/>
    </row>
    <row r="1730" customFormat="false" ht="15" hidden="false" customHeight="false" outlineLevel="0" collapsed="false">
      <c r="A1730" s="18"/>
      <c r="B1730" s="16"/>
      <c r="C1730" s="16"/>
      <c r="D1730" s="51" t="str">
        <f aca="false">IF(C1730="","",IFERROR(IF(LEFT(C1730,1)="L",INDEX('Leads Pipeline'!$F$5:$F$1004,MATCH(C1730,'Leads Pipeline'!$A$5:$A$1004,0)),INDEX('Active Clients'!$D$5:$D$504,MATCH(C1730,'Active Clients'!$A$5:$A$504,0)))&amp;"","ID not found"))</f>
        <v/>
      </c>
      <c r="E1730" s="51" t="str">
        <f aca="false">IF(C1730="","",IFERROR(IF(LEFT(C1730,1)="L",INDEX('Leads Pipeline'!$D$5:$D$1004,MATCH(C1730,'Leads Pipeline'!$A$5:$A$1004,0)),INDEX('Active Clients'!$B$5:$B$504,MATCH(C1730,'Active Clients'!$A$5:$A$504,0)))&amp;"","ID not found"))</f>
        <v/>
      </c>
      <c r="F1730" s="51" t="str">
        <f aca="false">IF(C1730="","",IFERROR(IF(LEFT(C1730,1)="L",INDEX('Leads Pipeline'!$E$5:$E$1004,MATCH(C1730,'Leads Pipeline'!$A$5:$A$1004,0)),INDEX('Active Clients'!$C$5:$C$504,MATCH(C1730,'Active Clients'!$A$5:$A$504,0)))&amp;"","ID not found"))</f>
        <v/>
      </c>
      <c r="G1730" s="16"/>
      <c r="H1730" s="16"/>
      <c r="I1730" s="16"/>
      <c r="J1730" s="16"/>
      <c r="K1730" s="16"/>
      <c r="L1730" s="18"/>
    </row>
    <row r="1731" customFormat="false" ht="15" hidden="false" customHeight="false" outlineLevel="0" collapsed="false">
      <c r="A1731" s="18"/>
      <c r="B1731" s="16"/>
      <c r="C1731" s="16"/>
      <c r="D1731" s="51" t="str">
        <f aca="false">IF(C1731="","",IFERROR(IF(LEFT(C1731,1)="L",INDEX('Leads Pipeline'!$F$5:$F$1004,MATCH(C1731,'Leads Pipeline'!$A$5:$A$1004,0)),INDEX('Active Clients'!$D$5:$D$504,MATCH(C1731,'Active Clients'!$A$5:$A$504,0)))&amp;"","ID not found"))</f>
        <v/>
      </c>
      <c r="E1731" s="51" t="str">
        <f aca="false">IF(C1731="","",IFERROR(IF(LEFT(C1731,1)="L",INDEX('Leads Pipeline'!$D$5:$D$1004,MATCH(C1731,'Leads Pipeline'!$A$5:$A$1004,0)),INDEX('Active Clients'!$B$5:$B$504,MATCH(C1731,'Active Clients'!$A$5:$A$504,0)))&amp;"","ID not found"))</f>
        <v/>
      </c>
      <c r="F1731" s="51" t="str">
        <f aca="false">IF(C1731="","",IFERROR(IF(LEFT(C1731,1)="L",INDEX('Leads Pipeline'!$E$5:$E$1004,MATCH(C1731,'Leads Pipeline'!$A$5:$A$1004,0)),INDEX('Active Clients'!$C$5:$C$504,MATCH(C1731,'Active Clients'!$A$5:$A$504,0)))&amp;"","ID not found"))</f>
        <v/>
      </c>
      <c r="G1731" s="16"/>
      <c r="H1731" s="16"/>
      <c r="I1731" s="16"/>
      <c r="J1731" s="16"/>
      <c r="K1731" s="16"/>
      <c r="L1731" s="18"/>
    </row>
    <row r="1732" customFormat="false" ht="15" hidden="false" customHeight="false" outlineLevel="0" collapsed="false">
      <c r="A1732" s="18"/>
      <c r="B1732" s="16"/>
      <c r="C1732" s="16"/>
      <c r="D1732" s="51" t="str">
        <f aca="false">IF(C1732="","",IFERROR(IF(LEFT(C1732,1)="L",INDEX('Leads Pipeline'!$F$5:$F$1004,MATCH(C1732,'Leads Pipeline'!$A$5:$A$1004,0)),INDEX('Active Clients'!$D$5:$D$504,MATCH(C1732,'Active Clients'!$A$5:$A$504,0)))&amp;"","ID not found"))</f>
        <v/>
      </c>
      <c r="E1732" s="51" t="str">
        <f aca="false">IF(C1732="","",IFERROR(IF(LEFT(C1732,1)="L",INDEX('Leads Pipeline'!$D$5:$D$1004,MATCH(C1732,'Leads Pipeline'!$A$5:$A$1004,0)),INDEX('Active Clients'!$B$5:$B$504,MATCH(C1732,'Active Clients'!$A$5:$A$504,0)))&amp;"","ID not found"))</f>
        <v/>
      </c>
      <c r="F1732" s="51" t="str">
        <f aca="false">IF(C1732="","",IFERROR(IF(LEFT(C1732,1)="L",INDEX('Leads Pipeline'!$E$5:$E$1004,MATCH(C1732,'Leads Pipeline'!$A$5:$A$1004,0)),INDEX('Active Clients'!$C$5:$C$504,MATCH(C1732,'Active Clients'!$A$5:$A$504,0)))&amp;"","ID not found"))</f>
        <v/>
      </c>
      <c r="G1732" s="16"/>
      <c r="H1732" s="16"/>
      <c r="I1732" s="16"/>
      <c r="J1732" s="16"/>
      <c r="K1732" s="16"/>
      <c r="L1732" s="18"/>
    </row>
    <row r="1733" customFormat="false" ht="15" hidden="false" customHeight="false" outlineLevel="0" collapsed="false">
      <c r="A1733" s="18"/>
      <c r="B1733" s="16"/>
      <c r="C1733" s="16"/>
      <c r="D1733" s="51" t="str">
        <f aca="false">IF(C1733="","",IFERROR(IF(LEFT(C1733,1)="L",INDEX('Leads Pipeline'!$F$5:$F$1004,MATCH(C1733,'Leads Pipeline'!$A$5:$A$1004,0)),INDEX('Active Clients'!$D$5:$D$504,MATCH(C1733,'Active Clients'!$A$5:$A$504,0)))&amp;"","ID not found"))</f>
        <v/>
      </c>
      <c r="E1733" s="51" t="str">
        <f aca="false">IF(C1733="","",IFERROR(IF(LEFT(C1733,1)="L",INDEX('Leads Pipeline'!$D$5:$D$1004,MATCH(C1733,'Leads Pipeline'!$A$5:$A$1004,0)),INDEX('Active Clients'!$B$5:$B$504,MATCH(C1733,'Active Clients'!$A$5:$A$504,0)))&amp;"","ID not found"))</f>
        <v/>
      </c>
      <c r="F1733" s="51" t="str">
        <f aca="false">IF(C1733="","",IFERROR(IF(LEFT(C1733,1)="L",INDEX('Leads Pipeline'!$E$5:$E$1004,MATCH(C1733,'Leads Pipeline'!$A$5:$A$1004,0)),INDEX('Active Clients'!$C$5:$C$504,MATCH(C1733,'Active Clients'!$A$5:$A$504,0)))&amp;"","ID not found"))</f>
        <v/>
      </c>
      <c r="G1733" s="16"/>
      <c r="H1733" s="16"/>
      <c r="I1733" s="16"/>
      <c r="J1733" s="16"/>
      <c r="K1733" s="16"/>
      <c r="L1733" s="18"/>
    </row>
    <row r="1734" customFormat="false" ht="15" hidden="false" customHeight="false" outlineLevel="0" collapsed="false">
      <c r="A1734" s="18"/>
      <c r="B1734" s="16"/>
      <c r="C1734" s="16"/>
      <c r="D1734" s="51" t="str">
        <f aca="false">IF(C1734="","",IFERROR(IF(LEFT(C1734,1)="L",INDEX('Leads Pipeline'!$F$5:$F$1004,MATCH(C1734,'Leads Pipeline'!$A$5:$A$1004,0)),INDEX('Active Clients'!$D$5:$D$504,MATCH(C1734,'Active Clients'!$A$5:$A$504,0)))&amp;"","ID not found"))</f>
        <v/>
      </c>
      <c r="E1734" s="51" t="str">
        <f aca="false">IF(C1734="","",IFERROR(IF(LEFT(C1734,1)="L",INDEX('Leads Pipeline'!$D$5:$D$1004,MATCH(C1734,'Leads Pipeline'!$A$5:$A$1004,0)),INDEX('Active Clients'!$B$5:$B$504,MATCH(C1734,'Active Clients'!$A$5:$A$504,0)))&amp;"","ID not found"))</f>
        <v/>
      </c>
      <c r="F1734" s="51" t="str">
        <f aca="false">IF(C1734="","",IFERROR(IF(LEFT(C1734,1)="L",INDEX('Leads Pipeline'!$E$5:$E$1004,MATCH(C1734,'Leads Pipeline'!$A$5:$A$1004,0)),INDEX('Active Clients'!$C$5:$C$504,MATCH(C1734,'Active Clients'!$A$5:$A$504,0)))&amp;"","ID not found"))</f>
        <v/>
      </c>
      <c r="G1734" s="16"/>
      <c r="H1734" s="16"/>
      <c r="I1734" s="16"/>
      <c r="J1734" s="16"/>
      <c r="K1734" s="16"/>
      <c r="L1734" s="18"/>
    </row>
    <row r="1735" customFormat="false" ht="15" hidden="false" customHeight="false" outlineLevel="0" collapsed="false">
      <c r="A1735" s="18"/>
      <c r="B1735" s="16"/>
      <c r="C1735" s="16"/>
      <c r="D1735" s="51" t="str">
        <f aca="false">IF(C1735="","",IFERROR(IF(LEFT(C1735,1)="L",INDEX('Leads Pipeline'!$F$5:$F$1004,MATCH(C1735,'Leads Pipeline'!$A$5:$A$1004,0)),INDEX('Active Clients'!$D$5:$D$504,MATCH(C1735,'Active Clients'!$A$5:$A$504,0)))&amp;"","ID not found"))</f>
        <v/>
      </c>
      <c r="E1735" s="51" t="str">
        <f aca="false">IF(C1735="","",IFERROR(IF(LEFT(C1735,1)="L",INDEX('Leads Pipeline'!$D$5:$D$1004,MATCH(C1735,'Leads Pipeline'!$A$5:$A$1004,0)),INDEX('Active Clients'!$B$5:$B$504,MATCH(C1735,'Active Clients'!$A$5:$A$504,0)))&amp;"","ID not found"))</f>
        <v/>
      </c>
      <c r="F1735" s="51" t="str">
        <f aca="false">IF(C1735="","",IFERROR(IF(LEFT(C1735,1)="L",INDEX('Leads Pipeline'!$E$5:$E$1004,MATCH(C1735,'Leads Pipeline'!$A$5:$A$1004,0)),INDEX('Active Clients'!$C$5:$C$504,MATCH(C1735,'Active Clients'!$A$5:$A$504,0)))&amp;"","ID not found"))</f>
        <v/>
      </c>
      <c r="G1735" s="16"/>
      <c r="H1735" s="16"/>
      <c r="I1735" s="16"/>
      <c r="J1735" s="16"/>
      <c r="K1735" s="16"/>
      <c r="L1735" s="18"/>
    </row>
    <row r="1736" customFormat="false" ht="15" hidden="false" customHeight="false" outlineLevel="0" collapsed="false">
      <c r="A1736" s="18"/>
      <c r="B1736" s="16"/>
      <c r="C1736" s="16"/>
      <c r="D1736" s="51" t="str">
        <f aca="false">IF(C1736="","",IFERROR(IF(LEFT(C1736,1)="L",INDEX('Leads Pipeline'!$F$5:$F$1004,MATCH(C1736,'Leads Pipeline'!$A$5:$A$1004,0)),INDEX('Active Clients'!$D$5:$D$504,MATCH(C1736,'Active Clients'!$A$5:$A$504,0)))&amp;"","ID not found"))</f>
        <v/>
      </c>
      <c r="E1736" s="51" t="str">
        <f aca="false">IF(C1736="","",IFERROR(IF(LEFT(C1736,1)="L",INDEX('Leads Pipeline'!$D$5:$D$1004,MATCH(C1736,'Leads Pipeline'!$A$5:$A$1004,0)),INDEX('Active Clients'!$B$5:$B$504,MATCH(C1736,'Active Clients'!$A$5:$A$504,0)))&amp;"","ID not found"))</f>
        <v/>
      </c>
      <c r="F1736" s="51" t="str">
        <f aca="false">IF(C1736="","",IFERROR(IF(LEFT(C1736,1)="L",INDEX('Leads Pipeline'!$E$5:$E$1004,MATCH(C1736,'Leads Pipeline'!$A$5:$A$1004,0)),INDEX('Active Clients'!$C$5:$C$504,MATCH(C1736,'Active Clients'!$A$5:$A$504,0)))&amp;"","ID not found"))</f>
        <v/>
      </c>
      <c r="G1736" s="16"/>
      <c r="H1736" s="16"/>
      <c r="I1736" s="16"/>
      <c r="J1736" s="16"/>
      <c r="K1736" s="16"/>
      <c r="L1736" s="18"/>
    </row>
    <row r="1737" customFormat="false" ht="15" hidden="false" customHeight="false" outlineLevel="0" collapsed="false">
      <c r="A1737" s="18"/>
      <c r="B1737" s="16"/>
      <c r="C1737" s="16"/>
      <c r="D1737" s="51" t="str">
        <f aca="false">IF(C1737="","",IFERROR(IF(LEFT(C1737,1)="L",INDEX('Leads Pipeline'!$F$5:$F$1004,MATCH(C1737,'Leads Pipeline'!$A$5:$A$1004,0)),INDEX('Active Clients'!$D$5:$D$504,MATCH(C1737,'Active Clients'!$A$5:$A$504,0)))&amp;"","ID not found"))</f>
        <v/>
      </c>
      <c r="E1737" s="51" t="str">
        <f aca="false">IF(C1737="","",IFERROR(IF(LEFT(C1737,1)="L",INDEX('Leads Pipeline'!$D$5:$D$1004,MATCH(C1737,'Leads Pipeline'!$A$5:$A$1004,0)),INDEX('Active Clients'!$B$5:$B$504,MATCH(C1737,'Active Clients'!$A$5:$A$504,0)))&amp;"","ID not found"))</f>
        <v/>
      </c>
      <c r="F1737" s="51" t="str">
        <f aca="false">IF(C1737="","",IFERROR(IF(LEFT(C1737,1)="L",INDEX('Leads Pipeline'!$E$5:$E$1004,MATCH(C1737,'Leads Pipeline'!$A$5:$A$1004,0)),INDEX('Active Clients'!$C$5:$C$504,MATCH(C1737,'Active Clients'!$A$5:$A$504,0)))&amp;"","ID not found"))</f>
        <v/>
      </c>
      <c r="G1737" s="16"/>
      <c r="H1737" s="16"/>
      <c r="I1737" s="16"/>
      <c r="J1737" s="16"/>
      <c r="K1737" s="16"/>
      <c r="L1737" s="18"/>
    </row>
    <row r="1738" customFormat="false" ht="15" hidden="false" customHeight="false" outlineLevel="0" collapsed="false">
      <c r="A1738" s="18"/>
      <c r="B1738" s="16"/>
      <c r="C1738" s="16"/>
      <c r="D1738" s="51" t="str">
        <f aca="false">IF(C1738="","",IFERROR(IF(LEFT(C1738,1)="L",INDEX('Leads Pipeline'!$F$5:$F$1004,MATCH(C1738,'Leads Pipeline'!$A$5:$A$1004,0)),INDEX('Active Clients'!$D$5:$D$504,MATCH(C1738,'Active Clients'!$A$5:$A$504,0)))&amp;"","ID not found"))</f>
        <v/>
      </c>
      <c r="E1738" s="51" t="str">
        <f aca="false">IF(C1738="","",IFERROR(IF(LEFT(C1738,1)="L",INDEX('Leads Pipeline'!$D$5:$D$1004,MATCH(C1738,'Leads Pipeline'!$A$5:$A$1004,0)),INDEX('Active Clients'!$B$5:$B$504,MATCH(C1738,'Active Clients'!$A$5:$A$504,0)))&amp;"","ID not found"))</f>
        <v/>
      </c>
      <c r="F1738" s="51" t="str">
        <f aca="false">IF(C1738="","",IFERROR(IF(LEFT(C1738,1)="L",INDEX('Leads Pipeline'!$E$5:$E$1004,MATCH(C1738,'Leads Pipeline'!$A$5:$A$1004,0)),INDEX('Active Clients'!$C$5:$C$504,MATCH(C1738,'Active Clients'!$A$5:$A$504,0)))&amp;"","ID not found"))</f>
        <v/>
      </c>
      <c r="G1738" s="16"/>
      <c r="H1738" s="16"/>
      <c r="I1738" s="16"/>
      <c r="J1738" s="16"/>
      <c r="K1738" s="16"/>
      <c r="L1738" s="18"/>
    </row>
    <row r="1739" customFormat="false" ht="15" hidden="false" customHeight="false" outlineLevel="0" collapsed="false">
      <c r="A1739" s="18"/>
      <c r="B1739" s="16"/>
      <c r="C1739" s="16"/>
      <c r="D1739" s="51" t="str">
        <f aca="false">IF(C1739="","",IFERROR(IF(LEFT(C1739,1)="L",INDEX('Leads Pipeline'!$F$5:$F$1004,MATCH(C1739,'Leads Pipeline'!$A$5:$A$1004,0)),INDEX('Active Clients'!$D$5:$D$504,MATCH(C1739,'Active Clients'!$A$5:$A$504,0)))&amp;"","ID not found"))</f>
        <v/>
      </c>
      <c r="E1739" s="51" t="str">
        <f aca="false">IF(C1739="","",IFERROR(IF(LEFT(C1739,1)="L",INDEX('Leads Pipeline'!$D$5:$D$1004,MATCH(C1739,'Leads Pipeline'!$A$5:$A$1004,0)),INDEX('Active Clients'!$B$5:$B$504,MATCH(C1739,'Active Clients'!$A$5:$A$504,0)))&amp;"","ID not found"))</f>
        <v/>
      </c>
      <c r="F1739" s="51" t="str">
        <f aca="false">IF(C1739="","",IFERROR(IF(LEFT(C1739,1)="L",INDEX('Leads Pipeline'!$E$5:$E$1004,MATCH(C1739,'Leads Pipeline'!$A$5:$A$1004,0)),INDEX('Active Clients'!$C$5:$C$504,MATCH(C1739,'Active Clients'!$A$5:$A$504,0)))&amp;"","ID not found"))</f>
        <v/>
      </c>
      <c r="G1739" s="16"/>
      <c r="H1739" s="16"/>
      <c r="I1739" s="16"/>
      <c r="J1739" s="16"/>
      <c r="K1739" s="16"/>
      <c r="L1739" s="18"/>
    </row>
    <row r="1740" customFormat="false" ht="15" hidden="false" customHeight="false" outlineLevel="0" collapsed="false">
      <c r="A1740" s="18"/>
      <c r="B1740" s="16"/>
      <c r="C1740" s="16"/>
      <c r="D1740" s="51" t="str">
        <f aca="false">IF(C1740="","",IFERROR(IF(LEFT(C1740,1)="L",INDEX('Leads Pipeline'!$F$5:$F$1004,MATCH(C1740,'Leads Pipeline'!$A$5:$A$1004,0)),INDEX('Active Clients'!$D$5:$D$504,MATCH(C1740,'Active Clients'!$A$5:$A$504,0)))&amp;"","ID not found"))</f>
        <v/>
      </c>
      <c r="E1740" s="51" t="str">
        <f aca="false">IF(C1740="","",IFERROR(IF(LEFT(C1740,1)="L",INDEX('Leads Pipeline'!$D$5:$D$1004,MATCH(C1740,'Leads Pipeline'!$A$5:$A$1004,0)),INDEX('Active Clients'!$B$5:$B$504,MATCH(C1740,'Active Clients'!$A$5:$A$504,0)))&amp;"","ID not found"))</f>
        <v/>
      </c>
      <c r="F1740" s="51" t="str">
        <f aca="false">IF(C1740="","",IFERROR(IF(LEFT(C1740,1)="L",INDEX('Leads Pipeline'!$E$5:$E$1004,MATCH(C1740,'Leads Pipeline'!$A$5:$A$1004,0)),INDEX('Active Clients'!$C$5:$C$504,MATCH(C1740,'Active Clients'!$A$5:$A$504,0)))&amp;"","ID not found"))</f>
        <v/>
      </c>
      <c r="G1740" s="16"/>
      <c r="H1740" s="16"/>
      <c r="I1740" s="16"/>
      <c r="J1740" s="16"/>
      <c r="K1740" s="16"/>
      <c r="L1740" s="18"/>
    </row>
    <row r="1741" customFormat="false" ht="15" hidden="false" customHeight="false" outlineLevel="0" collapsed="false">
      <c r="A1741" s="18"/>
      <c r="B1741" s="16"/>
      <c r="C1741" s="16"/>
      <c r="D1741" s="51" t="str">
        <f aca="false">IF(C1741="","",IFERROR(IF(LEFT(C1741,1)="L",INDEX('Leads Pipeline'!$F$5:$F$1004,MATCH(C1741,'Leads Pipeline'!$A$5:$A$1004,0)),INDEX('Active Clients'!$D$5:$D$504,MATCH(C1741,'Active Clients'!$A$5:$A$504,0)))&amp;"","ID not found"))</f>
        <v/>
      </c>
      <c r="E1741" s="51" t="str">
        <f aca="false">IF(C1741="","",IFERROR(IF(LEFT(C1741,1)="L",INDEX('Leads Pipeline'!$D$5:$D$1004,MATCH(C1741,'Leads Pipeline'!$A$5:$A$1004,0)),INDEX('Active Clients'!$B$5:$B$504,MATCH(C1741,'Active Clients'!$A$5:$A$504,0)))&amp;"","ID not found"))</f>
        <v/>
      </c>
      <c r="F1741" s="51" t="str">
        <f aca="false">IF(C1741="","",IFERROR(IF(LEFT(C1741,1)="L",INDEX('Leads Pipeline'!$E$5:$E$1004,MATCH(C1741,'Leads Pipeline'!$A$5:$A$1004,0)),INDEX('Active Clients'!$C$5:$C$504,MATCH(C1741,'Active Clients'!$A$5:$A$504,0)))&amp;"","ID not found"))</f>
        <v/>
      </c>
      <c r="G1741" s="16"/>
      <c r="H1741" s="16"/>
      <c r="I1741" s="16"/>
      <c r="J1741" s="16"/>
      <c r="K1741" s="16"/>
      <c r="L1741" s="18"/>
    </row>
    <row r="1742" customFormat="false" ht="15" hidden="false" customHeight="false" outlineLevel="0" collapsed="false">
      <c r="A1742" s="18"/>
      <c r="B1742" s="16"/>
      <c r="C1742" s="16"/>
      <c r="D1742" s="51" t="str">
        <f aca="false">IF(C1742="","",IFERROR(IF(LEFT(C1742,1)="L",INDEX('Leads Pipeline'!$F$5:$F$1004,MATCH(C1742,'Leads Pipeline'!$A$5:$A$1004,0)),INDEX('Active Clients'!$D$5:$D$504,MATCH(C1742,'Active Clients'!$A$5:$A$504,0)))&amp;"","ID not found"))</f>
        <v/>
      </c>
      <c r="E1742" s="51" t="str">
        <f aca="false">IF(C1742="","",IFERROR(IF(LEFT(C1742,1)="L",INDEX('Leads Pipeline'!$D$5:$D$1004,MATCH(C1742,'Leads Pipeline'!$A$5:$A$1004,0)),INDEX('Active Clients'!$B$5:$B$504,MATCH(C1742,'Active Clients'!$A$5:$A$504,0)))&amp;"","ID not found"))</f>
        <v/>
      </c>
      <c r="F1742" s="51" t="str">
        <f aca="false">IF(C1742="","",IFERROR(IF(LEFT(C1742,1)="L",INDEX('Leads Pipeline'!$E$5:$E$1004,MATCH(C1742,'Leads Pipeline'!$A$5:$A$1004,0)),INDEX('Active Clients'!$C$5:$C$504,MATCH(C1742,'Active Clients'!$A$5:$A$504,0)))&amp;"","ID not found"))</f>
        <v/>
      </c>
      <c r="G1742" s="16"/>
      <c r="H1742" s="16"/>
      <c r="I1742" s="16"/>
      <c r="J1742" s="16"/>
      <c r="K1742" s="16"/>
      <c r="L1742" s="18"/>
    </row>
    <row r="1743" customFormat="false" ht="15" hidden="false" customHeight="false" outlineLevel="0" collapsed="false">
      <c r="A1743" s="18"/>
      <c r="B1743" s="16"/>
      <c r="C1743" s="16"/>
      <c r="D1743" s="51" t="str">
        <f aca="false">IF(C1743="","",IFERROR(IF(LEFT(C1743,1)="L",INDEX('Leads Pipeline'!$F$5:$F$1004,MATCH(C1743,'Leads Pipeline'!$A$5:$A$1004,0)),INDEX('Active Clients'!$D$5:$D$504,MATCH(C1743,'Active Clients'!$A$5:$A$504,0)))&amp;"","ID not found"))</f>
        <v/>
      </c>
      <c r="E1743" s="51" t="str">
        <f aca="false">IF(C1743="","",IFERROR(IF(LEFT(C1743,1)="L",INDEX('Leads Pipeline'!$D$5:$D$1004,MATCH(C1743,'Leads Pipeline'!$A$5:$A$1004,0)),INDEX('Active Clients'!$B$5:$B$504,MATCH(C1743,'Active Clients'!$A$5:$A$504,0)))&amp;"","ID not found"))</f>
        <v/>
      </c>
      <c r="F1743" s="51" t="str">
        <f aca="false">IF(C1743="","",IFERROR(IF(LEFT(C1743,1)="L",INDEX('Leads Pipeline'!$E$5:$E$1004,MATCH(C1743,'Leads Pipeline'!$A$5:$A$1004,0)),INDEX('Active Clients'!$C$5:$C$504,MATCH(C1743,'Active Clients'!$A$5:$A$504,0)))&amp;"","ID not found"))</f>
        <v/>
      </c>
      <c r="G1743" s="16"/>
      <c r="H1743" s="16"/>
      <c r="I1743" s="16"/>
      <c r="J1743" s="16"/>
      <c r="K1743" s="16"/>
      <c r="L1743" s="18"/>
    </row>
    <row r="1744" customFormat="false" ht="15" hidden="false" customHeight="false" outlineLevel="0" collapsed="false">
      <c r="A1744" s="18"/>
      <c r="B1744" s="16"/>
      <c r="C1744" s="16"/>
      <c r="D1744" s="51" t="str">
        <f aca="false">IF(C1744="","",IFERROR(IF(LEFT(C1744,1)="L",INDEX('Leads Pipeline'!$F$5:$F$1004,MATCH(C1744,'Leads Pipeline'!$A$5:$A$1004,0)),INDEX('Active Clients'!$D$5:$D$504,MATCH(C1744,'Active Clients'!$A$5:$A$504,0)))&amp;"","ID not found"))</f>
        <v/>
      </c>
      <c r="E1744" s="51" t="str">
        <f aca="false">IF(C1744="","",IFERROR(IF(LEFT(C1744,1)="L",INDEX('Leads Pipeline'!$D$5:$D$1004,MATCH(C1744,'Leads Pipeline'!$A$5:$A$1004,0)),INDEX('Active Clients'!$B$5:$B$504,MATCH(C1744,'Active Clients'!$A$5:$A$504,0)))&amp;"","ID not found"))</f>
        <v/>
      </c>
      <c r="F1744" s="51" t="str">
        <f aca="false">IF(C1744="","",IFERROR(IF(LEFT(C1744,1)="L",INDEX('Leads Pipeline'!$E$5:$E$1004,MATCH(C1744,'Leads Pipeline'!$A$5:$A$1004,0)),INDEX('Active Clients'!$C$5:$C$504,MATCH(C1744,'Active Clients'!$A$5:$A$504,0)))&amp;"","ID not found"))</f>
        <v/>
      </c>
      <c r="G1744" s="16"/>
      <c r="H1744" s="16"/>
      <c r="I1744" s="16"/>
      <c r="J1744" s="16"/>
      <c r="K1744" s="16"/>
      <c r="L1744" s="18"/>
    </row>
    <row r="1745" customFormat="false" ht="15" hidden="false" customHeight="false" outlineLevel="0" collapsed="false">
      <c r="A1745" s="18"/>
      <c r="B1745" s="16"/>
      <c r="C1745" s="16"/>
      <c r="D1745" s="51" t="str">
        <f aca="false">IF(C1745="","",IFERROR(IF(LEFT(C1745,1)="L",INDEX('Leads Pipeline'!$F$5:$F$1004,MATCH(C1745,'Leads Pipeline'!$A$5:$A$1004,0)),INDEX('Active Clients'!$D$5:$D$504,MATCH(C1745,'Active Clients'!$A$5:$A$504,0)))&amp;"","ID not found"))</f>
        <v/>
      </c>
      <c r="E1745" s="51" t="str">
        <f aca="false">IF(C1745="","",IFERROR(IF(LEFT(C1745,1)="L",INDEX('Leads Pipeline'!$D$5:$D$1004,MATCH(C1745,'Leads Pipeline'!$A$5:$A$1004,0)),INDEX('Active Clients'!$B$5:$B$504,MATCH(C1745,'Active Clients'!$A$5:$A$504,0)))&amp;"","ID not found"))</f>
        <v/>
      </c>
      <c r="F1745" s="51" t="str">
        <f aca="false">IF(C1745="","",IFERROR(IF(LEFT(C1745,1)="L",INDEX('Leads Pipeline'!$E$5:$E$1004,MATCH(C1745,'Leads Pipeline'!$A$5:$A$1004,0)),INDEX('Active Clients'!$C$5:$C$504,MATCH(C1745,'Active Clients'!$A$5:$A$504,0)))&amp;"","ID not found"))</f>
        <v/>
      </c>
      <c r="G1745" s="16"/>
      <c r="H1745" s="16"/>
      <c r="I1745" s="16"/>
      <c r="J1745" s="16"/>
      <c r="K1745" s="16"/>
      <c r="L1745" s="18"/>
    </row>
    <row r="1746" customFormat="false" ht="15" hidden="false" customHeight="false" outlineLevel="0" collapsed="false">
      <c r="A1746" s="18"/>
      <c r="B1746" s="16"/>
      <c r="C1746" s="16"/>
      <c r="D1746" s="51" t="str">
        <f aca="false">IF(C1746="","",IFERROR(IF(LEFT(C1746,1)="L",INDEX('Leads Pipeline'!$F$5:$F$1004,MATCH(C1746,'Leads Pipeline'!$A$5:$A$1004,0)),INDEX('Active Clients'!$D$5:$D$504,MATCH(C1746,'Active Clients'!$A$5:$A$504,0)))&amp;"","ID not found"))</f>
        <v/>
      </c>
      <c r="E1746" s="51" t="str">
        <f aca="false">IF(C1746="","",IFERROR(IF(LEFT(C1746,1)="L",INDEX('Leads Pipeline'!$D$5:$D$1004,MATCH(C1746,'Leads Pipeline'!$A$5:$A$1004,0)),INDEX('Active Clients'!$B$5:$B$504,MATCH(C1746,'Active Clients'!$A$5:$A$504,0)))&amp;"","ID not found"))</f>
        <v/>
      </c>
      <c r="F1746" s="51" t="str">
        <f aca="false">IF(C1746="","",IFERROR(IF(LEFT(C1746,1)="L",INDEX('Leads Pipeline'!$E$5:$E$1004,MATCH(C1746,'Leads Pipeline'!$A$5:$A$1004,0)),INDEX('Active Clients'!$C$5:$C$504,MATCH(C1746,'Active Clients'!$A$5:$A$504,0)))&amp;"","ID not found"))</f>
        <v/>
      </c>
      <c r="G1746" s="16"/>
      <c r="H1746" s="16"/>
      <c r="I1746" s="16"/>
      <c r="J1746" s="16"/>
      <c r="K1746" s="16"/>
      <c r="L1746" s="18"/>
    </row>
    <row r="1747" customFormat="false" ht="15" hidden="false" customHeight="false" outlineLevel="0" collapsed="false">
      <c r="A1747" s="18"/>
      <c r="B1747" s="16"/>
      <c r="C1747" s="16"/>
      <c r="D1747" s="51" t="str">
        <f aca="false">IF(C1747="","",IFERROR(IF(LEFT(C1747,1)="L",INDEX('Leads Pipeline'!$F$5:$F$1004,MATCH(C1747,'Leads Pipeline'!$A$5:$A$1004,0)),INDEX('Active Clients'!$D$5:$D$504,MATCH(C1747,'Active Clients'!$A$5:$A$504,0)))&amp;"","ID not found"))</f>
        <v/>
      </c>
      <c r="E1747" s="51" t="str">
        <f aca="false">IF(C1747="","",IFERROR(IF(LEFT(C1747,1)="L",INDEX('Leads Pipeline'!$D$5:$D$1004,MATCH(C1747,'Leads Pipeline'!$A$5:$A$1004,0)),INDEX('Active Clients'!$B$5:$B$504,MATCH(C1747,'Active Clients'!$A$5:$A$504,0)))&amp;"","ID not found"))</f>
        <v/>
      </c>
      <c r="F1747" s="51" t="str">
        <f aca="false">IF(C1747="","",IFERROR(IF(LEFT(C1747,1)="L",INDEX('Leads Pipeline'!$E$5:$E$1004,MATCH(C1747,'Leads Pipeline'!$A$5:$A$1004,0)),INDEX('Active Clients'!$C$5:$C$504,MATCH(C1747,'Active Clients'!$A$5:$A$504,0)))&amp;"","ID not found"))</f>
        <v/>
      </c>
      <c r="G1747" s="16"/>
      <c r="H1747" s="16"/>
      <c r="I1747" s="16"/>
      <c r="J1747" s="16"/>
      <c r="K1747" s="16"/>
      <c r="L1747" s="18"/>
    </row>
    <row r="1748" customFormat="false" ht="15" hidden="false" customHeight="false" outlineLevel="0" collapsed="false">
      <c r="A1748" s="18"/>
      <c r="B1748" s="16"/>
      <c r="C1748" s="16"/>
      <c r="D1748" s="51" t="str">
        <f aca="false">IF(C1748="","",IFERROR(IF(LEFT(C1748,1)="L",INDEX('Leads Pipeline'!$F$5:$F$1004,MATCH(C1748,'Leads Pipeline'!$A$5:$A$1004,0)),INDEX('Active Clients'!$D$5:$D$504,MATCH(C1748,'Active Clients'!$A$5:$A$504,0)))&amp;"","ID not found"))</f>
        <v/>
      </c>
      <c r="E1748" s="51" t="str">
        <f aca="false">IF(C1748="","",IFERROR(IF(LEFT(C1748,1)="L",INDEX('Leads Pipeline'!$D$5:$D$1004,MATCH(C1748,'Leads Pipeline'!$A$5:$A$1004,0)),INDEX('Active Clients'!$B$5:$B$504,MATCH(C1748,'Active Clients'!$A$5:$A$504,0)))&amp;"","ID not found"))</f>
        <v/>
      </c>
      <c r="F1748" s="51" t="str">
        <f aca="false">IF(C1748="","",IFERROR(IF(LEFT(C1748,1)="L",INDEX('Leads Pipeline'!$E$5:$E$1004,MATCH(C1748,'Leads Pipeline'!$A$5:$A$1004,0)),INDEX('Active Clients'!$C$5:$C$504,MATCH(C1748,'Active Clients'!$A$5:$A$504,0)))&amp;"","ID not found"))</f>
        <v/>
      </c>
      <c r="G1748" s="16"/>
      <c r="H1748" s="16"/>
      <c r="I1748" s="16"/>
      <c r="J1748" s="16"/>
      <c r="K1748" s="16"/>
      <c r="L1748" s="18"/>
    </row>
    <row r="1749" customFormat="false" ht="15" hidden="false" customHeight="false" outlineLevel="0" collapsed="false">
      <c r="A1749" s="18"/>
      <c r="B1749" s="16"/>
      <c r="C1749" s="16"/>
      <c r="D1749" s="51" t="str">
        <f aca="false">IF(C1749="","",IFERROR(IF(LEFT(C1749,1)="L",INDEX('Leads Pipeline'!$F$5:$F$1004,MATCH(C1749,'Leads Pipeline'!$A$5:$A$1004,0)),INDEX('Active Clients'!$D$5:$D$504,MATCH(C1749,'Active Clients'!$A$5:$A$504,0)))&amp;"","ID not found"))</f>
        <v/>
      </c>
      <c r="E1749" s="51" t="str">
        <f aca="false">IF(C1749="","",IFERROR(IF(LEFT(C1749,1)="L",INDEX('Leads Pipeline'!$D$5:$D$1004,MATCH(C1749,'Leads Pipeline'!$A$5:$A$1004,0)),INDEX('Active Clients'!$B$5:$B$504,MATCH(C1749,'Active Clients'!$A$5:$A$504,0)))&amp;"","ID not found"))</f>
        <v/>
      </c>
      <c r="F1749" s="51" t="str">
        <f aca="false">IF(C1749="","",IFERROR(IF(LEFT(C1749,1)="L",INDEX('Leads Pipeline'!$E$5:$E$1004,MATCH(C1749,'Leads Pipeline'!$A$5:$A$1004,0)),INDEX('Active Clients'!$C$5:$C$504,MATCH(C1749,'Active Clients'!$A$5:$A$504,0)))&amp;"","ID not found"))</f>
        <v/>
      </c>
      <c r="G1749" s="16"/>
      <c r="H1749" s="16"/>
      <c r="I1749" s="16"/>
      <c r="J1749" s="16"/>
      <c r="K1749" s="16"/>
      <c r="L1749" s="18"/>
    </row>
    <row r="1750" customFormat="false" ht="15" hidden="false" customHeight="false" outlineLevel="0" collapsed="false">
      <c r="A1750" s="18"/>
      <c r="B1750" s="16"/>
      <c r="C1750" s="16"/>
      <c r="D1750" s="51" t="str">
        <f aca="false">IF(C1750="","",IFERROR(IF(LEFT(C1750,1)="L",INDEX('Leads Pipeline'!$F$5:$F$1004,MATCH(C1750,'Leads Pipeline'!$A$5:$A$1004,0)),INDEX('Active Clients'!$D$5:$D$504,MATCH(C1750,'Active Clients'!$A$5:$A$504,0)))&amp;"","ID not found"))</f>
        <v/>
      </c>
      <c r="E1750" s="51" t="str">
        <f aca="false">IF(C1750="","",IFERROR(IF(LEFT(C1750,1)="L",INDEX('Leads Pipeline'!$D$5:$D$1004,MATCH(C1750,'Leads Pipeline'!$A$5:$A$1004,0)),INDEX('Active Clients'!$B$5:$B$504,MATCH(C1750,'Active Clients'!$A$5:$A$504,0)))&amp;"","ID not found"))</f>
        <v/>
      </c>
      <c r="F1750" s="51" t="str">
        <f aca="false">IF(C1750="","",IFERROR(IF(LEFT(C1750,1)="L",INDEX('Leads Pipeline'!$E$5:$E$1004,MATCH(C1750,'Leads Pipeline'!$A$5:$A$1004,0)),INDEX('Active Clients'!$C$5:$C$504,MATCH(C1750,'Active Clients'!$A$5:$A$504,0)))&amp;"","ID not found"))</f>
        <v/>
      </c>
      <c r="G1750" s="16"/>
      <c r="H1750" s="16"/>
      <c r="I1750" s="16"/>
      <c r="J1750" s="16"/>
      <c r="K1750" s="16"/>
      <c r="L1750" s="18"/>
    </row>
    <row r="1751" customFormat="false" ht="15" hidden="false" customHeight="false" outlineLevel="0" collapsed="false">
      <c r="A1751" s="18"/>
      <c r="B1751" s="16"/>
      <c r="C1751" s="16"/>
      <c r="D1751" s="51" t="str">
        <f aca="false">IF(C1751="","",IFERROR(IF(LEFT(C1751,1)="L",INDEX('Leads Pipeline'!$F$5:$F$1004,MATCH(C1751,'Leads Pipeline'!$A$5:$A$1004,0)),INDEX('Active Clients'!$D$5:$D$504,MATCH(C1751,'Active Clients'!$A$5:$A$504,0)))&amp;"","ID not found"))</f>
        <v/>
      </c>
      <c r="E1751" s="51" t="str">
        <f aca="false">IF(C1751="","",IFERROR(IF(LEFT(C1751,1)="L",INDEX('Leads Pipeline'!$D$5:$D$1004,MATCH(C1751,'Leads Pipeline'!$A$5:$A$1004,0)),INDEX('Active Clients'!$B$5:$B$504,MATCH(C1751,'Active Clients'!$A$5:$A$504,0)))&amp;"","ID not found"))</f>
        <v/>
      </c>
      <c r="F1751" s="51" t="str">
        <f aca="false">IF(C1751="","",IFERROR(IF(LEFT(C1751,1)="L",INDEX('Leads Pipeline'!$E$5:$E$1004,MATCH(C1751,'Leads Pipeline'!$A$5:$A$1004,0)),INDEX('Active Clients'!$C$5:$C$504,MATCH(C1751,'Active Clients'!$A$5:$A$504,0)))&amp;"","ID not found"))</f>
        <v/>
      </c>
      <c r="G1751" s="16"/>
      <c r="H1751" s="16"/>
      <c r="I1751" s="16"/>
      <c r="J1751" s="16"/>
      <c r="K1751" s="16"/>
      <c r="L1751" s="18"/>
    </row>
    <row r="1752" customFormat="false" ht="15" hidden="false" customHeight="false" outlineLevel="0" collapsed="false">
      <c r="A1752" s="18"/>
      <c r="B1752" s="16"/>
      <c r="C1752" s="16"/>
      <c r="D1752" s="51" t="str">
        <f aca="false">IF(C1752="","",IFERROR(IF(LEFT(C1752,1)="L",INDEX('Leads Pipeline'!$F$5:$F$1004,MATCH(C1752,'Leads Pipeline'!$A$5:$A$1004,0)),INDEX('Active Clients'!$D$5:$D$504,MATCH(C1752,'Active Clients'!$A$5:$A$504,0)))&amp;"","ID not found"))</f>
        <v/>
      </c>
      <c r="E1752" s="51" t="str">
        <f aca="false">IF(C1752="","",IFERROR(IF(LEFT(C1752,1)="L",INDEX('Leads Pipeline'!$D$5:$D$1004,MATCH(C1752,'Leads Pipeline'!$A$5:$A$1004,0)),INDEX('Active Clients'!$B$5:$B$504,MATCH(C1752,'Active Clients'!$A$5:$A$504,0)))&amp;"","ID not found"))</f>
        <v/>
      </c>
      <c r="F1752" s="51" t="str">
        <f aca="false">IF(C1752="","",IFERROR(IF(LEFT(C1752,1)="L",INDEX('Leads Pipeline'!$E$5:$E$1004,MATCH(C1752,'Leads Pipeline'!$A$5:$A$1004,0)),INDEX('Active Clients'!$C$5:$C$504,MATCH(C1752,'Active Clients'!$A$5:$A$504,0)))&amp;"","ID not found"))</f>
        <v/>
      </c>
      <c r="G1752" s="16"/>
      <c r="H1752" s="16"/>
      <c r="I1752" s="16"/>
      <c r="J1752" s="16"/>
      <c r="K1752" s="16"/>
      <c r="L1752" s="18"/>
    </row>
    <row r="1753" customFormat="false" ht="15" hidden="false" customHeight="false" outlineLevel="0" collapsed="false">
      <c r="A1753" s="18"/>
      <c r="B1753" s="16"/>
      <c r="C1753" s="16"/>
      <c r="D1753" s="51" t="str">
        <f aca="false">IF(C1753="","",IFERROR(IF(LEFT(C1753,1)="L",INDEX('Leads Pipeline'!$F$5:$F$1004,MATCH(C1753,'Leads Pipeline'!$A$5:$A$1004,0)),INDEX('Active Clients'!$D$5:$D$504,MATCH(C1753,'Active Clients'!$A$5:$A$504,0)))&amp;"","ID not found"))</f>
        <v/>
      </c>
      <c r="E1753" s="51" t="str">
        <f aca="false">IF(C1753="","",IFERROR(IF(LEFT(C1753,1)="L",INDEX('Leads Pipeline'!$D$5:$D$1004,MATCH(C1753,'Leads Pipeline'!$A$5:$A$1004,0)),INDEX('Active Clients'!$B$5:$B$504,MATCH(C1753,'Active Clients'!$A$5:$A$504,0)))&amp;"","ID not found"))</f>
        <v/>
      </c>
      <c r="F1753" s="51" t="str">
        <f aca="false">IF(C1753="","",IFERROR(IF(LEFT(C1753,1)="L",INDEX('Leads Pipeline'!$E$5:$E$1004,MATCH(C1753,'Leads Pipeline'!$A$5:$A$1004,0)),INDEX('Active Clients'!$C$5:$C$504,MATCH(C1753,'Active Clients'!$A$5:$A$504,0)))&amp;"","ID not found"))</f>
        <v/>
      </c>
      <c r="G1753" s="16"/>
      <c r="H1753" s="16"/>
      <c r="I1753" s="16"/>
      <c r="J1753" s="16"/>
      <c r="K1753" s="16"/>
      <c r="L1753" s="18"/>
    </row>
    <row r="1754" customFormat="false" ht="15" hidden="false" customHeight="false" outlineLevel="0" collapsed="false">
      <c r="A1754" s="18"/>
      <c r="B1754" s="16"/>
      <c r="C1754" s="16"/>
      <c r="D1754" s="51" t="str">
        <f aca="false">IF(C1754="","",IFERROR(IF(LEFT(C1754,1)="L",INDEX('Leads Pipeline'!$F$5:$F$1004,MATCH(C1754,'Leads Pipeline'!$A$5:$A$1004,0)),INDEX('Active Clients'!$D$5:$D$504,MATCH(C1754,'Active Clients'!$A$5:$A$504,0)))&amp;"","ID not found"))</f>
        <v/>
      </c>
      <c r="E1754" s="51" t="str">
        <f aca="false">IF(C1754="","",IFERROR(IF(LEFT(C1754,1)="L",INDEX('Leads Pipeline'!$D$5:$D$1004,MATCH(C1754,'Leads Pipeline'!$A$5:$A$1004,0)),INDEX('Active Clients'!$B$5:$B$504,MATCH(C1754,'Active Clients'!$A$5:$A$504,0)))&amp;"","ID not found"))</f>
        <v/>
      </c>
      <c r="F1754" s="51" t="str">
        <f aca="false">IF(C1754="","",IFERROR(IF(LEFT(C1754,1)="L",INDEX('Leads Pipeline'!$E$5:$E$1004,MATCH(C1754,'Leads Pipeline'!$A$5:$A$1004,0)),INDEX('Active Clients'!$C$5:$C$504,MATCH(C1754,'Active Clients'!$A$5:$A$504,0)))&amp;"","ID not found"))</f>
        <v/>
      </c>
      <c r="G1754" s="16"/>
      <c r="H1754" s="16"/>
      <c r="I1754" s="16"/>
      <c r="J1754" s="16"/>
      <c r="K1754" s="16"/>
      <c r="L1754" s="18"/>
    </row>
    <row r="1755" customFormat="false" ht="15" hidden="false" customHeight="false" outlineLevel="0" collapsed="false">
      <c r="A1755" s="18"/>
      <c r="B1755" s="16"/>
      <c r="C1755" s="16"/>
      <c r="D1755" s="51" t="str">
        <f aca="false">IF(C1755="","",IFERROR(IF(LEFT(C1755,1)="L",INDEX('Leads Pipeline'!$F$5:$F$1004,MATCH(C1755,'Leads Pipeline'!$A$5:$A$1004,0)),INDEX('Active Clients'!$D$5:$D$504,MATCH(C1755,'Active Clients'!$A$5:$A$504,0)))&amp;"","ID not found"))</f>
        <v/>
      </c>
      <c r="E1755" s="51" t="str">
        <f aca="false">IF(C1755="","",IFERROR(IF(LEFT(C1755,1)="L",INDEX('Leads Pipeline'!$D$5:$D$1004,MATCH(C1755,'Leads Pipeline'!$A$5:$A$1004,0)),INDEX('Active Clients'!$B$5:$B$504,MATCH(C1755,'Active Clients'!$A$5:$A$504,0)))&amp;"","ID not found"))</f>
        <v/>
      </c>
      <c r="F1755" s="51" t="str">
        <f aca="false">IF(C1755="","",IFERROR(IF(LEFT(C1755,1)="L",INDEX('Leads Pipeline'!$E$5:$E$1004,MATCH(C1755,'Leads Pipeline'!$A$5:$A$1004,0)),INDEX('Active Clients'!$C$5:$C$504,MATCH(C1755,'Active Clients'!$A$5:$A$504,0)))&amp;"","ID not found"))</f>
        <v/>
      </c>
      <c r="G1755" s="16"/>
      <c r="H1755" s="16"/>
      <c r="I1755" s="16"/>
      <c r="J1755" s="16"/>
      <c r="K1755" s="16"/>
      <c r="L1755" s="18"/>
    </row>
    <row r="1756" customFormat="false" ht="15" hidden="false" customHeight="false" outlineLevel="0" collapsed="false">
      <c r="A1756" s="18"/>
      <c r="B1756" s="16"/>
      <c r="C1756" s="16"/>
      <c r="D1756" s="51" t="str">
        <f aca="false">IF(C1756="","",IFERROR(IF(LEFT(C1756,1)="L",INDEX('Leads Pipeline'!$F$5:$F$1004,MATCH(C1756,'Leads Pipeline'!$A$5:$A$1004,0)),INDEX('Active Clients'!$D$5:$D$504,MATCH(C1756,'Active Clients'!$A$5:$A$504,0)))&amp;"","ID not found"))</f>
        <v/>
      </c>
      <c r="E1756" s="51" t="str">
        <f aca="false">IF(C1756="","",IFERROR(IF(LEFT(C1756,1)="L",INDEX('Leads Pipeline'!$D$5:$D$1004,MATCH(C1756,'Leads Pipeline'!$A$5:$A$1004,0)),INDEX('Active Clients'!$B$5:$B$504,MATCH(C1756,'Active Clients'!$A$5:$A$504,0)))&amp;"","ID not found"))</f>
        <v/>
      </c>
      <c r="F1756" s="51" t="str">
        <f aca="false">IF(C1756="","",IFERROR(IF(LEFT(C1756,1)="L",INDEX('Leads Pipeline'!$E$5:$E$1004,MATCH(C1756,'Leads Pipeline'!$A$5:$A$1004,0)),INDEX('Active Clients'!$C$5:$C$504,MATCH(C1756,'Active Clients'!$A$5:$A$504,0)))&amp;"","ID not found"))</f>
        <v/>
      </c>
      <c r="G1756" s="16"/>
      <c r="H1756" s="16"/>
      <c r="I1756" s="16"/>
      <c r="J1756" s="16"/>
      <c r="K1756" s="16"/>
      <c r="L1756" s="18"/>
    </row>
    <row r="1757" customFormat="false" ht="15" hidden="false" customHeight="false" outlineLevel="0" collapsed="false">
      <c r="A1757" s="18"/>
      <c r="B1757" s="16"/>
      <c r="C1757" s="16"/>
      <c r="D1757" s="51" t="str">
        <f aca="false">IF(C1757="","",IFERROR(IF(LEFT(C1757,1)="L",INDEX('Leads Pipeline'!$F$5:$F$1004,MATCH(C1757,'Leads Pipeline'!$A$5:$A$1004,0)),INDEX('Active Clients'!$D$5:$D$504,MATCH(C1757,'Active Clients'!$A$5:$A$504,0)))&amp;"","ID not found"))</f>
        <v/>
      </c>
      <c r="E1757" s="51" t="str">
        <f aca="false">IF(C1757="","",IFERROR(IF(LEFT(C1757,1)="L",INDEX('Leads Pipeline'!$D$5:$D$1004,MATCH(C1757,'Leads Pipeline'!$A$5:$A$1004,0)),INDEX('Active Clients'!$B$5:$B$504,MATCH(C1757,'Active Clients'!$A$5:$A$504,0)))&amp;"","ID not found"))</f>
        <v/>
      </c>
      <c r="F1757" s="51" t="str">
        <f aca="false">IF(C1757="","",IFERROR(IF(LEFT(C1757,1)="L",INDEX('Leads Pipeline'!$E$5:$E$1004,MATCH(C1757,'Leads Pipeline'!$A$5:$A$1004,0)),INDEX('Active Clients'!$C$5:$C$504,MATCH(C1757,'Active Clients'!$A$5:$A$504,0)))&amp;"","ID not found"))</f>
        <v/>
      </c>
      <c r="G1757" s="16"/>
      <c r="H1757" s="16"/>
      <c r="I1757" s="16"/>
      <c r="J1757" s="16"/>
      <c r="K1757" s="16"/>
      <c r="L1757" s="18"/>
    </row>
    <row r="1758" customFormat="false" ht="15" hidden="false" customHeight="false" outlineLevel="0" collapsed="false">
      <c r="A1758" s="18"/>
      <c r="B1758" s="16"/>
      <c r="C1758" s="16"/>
      <c r="D1758" s="51" t="str">
        <f aca="false">IF(C1758="","",IFERROR(IF(LEFT(C1758,1)="L",INDEX('Leads Pipeline'!$F$5:$F$1004,MATCH(C1758,'Leads Pipeline'!$A$5:$A$1004,0)),INDEX('Active Clients'!$D$5:$D$504,MATCH(C1758,'Active Clients'!$A$5:$A$504,0)))&amp;"","ID not found"))</f>
        <v/>
      </c>
      <c r="E1758" s="51" t="str">
        <f aca="false">IF(C1758="","",IFERROR(IF(LEFT(C1758,1)="L",INDEX('Leads Pipeline'!$D$5:$D$1004,MATCH(C1758,'Leads Pipeline'!$A$5:$A$1004,0)),INDEX('Active Clients'!$B$5:$B$504,MATCH(C1758,'Active Clients'!$A$5:$A$504,0)))&amp;"","ID not found"))</f>
        <v/>
      </c>
      <c r="F1758" s="51" t="str">
        <f aca="false">IF(C1758="","",IFERROR(IF(LEFT(C1758,1)="L",INDEX('Leads Pipeline'!$E$5:$E$1004,MATCH(C1758,'Leads Pipeline'!$A$5:$A$1004,0)),INDEX('Active Clients'!$C$5:$C$504,MATCH(C1758,'Active Clients'!$A$5:$A$504,0)))&amp;"","ID not found"))</f>
        <v/>
      </c>
      <c r="G1758" s="16"/>
      <c r="H1758" s="16"/>
      <c r="I1758" s="16"/>
      <c r="J1758" s="16"/>
      <c r="K1758" s="16"/>
      <c r="L1758" s="18"/>
    </row>
    <row r="1759" customFormat="false" ht="15" hidden="false" customHeight="false" outlineLevel="0" collapsed="false">
      <c r="A1759" s="18"/>
      <c r="B1759" s="16"/>
      <c r="C1759" s="16"/>
      <c r="D1759" s="51" t="str">
        <f aca="false">IF(C1759="","",IFERROR(IF(LEFT(C1759,1)="L",INDEX('Leads Pipeline'!$F$5:$F$1004,MATCH(C1759,'Leads Pipeline'!$A$5:$A$1004,0)),INDEX('Active Clients'!$D$5:$D$504,MATCH(C1759,'Active Clients'!$A$5:$A$504,0)))&amp;"","ID not found"))</f>
        <v/>
      </c>
      <c r="E1759" s="51" t="str">
        <f aca="false">IF(C1759="","",IFERROR(IF(LEFT(C1759,1)="L",INDEX('Leads Pipeline'!$D$5:$D$1004,MATCH(C1759,'Leads Pipeline'!$A$5:$A$1004,0)),INDEX('Active Clients'!$B$5:$B$504,MATCH(C1759,'Active Clients'!$A$5:$A$504,0)))&amp;"","ID not found"))</f>
        <v/>
      </c>
      <c r="F1759" s="51" t="str">
        <f aca="false">IF(C1759="","",IFERROR(IF(LEFT(C1759,1)="L",INDEX('Leads Pipeline'!$E$5:$E$1004,MATCH(C1759,'Leads Pipeline'!$A$5:$A$1004,0)),INDEX('Active Clients'!$C$5:$C$504,MATCH(C1759,'Active Clients'!$A$5:$A$504,0)))&amp;"","ID not found"))</f>
        <v/>
      </c>
      <c r="G1759" s="16"/>
      <c r="H1759" s="16"/>
      <c r="I1759" s="16"/>
      <c r="J1759" s="16"/>
      <c r="K1759" s="16"/>
      <c r="L1759" s="18"/>
    </row>
    <row r="1760" customFormat="false" ht="15" hidden="false" customHeight="false" outlineLevel="0" collapsed="false">
      <c r="A1760" s="18"/>
      <c r="B1760" s="16"/>
      <c r="C1760" s="16"/>
      <c r="D1760" s="51" t="str">
        <f aca="false">IF(C1760="","",IFERROR(IF(LEFT(C1760,1)="L",INDEX('Leads Pipeline'!$F$5:$F$1004,MATCH(C1760,'Leads Pipeline'!$A$5:$A$1004,0)),INDEX('Active Clients'!$D$5:$D$504,MATCH(C1760,'Active Clients'!$A$5:$A$504,0)))&amp;"","ID not found"))</f>
        <v/>
      </c>
      <c r="E1760" s="51" t="str">
        <f aca="false">IF(C1760="","",IFERROR(IF(LEFT(C1760,1)="L",INDEX('Leads Pipeline'!$D$5:$D$1004,MATCH(C1760,'Leads Pipeline'!$A$5:$A$1004,0)),INDEX('Active Clients'!$B$5:$B$504,MATCH(C1760,'Active Clients'!$A$5:$A$504,0)))&amp;"","ID not found"))</f>
        <v/>
      </c>
      <c r="F1760" s="51" t="str">
        <f aca="false">IF(C1760="","",IFERROR(IF(LEFT(C1760,1)="L",INDEX('Leads Pipeline'!$E$5:$E$1004,MATCH(C1760,'Leads Pipeline'!$A$5:$A$1004,0)),INDEX('Active Clients'!$C$5:$C$504,MATCH(C1760,'Active Clients'!$A$5:$A$504,0)))&amp;"","ID not found"))</f>
        <v/>
      </c>
      <c r="G1760" s="16"/>
      <c r="H1760" s="16"/>
      <c r="I1760" s="16"/>
      <c r="J1760" s="16"/>
      <c r="K1760" s="16"/>
      <c r="L1760" s="18"/>
    </row>
    <row r="1761" customFormat="false" ht="15" hidden="false" customHeight="false" outlineLevel="0" collapsed="false">
      <c r="A1761" s="18"/>
      <c r="B1761" s="16"/>
      <c r="C1761" s="16"/>
      <c r="D1761" s="51" t="str">
        <f aca="false">IF(C1761="","",IFERROR(IF(LEFT(C1761,1)="L",INDEX('Leads Pipeline'!$F$5:$F$1004,MATCH(C1761,'Leads Pipeline'!$A$5:$A$1004,0)),INDEX('Active Clients'!$D$5:$D$504,MATCH(C1761,'Active Clients'!$A$5:$A$504,0)))&amp;"","ID not found"))</f>
        <v/>
      </c>
      <c r="E1761" s="51" t="str">
        <f aca="false">IF(C1761="","",IFERROR(IF(LEFT(C1761,1)="L",INDEX('Leads Pipeline'!$D$5:$D$1004,MATCH(C1761,'Leads Pipeline'!$A$5:$A$1004,0)),INDEX('Active Clients'!$B$5:$B$504,MATCH(C1761,'Active Clients'!$A$5:$A$504,0)))&amp;"","ID not found"))</f>
        <v/>
      </c>
      <c r="F1761" s="51" t="str">
        <f aca="false">IF(C1761="","",IFERROR(IF(LEFT(C1761,1)="L",INDEX('Leads Pipeline'!$E$5:$E$1004,MATCH(C1761,'Leads Pipeline'!$A$5:$A$1004,0)),INDEX('Active Clients'!$C$5:$C$504,MATCH(C1761,'Active Clients'!$A$5:$A$504,0)))&amp;"","ID not found"))</f>
        <v/>
      </c>
      <c r="G1761" s="16"/>
      <c r="H1761" s="16"/>
      <c r="I1761" s="16"/>
      <c r="J1761" s="16"/>
      <c r="K1761" s="16"/>
      <c r="L1761" s="18"/>
    </row>
    <row r="1762" customFormat="false" ht="15" hidden="false" customHeight="false" outlineLevel="0" collapsed="false">
      <c r="A1762" s="18"/>
      <c r="B1762" s="16"/>
      <c r="C1762" s="16"/>
      <c r="D1762" s="51" t="str">
        <f aca="false">IF(C1762="","",IFERROR(IF(LEFT(C1762,1)="L",INDEX('Leads Pipeline'!$F$5:$F$1004,MATCH(C1762,'Leads Pipeline'!$A$5:$A$1004,0)),INDEX('Active Clients'!$D$5:$D$504,MATCH(C1762,'Active Clients'!$A$5:$A$504,0)))&amp;"","ID not found"))</f>
        <v/>
      </c>
      <c r="E1762" s="51" t="str">
        <f aca="false">IF(C1762="","",IFERROR(IF(LEFT(C1762,1)="L",INDEX('Leads Pipeline'!$D$5:$D$1004,MATCH(C1762,'Leads Pipeline'!$A$5:$A$1004,0)),INDEX('Active Clients'!$B$5:$B$504,MATCH(C1762,'Active Clients'!$A$5:$A$504,0)))&amp;"","ID not found"))</f>
        <v/>
      </c>
      <c r="F1762" s="51" t="str">
        <f aca="false">IF(C1762="","",IFERROR(IF(LEFT(C1762,1)="L",INDEX('Leads Pipeline'!$E$5:$E$1004,MATCH(C1762,'Leads Pipeline'!$A$5:$A$1004,0)),INDEX('Active Clients'!$C$5:$C$504,MATCH(C1762,'Active Clients'!$A$5:$A$504,0)))&amp;"","ID not found"))</f>
        <v/>
      </c>
      <c r="G1762" s="16"/>
      <c r="H1762" s="16"/>
      <c r="I1762" s="16"/>
      <c r="J1762" s="16"/>
      <c r="K1762" s="16"/>
      <c r="L1762" s="18"/>
    </row>
    <row r="1763" customFormat="false" ht="15" hidden="false" customHeight="false" outlineLevel="0" collapsed="false">
      <c r="A1763" s="18"/>
      <c r="B1763" s="16"/>
      <c r="C1763" s="16"/>
      <c r="D1763" s="51" t="str">
        <f aca="false">IF(C1763="","",IFERROR(IF(LEFT(C1763,1)="L",INDEX('Leads Pipeline'!$F$5:$F$1004,MATCH(C1763,'Leads Pipeline'!$A$5:$A$1004,0)),INDEX('Active Clients'!$D$5:$D$504,MATCH(C1763,'Active Clients'!$A$5:$A$504,0)))&amp;"","ID not found"))</f>
        <v/>
      </c>
      <c r="E1763" s="51" t="str">
        <f aca="false">IF(C1763="","",IFERROR(IF(LEFT(C1763,1)="L",INDEX('Leads Pipeline'!$D$5:$D$1004,MATCH(C1763,'Leads Pipeline'!$A$5:$A$1004,0)),INDEX('Active Clients'!$B$5:$B$504,MATCH(C1763,'Active Clients'!$A$5:$A$504,0)))&amp;"","ID not found"))</f>
        <v/>
      </c>
      <c r="F1763" s="51" t="str">
        <f aca="false">IF(C1763="","",IFERROR(IF(LEFT(C1763,1)="L",INDEX('Leads Pipeline'!$E$5:$E$1004,MATCH(C1763,'Leads Pipeline'!$A$5:$A$1004,0)),INDEX('Active Clients'!$C$5:$C$504,MATCH(C1763,'Active Clients'!$A$5:$A$504,0)))&amp;"","ID not found"))</f>
        <v/>
      </c>
      <c r="G1763" s="16"/>
      <c r="H1763" s="16"/>
      <c r="I1763" s="16"/>
      <c r="J1763" s="16"/>
      <c r="K1763" s="16"/>
      <c r="L1763" s="18"/>
    </row>
    <row r="1764" customFormat="false" ht="15" hidden="false" customHeight="false" outlineLevel="0" collapsed="false">
      <c r="A1764" s="18"/>
      <c r="B1764" s="16"/>
      <c r="C1764" s="16"/>
      <c r="D1764" s="51" t="str">
        <f aca="false">IF(C1764="","",IFERROR(IF(LEFT(C1764,1)="L",INDEX('Leads Pipeline'!$F$5:$F$1004,MATCH(C1764,'Leads Pipeline'!$A$5:$A$1004,0)),INDEX('Active Clients'!$D$5:$D$504,MATCH(C1764,'Active Clients'!$A$5:$A$504,0)))&amp;"","ID not found"))</f>
        <v/>
      </c>
      <c r="E1764" s="51" t="str">
        <f aca="false">IF(C1764="","",IFERROR(IF(LEFT(C1764,1)="L",INDEX('Leads Pipeline'!$D$5:$D$1004,MATCH(C1764,'Leads Pipeline'!$A$5:$A$1004,0)),INDEX('Active Clients'!$B$5:$B$504,MATCH(C1764,'Active Clients'!$A$5:$A$504,0)))&amp;"","ID not found"))</f>
        <v/>
      </c>
      <c r="F1764" s="51" t="str">
        <f aca="false">IF(C1764="","",IFERROR(IF(LEFT(C1764,1)="L",INDEX('Leads Pipeline'!$E$5:$E$1004,MATCH(C1764,'Leads Pipeline'!$A$5:$A$1004,0)),INDEX('Active Clients'!$C$5:$C$504,MATCH(C1764,'Active Clients'!$A$5:$A$504,0)))&amp;"","ID not found"))</f>
        <v/>
      </c>
      <c r="G1764" s="16"/>
      <c r="H1764" s="16"/>
      <c r="I1764" s="16"/>
      <c r="J1764" s="16"/>
      <c r="K1764" s="16"/>
      <c r="L1764" s="18"/>
    </row>
    <row r="1765" customFormat="false" ht="15" hidden="false" customHeight="false" outlineLevel="0" collapsed="false">
      <c r="A1765" s="18"/>
      <c r="B1765" s="16"/>
      <c r="C1765" s="16"/>
      <c r="D1765" s="51" t="str">
        <f aca="false">IF(C1765="","",IFERROR(IF(LEFT(C1765,1)="L",INDEX('Leads Pipeline'!$F$5:$F$1004,MATCH(C1765,'Leads Pipeline'!$A$5:$A$1004,0)),INDEX('Active Clients'!$D$5:$D$504,MATCH(C1765,'Active Clients'!$A$5:$A$504,0)))&amp;"","ID not found"))</f>
        <v/>
      </c>
      <c r="E1765" s="51" t="str">
        <f aca="false">IF(C1765="","",IFERROR(IF(LEFT(C1765,1)="L",INDEX('Leads Pipeline'!$D$5:$D$1004,MATCH(C1765,'Leads Pipeline'!$A$5:$A$1004,0)),INDEX('Active Clients'!$B$5:$B$504,MATCH(C1765,'Active Clients'!$A$5:$A$504,0)))&amp;"","ID not found"))</f>
        <v/>
      </c>
      <c r="F1765" s="51" t="str">
        <f aca="false">IF(C1765="","",IFERROR(IF(LEFT(C1765,1)="L",INDEX('Leads Pipeline'!$E$5:$E$1004,MATCH(C1765,'Leads Pipeline'!$A$5:$A$1004,0)),INDEX('Active Clients'!$C$5:$C$504,MATCH(C1765,'Active Clients'!$A$5:$A$504,0)))&amp;"","ID not found"))</f>
        <v/>
      </c>
      <c r="G1765" s="16"/>
      <c r="H1765" s="16"/>
      <c r="I1765" s="16"/>
      <c r="J1765" s="16"/>
      <c r="K1765" s="16"/>
      <c r="L1765" s="18"/>
    </row>
    <row r="1766" customFormat="false" ht="15" hidden="false" customHeight="false" outlineLevel="0" collapsed="false">
      <c r="A1766" s="18"/>
      <c r="B1766" s="16"/>
      <c r="C1766" s="16"/>
      <c r="D1766" s="51" t="str">
        <f aca="false">IF(C1766="","",IFERROR(IF(LEFT(C1766,1)="L",INDEX('Leads Pipeline'!$F$5:$F$1004,MATCH(C1766,'Leads Pipeline'!$A$5:$A$1004,0)),INDEX('Active Clients'!$D$5:$D$504,MATCH(C1766,'Active Clients'!$A$5:$A$504,0)))&amp;"","ID not found"))</f>
        <v/>
      </c>
      <c r="E1766" s="51" t="str">
        <f aca="false">IF(C1766="","",IFERROR(IF(LEFT(C1766,1)="L",INDEX('Leads Pipeline'!$D$5:$D$1004,MATCH(C1766,'Leads Pipeline'!$A$5:$A$1004,0)),INDEX('Active Clients'!$B$5:$B$504,MATCH(C1766,'Active Clients'!$A$5:$A$504,0)))&amp;"","ID not found"))</f>
        <v/>
      </c>
      <c r="F1766" s="51" t="str">
        <f aca="false">IF(C1766="","",IFERROR(IF(LEFT(C1766,1)="L",INDEX('Leads Pipeline'!$E$5:$E$1004,MATCH(C1766,'Leads Pipeline'!$A$5:$A$1004,0)),INDEX('Active Clients'!$C$5:$C$504,MATCH(C1766,'Active Clients'!$A$5:$A$504,0)))&amp;"","ID not found"))</f>
        <v/>
      </c>
      <c r="G1766" s="16"/>
      <c r="H1766" s="16"/>
      <c r="I1766" s="16"/>
      <c r="J1766" s="16"/>
      <c r="K1766" s="16"/>
      <c r="L1766" s="18"/>
    </row>
    <row r="1767" customFormat="false" ht="15" hidden="false" customHeight="false" outlineLevel="0" collapsed="false">
      <c r="A1767" s="18"/>
      <c r="B1767" s="16"/>
      <c r="C1767" s="16"/>
      <c r="D1767" s="51" t="str">
        <f aca="false">IF(C1767="","",IFERROR(IF(LEFT(C1767,1)="L",INDEX('Leads Pipeline'!$F$5:$F$1004,MATCH(C1767,'Leads Pipeline'!$A$5:$A$1004,0)),INDEX('Active Clients'!$D$5:$D$504,MATCH(C1767,'Active Clients'!$A$5:$A$504,0)))&amp;"","ID not found"))</f>
        <v/>
      </c>
      <c r="E1767" s="51" t="str">
        <f aca="false">IF(C1767="","",IFERROR(IF(LEFT(C1767,1)="L",INDEX('Leads Pipeline'!$D$5:$D$1004,MATCH(C1767,'Leads Pipeline'!$A$5:$A$1004,0)),INDEX('Active Clients'!$B$5:$B$504,MATCH(C1767,'Active Clients'!$A$5:$A$504,0)))&amp;"","ID not found"))</f>
        <v/>
      </c>
      <c r="F1767" s="51" t="str">
        <f aca="false">IF(C1767="","",IFERROR(IF(LEFT(C1767,1)="L",INDEX('Leads Pipeline'!$E$5:$E$1004,MATCH(C1767,'Leads Pipeline'!$A$5:$A$1004,0)),INDEX('Active Clients'!$C$5:$C$504,MATCH(C1767,'Active Clients'!$A$5:$A$504,0)))&amp;"","ID not found"))</f>
        <v/>
      </c>
      <c r="G1767" s="16"/>
      <c r="H1767" s="16"/>
      <c r="I1767" s="16"/>
      <c r="J1767" s="16"/>
      <c r="K1767" s="16"/>
      <c r="L1767" s="18"/>
    </row>
    <row r="1768" customFormat="false" ht="15" hidden="false" customHeight="false" outlineLevel="0" collapsed="false">
      <c r="A1768" s="18"/>
      <c r="B1768" s="16"/>
      <c r="C1768" s="16"/>
      <c r="D1768" s="51" t="str">
        <f aca="false">IF(C1768="","",IFERROR(IF(LEFT(C1768,1)="L",INDEX('Leads Pipeline'!$F$5:$F$1004,MATCH(C1768,'Leads Pipeline'!$A$5:$A$1004,0)),INDEX('Active Clients'!$D$5:$D$504,MATCH(C1768,'Active Clients'!$A$5:$A$504,0)))&amp;"","ID not found"))</f>
        <v/>
      </c>
      <c r="E1768" s="51" t="str">
        <f aca="false">IF(C1768="","",IFERROR(IF(LEFT(C1768,1)="L",INDEX('Leads Pipeline'!$D$5:$D$1004,MATCH(C1768,'Leads Pipeline'!$A$5:$A$1004,0)),INDEX('Active Clients'!$B$5:$B$504,MATCH(C1768,'Active Clients'!$A$5:$A$504,0)))&amp;"","ID not found"))</f>
        <v/>
      </c>
      <c r="F1768" s="51" t="str">
        <f aca="false">IF(C1768="","",IFERROR(IF(LEFT(C1768,1)="L",INDEX('Leads Pipeline'!$E$5:$E$1004,MATCH(C1768,'Leads Pipeline'!$A$5:$A$1004,0)),INDEX('Active Clients'!$C$5:$C$504,MATCH(C1768,'Active Clients'!$A$5:$A$504,0)))&amp;"","ID not found"))</f>
        <v/>
      </c>
      <c r="G1768" s="16"/>
      <c r="H1768" s="16"/>
      <c r="I1768" s="16"/>
      <c r="J1768" s="16"/>
      <c r="K1768" s="16"/>
      <c r="L1768" s="18"/>
    </row>
    <row r="1769" customFormat="false" ht="15" hidden="false" customHeight="false" outlineLevel="0" collapsed="false">
      <c r="A1769" s="18"/>
      <c r="B1769" s="16"/>
      <c r="C1769" s="16"/>
      <c r="D1769" s="51" t="str">
        <f aca="false">IF(C1769="","",IFERROR(IF(LEFT(C1769,1)="L",INDEX('Leads Pipeline'!$F$5:$F$1004,MATCH(C1769,'Leads Pipeline'!$A$5:$A$1004,0)),INDEX('Active Clients'!$D$5:$D$504,MATCH(C1769,'Active Clients'!$A$5:$A$504,0)))&amp;"","ID not found"))</f>
        <v/>
      </c>
      <c r="E1769" s="51" t="str">
        <f aca="false">IF(C1769="","",IFERROR(IF(LEFT(C1769,1)="L",INDEX('Leads Pipeline'!$D$5:$D$1004,MATCH(C1769,'Leads Pipeline'!$A$5:$A$1004,0)),INDEX('Active Clients'!$B$5:$B$504,MATCH(C1769,'Active Clients'!$A$5:$A$504,0)))&amp;"","ID not found"))</f>
        <v/>
      </c>
      <c r="F1769" s="51" t="str">
        <f aca="false">IF(C1769="","",IFERROR(IF(LEFT(C1769,1)="L",INDEX('Leads Pipeline'!$E$5:$E$1004,MATCH(C1769,'Leads Pipeline'!$A$5:$A$1004,0)),INDEX('Active Clients'!$C$5:$C$504,MATCH(C1769,'Active Clients'!$A$5:$A$504,0)))&amp;"","ID not found"))</f>
        <v/>
      </c>
      <c r="G1769" s="16"/>
      <c r="H1769" s="16"/>
      <c r="I1769" s="16"/>
      <c r="J1769" s="16"/>
      <c r="K1769" s="16"/>
      <c r="L1769" s="18"/>
    </row>
    <row r="1770" customFormat="false" ht="15" hidden="false" customHeight="false" outlineLevel="0" collapsed="false">
      <c r="A1770" s="18"/>
      <c r="B1770" s="16"/>
      <c r="C1770" s="16"/>
      <c r="D1770" s="51" t="str">
        <f aca="false">IF(C1770="","",IFERROR(IF(LEFT(C1770,1)="L",INDEX('Leads Pipeline'!$F$5:$F$1004,MATCH(C1770,'Leads Pipeline'!$A$5:$A$1004,0)),INDEX('Active Clients'!$D$5:$D$504,MATCH(C1770,'Active Clients'!$A$5:$A$504,0)))&amp;"","ID not found"))</f>
        <v/>
      </c>
      <c r="E1770" s="51" t="str">
        <f aca="false">IF(C1770="","",IFERROR(IF(LEFT(C1770,1)="L",INDEX('Leads Pipeline'!$D$5:$D$1004,MATCH(C1770,'Leads Pipeline'!$A$5:$A$1004,0)),INDEX('Active Clients'!$B$5:$B$504,MATCH(C1770,'Active Clients'!$A$5:$A$504,0)))&amp;"","ID not found"))</f>
        <v/>
      </c>
      <c r="F1770" s="51" t="str">
        <f aca="false">IF(C1770="","",IFERROR(IF(LEFT(C1770,1)="L",INDEX('Leads Pipeline'!$E$5:$E$1004,MATCH(C1770,'Leads Pipeline'!$A$5:$A$1004,0)),INDEX('Active Clients'!$C$5:$C$504,MATCH(C1770,'Active Clients'!$A$5:$A$504,0)))&amp;"","ID not found"))</f>
        <v/>
      </c>
      <c r="G1770" s="16"/>
      <c r="H1770" s="16"/>
      <c r="I1770" s="16"/>
      <c r="J1770" s="16"/>
      <c r="K1770" s="16"/>
      <c r="L1770" s="18"/>
    </row>
    <row r="1771" customFormat="false" ht="15" hidden="false" customHeight="false" outlineLevel="0" collapsed="false">
      <c r="A1771" s="18"/>
      <c r="B1771" s="16"/>
      <c r="C1771" s="16"/>
      <c r="D1771" s="51" t="str">
        <f aca="false">IF(C1771="","",IFERROR(IF(LEFT(C1771,1)="L",INDEX('Leads Pipeline'!$F$5:$F$1004,MATCH(C1771,'Leads Pipeline'!$A$5:$A$1004,0)),INDEX('Active Clients'!$D$5:$D$504,MATCH(C1771,'Active Clients'!$A$5:$A$504,0)))&amp;"","ID not found"))</f>
        <v/>
      </c>
      <c r="E1771" s="51" t="str">
        <f aca="false">IF(C1771="","",IFERROR(IF(LEFT(C1771,1)="L",INDEX('Leads Pipeline'!$D$5:$D$1004,MATCH(C1771,'Leads Pipeline'!$A$5:$A$1004,0)),INDEX('Active Clients'!$B$5:$B$504,MATCH(C1771,'Active Clients'!$A$5:$A$504,0)))&amp;"","ID not found"))</f>
        <v/>
      </c>
      <c r="F1771" s="51" t="str">
        <f aca="false">IF(C1771="","",IFERROR(IF(LEFT(C1771,1)="L",INDEX('Leads Pipeline'!$E$5:$E$1004,MATCH(C1771,'Leads Pipeline'!$A$5:$A$1004,0)),INDEX('Active Clients'!$C$5:$C$504,MATCH(C1771,'Active Clients'!$A$5:$A$504,0)))&amp;"","ID not found"))</f>
        <v/>
      </c>
      <c r="G1771" s="16"/>
      <c r="H1771" s="16"/>
      <c r="I1771" s="16"/>
      <c r="J1771" s="16"/>
      <c r="K1771" s="16"/>
      <c r="L1771" s="18"/>
    </row>
    <row r="1772" customFormat="false" ht="15" hidden="false" customHeight="false" outlineLevel="0" collapsed="false">
      <c r="A1772" s="18"/>
      <c r="B1772" s="16"/>
      <c r="C1772" s="16"/>
      <c r="D1772" s="51" t="str">
        <f aca="false">IF(C1772="","",IFERROR(IF(LEFT(C1772,1)="L",INDEX('Leads Pipeline'!$F$5:$F$1004,MATCH(C1772,'Leads Pipeline'!$A$5:$A$1004,0)),INDEX('Active Clients'!$D$5:$D$504,MATCH(C1772,'Active Clients'!$A$5:$A$504,0)))&amp;"","ID not found"))</f>
        <v/>
      </c>
      <c r="E1772" s="51" t="str">
        <f aca="false">IF(C1772="","",IFERROR(IF(LEFT(C1772,1)="L",INDEX('Leads Pipeline'!$D$5:$D$1004,MATCH(C1772,'Leads Pipeline'!$A$5:$A$1004,0)),INDEX('Active Clients'!$B$5:$B$504,MATCH(C1772,'Active Clients'!$A$5:$A$504,0)))&amp;"","ID not found"))</f>
        <v/>
      </c>
      <c r="F1772" s="51" t="str">
        <f aca="false">IF(C1772="","",IFERROR(IF(LEFT(C1772,1)="L",INDEX('Leads Pipeline'!$E$5:$E$1004,MATCH(C1772,'Leads Pipeline'!$A$5:$A$1004,0)),INDEX('Active Clients'!$C$5:$C$504,MATCH(C1772,'Active Clients'!$A$5:$A$504,0)))&amp;"","ID not found"))</f>
        <v/>
      </c>
      <c r="G1772" s="16"/>
      <c r="H1772" s="16"/>
      <c r="I1772" s="16"/>
      <c r="J1772" s="16"/>
      <c r="K1772" s="16"/>
      <c r="L1772" s="18"/>
    </row>
    <row r="1773" customFormat="false" ht="15" hidden="false" customHeight="false" outlineLevel="0" collapsed="false">
      <c r="A1773" s="18"/>
      <c r="B1773" s="16"/>
      <c r="C1773" s="16"/>
      <c r="D1773" s="51" t="str">
        <f aca="false">IF(C1773="","",IFERROR(IF(LEFT(C1773,1)="L",INDEX('Leads Pipeline'!$F$5:$F$1004,MATCH(C1773,'Leads Pipeline'!$A$5:$A$1004,0)),INDEX('Active Clients'!$D$5:$D$504,MATCH(C1773,'Active Clients'!$A$5:$A$504,0)))&amp;"","ID not found"))</f>
        <v/>
      </c>
      <c r="E1773" s="51" t="str">
        <f aca="false">IF(C1773="","",IFERROR(IF(LEFT(C1773,1)="L",INDEX('Leads Pipeline'!$D$5:$D$1004,MATCH(C1773,'Leads Pipeline'!$A$5:$A$1004,0)),INDEX('Active Clients'!$B$5:$B$504,MATCH(C1773,'Active Clients'!$A$5:$A$504,0)))&amp;"","ID not found"))</f>
        <v/>
      </c>
      <c r="F1773" s="51" t="str">
        <f aca="false">IF(C1773="","",IFERROR(IF(LEFT(C1773,1)="L",INDEX('Leads Pipeline'!$E$5:$E$1004,MATCH(C1773,'Leads Pipeline'!$A$5:$A$1004,0)),INDEX('Active Clients'!$C$5:$C$504,MATCH(C1773,'Active Clients'!$A$5:$A$504,0)))&amp;"","ID not found"))</f>
        <v/>
      </c>
      <c r="G1773" s="16"/>
      <c r="H1773" s="16"/>
      <c r="I1773" s="16"/>
      <c r="J1773" s="16"/>
      <c r="K1773" s="16"/>
      <c r="L1773" s="18"/>
    </row>
    <row r="1774" customFormat="false" ht="15" hidden="false" customHeight="false" outlineLevel="0" collapsed="false">
      <c r="A1774" s="18"/>
      <c r="B1774" s="16"/>
      <c r="C1774" s="16"/>
      <c r="D1774" s="51" t="str">
        <f aca="false">IF(C1774="","",IFERROR(IF(LEFT(C1774,1)="L",INDEX('Leads Pipeline'!$F$5:$F$1004,MATCH(C1774,'Leads Pipeline'!$A$5:$A$1004,0)),INDEX('Active Clients'!$D$5:$D$504,MATCH(C1774,'Active Clients'!$A$5:$A$504,0)))&amp;"","ID not found"))</f>
        <v/>
      </c>
      <c r="E1774" s="51" t="str">
        <f aca="false">IF(C1774="","",IFERROR(IF(LEFT(C1774,1)="L",INDEX('Leads Pipeline'!$D$5:$D$1004,MATCH(C1774,'Leads Pipeline'!$A$5:$A$1004,0)),INDEX('Active Clients'!$B$5:$B$504,MATCH(C1774,'Active Clients'!$A$5:$A$504,0)))&amp;"","ID not found"))</f>
        <v/>
      </c>
      <c r="F1774" s="51" t="str">
        <f aca="false">IF(C1774="","",IFERROR(IF(LEFT(C1774,1)="L",INDEX('Leads Pipeline'!$E$5:$E$1004,MATCH(C1774,'Leads Pipeline'!$A$5:$A$1004,0)),INDEX('Active Clients'!$C$5:$C$504,MATCH(C1774,'Active Clients'!$A$5:$A$504,0)))&amp;"","ID not found"))</f>
        <v/>
      </c>
      <c r="G1774" s="16"/>
      <c r="H1774" s="16"/>
      <c r="I1774" s="16"/>
      <c r="J1774" s="16"/>
      <c r="K1774" s="16"/>
      <c r="L1774" s="18"/>
    </row>
    <row r="1775" customFormat="false" ht="15" hidden="false" customHeight="false" outlineLevel="0" collapsed="false">
      <c r="A1775" s="18"/>
      <c r="B1775" s="16"/>
      <c r="C1775" s="16"/>
      <c r="D1775" s="51" t="str">
        <f aca="false">IF(C1775="","",IFERROR(IF(LEFT(C1775,1)="L",INDEX('Leads Pipeline'!$F$5:$F$1004,MATCH(C1775,'Leads Pipeline'!$A$5:$A$1004,0)),INDEX('Active Clients'!$D$5:$D$504,MATCH(C1775,'Active Clients'!$A$5:$A$504,0)))&amp;"","ID not found"))</f>
        <v/>
      </c>
      <c r="E1775" s="51" t="str">
        <f aca="false">IF(C1775="","",IFERROR(IF(LEFT(C1775,1)="L",INDEX('Leads Pipeline'!$D$5:$D$1004,MATCH(C1775,'Leads Pipeline'!$A$5:$A$1004,0)),INDEX('Active Clients'!$B$5:$B$504,MATCH(C1775,'Active Clients'!$A$5:$A$504,0)))&amp;"","ID not found"))</f>
        <v/>
      </c>
      <c r="F1775" s="51" t="str">
        <f aca="false">IF(C1775="","",IFERROR(IF(LEFT(C1775,1)="L",INDEX('Leads Pipeline'!$E$5:$E$1004,MATCH(C1775,'Leads Pipeline'!$A$5:$A$1004,0)),INDEX('Active Clients'!$C$5:$C$504,MATCH(C1775,'Active Clients'!$A$5:$A$504,0)))&amp;"","ID not found"))</f>
        <v/>
      </c>
      <c r="G1775" s="16"/>
      <c r="H1775" s="16"/>
      <c r="I1775" s="16"/>
      <c r="J1775" s="16"/>
      <c r="K1775" s="16"/>
      <c r="L1775" s="18"/>
    </row>
    <row r="1776" customFormat="false" ht="15" hidden="false" customHeight="false" outlineLevel="0" collapsed="false">
      <c r="A1776" s="18"/>
      <c r="B1776" s="16"/>
      <c r="C1776" s="16"/>
      <c r="D1776" s="51" t="str">
        <f aca="false">IF(C1776="","",IFERROR(IF(LEFT(C1776,1)="L",INDEX('Leads Pipeline'!$F$5:$F$1004,MATCH(C1776,'Leads Pipeline'!$A$5:$A$1004,0)),INDEX('Active Clients'!$D$5:$D$504,MATCH(C1776,'Active Clients'!$A$5:$A$504,0)))&amp;"","ID not found"))</f>
        <v/>
      </c>
      <c r="E1776" s="51" t="str">
        <f aca="false">IF(C1776="","",IFERROR(IF(LEFT(C1776,1)="L",INDEX('Leads Pipeline'!$D$5:$D$1004,MATCH(C1776,'Leads Pipeline'!$A$5:$A$1004,0)),INDEX('Active Clients'!$B$5:$B$504,MATCH(C1776,'Active Clients'!$A$5:$A$504,0)))&amp;"","ID not found"))</f>
        <v/>
      </c>
      <c r="F1776" s="51" t="str">
        <f aca="false">IF(C1776="","",IFERROR(IF(LEFT(C1776,1)="L",INDEX('Leads Pipeline'!$E$5:$E$1004,MATCH(C1776,'Leads Pipeline'!$A$5:$A$1004,0)),INDEX('Active Clients'!$C$5:$C$504,MATCH(C1776,'Active Clients'!$A$5:$A$504,0)))&amp;"","ID not found"))</f>
        <v/>
      </c>
      <c r="G1776" s="16"/>
      <c r="H1776" s="16"/>
      <c r="I1776" s="16"/>
      <c r="J1776" s="16"/>
      <c r="K1776" s="16"/>
      <c r="L1776" s="18"/>
    </row>
    <row r="1777" customFormat="false" ht="15" hidden="false" customHeight="false" outlineLevel="0" collapsed="false">
      <c r="A1777" s="18"/>
      <c r="B1777" s="16"/>
      <c r="C1777" s="16"/>
      <c r="D1777" s="51" t="str">
        <f aca="false">IF(C1777="","",IFERROR(IF(LEFT(C1777,1)="L",INDEX('Leads Pipeline'!$F$5:$F$1004,MATCH(C1777,'Leads Pipeline'!$A$5:$A$1004,0)),INDEX('Active Clients'!$D$5:$D$504,MATCH(C1777,'Active Clients'!$A$5:$A$504,0)))&amp;"","ID not found"))</f>
        <v/>
      </c>
      <c r="E1777" s="51" t="str">
        <f aca="false">IF(C1777="","",IFERROR(IF(LEFT(C1777,1)="L",INDEX('Leads Pipeline'!$D$5:$D$1004,MATCH(C1777,'Leads Pipeline'!$A$5:$A$1004,0)),INDEX('Active Clients'!$B$5:$B$504,MATCH(C1777,'Active Clients'!$A$5:$A$504,0)))&amp;"","ID not found"))</f>
        <v/>
      </c>
      <c r="F1777" s="51" t="str">
        <f aca="false">IF(C1777="","",IFERROR(IF(LEFT(C1777,1)="L",INDEX('Leads Pipeline'!$E$5:$E$1004,MATCH(C1777,'Leads Pipeline'!$A$5:$A$1004,0)),INDEX('Active Clients'!$C$5:$C$504,MATCH(C1777,'Active Clients'!$A$5:$A$504,0)))&amp;"","ID not found"))</f>
        <v/>
      </c>
      <c r="G1777" s="16"/>
      <c r="H1777" s="16"/>
      <c r="I1777" s="16"/>
      <c r="J1777" s="16"/>
      <c r="K1777" s="16"/>
      <c r="L1777" s="18"/>
    </row>
    <row r="1778" customFormat="false" ht="15" hidden="false" customHeight="false" outlineLevel="0" collapsed="false">
      <c r="A1778" s="18"/>
      <c r="B1778" s="16"/>
      <c r="C1778" s="16"/>
      <c r="D1778" s="51" t="str">
        <f aca="false">IF(C1778="","",IFERROR(IF(LEFT(C1778,1)="L",INDEX('Leads Pipeline'!$F$5:$F$1004,MATCH(C1778,'Leads Pipeline'!$A$5:$A$1004,0)),INDEX('Active Clients'!$D$5:$D$504,MATCH(C1778,'Active Clients'!$A$5:$A$504,0)))&amp;"","ID not found"))</f>
        <v/>
      </c>
      <c r="E1778" s="51" t="str">
        <f aca="false">IF(C1778="","",IFERROR(IF(LEFT(C1778,1)="L",INDEX('Leads Pipeline'!$D$5:$D$1004,MATCH(C1778,'Leads Pipeline'!$A$5:$A$1004,0)),INDEX('Active Clients'!$B$5:$B$504,MATCH(C1778,'Active Clients'!$A$5:$A$504,0)))&amp;"","ID not found"))</f>
        <v/>
      </c>
      <c r="F1778" s="51" t="str">
        <f aca="false">IF(C1778="","",IFERROR(IF(LEFT(C1778,1)="L",INDEX('Leads Pipeline'!$E$5:$E$1004,MATCH(C1778,'Leads Pipeline'!$A$5:$A$1004,0)),INDEX('Active Clients'!$C$5:$C$504,MATCH(C1778,'Active Clients'!$A$5:$A$504,0)))&amp;"","ID not found"))</f>
        <v/>
      </c>
      <c r="G1778" s="16"/>
      <c r="H1778" s="16"/>
      <c r="I1778" s="16"/>
      <c r="J1778" s="16"/>
      <c r="K1778" s="16"/>
      <c r="L1778" s="18"/>
    </row>
    <row r="1779" customFormat="false" ht="15" hidden="false" customHeight="false" outlineLevel="0" collapsed="false">
      <c r="A1779" s="18"/>
      <c r="B1779" s="16"/>
      <c r="C1779" s="16"/>
      <c r="D1779" s="51" t="str">
        <f aca="false">IF(C1779="","",IFERROR(IF(LEFT(C1779,1)="L",INDEX('Leads Pipeline'!$F$5:$F$1004,MATCH(C1779,'Leads Pipeline'!$A$5:$A$1004,0)),INDEX('Active Clients'!$D$5:$D$504,MATCH(C1779,'Active Clients'!$A$5:$A$504,0)))&amp;"","ID not found"))</f>
        <v/>
      </c>
      <c r="E1779" s="51" t="str">
        <f aca="false">IF(C1779="","",IFERROR(IF(LEFT(C1779,1)="L",INDEX('Leads Pipeline'!$D$5:$D$1004,MATCH(C1779,'Leads Pipeline'!$A$5:$A$1004,0)),INDEX('Active Clients'!$B$5:$B$504,MATCH(C1779,'Active Clients'!$A$5:$A$504,0)))&amp;"","ID not found"))</f>
        <v/>
      </c>
      <c r="F1779" s="51" t="str">
        <f aca="false">IF(C1779="","",IFERROR(IF(LEFT(C1779,1)="L",INDEX('Leads Pipeline'!$E$5:$E$1004,MATCH(C1779,'Leads Pipeline'!$A$5:$A$1004,0)),INDEX('Active Clients'!$C$5:$C$504,MATCH(C1779,'Active Clients'!$A$5:$A$504,0)))&amp;"","ID not found"))</f>
        <v/>
      </c>
      <c r="G1779" s="16"/>
      <c r="H1779" s="16"/>
      <c r="I1779" s="16"/>
      <c r="J1779" s="16"/>
      <c r="K1779" s="16"/>
      <c r="L1779" s="18"/>
    </row>
    <row r="1780" customFormat="false" ht="15" hidden="false" customHeight="false" outlineLevel="0" collapsed="false">
      <c r="A1780" s="18"/>
      <c r="B1780" s="16"/>
      <c r="C1780" s="16"/>
      <c r="D1780" s="51" t="str">
        <f aca="false">IF(C1780="","",IFERROR(IF(LEFT(C1780,1)="L",INDEX('Leads Pipeline'!$F$5:$F$1004,MATCH(C1780,'Leads Pipeline'!$A$5:$A$1004,0)),INDEX('Active Clients'!$D$5:$D$504,MATCH(C1780,'Active Clients'!$A$5:$A$504,0)))&amp;"","ID not found"))</f>
        <v/>
      </c>
      <c r="E1780" s="51" t="str">
        <f aca="false">IF(C1780="","",IFERROR(IF(LEFT(C1780,1)="L",INDEX('Leads Pipeline'!$D$5:$D$1004,MATCH(C1780,'Leads Pipeline'!$A$5:$A$1004,0)),INDEX('Active Clients'!$B$5:$B$504,MATCH(C1780,'Active Clients'!$A$5:$A$504,0)))&amp;"","ID not found"))</f>
        <v/>
      </c>
      <c r="F1780" s="51" t="str">
        <f aca="false">IF(C1780="","",IFERROR(IF(LEFT(C1780,1)="L",INDEX('Leads Pipeline'!$E$5:$E$1004,MATCH(C1780,'Leads Pipeline'!$A$5:$A$1004,0)),INDEX('Active Clients'!$C$5:$C$504,MATCH(C1780,'Active Clients'!$A$5:$A$504,0)))&amp;"","ID not found"))</f>
        <v/>
      </c>
      <c r="G1780" s="16"/>
      <c r="H1780" s="16"/>
      <c r="I1780" s="16"/>
      <c r="J1780" s="16"/>
      <c r="K1780" s="16"/>
      <c r="L1780" s="18"/>
    </row>
    <row r="1781" customFormat="false" ht="15" hidden="false" customHeight="false" outlineLevel="0" collapsed="false">
      <c r="A1781" s="18"/>
      <c r="B1781" s="16"/>
      <c r="C1781" s="16"/>
      <c r="D1781" s="51" t="str">
        <f aca="false">IF(C1781="","",IFERROR(IF(LEFT(C1781,1)="L",INDEX('Leads Pipeline'!$F$5:$F$1004,MATCH(C1781,'Leads Pipeline'!$A$5:$A$1004,0)),INDEX('Active Clients'!$D$5:$D$504,MATCH(C1781,'Active Clients'!$A$5:$A$504,0)))&amp;"","ID not found"))</f>
        <v/>
      </c>
      <c r="E1781" s="51" t="str">
        <f aca="false">IF(C1781="","",IFERROR(IF(LEFT(C1781,1)="L",INDEX('Leads Pipeline'!$D$5:$D$1004,MATCH(C1781,'Leads Pipeline'!$A$5:$A$1004,0)),INDEX('Active Clients'!$B$5:$B$504,MATCH(C1781,'Active Clients'!$A$5:$A$504,0)))&amp;"","ID not found"))</f>
        <v/>
      </c>
      <c r="F1781" s="51" t="str">
        <f aca="false">IF(C1781="","",IFERROR(IF(LEFT(C1781,1)="L",INDEX('Leads Pipeline'!$E$5:$E$1004,MATCH(C1781,'Leads Pipeline'!$A$5:$A$1004,0)),INDEX('Active Clients'!$C$5:$C$504,MATCH(C1781,'Active Clients'!$A$5:$A$504,0)))&amp;"","ID not found"))</f>
        <v/>
      </c>
      <c r="G1781" s="16"/>
      <c r="H1781" s="16"/>
      <c r="I1781" s="16"/>
      <c r="J1781" s="16"/>
      <c r="K1781" s="16"/>
      <c r="L1781" s="18"/>
    </row>
    <row r="1782" customFormat="false" ht="15" hidden="false" customHeight="false" outlineLevel="0" collapsed="false">
      <c r="A1782" s="18"/>
      <c r="B1782" s="16"/>
      <c r="C1782" s="16"/>
      <c r="D1782" s="51" t="str">
        <f aca="false">IF(C1782="","",IFERROR(IF(LEFT(C1782,1)="L",INDEX('Leads Pipeline'!$F$5:$F$1004,MATCH(C1782,'Leads Pipeline'!$A$5:$A$1004,0)),INDEX('Active Clients'!$D$5:$D$504,MATCH(C1782,'Active Clients'!$A$5:$A$504,0)))&amp;"","ID not found"))</f>
        <v/>
      </c>
      <c r="E1782" s="51" t="str">
        <f aca="false">IF(C1782="","",IFERROR(IF(LEFT(C1782,1)="L",INDEX('Leads Pipeline'!$D$5:$D$1004,MATCH(C1782,'Leads Pipeline'!$A$5:$A$1004,0)),INDEX('Active Clients'!$B$5:$B$504,MATCH(C1782,'Active Clients'!$A$5:$A$504,0)))&amp;"","ID not found"))</f>
        <v/>
      </c>
      <c r="F1782" s="51" t="str">
        <f aca="false">IF(C1782="","",IFERROR(IF(LEFT(C1782,1)="L",INDEX('Leads Pipeline'!$E$5:$E$1004,MATCH(C1782,'Leads Pipeline'!$A$5:$A$1004,0)),INDEX('Active Clients'!$C$5:$C$504,MATCH(C1782,'Active Clients'!$A$5:$A$504,0)))&amp;"","ID not found"))</f>
        <v/>
      </c>
      <c r="G1782" s="16"/>
      <c r="H1782" s="16"/>
      <c r="I1782" s="16"/>
      <c r="J1782" s="16"/>
      <c r="K1782" s="16"/>
      <c r="L1782" s="18"/>
    </row>
    <row r="1783" customFormat="false" ht="15" hidden="false" customHeight="false" outlineLevel="0" collapsed="false">
      <c r="A1783" s="18"/>
      <c r="B1783" s="16"/>
      <c r="C1783" s="16"/>
      <c r="D1783" s="51" t="str">
        <f aca="false">IF(C1783="","",IFERROR(IF(LEFT(C1783,1)="L",INDEX('Leads Pipeline'!$F$5:$F$1004,MATCH(C1783,'Leads Pipeline'!$A$5:$A$1004,0)),INDEX('Active Clients'!$D$5:$D$504,MATCH(C1783,'Active Clients'!$A$5:$A$504,0)))&amp;"","ID not found"))</f>
        <v/>
      </c>
      <c r="E1783" s="51" t="str">
        <f aca="false">IF(C1783="","",IFERROR(IF(LEFT(C1783,1)="L",INDEX('Leads Pipeline'!$D$5:$D$1004,MATCH(C1783,'Leads Pipeline'!$A$5:$A$1004,0)),INDEX('Active Clients'!$B$5:$B$504,MATCH(C1783,'Active Clients'!$A$5:$A$504,0)))&amp;"","ID not found"))</f>
        <v/>
      </c>
      <c r="F1783" s="51" t="str">
        <f aca="false">IF(C1783="","",IFERROR(IF(LEFT(C1783,1)="L",INDEX('Leads Pipeline'!$E$5:$E$1004,MATCH(C1783,'Leads Pipeline'!$A$5:$A$1004,0)),INDEX('Active Clients'!$C$5:$C$504,MATCH(C1783,'Active Clients'!$A$5:$A$504,0)))&amp;"","ID not found"))</f>
        <v/>
      </c>
      <c r="G1783" s="16"/>
      <c r="H1783" s="16"/>
      <c r="I1783" s="16"/>
      <c r="J1783" s="16"/>
      <c r="K1783" s="16"/>
      <c r="L1783" s="18"/>
    </row>
    <row r="1784" customFormat="false" ht="15" hidden="false" customHeight="false" outlineLevel="0" collapsed="false">
      <c r="A1784" s="18"/>
      <c r="B1784" s="16"/>
      <c r="C1784" s="16"/>
      <c r="D1784" s="51" t="str">
        <f aca="false">IF(C1784="","",IFERROR(IF(LEFT(C1784,1)="L",INDEX('Leads Pipeline'!$F$5:$F$1004,MATCH(C1784,'Leads Pipeline'!$A$5:$A$1004,0)),INDEX('Active Clients'!$D$5:$D$504,MATCH(C1784,'Active Clients'!$A$5:$A$504,0)))&amp;"","ID not found"))</f>
        <v/>
      </c>
      <c r="E1784" s="51" t="str">
        <f aca="false">IF(C1784="","",IFERROR(IF(LEFT(C1784,1)="L",INDEX('Leads Pipeline'!$D$5:$D$1004,MATCH(C1784,'Leads Pipeline'!$A$5:$A$1004,0)),INDEX('Active Clients'!$B$5:$B$504,MATCH(C1784,'Active Clients'!$A$5:$A$504,0)))&amp;"","ID not found"))</f>
        <v/>
      </c>
      <c r="F1784" s="51" t="str">
        <f aca="false">IF(C1784="","",IFERROR(IF(LEFT(C1784,1)="L",INDEX('Leads Pipeline'!$E$5:$E$1004,MATCH(C1784,'Leads Pipeline'!$A$5:$A$1004,0)),INDEX('Active Clients'!$C$5:$C$504,MATCH(C1784,'Active Clients'!$A$5:$A$504,0)))&amp;"","ID not found"))</f>
        <v/>
      </c>
      <c r="G1784" s="16"/>
      <c r="H1784" s="16"/>
      <c r="I1784" s="16"/>
      <c r="J1784" s="16"/>
      <c r="K1784" s="16"/>
      <c r="L1784" s="18"/>
    </row>
    <row r="1785" customFormat="false" ht="15" hidden="false" customHeight="false" outlineLevel="0" collapsed="false">
      <c r="A1785" s="18"/>
      <c r="B1785" s="16"/>
      <c r="C1785" s="16"/>
      <c r="D1785" s="51" t="str">
        <f aca="false">IF(C1785="","",IFERROR(IF(LEFT(C1785,1)="L",INDEX('Leads Pipeline'!$F$5:$F$1004,MATCH(C1785,'Leads Pipeline'!$A$5:$A$1004,0)),INDEX('Active Clients'!$D$5:$D$504,MATCH(C1785,'Active Clients'!$A$5:$A$504,0)))&amp;"","ID not found"))</f>
        <v/>
      </c>
      <c r="E1785" s="51" t="str">
        <f aca="false">IF(C1785="","",IFERROR(IF(LEFT(C1785,1)="L",INDEX('Leads Pipeline'!$D$5:$D$1004,MATCH(C1785,'Leads Pipeline'!$A$5:$A$1004,0)),INDEX('Active Clients'!$B$5:$B$504,MATCH(C1785,'Active Clients'!$A$5:$A$504,0)))&amp;"","ID not found"))</f>
        <v/>
      </c>
      <c r="F1785" s="51" t="str">
        <f aca="false">IF(C1785="","",IFERROR(IF(LEFT(C1785,1)="L",INDEX('Leads Pipeline'!$E$5:$E$1004,MATCH(C1785,'Leads Pipeline'!$A$5:$A$1004,0)),INDEX('Active Clients'!$C$5:$C$504,MATCH(C1785,'Active Clients'!$A$5:$A$504,0)))&amp;"","ID not found"))</f>
        <v/>
      </c>
      <c r="G1785" s="16"/>
      <c r="H1785" s="16"/>
      <c r="I1785" s="16"/>
      <c r="J1785" s="16"/>
      <c r="K1785" s="16"/>
      <c r="L1785" s="18"/>
    </row>
    <row r="1786" customFormat="false" ht="15" hidden="false" customHeight="false" outlineLevel="0" collapsed="false">
      <c r="A1786" s="18"/>
      <c r="B1786" s="16"/>
      <c r="C1786" s="16"/>
      <c r="D1786" s="51" t="str">
        <f aca="false">IF(C1786="","",IFERROR(IF(LEFT(C1786,1)="L",INDEX('Leads Pipeline'!$F$5:$F$1004,MATCH(C1786,'Leads Pipeline'!$A$5:$A$1004,0)),INDEX('Active Clients'!$D$5:$D$504,MATCH(C1786,'Active Clients'!$A$5:$A$504,0)))&amp;"","ID not found"))</f>
        <v/>
      </c>
      <c r="E1786" s="51" t="str">
        <f aca="false">IF(C1786="","",IFERROR(IF(LEFT(C1786,1)="L",INDEX('Leads Pipeline'!$D$5:$D$1004,MATCH(C1786,'Leads Pipeline'!$A$5:$A$1004,0)),INDEX('Active Clients'!$B$5:$B$504,MATCH(C1786,'Active Clients'!$A$5:$A$504,0)))&amp;"","ID not found"))</f>
        <v/>
      </c>
      <c r="F1786" s="51" t="str">
        <f aca="false">IF(C1786="","",IFERROR(IF(LEFT(C1786,1)="L",INDEX('Leads Pipeline'!$E$5:$E$1004,MATCH(C1786,'Leads Pipeline'!$A$5:$A$1004,0)),INDEX('Active Clients'!$C$5:$C$504,MATCH(C1786,'Active Clients'!$A$5:$A$504,0)))&amp;"","ID not found"))</f>
        <v/>
      </c>
      <c r="G1786" s="16"/>
      <c r="H1786" s="16"/>
      <c r="I1786" s="16"/>
      <c r="J1786" s="16"/>
      <c r="K1786" s="16"/>
      <c r="L1786" s="18"/>
    </row>
    <row r="1787" customFormat="false" ht="15" hidden="false" customHeight="false" outlineLevel="0" collapsed="false">
      <c r="A1787" s="18"/>
      <c r="B1787" s="16"/>
      <c r="C1787" s="16"/>
      <c r="D1787" s="51" t="str">
        <f aca="false">IF(C1787="","",IFERROR(IF(LEFT(C1787,1)="L",INDEX('Leads Pipeline'!$F$5:$F$1004,MATCH(C1787,'Leads Pipeline'!$A$5:$A$1004,0)),INDEX('Active Clients'!$D$5:$D$504,MATCH(C1787,'Active Clients'!$A$5:$A$504,0)))&amp;"","ID not found"))</f>
        <v/>
      </c>
      <c r="E1787" s="51" t="str">
        <f aca="false">IF(C1787="","",IFERROR(IF(LEFT(C1787,1)="L",INDEX('Leads Pipeline'!$D$5:$D$1004,MATCH(C1787,'Leads Pipeline'!$A$5:$A$1004,0)),INDEX('Active Clients'!$B$5:$B$504,MATCH(C1787,'Active Clients'!$A$5:$A$504,0)))&amp;"","ID not found"))</f>
        <v/>
      </c>
      <c r="F1787" s="51" t="str">
        <f aca="false">IF(C1787="","",IFERROR(IF(LEFT(C1787,1)="L",INDEX('Leads Pipeline'!$E$5:$E$1004,MATCH(C1787,'Leads Pipeline'!$A$5:$A$1004,0)),INDEX('Active Clients'!$C$5:$C$504,MATCH(C1787,'Active Clients'!$A$5:$A$504,0)))&amp;"","ID not found"))</f>
        <v/>
      </c>
      <c r="G1787" s="16"/>
      <c r="H1787" s="16"/>
      <c r="I1787" s="16"/>
      <c r="J1787" s="16"/>
      <c r="K1787" s="16"/>
      <c r="L1787" s="18"/>
    </row>
    <row r="1788" customFormat="false" ht="15" hidden="false" customHeight="false" outlineLevel="0" collapsed="false">
      <c r="A1788" s="18"/>
      <c r="B1788" s="16"/>
      <c r="C1788" s="16"/>
      <c r="D1788" s="51" t="str">
        <f aca="false">IF(C1788="","",IFERROR(IF(LEFT(C1788,1)="L",INDEX('Leads Pipeline'!$F$5:$F$1004,MATCH(C1788,'Leads Pipeline'!$A$5:$A$1004,0)),INDEX('Active Clients'!$D$5:$D$504,MATCH(C1788,'Active Clients'!$A$5:$A$504,0)))&amp;"","ID not found"))</f>
        <v/>
      </c>
      <c r="E1788" s="51" t="str">
        <f aca="false">IF(C1788="","",IFERROR(IF(LEFT(C1788,1)="L",INDEX('Leads Pipeline'!$D$5:$D$1004,MATCH(C1788,'Leads Pipeline'!$A$5:$A$1004,0)),INDEX('Active Clients'!$B$5:$B$504,MATCH(C1788,'Active Clients'!$A$5:$A$504,0)))&amp;"","ID not found"))</f>
        <v/>
      </c>
      <c r="F1788" s="51" t="str">
        <f aca="false">IF(C1788="","",IFERROR(IF(LEFT(C1788,1)="L",INDEX('Leads Pipeline'!$E$5:$E$1004,MATCH(C1788,'Leads Pipeline'!$A$5:$A$1004,0)),INDEX('Active Clients'!$C$5:$C$504,MATCH(C1788,'Active Clients'!$A$5:$A$504,0)))&amp;"","ID not found"))</f>
        <v/>
      </c>
      <c r="G1788" s="16"/>
      <c r="H1788" s="16"/>
      <c r="I1788" s="16"/>
      <c r="J1788" s="16"/>
      <c r="K1788" s="16"/>
      <c r="L1788" s="18"/>
    </row>
    <row r="1789" customFormat="false" ht="15" hidden="false" customHeight="false" outlineLevel="0" collapsed="false">
      <c r="A1789" s="18"/>
      <c r="B1789" s="16"/>
      <c r="C1789" s="16"/>
      <c r="D1789" s="51" t="str">
        <f aca="false">IF(C1789="","",IFERROR(IF(LEFT(C1789,1)="L",INDEX('Leads Pipeline'!$F$5:$F$1004,MATCH(C1789,'Leads Pipeline'!$A$5:$A$1004,0)),INDEX('Active Clients'!$D$5:$D$504,MATCH(C1789,'Active Clients'!$A$5:$A$504,0)))&amp;"","ID not found"))</f>
        <v/>
      </c>
      <c r="E1789" s="51" t="str">
        <f aca="false">IF(C1789="","",IFERROR(IF(LEFT(C1789,1)="L",INDEX('Leads Pipeline'!$D$5:$D$1004,MATCH(C1789,'Leads Pipeline'!$A$5:$A$1004,0)),INDEX('Active Clients'!$B$5:$B$504,MATCH(C1789,'Active Clients'!$A$5:$A$504,0)))&amp;"","ID not found"))</f>
        <v/>
      </c>
      <c r="F1789" s="51" t="str">
        <f aca="false">IF(C1789="","",IFERROR(IF(LEFT(C1789,1)="L",INDEX('Leads Pipeline'!$E$5:$E$1004,MATCH(C1789,'Leads Pipeline'!$A$5:$A$1004,0)),INDEX('Active Clients'!$C$5:$C$504,MATCH(C1789,'Active Clients'!$A$5:$A$504,0)))&amp;"","ID not found"))</f>
        <v/>
      </c>
      <c r="G1789" s="16"/>
      <c r="H1789" s="16"/>
      <c r="I1789" s="16"/>
      <c r="J1789" s="16"/>
      <c r="K1789" s="16"/>
      <c r="L1789" s="18"/>
    </row>
    <row r="1790" customFormat="false" ht="15" hidden="false" customHeight="false" outlineLevel="0" collapsed="false">
      <c r="A1790" s="18"/>
      <c r="B1790" s="16"/>
      <c r="C1790" s="16"/>
      <c r="D1790" s="51" t="str">
        <f aca="false">IF(C1790="","",IFERROR(IF(LEFT(C1790,1)="L",INDEX('Leads Pipeline'!$F$5:$F$1004,MATCH(C1790,'Leads Pipeline'!$A$5:$A$1004,0)),INDEX('Active Clients'!$D$5:$D$504,MATCH(C1790,'Active Clients'!$A$5:$A$504,0)))&amp;"","ID not found"))</f>
        <v/>
      </c>
      <c r="E1790" s="51" t="str">
        <f aca="false">IF(C1790="","",IFERROR(IF(LEFT(C1790,1)="L",INDEX('Leads Pipeline'!$D$5:$D$1004,MATCH(C1790,'Leads Pipeline'!$A$5:$A$1004,0)),INDEX('Active Clients'!$B$5:$B$504,MATCH(C1790,'Active Clients'!$A$5:$A$504,0)))&amp;"","ID not found"))</f>
        <v/>
      </c>
      <c r="F1790" s="51" t="str">
        <f aca="false">IF(C1790="","",IFERROR(IF(LEFT(C1790,1)="L",INDEX('Leads Pipeline'!$E$5:$E$1004,MATCH(C1790,'Leads Pipeline'!$A$5:$A$1004,0)),INDEX('Active Clients'!$C$5:$C$504,MATCH(C1790,'Active Clients'!$A$5:$A$504,0)))&amp;"","ID not found"))</f>
        <v/>
      </c>
      <c r="G1790" s="16"/>
      <c r="H1790" s="16"/>
      <c r="I1790" s="16"/>
      <c r="J1790" s="16"/>
      <c r="K1790" s="16"/>
      <c r="L1790" s="18"/>
    </row>
    <row r="1791" customFormat="false" ht="15" hidden="false" customHeight="false" outlineLevel="0" collapsed="false">
      <c r="A1791" s="18"/>
      <c r="B1791" s="16"/>
      <c r="C1791" s="16"/>
      <c r="D1791" s="51" t="str">
        <f aca="false">IF(C1791="","",IFERROR(IF(LEFT(C1791,1)="L",INDEX('Leads Pipeline'!$F$5:$F$1004,MATCH(C1791,'Leads Pipeline'!$A$5:$A$1004,0)),INDEX('Active Clients'!$D$5:$D$504,MATCH(C1791,'Active Clients'!$A$5:$A$504,0)))&amp;"","ID not found"))</f>
        <v/>
      </c>
      <c r="E1791" s="51" t="str">
        <f aca="false">IF(C1791="","",IFERROR(IF(LEFT(C1791,1)="L",INDEX('Leads Pipeline'!$D$5:$D$1004,MATCH(C1791,'Leads Pipeline'!$A$5:$A$1004,0)),INDEX('Active Clients'!$B$5:$B$504,MATCH(C1791,'Active Clients'!$A$5:$A$504,0)))&amp;"","ID not found"))</f>
        <v/>
      </c>
      <c r="F1791" s="51" t="str">
        <f aca="false">IF(C1791="","",IFERROR(IF(LEFT(C1791,1)="L",INDEX('Leads Pipeline'!$E$5:$E$1004,MATCH(C1791,'Leads Pipeline'!$A$5:$A$1004,0)),INDEX('Active Clients'!$C$5:$C$504,MATCH(C1791,'Active Clients'!$A$5:$A$504,0)))&amp;"","ID not found"))</f>
        <v/>
      </c>
      <c r="G1791" s="16"/>
      <c r="H1791" s="16"/>
      <c r="I1791" s="16"/>
      <c r="J1791" s="16"/>
      <c r="K1791" s="16"/>
      <c r="L1791" s="18"/>
    </row>
    <row r="1792" customFormat="false" ht="15" hidden="false" customHeight="false" outlineLevel="0" collapsed="false">
      <c r="A1792" s="18"/>
      <c r="B1792" s="16"/>
      <c r="C1792" s="16"/>
      <c r="D1792" s="51" t="str">
        <f aca="false">IF(C1792="","",IFERROR(IF(LEFT(C1792,1)="L",INDEX('Leads Pipeline'!$F$5:$F$1004,MATCH(C1792,'Leads Pipeline'!$A$5:$A$1004,0)),INDEX('Active Clients'!$D$5:$D$504,MATCH(C1792,'Active Clients'!$A$5:$A$504,0)))&amp;"","ID not found"))</f>
        <v/>
      </c>
      <c r="E1792" s="51" t="str">
        <f aca="false">IF(C1792="","",IFERROR(IF(LEFT(C1792,1)="L",INDEX('Leads Pipeline'!$D$5:$D$1004,MATCH(C1792,'Leads Pipeline'!$A$5:$A$1004,0)),INDEX('Active Clients'!$B$5:$B$504,MATCH(C1792,'Active Clients'!$A$5:$A$504,0)))&amp;"","ID not found"))</f>
        <v/>
      </c>
      <c r="F1792" s="51" t="str">
        <f aca="false">IF(C1792="","",IFERROR(IF(LEFT(C1792,1)="L",INDEX('Leads Pipeline'!$E$5:$E$1004,MATCH(C1792,'Leads Pipeline'!$A$5:$A$1004,0)),INDEX('Active Clients'!$C$5:$C$504,MATCH(C1792,'Active Clients'!$A$5:$A$504,0)))&amp;"","ID not found"))</f>
        <v/>
      </c>
      <c r="G1792" s="16"/>
      <c r="H1792" s="16"/>
      <c r="I1792" s="16"/>
      <c r="J1792" s="16"/>
      <c r="K1792" s="16"/>
      <c r="L1792" s="18"/>
    </row>
    <row r="1793" customFormat="false" ht="15" hidden="false" customHeight="false" outlineLevel="0" collapsed="false">
      <c r="A1793" s="18"/>
      <c r="B1793" s="16"/>
      <c r="C1793" s="16"/>
      <c r="D1793" s="51" t="str">
        <f aca="false">IF(C1793="","",IFERROR(IF(LEFT(C1793,1)="L",INDEX('Leads Pipeline'!$F$5:$F$1004,MATCH(C1793,'Leads Pipeline'!$A$5:$A$1004,0)),INDEX('Active Clients'!$D$5:$D$504,MATCH(C1793,'Active Clients'!$A$5:$A$504,0)))&amp;"","ID not found"))</f>
        <v/>
      </c>
      <c r="E1793" s="51" t="str">
        <f aca="false">IF(C1793="","",IFERROR(IF(LEFT(C1793,1)="L",INDEX('Leads Pipeline'!$D$5:$D$1004,MATCH(C1793,'Leads Pipeline'!$A$5:$A$1004,0)),INDEX('Active Clients'!$B$5:$B$504,MATCH(C1793,'Active Clients'!$A$5:$A$504,0)))&amp;"","ID not found"))</f>
        <v/>
      </c>
      <c r="F1793" s="51" t="str">
        <f aca="false">IF(C1793="","",IFERROR(IF(LEFT(C1793,1)="L",INDEX('Leads Pipeline'!$E$5:$E$1004,MATCH(C1793,'Leads Pipeline'!$A$5:$A$1004,0)),INDEX('Active Clients'!$C$5:$C$504,MATCH(C1793,'Active Clients'!$A$5:$A$504,0)))&amp;"","ID not found"))</f>
        <v/>
      </c>
      <c r="G1793" s="16"/>
      <c r="H1793" s="16"/>
      <c r="I1793" s="16"/>
      <c r="J1793" s="16"/>
      <c r="K1793" s="16"/>
      <c r="L1793" s="18"/>
    </row>
    <row r="1794" customFormat="false" ht="15" hidden="false" customHeight="false" outlineLevel="0" collapsed="false">
      <c r="A1794" s="18"/>
      <c r="B1794" s="16"/>
      <c r="C1794" s="16"/>
      <c r="D1794" s="51" t="str">
        <f aca="false">IF(C1794="","",IFERROR(IF(LEFT(C1794,1)="L",INDEX('Leads Pipeline'!$F$5:$F$1004,MATCH(C1794,'Leads Pipeline'!$A$5:$A$1004,0)),INDEX('Active Clients'!$D$5:$D$504,MATCH(C1794,'Active Clients'!$A$5:$A$504,0)))&amp;"","ID not found"))</f>
        <v/>
      </c>
      <c r="E1794" s="51" t="str">
        <f aca="false">IF(C1794="","",IFERROR(IF(LEFT(C1794,1)="L",INDEX('Leads Pipeline'!$D$5:$D$1004,MATCH(C1794,'Leads Pipeline'!$A$5:$A$1004,0)),INDEX('Active Clients'!$B$5:$B$504,MATCH(C1794,'Active Clients'!$A$5:$A$504,0)))&amp;"","ID not found"))</f>
        <v/>
      </c>
      <c r="F1794" s="51" t="str">
        <f aca="false">IF(C1794="","",IFERROR(IF(LEFT(C1794,1)="L",INDEX('Leads Pipeline'!$E$5:$E$1004,MATCH(C1794,'Leads Pipeline'!$A$5:$A$1004,0)),INDEX('Active Clients'!$C$5:$C$504,MATCH(C1794,'Active Clients'!$A$5:$A$504,0)))&amp;"","ID not found"))</f>
        <v/>
      </c>
      <c r="G1794" s="16"/>
      <c r="H1794" s="16"/>
      <c r="I1794" s="16"/>
      <c r="J1794" s="16"/>
      <c r="K1794" s="16"/>
      <c r="L1794" s="18"/>
    </row>
    <row r="1795" customFormat="false" ht="15" hidden="false" customHeight="false" outlineLevel="0" collapsed="false">
      <c r="A1795" s="18"/>
      <c r="B1795" s="16"/>
      <c r="C1795" s="16"/>
      <c r="D1795" s="51" t="str">
        <f aca="false">IF(C1795="","",IFERROR(IF(LEFT(C1795,1)="L",INDEX('Leads Pipeline'!$F$5:$F$1004,MATCH(C1795,'Leads Pipeline'!$A$5:$A$1004,0)),INDEX('Active Clients'!$D$5:$D$504,MATCH(C1795,'Active Clients'!$A$5:$A$504,0)))&amp;"","ID not found"))</f>
        <v/>
      </c>
      <c r="E1795" s="51" t="str">
        <f aca="false">IF(C1795="","",IFERROR(IF(LEFT(C1795,1)="L",INDEX('Leads Pipeline'!$D$5:$D$1004,MATCH(C1795,'Leads Pipeline'!$A$5:$A$1004,0)),INDEX('Active Clients'!$B$5:$B$504,MATCH(C1795,'Active Clients'!$A$5:$A$504,0)))&amp;"","ID not found"))</f>
        <v/>
      </c>
      <c r="F1795" s="51" t="str">
        <f aca="false">IF(C1795="","",IFERROR(IF(LEFT(C1795,1)="L",INDEX('Leads Pipeline'!$E$5:$E$1004,MATCH(C1795,'Leads Pipeline'!$A$5:$A$1004,0)),INDEX('Active Clients'!$C$5:$C$504,MATCH(C1795,'Active Clients'!$A$5:$A$504,0)))&amp;"","ID not found"))</f>
        <v/>
      </c>
      <c r="G1795" s="16"/>
      <c r="H1795" s="16"/>
      <c r="I1795" s="16"/>
      <c r="J1795" s="16"/>
      <c r="K1795" s="16"/>
      <c r="L1795" s="18"/>
    </row>
    <row r="1796" customFormat="false" ht="15" hidden="false" customHeight="false" outlineLevel="0" collapsed="false">
      <c r="A1796" s="18"/>
      <c r="B1796" s="16"/>
      <c r="C1796" s="16"/>
      <c r="D1796" s="51" t="str">
        <f aca="false">IF(C1796="","",IFERROR(IF(LEFT(C1796,1)="L",INDEX('Leads Pipeline'!$F$5:$F$1004,MATCH(C1796,'Leads Pipeline'!$A$5:$A$1004,0)),INDEX('Active Clients'!$D$5:$D$504,MATCH(C1796,'Active Clients'!$A$5:$A$504,0)))&amp;"","ID not found"))</f>
        <v/>
      </c>
      <c r="E1796" s="51" t="str">
        <f aca="false">IF(C1796="","",IFERROR(IF(LEFT(C1796,1)="L",INDEX('Leads Pipeline'!$D$5:$D$1004,MATCH(C1796,'Leads Pipeline'!$A$5:$A$1004,0)),INDEX('Active Clients'!$B$5:$B$504,MATCH(C1796,'Active Clients'!$A$5:$A$504,0)))&amp;"","ID not found"))</f>
        <v/>
      </c>
      <c r="F1796" s="51" t="str">
        <f aca="false">IF(C1796="","",IFERROR(IF(LEFT(C1796,1)="L",INDEX('Leads Pipeline'!$E$5:$E$1004,MATCH(C1796,'Leads Pipeline'!$A$5:$A$1004,0)),INDEX('Active Clients'!$C$5:$C$504,MATCH(C1796,'Active Clients'!$A$5:$A$504,0)))&amp;"","ID not found"))</f>
        <v/>
      </c>
      <c r="G1796" s="16"/>
      <c r="H1796" s="16"/>
      <c r="I1796" s="16"/>
      <c r="J1796" s="16"/>
      <c r="K1796" s="16"/>
      <c r="L1796" s="18"/>
    </row>
    <row r="1797" customFormat="false" ht="15" hidden="false" customHeight="false" outlineLevel="0" collapsed="false">
      <c r="A1797" s="18"/>
      <c r="B1797" s="16"/>
      <c r="C1797" s="16"/>
      <c r="D1797" s="51" t="str">
        <f aca="false">IF(C1797="","",IFERROR(IF(LEFT(C1797,1)="L",INDEX('Leads Pipeline'!$F$5:$F$1004,MATCH(C1797,'Leads Pipeline'!$A$5:$A$1004,0)),INDEX('Active Clients'!$D$5:$D$504,MATCH(C1797,'Active Clients'!$A$5:$A$504,0)))&amp;"","ID not found"))</f>
        <v/>
      </c>
      <c r="E1797" s="51" t="str">
        <f aca="false">IF(C1797="","",IFERROR(IF(LEFT(C1797,1)="L",INDEX('Leads Pipeline'!$D$5:$D$1004,MATCH(C1797,'Leads Pipeline'!$A$5:$A$1004,0)),INDEX('Active Clients'!$B$5:$B$504,MATCH(C1797,'Active Clients'!$A$5:$A$504,0)))&amp;"","ID not found"))</f>
        <v/>
      </c>
      <c r="F1797" s="51" t="str">
        <f aca="false">IF(C1797="","",IFERROR(IF(LEFT(C1797,1)="L",INDEX('Leads Pipeline'!$E$5:$E$1004,MATCH(C1797,'Leads Pipeline'!$A$5:$A$1004,0)),INDEX('Active Clients'!$C$5:$C$504,MATCH(C1797,'Active Clients'!$A$5:$A$504,0)))&amp;"","ID not found"))</f>
        <v/>
      </c>
      <c r="G1797" s="16"/>
      <c r="H1797" s="16"/>
      <c r="I1797" s="16"/>
      <c r="J1797" s="16"/>
      <c r="K1797" s="16"/>
      <c r="L1797" s="18"/>
    </row>
    <row r="1798" customFormat="false" ht="15" hidden="false" customHeight="false" outlineLevel="0" collapsed="false">
      <c r="A1798" s="18"/>
      <c r="B1798" s="16"/>
      <c r="C1798" s="16"/>
      <c r="D1798" s="51" t="str">
        <f aca="false">IF(C1798="","",IFERROR(IF(LEFT(C1798,1)="L",INDEX('Leads Pipeline'!$F$5:$F$1004,MATCH(C1798,'Leads Pipeline'!$A$5:$A$1004,0)),INDEX('Active Clients'!$D$5:$D$504,MATCH(C1798,'Active Clients'!$A$5:$A$504,0)))&amp;"","ID not found"))</f>
        <v/>
      </c>
      <c r="E1798" s="51" t="str">
        <f aca="false">IF(C1798="","",IFERROR(IF(LEFT(C1798,1)="L",INDEX('Leads Pipeline'!$D$5:$D$1004,MATCH(C1798,'Leads Pipeline'!$A$5:$A$1004,0)),INDEX('Active Clients'!$B$5:$B$504,MATCH(C1798,'Active Clients'!$A$5:$A$504,0)))&amp;"","ID not found"))</f>
        <v/>
      </c>
      <c r="F1798" s="51" t="str">
        <f aca="false">IF(C1798="","",IFERROR(IF(LEFT(C1798,1)="L",INDEX('Leads Pipeline'!$E$5:$E$1004,MATCH(C1798,'Leads Pipeline'!$A$5:$A$1004,0)),INDEX('Active Clients'!$C$5:$C$504,MATCH(C1798,'Active Clients'!$A$5:$A$504,0)))&amp;"","ID not found"))</f>
        <v/>
      </c>
      <c r="G1798" s="16"/>
      <c r="H1798" s="16"/>
      <c r="I1798" s="16"/>
      <c r="J1798" s="16"/>
      <c r="K1798" s="16"/>
      <c r="L1798" s="18"/>
    </row>
    <row r="1799" customFormat="false" ht="15" hidden="false" customHeight="false" outlineLevel="0" collapsed="false">
      <c r="A1799" s="18"/>
      <c r="B1799" s="16"/>
      <c r="C1799" s="16"/>
      <c r="D1799" s="51" t="str">
        <f aca="false">IF(C1799="","",IFERROR(IF(LEFT(C1799,1)="L",INDEX('Leads Pipeline'!$F$5:$F$1004,MATCH(C1799,'Leads Pipeline'!$A$5:$A$1004,0)),INDEX('Active Clients'!$D$5:$D$504,MATCH(C1799,'Active Clients'!$A$5:$A$504,0)))&amp;"","ID not found"))</f>
        <v/>
      </c>
      <c r="E1799" s="51" t="str">
        <f aca="false">IF(C1799="","",IFERROR(IF(LEFT(C1799,1)="L",INDEX('Leads Pipeline'!$D$5:$D$1004,MATCH(C1799,'Leads Pipeline'!$A$5:$A$1004,0)),INDEX('Active Clients'!$B$5:$B$504,MATCH(C1799,'Active Clients'!$A$5:$A$504,0)))&amp;"","ID not found"))</f>
        <v/>
      </c>
      <c r="F1799" s="51" t="str">
        <f aca="false">IF(C1799="","",IFERROR(IF(LEFT(C1799,1)="L",INDEX('Leads Pipeline'!$E$5:$E$1004,MATCH(C1799,'Leads Pipeline'!$A$5:$A$1004,0)),INDEX('Active Clients'!$C$5:$C$504,MATCH(C1799,'Active Clients'!$A$5:$A$504,0)))&amp;"","ID not found"))</f>
        <v/>
      </c>
      <c r="G1799" s="16"/>
      <c r="H1799" s="16"/>
      <c r="I1799" s="16"/>
      <c r="J1799" s="16"/>
      <c r="K1799" s="16"/>
      <c r="L1799" s="18"/>
    </row>
    <row r="1800" customFormat="false" ht="15" hidden="false" customHeight="false" outlineLevel="0" collapsed="false">
      <c r="A1800" s="18"/>
      <c r="B1800" s="16"/>
      <c r="C1800" s="16"/>
      <c r="D1800" s="51" t="str">
        <f aca="false">IF(C1800="","",IFERROR(IF(LEFT(C1800,1)="L",INDEX('Leads Pipeline'!$F$5:$F$1004,MATCH(C1800,'Leads Pipeline'!$A$5:$A$1004,0)),INDEX('Active Clients'!$D$5:$D$504,MATCH(C1800,'Active Clients'!$A$5:$A$504,0)))&amp;"","ID not found"))</f>
        <v/>
      </c>
      <c r="E1800" s="51" t="str">
        <f aca="false">IF(C1800="","",IFERROR(IF(LEFT(C1800,1)="L",INDEX('Leads Pipeline'!$D$5:$D$1004,MATCH(C1800,'Leads Pipeline'!$A$5:$A$1004,0)),INDEX('Active Clients'!$B$5:$B$504,MATCH(C1800,'Active Clients'!$A$5:$A$504,0)))&amp;"","ID not found"))</f>
        <v/>
      </c>
      <c r="F1800" s="51" t="str">
        <f aca="false">IF(C1800="","",IFERROR(IF(LEFT(C1800,1)="L",INDEX('Leads Pipeline'!$E$5:$E$1004,MATCH(C1800,'Leads Pipeline'!$A$5:$A$1004,0)),INDEX('Active Clients'!$C$5:$C$504,MATCH(C1800,'Active Clients'!$A$5:$A$504,0)))&amp;"","ID not found"))</f>
        <v/>
      </c>
      <c r="G1800" s="16"/>
      <c r="H1800" s="16"/>
      <c r="I1800" s="16"/>
      <c r="J1800" s="16"/>
      <c r="K1800" s="16"/>
      <c r="L1800" s="18"/>
    </row>
    <row r="1801" customFormat="false" ht="15" hidden="false" customHeight="false" outlineLevel="0" collapsed="false">
      <c r="A1801" s="18"/>
      <c r="B1801" s="16"/>
      <c r="C1801" s="16"/>
      <c r="D1801" s="51" t="str">
        <f aca="false">IF(C1801="","",IFERROR(IF(LEFT(C1801,1)="L",INDEX('Leads Pipeline'!$F$5:$F$1004,MATCH(C1801,'Leads Pipeline'!$A$5:$A$1004,0)),INDEX('Active Clients'!$D$5:$D$504,MATCH(C1801,'Active Clients'!$A$5:$A$504,0)))&amp;"","ID not found"))</f>
        <v/>
      </c>
      <c r="E1801" s="51" t="str">
        <f aca="false">IF(C1801="","",IFERROR(IF(LEFT(C1801,1)="L",INDEX('Leads Pipeline'!$D$5:$D$1004,MATCH(C1801,'Leads Pipeline'!$A$5:$A$1004,0)),INDEX('Active Clients'!$B$5:$B$504,MATCH(C1801,'Active Clients'!$A$5:$A$504,0)))&amp;"","ID not found"))</f>
        <v/>
      </c>
      <c r="F1801" s="51" t="str">
        <f aca="false">IF(C1801="","",IFERROR(IF(LEFT(C1801,1)="L",INDEX('Leads Pipeline'!$E$5:$E$1004,MATCH(C1801,'Leads Pipeline'!$A$5:$A$1004,0)),INDEX('Active Clients'!$C$5:$C$504,MATCH(C1801,'Active Clients'!$A$5:$A$504,0)))&amp;"","ID not found"))</f>
        <v/>
      </c>
      <c r="G1801" s="16"/>
      <c r="H1801" s="16"/>
      <c r="I1801" s="16"/>
      <c r="J1801" s="16"/>
      <c r="K1801" s="16"/>
      <c r="L1801" s="18"/>
    </row>
    <row r="1802" customFormat="false" ht="15" hidden="false" customHeight="false" outlineLevel="0" collapsed="false">
      <c r="A1802" s="18"/>
      <c r="B1802" s="16"/>
      <c r="C1802" s="16"/>
      <c r="D1802" s="51" t="str">
        <f aca="false">IF(C1802="","",IFERROR(IF(LEFT(C1802,1)="L",INDEX('Leads Pipeline'!$F$5:$F$1004,MATCH(C1802,'Leads Pipeline'!$A$5:$A$1004,0)),INDEX('Active Clients'!$D$5:$D$504,MATCH(C1802,'Active Clients'!$A$5:$A$504,0)))&amp;"","ID not found"))</f>
        <v/>
      </c>
      <c r="E1802" s="51" t="str">
        <f aca="false">IF(C1802="","",IFERROR(IF(LEFT(C1802,1)="L",INDEX('Leads Pipeline'!$D$5:$D$1004,MATCH(C1802,'Leads Pipeline'!$A$5:$A$1004,0)),INDEX('Active Clients'!$B$5:$B$504,MATCH(C1802,'Active Clients'!$A$5:$A$504,0)))&amp;"","ID not found"))</f>
        <v/>
      </c>
      <c r="F1802" s="51" t="str">
        <f aca="false">IF(C1802="","",IFERROR(IF(LEFT(C1802,1)="L",INDEX('Leads Pipeline'!$E$5:$E$1004,MATCH(C1802,'Leads Pipeline'!$A$5:$A$1004,0)),INDEX('Active Clients'!$C$5:$C$504,MATCH(C1802,'Active Clients'!$A$5:$A$504,0)))&amp;"","ID not found"))</f>
        <v/>
      </c>
      <c r="G1802" s="16"/>
      <c r="H1802" s="16"/>
      <c r="I1802" s="16"/>
      <c r="J1802" s="16"/>
      <c r="K1802" s="16"/>
      <c r="L1802" s="18"/>
    </row>
    <row r="1803" customFormat="false" ht="15" hidden="false" customHeight="false" outlineLevel="0" collapsed="false">
      <c r="A1803" s="18"/>
      <c r="B1803" s="16"/>
      <c r="C1803" s="16"/>
      <c r="D1803" s="51" t="str">
        <f aca="false">IF(C1803="","",IFERROR(IF(LEFT(C1803,1)="L",INDEX('Leads Pipeline'!$F$5:$F$1004,MATCH(C1803,'Leads Pipeline'!$A$5:$A$1004,0)),INDEX('Active Clients'!$D$5:$D$504,MATCH(C1803,'Active Clients'!$A$5:$A$504,0)))&amp;"","ID not found"))</f>
        <v/>
      </c>
      <c r="E1803" s="51" t="str">
        <f aca="false">IF(C1803="","",IFERROR(IF(LEFT(C1803,1)="L",INDEX('Leads Pipeline'!$D$5:$D$1004,MATCH(C1803,'Leads Pipeline'!$A$5:$A$1004,0)),INDEX('Active Clients'!$B$5:$B$504,MATCH(C1803,'Active Clients'!$A$5:$A$504,0)))&amp;"","ID not found"))</f>
        <v/>
      </c>
      <c r="F1803" s="51" t="str">
        <f aca="false">IF(C1803="","",IFERROR(IF(LEFT(C1803,1)="L",INDEX('Leads Pipeline'!$E$5:$E$1004,MATCH(C1803,'Leads Pipeline'!$A$5:$A$1004,0)),INDEX('Active Clients'!$C$5:$C$504,MATCH(C1803,'Active Clients'!$A$5:$A$504,0)))&amp;"","ID not found"))</f>
        <v/>
      </c>
      <c r="G1803" s="16"/>
      <c r="H1803" s="16"/>
      <c r="I1803" s="16"/>
      <c r="J1803" s="16"/>
      <c r="K1803" s="16"/>
      <c r="L1803" s="18"/>
    </row>
    <row r="1804" customFormat="false" ht="15" hidden="false" customHeight="false" outlineLevel="0" collapsed="false">
      <c r="A1804" s="18"/>
      <c r="B1804" s="16"/>
      <c r="C1804" s="16"/>
      <c r="D1804" s="51" t="str">
        <f aca="false">IF(C1804="","",IFERROR(IF(LEFT(C1804,1)="L",INDEX('Leads Pipeline'!$F$5:$F$1004,MATCH(C1804,'Leads Pipeline'!$A$5:$A$1004,0)),INDEX('Active Clients'!$D$5:$D$504,MATCH(C1804,'Active Clients'!$A$5:$A$504,0)))&amp;"","ID not found"))</f>
        <v/>
      </c>
      <c r="E1804" s="51" t="str">
        <f aca="false">IF(C1804="","",IFERROR(IF(LEFT(C1804,1)="L",INDEX('Leads Pipeline'!$D$5:$D$1004,MATCH(C1804,'Leads Pipeline'!$A$5:$A$1004,0)),INDEX('Active Clients'!$B$5:$B$504,MATCH(C1804,'Active Clients'!$A$5:$A$504,0)))&amp;"","ID not found"))</f>
        <v/>
      </c>
      <c r="F1804" s="51" t="str">
        <f aca="false">IF(C1804="","",IFERROR(IF(LEFT(C1804,1)="L",INDEX('Leads Pipeline'!$E$5:$E$1004,MATCH(C1804,'Leads Pipeline'!$A$5:$A$1004,0)),INDEX('Active Clients'!$C$5:$C$504,MATCH(C1804,'Active Clients'!$A$5:$A$504,0)))&amp;"","ID not found"))</f>
        <v/>
      </c>
      <c r="G1804" s="16"/>
      <c r="H1804" s="16"/>
      <c r="I1804" s="16"/>
      <c r="J1804" s="16"/>
      <c r="K1804" s="16"/>
      <c r="L1804" s="18"/>
    </row>
    <row r="1805" customFormat="false" ht="15" hidden="false" customHeight="false" outlineLevel="0" collapsed="false">
      <c r="A1805" s="18"/>
      <c r="B1805" s="16"/>
      <c r="C1805" s="16"/>
      <c r="D1805" s="51" t="str">
        <f aca="false">IF(C1805="","",IFERROR(IF(LEFT(C1805,1)="L",INDEX('Leads Pipeline'!$F$5:$F$1004,MATCH(C1805,'Leads Pipeline'!$A$5:$A$1004,0)),INDEX('Active Clients'!$D$5:$D$504,MATCH(C1805,'Active Clients'!$A$5:$A$504,0)))&amp;"","ID not found"))</f>
        <v/>
      </c>
      <c r="E1805" s="51" t="str">
        <f aca="false">IF(C1805="","",IFERROR(IF(LEFT(C1805,1)="L",INDEX('Leads Pipeline'!$D$5:$D$1004,MATCH(C1805,'Leads Pipeline'!$A$5:$A$1004,0)),INDEX('Active Clients'!$B$5:$B$504,MATCH(C1805,'Active Clients'!$A$5:$A$504,0)))&amp;"","ID not found"))</f>
        <v/>
      </c>
      <c r="F1805" s="51" t="str">
        <f aca="false">IF(C1805="","",IFERROR(IF(LEFT(C1805,1)="L",INDEX('Leads Pipeline'!$E$5:$E$1004,MATCH(C1805,'Leads Pipeline'!$A$5:$A$1004,0)),INDEX('Active Clients'!$C$5:$C$504,MATCH(C1805,'Active Clients'!$A$5:$A$504,0)))&amp;"","ID not found"))</f>
        <v/>
      </c>
      <c r="G1805" s="16"/>
      <c r="H1805" s="16"/>
      <c r="I1805" s="16"/>
      <c r="J1805" s="16"/>
      <c r="K1805" s="16"/>
      <c r="L1805" s="18"/>
    </row>
    <row r="1806" customFormat="false" ht="15" hidden="false" customHeight="false" outlineLevel="0" collapsed="false">
      <c r="A1806" s="18"/>
      <c r="B1806" s="16"/>
      <c r="C1806" s="16"/>
      <c r="D1806" s="51" t="str">
        <f aca="false">IF(C1806="","",IFERROR(IF(LEFT(C1806,1)="L",INDEX('Leads Pipeline'!$F$5:$F$1004,MATCH(C1806,'Leads Pipeline'!$A$5:$A$1004,0)),INDEX('Active Clients'!$D$5:$D$504,MATCH(C1806,'Active Clients'!$A$5:$A$504,0)))&amp;"","ID not found"))</f>
        <v/>
      </c>
      <c r="E1806" s="51" t="str">
        <f aca="false">IF(C1806="","",IFERROR(IF(LEFT(C1806,1)="L",INDEX('Leads Pipeline'!$D$5:$D$1004,MATCH(C1806,'Leads Pipeline'!$A$5:$A$1004,0)),INDEX('Active Clients'!$B$5:$B$504,MATCH(C1806,'Active Clients'!$A$5:$A$504,0)))&amp;"","ID not found"))</f>
        <v/>
      </c>
      <c r="F1806" s="51" t="str">
        <f aca="false">IF(C1806="","",IFERROR(IF(LEFT(C1806,1)="L",INDEX('Leads Pipeline'!$E$5:$E$1004,MATCH(C1806,'Leads Pipeline'!$A$5:$A$1004,0)),INDEX('Active Clients'!$C$5:$C$504,MATCH(C1806,'Active Clients'!$A$5:$A$504,0)))&amp;"","ID not found"))</f>
        <v/>
      </c>
      <c r="G1806" s="16"/>
      <c r="H1806" s="16"/>
      <c r="I1806" s="16"/>
      <c r="J1806" s="16"/>
      <c r="K1806" s="16"/>
      <c r="L1806" s="18"/>
    </row>
    <row r="1807" customFormat="false" ht="15" hidden="false" customHeight="false" outlineLevel="0" collapsed="false">
      <c r="A1807" s="18"/>
      <c r="B1807" s="16"/>
      <c r="C1807" s="16"/>
      <c r="D1807" s="51" t="str">
        <f aca="false">IF(C1807="","",IFERROR(IF(LEFT(C1807,1)="L",INDEX('Leads Pipeline'!$F$5:$F$1004,MATCH(C1807,'Leads Pipeline'!$A$5:$A$1004,0)),INDEX('Active Clients'!$D$5:$D$504,MATCH(C1807,'Active Clients'!$A$5:$A$504,0)))&amp;"","ID not found"))</f>
        <v/>
      </c>
      <c r="E1807" s="51" t="str">
        <f aca="false">IF(C1807="","",IFERROR(IF(LEFT(C1807,1)="L",INDEX('Leads Pipeline'!$D$5:$D$1004,MATCH(C1807,'Leads Pipeline'!$A$5:$A$1004,0)),INDEX('Active Clients'!$B$5:$B$504,MATCH(C1807,'Active Clients'!$A$5:$A$504,0)))&amp;"","ID not found"))</f>
        <v/>
      </c>
      <c r="F1807" s="51" t="str">
        <f aca="false">IF(C1807="","",IFERROR(IF(LEFT(C1807,1)="L",INDEX('Leads Pipeline'!$E$5:$E$1004,MATCH(C1807,'Leads Pipeline'!$A$5:$A$1004,0)),INDEX('Active Clients'!$C$5:$C$504,MATCH(C1807,'Active Clients'!$A$5:$A$504,0)))&amp;"","ID not found"))</f>
        <v/>
      </c>
      <c r="G1807" s="16"/>
      <c r="H1807" s="16"/>
      <c r="I1807" s="16"/>
      <c r="J1807" s="16"/>
      <c r="K1807" s="16"/>
      <c r="L1807" s="18"/>
    </row>
    <row r="1808" customFormat="false" ht="15" hidden="false" customHeight="false" outlineLevel="0" collapsed="false">
      <c r="A1808" s="18"/>
      <c r="B1808" s="16"/>
      <c r="C1808" s="16"/>
      <c r="D1808" s="51" t="str">
        <f aca="false">IF(C1808="","",IFERROR(IF(LEFT(C1808,1)="L",INDEX('Leads Pipeline'!$F$5:$F$1004,MATCH(C1808,'Leads Pipeline'!$A$5:$A$1004,0)),INDEX('Active Clients'!$D$5:$D$504,MATCH(C1808,'Active Clients'!$A$5:$A$504,0)))&amp;"","ID not found"))</f>
        <v/>
      </c>
      <c r="E1808" s="51" t="str">
        <f aca="false">IF(C1808="","",IFERROR(IF(LEFT(C1808,1)="L",INDEX('Leads Pipeline'!$D$5:$D$1004,MATCH(C1808,'Leads Pipeline'!$A$5:$A$1004,0)),INDEX('Active Clients'!$B$5:$B$504,MATCH(C1808,'Active Clients'!$A$5:$A$504,0)))&amp;"","ID not found"))</f>
        <v/>
      </c>
      <c r="F1808" s="51" t="str">
        <f aca="false">IF(C1808="","",IFERROR(IF(LEFT(C1808,1)="L",INDEX('Leads Pipeline'!$E$5:$E$1004,MATCH(C1808,'Leads Pipeline'!$A$5:$A$1004,0)),INDEX('Active Clients'!$C$5:$C$504,MATCH(C1808,'Active Clients'!$A$5:$A$504,0)))&amp;"","ID not found"))</f>
        <v/>
      </c>
      <c r="G1808" s="16"/>
      <c r="H1808" s="16"/>
      <c r="I1808" s="16"/>
      <c r="J1808" s="16"/>
      <c r="K1808" s="16"/>
      <c r="L1808" s="18"/>
    </row>
    <row r="1809" customFormat="false" ht="15" hidden="false" customHeight="false" outlineLevel="0" collapsed="false">
      <c r="A1809" s="18"/>
      <c r="B1809" s="16"/>
      <c r="C1809" s="16"/>
      <c r="D1809" s="51" t="str">
        <f aca="false">IF(C1809="","",IFERROR(IF(LEFT(C1809,1)="L",INDEX('Leads Pipeline'!$F$5:$F$1004,MATCH(C1809,'Leads Pipeline'!$A$5:$A$1004,0)),INDEX('Active Clients'!$D$5:$D$504,MATCH(C1809,'Active Clients'!$A$5:$A$504,0)))&amp;"","ID not found"))</f>
        <v/>
      </c>
      <c r="E1809" s="51" t="str">
        <f aca="false">IF(C1809="","",IFERROR(IF(LEFT(C1809,1)="L",INDEX('Leads Pipeline'!$D$5:$D$1004,MATCH(C1809,'Leads Pipeline'!$A$5:$A$1004,0)),INDEX('Active Clients'!$B$5:$B$504,MATCH(C1809,'Active Clients'!$A$5:$A$504,0)))&amp;"","ID not found"))</f>
        <v/>
      </c>
      <c r="F1809" s="51" t="str">
        <f aca="false">IF(C1809="","",IFERROR(IF(LEFT(C1809,1)="L",INDEX('Leads Pipeline'!$E$5:$E$1004,MATCH(C1809,'Leads Pipeline'!$A$5:$A$1004,0)),INDEX('Active Clients'!$C$5:$C$504,MATCH(C1809,'Active Clients'!$A$5:$A$504,0)))&amp;"","ID not found"))</f>
        <v/>
      </c>
      <c r="G1809" s="16"/>
      <c r="H1809" s="16"/>
      <c r="I1809" s="16"/>
      <c r="J1809" s="16"/>
      <c r="K1809" s="16"/>
      <c r="L1809" s="18"/>
    </row>
    <row r="1810" customFormat="false" ht="15" hidden="false" customHeight="false" outlineLevel="0" collapsed="false">
      <c r="A1810" s="18"/>
      <c r="B1810" s="16"/>
      <c r="C1810" s="16"/>
      <c r="D1810" s="51" t="str">
        <f aca="false">IF(C1810="","",IFERROR(IF(LEFT(C1810,1)="L",INDEX('Leads Pipeline'!$F$5:$F$1004,MATCH(C1810,'Leads Pipeline'!$A$5:$A$1004,0)),INDEX('Active Clients'!$D$5:$D$504,MATCH(C1810,'Active Clients'!$A$5:$A$504,0)))&amp;"","ID not found"))</f>
        <v/>
      </c>
      <c r="E1810" s="51" t="str">
        <f aca="false">IF(C1810="","",IFERROR(IF(LEFT(C1810,1)="L",INDEX('Leads Pipeline'!$D$5:$D$1004,MATCH(C1810,'Leads Pipeline'!$A$5:$A$1004,0)),INDEX('Active Clients'!$B$5:$B$504,MATCH(C1810,'Active Clients'!$A$5:$A$504,0)))&amp;"","ID not found"))</f>
        <v/>
      </c>
      <c r="F1810" s="51" t="str">
        <f aca="false">IF(C1810="","",IFERROR(IF(LEFT(C1810,1)="L",INDEX('Leads Pipeline'!$E$5:$E$1004,MATCH(C1810,'Leads Pipeline'!$A$5:$A$1004,0)),INDEX('Active Clients'!$C$5:$C$504,MATCH(C1810,'Active Clients'!$A$5:$A$504,0)))&amp;"","ID not found"))</f>
        <v/>
      </c>
      <c r="G1810" s="16"/>
      <c r="H1810" s="16"/>
      <c r="I1810" s="16"/>
      <c r="J1810" s="16"/>
      <c r="K1810" s="16"/>
      <c r="L1810" s="18"/>
    </row>
    <row r="1811" customFormat="false" ht="15" hidden="false" customHeight="false" outlineLevel="0" collapsed="false">
      <c r="A1811" s="18"/>
      <c r="B1811" s="16"/>
      <c r="C1811" s="16"/>
      <c r="D1811" s="51" t="str">
        <f aca="false">IF(C1811="","",IFERROR(IF(LEFT(C1811,1)="L",INDEX('Leads Pipeline'!$F$5:$F$1004,MATCH(C1811,'Leads Pipeline'!$A$5:$A$1004,0)),INDEX('Active Clients'!$D$5:$D$504,MATCH(C1811,'Active Clients'!$A$5:$A$504,0)))&amp;"","ID not found"))</f>
        <v/>
      </c>
      <c r="E1811" s="51" t="str">
        <f aca="false">IF(C1811="","",IFERROR(IF(LEFT(C1811,1)="L",INDEX('Leads Pipeline'!$D$5:$D$1004,MATCH(C1811,'Leads Pipeline'!$A$5:$A$1004,0)),INDEX('Active Clients'!$B$5:$B$504,MATCH(C1811,'Active Clients'!$A$5:$A$504,0)))&amp;"","ID not found"))</f>
        <v/>
      </c>
      <c r="F1811" s="51" t="str">
        <f aca="false">IF(C1811="","",IFERROR(IF(LEFT(C1811,1)="L",INDEX('Leads Pipeline'!$E$5:$E$1004,MATCH(C1811,'Leads Pipeline'!$A$5:$A$1004,0)),INDEX('Active Clients'!$C$5:$C$504,MATCH(C1811,'Active Clients'!$A$5:$A$504,0)))&amp;"","ID not found"))</f>
        <v/>
      </c>
      <c r="G1811" s="16"/>
      <c r="H1811" s="16"/>
      <c r="I1811" s="16"/>
      <c r="J1811" s="16"/>
      <c r="K1811" s="16"/>
      <c r="L1811" s="18"/>
    </row>
    <row r="1812" customFormat="false" ht="15" hidden="false" customHeight="false" outlineLevel="0" collapsed="false">
      <c r="A1812" s="18"/>
      <c r="B1812" s="16"/>
      <c r="C1812" s="16"/>
      <c r="D1812" s="51" t="str">
        <f aca="false">IF(C1812="","",IFERROR(IF(LEFT(C1812,1)="L",INDEX('Leads Pipeline'!$F$5:$F$1004,MATCH(C1812,'Leads Pipeline'!$A$5:$A$1004,0)),INDEX('Active Clients'!$D$5:$D$504,MATCH(C1812,'Active Clients'!$A$5:$A$504,0)))&amp;"","ID not found"))</f>
        <v/>
      </c>
      <c r="E1812" s="51" t="str">
        <f aca="false">IF(C1812="","",IFERROR(IF(LEFT(C1812,1)="L",INDEX('Leads Pipeline'!$D$5:$D$1004,MATCH(C1812,'Leads Pipeline'!$A$5:$A$1004,0)),INDEX('Active Clients'!$B$5:$B$504,MATCH(C1812,'Active Clients'!$A$5:$A$504,0)))&amp;"","ID not found"))</f>
        <v/>
      </c>
      <c r="F1812" s="51" t="str">
        <f aca="false">IF(C1812="","",IFERROR(IF(LEFT(C1812,1)="L",INDEX('Leads Pipeline'!$E$5:$E$1004,MATCH(C1812,'Leads Pipeline'!$A$5:$A$1004,0)),INDEX('Active Clients'!$C$5:$C$504,MATCH(C1812,'Active Clients'!$A$5:$A$504,0)))&amp;"","ID not found"))</f>
        <v/>
      </c>
      <c r="G1812" s="16"/>
      <c r="H1812" s="16"/>
      <c r="I1812" s="16"/>
      <c r="J1812" s="16"/>
      <c r="K1812" s="16"/>
      <c r="L1812" s="18"/>
    </row>
    <row r="1813" customFormat="false" ht="15" hidden="false" customHeight="false" outlineLevel="0" collapsed="false">
      <c r="A1813" s="18"/>
      <c r="B1813" s="16"/>
      <c r="C1813" s="16"/>
      <c r="D1813" s="51" t="str">
        <f aca="false">IF(C1813="","",IFERROR(IF(LEFT(C1813,1)="L",INDEX('Leads Pipeline'!$F$5:$F$1004,MATCH(C1813,'Leads Pipeline'!$A$5:$A$1004,0)),INDEX('Active Clients'!$D$5:$D$504,MATCH(C1813,'Active Clients'!$A$5:$A$504,0)))&amp;"","ID not found"))</f>
        <v/>
      </c>
      <c r="E1813" s="51" t="str">
        <f aca="false">IF(C1813="","",IFERROR(IF(LEFT(C1813,1)="L",INDEX('Leads Pipeline'!$D$5:$D$1004,MATCH(C1813,'Leads Pipeline'!$A$5:$A$1004,0)),INDEX('Active Clients'!$B$5:$B$504,MATCH(C1813,'Active Clients'!$A$5:$A$504,0)))&amp;"","ID not found"))</f>
        <v/>
      </c>
      <c r="F1813" s="51" t="str">
        <f aca="false">IF(C1813="","",IFERROR(IF(LEFT(C1813,1)="L",INDEX('Leads Pipeline'!$E$5:$E$1004,MATCH(C1813,'Leads Pipeline'!$A$5:$A$1004,0)),INDEX('Active Clients'!$C$5:$C$504,MATCH(C1813,'Active Clients'!$A$5:$A$504,0)))&amp;"","ID not found"))</f>
        <v/>
      </c>
      <c r="G1813" s="16"/>
      <c r="H1813" s="16"/>
      <c r="I1813" s="16"/>
      <c r="J1813" s="16"/>
      <c r="K1813" s="16"/>
      <c r="L1813" s="18"/>
    </row>
    <row r="1814" customFormat="false" ht="15" hidden="false" customHeight="false" outlineLevel="0" collapsed="false">
      <c r="A1814" s="18"/>
      <c r="B1814" s="16"/>
      <c r="C1814" s="16"/>
      <c r="D1814" s="51" t="str">
        <f aca="false">IF(C1814="","",IFERROR(IF(LEFT(C1814,1)="L",INDEX('Leads Pipeline'!$F$5:$F$1004,MATCH(C1814,'Leads Pipeline'!$A$5:$A$1004,0)),INDEX('Active Clients'!$D$5:$D$504,MATCH(C1814,'Active Clients'!$A$5:$A$504,0)))&amp;"","ID not found"))</f>
        <v/>
      </c>
      <c r="E1814" s="51" t="str">
        <f aca="false">IF(C1814="","",IFERROR(IF(LEFT(C1814,1)="L",INDEX('Leads Pipeline'!$D$5:$D$1004,MATCH(C1814,'Leads Pipeline'!$A$5:$A$1004,0)),INDEX('Active Clients'!$B$5:$B$504,MATCH(C1814,'Active Clients'!$A$5:$A$504,0)))&amp;"","ID not found"))</f>
        <v/>
      </c>
      <c r="F1814" s="51" t="str">
        <f aca="false">IF(C1814="","",IFERROR(IF(LEFT(C1814,1)="L",INDEX('Leads Pipeline'!$E$5:$E$1004,MATCH(C1814,'Leads Pipeline'!$A$5:$A$1004,0)),INDEX('Active Clients'!$C$5:$C$504,MATCH(C1814,'Active Clients'!$A$5:$A$504,0)))&amp;"","ID not found"))</f>
        <v/>
      </c>
      <c r="G1814" s="16"/>
      <c r="H1814" s="16"/>
      <c r="I1814" s="16"/>
      <c r="J1814" s="16"/>
      <c r="K1814" s="16"/>
      <c r="L1814" s="18"/>
    </row>
    <row r="1815" customFormat="false" ht="15" hidden="false" customHeight="false" outlineLevel="0" collapsed="false">
      <c r="A1815" s="18"/>
      <c r="B1815" s="16"/>
      <c r="C1815" s="16"/>
      <c r="D1815" s="51" t="str">
        <f aca="false">IF(C1815="","",IFERROR(IF(LEFT(C1815,1)="L",INDEX('Leads Pipeline'!$F$5:$F$1004,MATCH(C1815,'Leads Pipeline'!$A$5:$A$1004,0)),INDEX('Active Clients'!$D$5:$D$504,MATCH(C1815,'Active Clients'!$A$5:$A$504,0)))&amp;"","ID not found"))</f>
        <v/>
      </c>
      <c r="E1815" s="51" t="str">
        <f aca="false">IF(C1815="","",IFERROR(IF(LEFT(C1815,1)="L",INDEX('Leads Pipeline'!$D$5:$D$1004,MATCH(C1815,'Leads Pipeline'!$A$5:$A$1004,0)),INDEX('Active Clients'!$B$5:$B$504,MATCH(C1815,'Active Clients'!$A$5:$A$504,0)))&amp;"","ID not found"))</f>
        <v/>
      </c>
      <c r="F1815" s="51" t="str">
        <f aca="false">IF(C1815="","",IFERROR(IF(LEFT(C1815,1)="L",INDEX('Leads Pipeline'!$E$5:$E$1004,MATCH(C1815,'Leads Pipeline'!$A$5:$A$1004,0)),INDEX('Active Clients'!$C$5:$C$504,MATCH(C1815,'Active Clients'!$A$5:$A$504,0)))&amp;"","ID not found"))</f>
        <v/>
      </c>
      <c r="G1815" s="16"/>
      <c r="H1815" s="16"/>
      <c r="I1815" s="16"/>
      <c r="J1815" s="16"/>
      <c r="K1815" s="16"/>
      <c r="L1815" s="18"/>
    </row>
    <row r="1816" customFormat="false" ht="15" hidden="false" customHeight="false" outlineLevel="0" collapsed="false">
      <c r="A1816" s="18"/>
      <c r="B1816" s="16"/>
      <c r="C1816" s="16"/>
      <c r="D1816" s="51" t="str">
        <f aca="false">IF(C1816="","",IFERROR(IF(LEFT(C1816,1)="L",INDEX('Leads Pipeline'!$F$5:$F$1004,MATCH(C1816,'Leads Pipeline'!$A$5:$A$1004,0)),INDEX('Active Clients'!$D$5:$D$504,MATCH(C1816,'Active Clients'!$A$5:$A$504,0)))&amp;"","ID not found"))</f>
        <v/>
      </c>
      <c r="E1816" s="51" t="str">
        <f aca="false">IF(C1816="","",IFERROR(IF(LEFT(C1816,1)="L",INDEX('Leads Pipeline'!$D$5:$D$1004,MATCH(C1816,'Leads Pipeline'!$A$5:$A$1004,0)),INDEX('Active Clients'!$B$5:$B$504,MATCH(C1816,'Active Clients'!$A$5:$A$504,0)))&amp;"","ID not found"))</f>
        <v/>
      </c>
      <c r="F1816" s="51" t="str">
        <f aca="false">IF(C1816="","",IFERROR(IF(LEFT(C1816,1)="L",INDEX('Leads Pipeline'!$E$5:$E$1004,MATCH(C1816,'Leads Pipeline'!$A$5:$A$1004,0)),INDEX('Active Clients'!$C$5:$C$504,MATCH(C1816,'Active Clients'!$A$5:$A$504,0)))&amp;"","ID not found"))</f>
        <v/>
      </c>
      <c r="G1816" s="16"/>
      <c r="H1816" s="16"/>
      <c r="I1816" s="16"/>
      <c r="J1816" s="16"/>
      <c r="K1816" s="16"/>
      <c r="L1816" s="18"/>
    </row>
    <row r="1817" customFormat="false" ht="15" hidden="false" customHeight="false" outlineLevel="0" collapsed="false">
      <c r="A1817" s="18"/>
      <c r="B1817" s="16"/>
      <c r="C1817" s="16"/>
      <c r="D1817" s="51" t="str">
        <f aca="false">IF(C1817="","",IFERROR(IF(LEFT(C1817,1)="L",INDEX('Leads Pipeline'!$F$5:$F$1004,MATCH(C1817,'Leads Pipeline'!$A$5:$A$1004,0)),INDEX('Active Clients'!$D$5:$D$504,MATCH(C1817,'Active Clients'!$A$5:$A$504,0)))&amp;"","ID not found"))</f>
        <v/>
      </c>
      <c r="E1817" s="51" t="str">
        <f aca="false">IF(C1817="","",IFERROR(IF(LEFT(C1817,1)="L",INDEX('Leads Pipeline'!$D$5:$D$1004,MATCH(C1817,'Leads Pipeline'!$A$5:$A$1004,0)),INDEX('Active Clients'!$B$5:$B$504,MATCH(C1817,'Active Clients'!$A$5:$A$504,0)))&amp;"","ID not found"))</f>
        <v/>
      </c>
      <c r="F1817" s="51" t="str">
        <f aca="false">IF(C1817="","",IFERROR(IF(LEFT(C1817,1)="L",INDEX('Leads Pipeline'!$E$5:$E$1004,MATCH(C1817,'Leads Pipeline'!$A$5:$A$1004,0)),INDEX('Active Clients'!$C$5:$C$504,MATCH(C1817,'Active Clients'!$A$5:$A$504,0)))&amp;"","ID not found"))</f>
        <v/>
      </c>
      <c r="G1817" s="16"/>
      <c r="H1817" s="16"/>
      <c r="I1817" s="16"/>
      <c r="J1817" s="16"/>
      <c r="K1817" s="16"/>
      <c r="L1817" s="18"/>
    </row>
    <row r="1818" customFormat="false" ht="15" hidden="false" customHeight="false" outlineLevel="0" collapsed="false">
      <c r="A1818" s="18"/>
      <c r="B1818" s="16"/>
      <c r="C1818" s="16"/>
      <c r="D1818" s="51" t="str">
        <f aca="false">IF(C1818="","",IFERROR(IF(LEFT(C1818,1)="L",INDEX('Leads Pipeline'!$F$5:$F$1004,MATCH(C1818,'Leads Pipeline'!$A$5:$A$1004,0)),INDEX('Active Clients'!$D$5:$D$504,MATCH(C1818,'Active Clients'!$A$5:$A$504,0)))&amp;"","ID not found"))</f>
        <v/>
      </c>
      <c r="E1818" s="51" t="str">
        <f aca="false">IF(C1818="","",IFERROR(IF(LEFT(C1818,1)="L",INDEX('Leads Pipeline'!$D$5:$D$1004,MATCH(C1818,'Leads Pipeline'!$A$5:$A$1004,0)),INDEX('Active Clients'!$B$5:$B$504,MATCH(C1818,'Active Clients'!$A$5:$A$504,0)))&amp;"","ID not found"))</f>
        <v/>
      </c>
      <c r="F1818" s="51" t="str">
        <f aca="false">IF(C1818="","",IFERROR(IF(LEFT(C1818,1)="L",INDEX('Leads Pipeline'!$E$5:$E$1004,MATCH(C1818,'Leads Pipeline'!$A$5:$A$1004,0)),INDEX('Active Clients'!$C$5:$C$504,MATCH(C1818,'Active Clients'!$A$5:$A$504,0)))&amp;"","ID not found"))</f>
        <v/>
      </c>
      <c r="G1818" s="16"/>
      <c r="H1818" s="16"/>
      <c r="I1818" s="16"/>
      <c r="J1818" s="16"/>
      <c r="K1818" s="16"/>
      <c r="L1818" s="18"/>
    </row>
    <row r="1819" customFormat="false" ht="15" hidden="false" customHeight="false" outlineLevel="0" collapsed="false">
      <c r="A1819" s="18"/>
      <c r="B1819" s="16"/>
      <c r="C1819" s="16"/>
      <c r="D1819" s="51" t="str">
        <f aca="false">IF(C1819="","",IFERROR(IF(LEFT(C1819,1)="L",INDEX('Leads Pipeline'!$F$5:$F$1004,MATCH(C1819,'Leads Pipeline'!$A$5:$A$1004,0)),INDEX('Active Clients'!$D$5:$D$504,MATCH(C1819,'Active Clients'!$A$5:$A$504,0)))&amp;"","ID not found"))</f>
        <v/>
      </c>
      <c r="E1819" s="51" t="str">
        <f aca="false">IF(C1819="","",IFERROR(IF(LEFT(C1819,1)="L",INDEX('Leads Pipeline'!$D$5:$D$1004,MATCH(C1819,'Leads Pipeline'!$A$5:$A$1004,0)),INDEX('Active Clients'!$B$5:$B$504,MATCH(C1819,'Active Clients'!$A$5:$A$504,0)))&amp;"","ID not found"))</f>
        <v/>
      </c>
      <c r="F1819" s="51" t="str">
        <f aca="false">IF(C1819="","",IFERROR(IF(LEFT(C1819,1)="L",INDEX('Leads Pipeline'!$E$5:$E$1004,MATCH(C1819,'Leads Pipeline'!$A$5:$A$1004,0)),INDEX('Active Clients'!$C$5:$C$504,MATCH(C1819,'Active Clients'!$A$5:$A$504,0)))&amp;"","ID not found"))</f>
        <v/>
      </c>
      <c r="G1819" s="16"/>
      <c r="H1819" s="16"/>
      <c r="I1819" s="16"/>
      <c r="J1819" s="16"/>
      <c r="K1819" s="16"/>
      <c r="L1819" s="18"/>
    </row>
    <row r="1820" customFormat="false" ht="15" hidden="false" customHeight="false" outlineLevel="0" collapsed="false">
      <c r="A1820" s="18"/>
      <c r="B1820" s="16"/>
      <c r="C1820" s="16"/>
      <c r="D1820" s="51" t="str">
        <f aca="false">IF(C1820="","",IFERROR(IF(LEFT(C1820,1)="L",INDEX('Leads Pipeline'!$F$5:$F$1004,MATCH(C1820,'Leads Pipeline'!$A$5:$A$1004,0)),INDEX('Active Clients'!$D$5:$D$504,MATCH(C1820,'Active Clients'!$A$5:$A$504,0)))&amp;"","ID not found"))</f>
        <v/>
      </c>
      <c r="E1820" s="51" t="str">
        <f aca="false">IF(C1820="","",IFERROR(IF(LEFT(C1820,1)="L",INDEX('Leads Pipeline'!$D$5:$D$1004,MATCH(C1820,'Leads Pipeline'!$A$5:$A$1004,0)),INDEX('Active Clients'!$B$5:$B$504,MATCH(C1820,'Active Clients'!$A$5:$A$504,0)))&amp;"","ID not found"))</f>
        <v/>
      </c>
      <c r="F1820" s="51" t="str">
        <f aca="false">IF(C1820="","",IFERROR(IF(LEFT(C1820,1)="L",INDEX('Leads Pipeline'!$E$5:$E$1004,MATCH(C1820,'Leads Pipeline'!$A$5:$A$1004,0)),INDEX('Active Clients'!$C$5:$C$504,MATCH(C1820,'Active Clients'!$A$5:$A$504,0)))&amp;"","ID not found"))</f>
        <v/>
      </c>
      <c r="G1820" s="16"/>
      <c r="H1820" s="16"/>
      <c r="I1820" s="16"/>
      <c r="J1820" s="16"/>
      <c r="K1820" s="16"/>
      <c r="L1820" s="18"/>
    </row>
    <row r="1821" customFormat="false" ht="15" hidden="false" customHeight="false" outlineLevel="0" collapsed="false">
      <c r="A1821" s="18"/>
      <c r="B1821" s="16"/>
      <c r="C1821" s="16"/>
      <c r="D1821" s="51" t="str">
        <f aca="false">IF(C1821="","",IFERROR(IF(LEFT(C1821,1)="L",INDEX('Leads Pipeline'!$F$5:$F$1004,MATCH(C1821,'Leads Pipeline'!$A$5:$A$1004,0)),INDEX('Active Clients'!$D$5:$D$504,MATCH(C1821,'Active Clients'!$A$5:$A$504,0)))&amp;"","ID not found"))</f>
        <v/>
      </c>
      <c r="E1821" s="51" t="str">
        <f aca="false">IF(C1821="","",IFERROR(IF(LEFT(C1821,1)="L",INDEX('Leads Pipeline'!$D$5:$D$1004,MATCH(C1821,'Leads Pipeline'!$A$5:$A$1004,0)),INDEX('Active Clients'!$B$5:$B$504,MATCH(C1821,'Active Clients'!$A$5:$A$504,0)))&amp;"","ID not found"))</f>
        <v/>
      </c>
      <c r="F1821" s="51" t="str">
        <f aca="false">IF(C1821="","",IFERROR(IF(LEFT(C1821,1)="L",INDEX('Leads Pipeline'!$E$5:$E$1004,MATCH(C1821,'Leads Pipeline'!$A$5:$A$1004,0)),INDEX('Active Clients'!$C$5:$C$504,MATCH(C1821,'Active Clients'!$A$5:$A$504,0)))&amp;"","ID not found"))</f>
        <v/>
      </c>
      <c r="G1821" s="16"/>
      <c r="H1821" s="16"/>
      <c r="I1821" s="16"/>
      <c r="J1821" s="16"/>
      <c r="K1821" s="16"/>
      <c r="L1821" s="18"/>
    </row>
    <row r="1822" customFormat="false" ht="15" hidden="false" customHeight="false" outlineLevel="0" collapsed="false">
      <c r="A1822" s="18"/>
      <c r="B1822" s="16"/>
      <c r="C1822" s="16"/>
      <c r="D1822" s="51" t="str">
        <f aca="false">IF(C1822="","",IFERROR(IF(LEFT(C1822,1)="L",INDEX('Leads Pipeline'!$F$5:$F$1004,MATCH(C1822,'Leads Pipeline'!$A$5:$A$1004,0)),INDEX('Active Clients'!$D$5:$D$504,MATCH(C1822,'Active Clients'!$A$5:$A$504,0)))&amp;"","ID not found"))</f>
        <v/>
      </c>
      <c r="E1822" s="51" t="str">
        <f aca="false">IF(C1822="","",IFERROR(IF(LEFT(C1822,1)="L",INDEX('Leads Pipeline'!$D$5:$D$1004,MATCH(C1822,'Leads Pipeline'!$A$5:$A$1004,0)),INDEX('Active Clients'!$B$5:$B$504,MATCH(C1822,'Active Clients'!$A$5:$A$504,0)))&amp;"","ID not found"))</f>
        <v/>
      </c>
      <c r="F1822" s="51" t="str">
        <f aca="false">IF(C1822="","",IFERROR(IF(LEFT(C1822,1)="L",INDEX('Leads Pipeline'!$E$5:$E$1004,MATCH(C1822,'Leads Pipeline'!$A$5:$A$1004,0)),INDEX('Active Clients'!$C$5:$C$504,MATCH(C1822,'Active Clients'!$A$5:$A$504,0)))&amp;"","ID not found"))</f>
        <v/>
      </c>
      <c r="G1822" s="16"/>
      <c r="H1822" s="16"/>
      <c r="I1822" s="16"/>
      <c r="J1822" s="16"/>
      <c r="K1822" s="16"/>
      <c r="L1822" s="18"/>
    </row>
    <row r="1823" customFormat="false" ht="15" hidden="false" customHeight="false" outlineLevel="0" collapsed="false">
      <c r="A1823" s="18"/>
      <c r="B1823" s="16"/>
      <c r="C1823" s="16"/>
      <c r="D1823" s="51" t="str">
        <f aca="false">IF(C1823="","",IFERROR(IF(LEFT(C1823,1)="L",INDEX('Leads Pipeline'!$F$5:$F$1004,MATCH(C1823,'Leads Pipeline'!$A$5:$A$1004,0)),INDEX('Active Clients'!$D$5:$D$504,MATCH(C1823,'Active Clients'!$A$5:$A$504,0)))&amp;"","ID not found"))</f>
        <v/>
      </c>
      <c r="E1823" s="51" t="str">
        <f aca="false">IF(C1823="","",IFERROR(IF(LEFT(C1823,1)="L",INDEX('Leads Pipeline'!$D$5:$D$1004,MATCH(C1823,'Leads Pipeline'!$A$5:$A$1004,0)),INDEX('Active Clients'!$B$5:$B$504,MATCH(C1823,'Active Clients'!$A$5:$A$504,0)))&amp;"","ID not found"))</f>
        <v/>
      </c>
      <c r="F1823" s="51" t="str">
        <f aca="false">IF(C1823="","",IFERROR(IF(LEFT(C1823,1)="L",INDEX('Leads Pipeline'!$E$5:$E$1004,MATCH(C1823,'Leads Pipeline'!$A$5:$A$1004,0)),INDEX('Active Clients'!$C$5:$C$504,MATCH(C1823,'Active Clients'!$A$5:$A$504,0)))&amp;"","ID not found"))</f>
        <v/>
      </c>
      <c r="G1823" s="16"/>
      <c r="H1823" s="16"/>
      <c r="I1823" s="16"/>
      <c r="J1823" s="16"/>
      <c r="K1823" s="16"/>
      <c r="L1823" s="18"/>
    </row>
    <row r="1824" customFormat="false" ht="15" hidden="false" customHeight="false" outlineLevel="0" collapsed="false">
      <c r="A1824" s="18"/>
      <c r="B1824" s="16"/>
      <c r="C1824" s="16"/>
      <c r="D1824" s="51" t="str">
        <f aca="false">IF(C1824="","",IFERROR(IF(LEFT(C1824,1)="L",INDEX('Leads Pipeline'!$F$5:$F$1004,MATCH(C1824,'Leads Pipeline'!$A$5:$A$1004,0)),INDEX('Active Clients'!$D$5:$D$504,MATCH(C1824,'Active Clients'!$A$5:$A$504,0)))&amp;"","ID not found"))</f>
        <v/>
      </c>
      <c r="E1824" s="51" t="str">
        <f aca="false">IF(C1824="","",IFERROR(IF(LEFT(C1824,1)="L",INDEX('Leads Pipeline'!$D$5:$D$1004,MATCH(C1824,'Leads Pipeline'!$A$5:$A$1004,0)),INDEX('Active Clients'!$B$5:$B$504,MATCH(C1824,'Active Clients'!$A$5:$A$504,0)))&amp;"","ID not found"))</f>
        <v/>
      </c>
      <c r="F1824" s="51" t="str">
        <f aca="false">IF(C1824="","",IFERROR(IF(LEFT(C1824,1)="L",INDEX('Leads Pipeline'!$E$5:$E$1004,MATCH(C1824,'Leads Pipeline'!$A$5:$A$1004,0)),INDEX('Active Clients'!$C$5:$C$504,MATCH(C1824,'Active Clients'!$A$5:$A$504,0)))&amp;"","ID not found"))</f>
        <v/>
      </c>
      <c r="G1824" s="16"/>
      <c r="H1824" s="16"/>
      <c r="I1824" s="16"/>
      <c r="J1824" s="16"/>
      <c r="K1824" s="16"/>
      <c r="L1824" s="18"/>
    </row>
    <row r="1825" customFormat="false" ht="15" hidden="false" customHeight="false" outlineLevel="0" collapsed="false">
      <c r="A1825" s="18"/>
      <c r="B1825" s="16"/>
      <c r="C1825" s="16"/>
      <c r="D1825" s="51" t="str">
        <f aca="false">IF(C1825="","",IFERROR(IF(LEFT(C1825,1)="L",INDEX('Leads Pipeline'!$F$5:$F$1004,MATCH(C1825,'Leads Pipeline'!$A$5:$A$1004,0)),INDEX('Active Clients'!$D$5:$D$504,MATCH(C1825,'Active Clients'!$A$5:$A$504,0)))&amp;"","ID not found"))</f>
        <v/>
      </c>
      <c r="E1825" s="51" t="str">
        <f aca="false">IF(C1825="","",IFERROR(IF(LEFT(C1825,1)="L",INDEX('Leads Pipeline'!$D$5:$D$1004,MATCH(C1825,'Leads Pipeline'!$A$5:$A$1004,0)),INDEX('Active Clients'!$B$5:$B$504,MATCH(C1825,'Active Clients'!$A$5:$A$504,0)))&amp;"","ID not found"))</f>
        <v/>
      </c>
      <c r="F1825" s="51" t="str">
        <f aca="false">IF(C1825="","",IFERROR(IF(LEFT(C1825,1)="L",INDEX('Leads Pipeline'!$E$5:$E$1004,MATCH(C1825,'Leads Pipeline'!$A$5:$A$1004,0)),INDEX('Active Clients'!$C$5:$C$504,MATCH(C1825,'Active Clients'!$A$5:$A$504,0)))&amp;"","ID not found"))</f>
        <v/>
      </c>
      <c r="G1825" s="16"/>
      <c r="H1825" s="16"/>
      <c r="I1825" s="16"/>
      <c r="J1825" s="16"/>
      <c r="K1825" s="16"/>
      <c r="L1825" s="18"/>
    </row>
    <row r="1826" customFormat="false" ht="15" hidden="false" customHeight="false" outlineLevel="0" collapsed="false">
      <c r="A1826" s="18"/>
      <c r="B1826" s="16"/>
      <c r="C1826" s="16"/>
      <c r="D1826" s="51" t="str">
        <f aca="false">IF(C1826="","",IFERROR(IF(LEFT(C1826,1)="L",INDEX('Leads Pipeline'!$F$5:$F$1004,MATCH(C1826,'Leads Pipeline'!$A$5:$A$1004,0)),INDEX('Active Clients'!$D$5:$D$504,MATCH(C1826,'Active Clients'!$A$5:$A$504,0)))&amp;"","ID not found"))</f>
        <v/>
      </c>
      <c r="E1826" s="51" t="str">
        <f aca="false">IF(C1826="","",IFERROR(IF(LEFT(C1826,1)="L",INDEX('Leads Pipeline'!$D$5:$D$1004,MATCH(C1826,'Leads Pipeline'!$A$5:$A$1004,0)),INDEX('Active Clients'!$B$5:$B$504,MATCH(C1826,'Active Clients'!$A$5:$A$504,0)))&amp;"","ID not found"))</f>
        <v/>
      </c>
      <c r="F1826" s="51" t="str">
        <f aca="false">IF(C1826="","",IFERROR(IF(LEFT(C1826,1)="L",INDEX('Leads Pipeline'!$E$5:$E$1004,MATCH(C1826,'Leads Pipeline'!$A$5:$A$1004,0)),INDEX('Active Clients'!$C$5:$C$504,MATCH(C1826,'Active Clients'!$A$5:$A$504,0)))&amp;"","ID not found"))</f>
        <v/>
      </c>
      <c r="G1826" s="16"/>
      <c r="H1826" s="16"/>
      <c r="I1826" s="16"/>
      <c r="J1826" s="16"/>
      <c r="K1826" s="16"/>
      <c r="L1826" s="18"/>
    </row>
    <row r="1827" customFormat="false" ht="15" hidden="false" customHeight="false" outlineLevel="0" collapsed="false">
      <c r="A1827" s="18"/>
      <c r="B1827" s="16"/>
      <c r="C1827" s="16"/>
      <c r="D1827" s="51" t="str">
        <f aca="false">IF(C1827="","",IFERROR(IF(LEFT(C1827,1)="L",INDEX('Leads Pipeline'!$F$5:$F$1004,MATCH(C1827,'Leads Pipeline'!$A$5:$A$1004,0)),INDEX('Active Clients'!$D$5:$D$504,MATCH(C1827,'Active Clients'!$A$5:$A$504,0)))&amp;"","ID not found"))</f>
        <v/>
      </c>
      <c r="E1827" s="51" t="str">
        <f aca="false">IF(C1827="","",IFERROR(IF(LEFT(C1827,1)="L",INDEX('Leads Pipeline'!$D$5:$D$1004,MATCH(C1827,'Leads Pipeline'!$A$5:$A$1004,0)),INDEX('Active Clients'!$B$5:$B$504,MATCH(C1827,'Active Clients'!$A$5:$A$504,0)))&amp;"","ID not found"))</f>
        <v/>
      </c>
      <c r="F1827" s="51" t="str">
        <f aca="false">IF(C1827="","",IFERROR(IF(LEFT(C1827,1)="L",INDEX('Leads Pipeline'!$E$5:$E$1004,MATCH(C1827,'Leads Pipeline'!$A$5:$A$1004,0)),INDEX('Active Clients'!$C$5:$C$504,MATCH(C1827,'Active Clients'!$A$5:$A$504,0)))&amp;"","ID not found"))</f>
        <v/>
      </c>
      <c r="G1827" s="16"/>
      <c r="H1827" s="16"/>
      <c r="I1827" s="16"/>
      <c r="J1827" s="16"/>
      <c r="K1827" s="16"/>
      <c r="L1827" s="18"/>
    </row>
    <row r="1828" customFormat="false" ht="15" hidden="false" customHeight="false" outlineLevel="0" collapsed="false">
      <c r="A1828" s="18"/>
      <c r="B1828" s="16"/>
      <c r="C1828" s="16"/>
      <c r="D1828" s="51" t="str">
        <f aca="false">IF(C1828="","",IFERROR(IF(LEFT(C1828,1)="L",INDEX('Leads Pipeline'!$F$5:$F$1004,MATCH(C1828,'Leads Pipeline'!$A$5:$A$1004,0)),INDEX('Active Clients'!$D$5:$D$504,MATCH(C1828,'Active Clients'!$A$5:$A$504,0)))&amp;"","ID not found"))</f>
        <v/>
      </c>
      <c r="E1828" s="51" t="str">
        <f aca="false">IF(C1828="","",IFERROR(IF(LEFT(C1828,1)="L",INDEX('Leads Pipeline'!$D$5:$D$1004,MATCH(C1828,'Leads Pipeline'!$A$5:$A$1004,0)),INDEX('Active Clients'!$B$5:$B$504,MATCH(C1828,'Active Clients'!$A$5:$A$504,0)))&amp;"","ID not found"))</f>
        <v/>
      </c>
      <c r="F1828" s="51" t="str">
        <f aca="false">IF(C1828="","",IFERROR(IF(LEFT(C1828,1)="L",INDEX('Leads Pipeline'!$E$5:$E$1004,MATCH(C1828,'Leads Pipeline'!$A$5:$A$1004,0)),INDEX('Active Clients'!$C$5:$C$504,MATCH(C1828,'Active Clients'!$A$5:$A$504,0)))&amp;"","ID not found"))</f>
        <v/>
      </c>
      <c r="G1828" s="16"/>
      <c r="H1828" s="16"/>
      <c r="I1828" s="16"/>
      <c r="J1828" s="16"/>
      <c r="K1828" s="16"/>
      <c r="L1828" s="18"/>
    </row>
    <row r="1829" customFormat="false" ht="15" hidden="false" customHeight="false" outlineLevel="0" collapsed="false">
      <c r="A1829" s="18"/>
      <c r="B1829" s="16"/>
      <c r="C1829" s="16"/>
      <c r="D1829" s="51" t="str">
        <f aca="false">IF(C1829="","",IFERROR(IF(LEFT(C1829,1)="L",INDEX('Leads Pipeline'!$F$5:$F$1004,MATCH(C1829,'Leads Pipeline'!$A$5:$A$1004,0)),INDEX('Active Clients'!$D$5:$D$504,MATCH(C1829,'Active Clients'!$A$5:$A$504,0)))&amp;"","ID not found"))</f>
        <v/>
      </c>
      <c r="E1829" s="51" t="str">
        <f aca="false">IF(C1829="","",IFERROR(IF(LEFT(C1829,1)="L",INDEX('Leads Pipeline'!$D$5:$D$1004,MATCH(C1829,'Leads Pipeline'!$A$5:$A$1004,0)),INDEX('Active Clients'!$B$5:$B$504,MATCH(C1829,'Active Clients'!$A$5:$A$504,0)))&amp;"","ID not found"))</f>
        <v/>
      </c>
      <c r="F1829" s="51" t="str">
        <f aca="false">IF(C1829="","",IFERROR(IF(LEFT(C1829,1)="L",INDEX('Leads Pipeline'!$E$5:$E$1004,MATCH(C1829,'Leads Pipeline'!$A$5:$A$1004,0)),INDEX('Active Clients'!$C$5:$C$504,MATCH(C1829,'Active Clients'!$A$5:$A$504,0)))&amp;"","ID not found"))</f>
        <v/>
      </c>
      <c r="G1829" s="16"/>
      <c r="H1829" s="16"/>
      <c r="I1829" s="16"/>
      <c r="J1829" s="16"/>
      <c r="K1829" s="16"/>
      <c r="L1829" s="18"/>
    </row>
    <row r="1830" customFormat="false" ht="15" hidden="false" customHeight="false" outlineLevel="0" collapsed="false">
      <c r="A1830" s="18"/>
      <c r="B1830" s="16"/>
      <c r="C1830" s="16"/>
      <c r="D1830" s="51" t="str">
        <f aca="false">IF(C1830="","",IFERROR(IF(LEFT(C1830,1)="L",INDEX('Leads Pipeline'!$F$5:$F$1004,MATCH(C1830,'Leads Pipeline'!$A$5:$A$1004,0)),INDEX('Active Clients'!$D$5:$D$504,MATCH(C1830,'Active Clients'!$A$5:$A$504,0)))&amp;"","ID not found"))</f>
        <v/>
      </c>
      <c r="E1830" s="51" t="str">
        <f aca="false">IF(C1830="","",IFERROR(IF(LEFT(C1830,1)="L",INDEX('Leads Pipeline'!$D$5:$D$1004,MATCH(C1830,'Leads Pipeline'!$A$5:$A$1004,0)),INDEX('Active Clients'!$B$5:$B$504,MATCH(C1830,'Active Clients'!$A$5:$A$504,0)))&amp;"","ID not found"))</f>
        <v/>
      </c>
      <c r="F1830" s="51" t="str">
        <f aca="false">IF(C1830="","",IFERROR(IF(LEFT(C1830,1)="L",INDEX('Leads Pipeline'!$E$5:$E$1004,MATCH(C1830,'Leads Pipeline'!$A$5:$A$1004,0)),INDEX('Active Clients'!$C$5:$C$504,MATCH(C1830,'Active Clients'!$A$5:$A$504,0)))&amp;"","ID not found"))</f>
        <v/>
      </c>
      <c r="G1830" s="16"/>
      <c r="H1830" s="16"/>
      <c r="I1830" s="16"/>
      <c r="J1830" s="16"/>
      <c r="K1830" s="16"/>
      <c r="L1830" s="18"/>
    </row>
    <row r="1831" customFormat="false" ht="15" hidden="false" customHeight="false" outlineLevel="0" collapsed="false">
      <c r="A1831" s="18"/>
      <c r="B1831" s="16"/>
      <c r="C1831" s="16"/>
      <c r="D1831" s="51" t="str">
        <f aca="false">IF(C1831="","",IFERROR(IF(LEFT(C1831,1)="L",INDEX('Leads Pipeline'!$F$5:$F$1004,MATCH(C1831,'Leads Pipeline'!$A$5:$A$1004,0)),INDEX('Active Clients'!$D$5:$D$504,MATCH(C1831,'Active Clients'!$A$5:$A$504,0)))&amp;"","ID not found"))</f>
        <v/>
      </c>
      <c r="E1831" s="51" t="str">
        <f aca="false">IF(C1831="","",IFERROR(IF(LEFT(C1831,1)="L",INDEX('Leads Pipeline'!$D$5:$D$1004,MATCH(C1831,'Leads Pipeline'!$A$5:$A$1004,0)),INDEX('Active Clients'!$B$5:$B$504,MATCH(C1831,'Active Clients'!$A$5:$A$504,0)))&amp;"","ID not found"))</f>
        <v/>
      </c>
      <c r="F1831" s="51" t="str">
        <f aca="false">IF(C1831="","",IFERROR(IF(LEFT(C1831,1)="L",INDEX('Leads Pipeline'!$E$5:$E$1004,MATCH(C1831,'Leads Pipeline'!$A$5:$A$1004,0)),INDEX('Active Clients'!$C$5:$C$504,MATCH(C1831,'Active Clients'!$A$5:$A$504,0)))&amp;"","ID not found"))</f>
        <v/>
      </c>
      <c r="G1831" s="16"/>
      <c r="H1831" s="16"/>
      <c r="I1831" s="16"/>
      <c r="J1831" s="16"/>
      <c r="K1831" s="16"/>
      <c r="L1831" s="18"/>
    </row>
    <row r="1832" customFormat="false" ht="15" hidden="false" customHeight="false" outlineLevel="0" collapsed="false">
      <c r="A1832" s="18"/>
      <c r="B1832" s="16"/>
      <c r="C1832" s="16"/>
      <c r="D1832" s="51" t="str">
        <f aca="false">IF(C1832="","",IFERROR(IF(LEFT(C1832,1)="L",INDEX('Leads Pipeline'!$F$5:$F$1004,MATCH(C1832,'Leads Pipeline'!$A$5:$A$1004,0)),INDEX('Active Clients'!$D$5:$D$504,MATCH(C1832,'Active Clients'!$A$5:$A$504,0)))&amp;"","ID not found"))</f>
        <v/>
      </c>
      <c r="E1832" s="51" t="str">
        <f aca="false">IF(C1832="","",IFERROR(IF(LEFT(C1832,1)="L",INDEX('Leads Pipeline'!$D$5:$D$1004,MATCH(C1832,'Leads Pipeline'!$A$5:$A$1004,0)),INDEX('Active Clients'!$B$5:$B$504,MATCH(C1832,'Active Clients'!$A$5:$A$504,0)))&amp;"","ID not found"))</f>
        <v/>
      </c>
      <c r="F1832" s="51" t="str">
        <f aca="false">IF(C1832="","",IFERROR(IF(LEFT(C1832,1)="L",INDEX('Leads Pipeline'!$E$5:$E$1004,MATCH(C1832,'Leads Pipeline'!$A$5:$A$1004,0)),INDEX('Active Clients'!$C$5:$C$504,MATCH(C1832,'Active Clients'!$A$5:$A$504,0)))&amp;"","ID not found"))</f>
        <v/>
      </c>
      <c r="G1832" s="16"/>
      <c r="H1832" s="16"/>
      <c r="I1832" s="16"/>
      <c r="J1832" s="16"/>
      <c r="K1832" s="16"/>
      <c r="L1832" s="18"/>
    </row>
    <row r="1833" customFormat="false" ht="15" hidden="false" customHeight="false" outlineLevel="0" collapsed="false">
      <c r="A1833" s="18"/>
      <c r="B1833" s="16"/>
      <c r="C1833" s="16"/>
      <c r="D1833" s="51" t="str">
        <f aca="false">IF(C1833="","",IFERROR(IF(LEFT(C1833,1)="L",INDEX('Leads Pipeline'!$F$5:$F$1004,MATCH(C1833,'Leads Pipeline'!$A$5:$A$1004,0)),INDEX('Active Clients'!$D$5:$D$504,MATCH(C1833,'Active Clients'!$A$5:$A$504,0)))&amp;"","ID not found"))</f>
        <v/>
      </c>
      <c r="E1833" s="51" t="str">
        <f aca="false">IF(C1833="","",IFERROR(IF(LEFT(C1833,1)="L",INDEX('Leads Pipeline'!$D$5:$D$1004,MATCH(C1833,'Leads Pipeline'!$A$5:$A$1004,0)),INDEX('Active Clients'!$B$5:$B$504,MATCH(C1833,'Active Clients'!$A$5:$A$504,0)))&amp;"","ID not found"))</f>
        <v/>
      </c>
      <c r="F1833" s="51" t="str">
        <f aca="false">IF(C1833="","",IFERROR(IF(LEFT(C1833,1)="L",INDEX('Leads Pipeline'!$E$5:$E$1004,MATCH(C1833,'Leads Pipeline'!$A$5:$A$1004,0)),INDEX('Active Clients'!$C$5:$C$504,MATCH(C1833,'Active Clients'!$A$5:$A$504,0)))&amp;"","ID not found"))</f>
        <v/>
      </c>
      <c r="G1833" s="16"/>
      <c r="H1833" s="16"/>
      <c r="I1833" s="16"/>
      <c r="J1833" s="16"/>
      <c r="K1833" s="16"/>
      <c r="L1833" s="18"/>
    </row>
    <row r="1834" customFormat="false" ht="15" hidden="false" customHeight="false" outlineLevel="0" collapsed="false">
      <c r="A1834" s="18"/>
      <c r="B1834" s="16"/>
      <c r="C1834" s="16"/>
      <c r="D1834" s="51" t="str">
        <f aca="false">IF(C1834="","",IFERROR(IF(LEFT(C1834,1)="L",INDEX('Leads Pipeline'!$F$5:$F$1004,MATCH(C1834,'Leads Pipeline'!$A$5:$A$1004,0)),INDEX('Active Clients'!$D$5:$D$504,MATCH(C1834,'Active Clients'!$A$5:$A$504,0)))&amp;"","ID not found"))</f>
        <v/>
      </c>
      <c r="E1834" s="51" t="str">
        <f aca="false">IF(C1834="","",IFERROR(IF(LEFT(C1834,1)="L",INDEX('Leads Pipeline'!$D$5:$D$1004,MATCH(C1834,'Leads Pipeline'!$A$5:$A$1004,0)),INDEX('Active Clients'!$B$5:$B$504,MATCH(C1834,'Active Clients'!$A$5:$A$504,0)))&amp;"","ID not found"))</f>
        <v/>
      </c>
      <c r="F1834" s="51" t="str">
        <f aca="false">IF(C1834="","",IFERROR(IF(LEFT(C1834,1)="L",INDEX('Leads Pipeline'!$E$5:$E$1004,MATCH(C1834,'Leads Pipeline'!$A$5:$A$1004,0)),INDEX('Active Clients'!$C$5:$C$504,MATCH(C1834,'Active Clients'!$A$5:$A$504,0)))&amp;"","ID not found"))</f>
        <v/>
      </c>
      <c r="G1834" s="16"/>
      <c r="H1834" s="16"/>
      <c r="I1834" s="16"/>
      <c r="J1834" s="16"/>
      <c r="K1834" s="16"/>
      <c r="L1834" s="18"/>
    </row>
    <row r="1835" customFormat="false" ht="15" hidden="false" customHeight="false" outlineLevel="0" collapsed="false">
      <c r="A1835" s="18"/>
      <c r="B1835" s="16"/>
      <c r="C1835" s="16"/>
      <c r="D1835" s="51" t="str">
        <f aca="false">IF(C1835="","",IFERROR(IF(LEFT(C1835,1)="L",INDEX('Leads Pipeline'!$F$5:$F$1004,MATCH(C1835,'Leads Pipeline'!$A$5:$A$1004,0)),INDEX('Active Clients'!$D$5:$D$504,MATCH(C1835,'Active Clients'!$A$5:$A$504,0)))&amp;"","ID not found"))</f>
        <v/>
      </c>
      <c r="E1835" s="51" t="str">
        <f aca="false">IF(C1835="","",IFERROR(IF(LEFT(C1835,1)="L",INDEX('Leads Pipeline'!$D$5:$D$1004,MATCH(C1835,'Leads Pipeline'!$A$5:$A$1004,0)),INDEX('Active Clients'!$B$5:$B$504,MATCH(C1835,'Active Clients'!$A$5:$A$504,0)))&amp;"","ID not found"))</f>
        <v/>
      </c>
      <c r="F1835" s="51" t="str">
        <f aca="false">IF(C1835="","",IFERROR(IF(LEFT(C1835,1)="L",INDEX('Leads Pipeline'!$E$5:$E$1004,MATCH(C1835,'Leads Pipeline'!$A$5:$A$1004,0)),INDEX('Active Clients'!$C$5:$C$504,MATCH(C1835,'Active Clients'!$A$5:$A$504,0)))&amp;"","ID not found"))</f>
        <v/>
      </c>
      <c r="G1835" s="16"/>
      <c r="H1835" s="16"/>
      <c r="I1835" s="16"/>
      <c r="J1835" s="16"/>
      <c r="K1835" s="16"/>
      <c r="L1835" s="18"/>
    </row>
    <row r="1836" customFormat="false" ht="15" hidden="false" customHeight="false" outlineLevel="0" collapsed="false">
      <c r="A1836" s="18"/>
      <c r="B1836" s="16"/>
      <c r="C1836" s="16"/>
      <c r="D1836" s="51" t="str">
        <f aca="false">IF(C1836="","",IFERROR(IF(LEFT(C1836,1)="L",INDEX('Leads Pipeline'!$F$5:$F$1004,MATCH(C1836,'Leads Pipeline'!$A$5:$A$1004,0)),INDEX('Active Clients'!$D$5:$D$504,MATCH(C1836,'Active Clients'!$A$5:$A$504,0)))&amp;"","ID not found"))</f>
        <v/>
      </c>
      <c r="E1836" s="51" t="str">
        <f aca="false">IF(C1836="","",IFERROR(IF(LEFT(C1836,1)="L",INDEX('Leads Pipeline'!$D$5:$D$1004,MATCH(C1836,'Leads Pipeline'!$A$5:$A$1004,0)),INDEX('Active Clients'!$B$5:$B$504,MATCH(C1836,'Active Clients'!$A$5:$A$504,0)))&amp;"","ID not found"))</f>
        <v/>
      </c>
      <c r="F1836" s="51" t="str">
        <f aca="false">IF(C1836="","",IFERROR(IF(LEFT(C1836,1)="L",INDEX('Leads Pipeline'!$E$5:$E$1004,MATCH(C1836,'Leads Pipeline'!$A$5:$A$1004,0)),INDEX('Active Clients'!$C$5:$C$504,MATCH(C1836,'Active Clients'!$A$5:$A$504,0)))&amp;"","ID not found"))</f>
        <v/>
      </c>
      <c r="G1836" s="16"/>
      <c r="H1836" s="16"/>
      <c r="I1836" s="16"/>
      <c r="J1836" s="16"/>
      <c r="K1836" s="16"/>
      <c r="L1836" s="18"/>
    </row>
    <row r="1837" customFormat="false" ht="15" hidden="false" customHeight="false" outlineLevel="0" collapsed="false">
      <c r="A1837" s="18"/>
      <c r="B1837" s="16"/>
      <c r="C1837" s="16"/>
      <c r="D1837" s="51" t="str">
        <f aca="false">IF(C1837="","",IFERROR(IF(LEFT(C1837,1)="L",INDEX('Leads Pipeline'!$F$5:$F$1004,MATCH(C1837,'Leads Pipeline'!$A$5:$A$1004,0)),INDEX('Active Clients'!$D$5:$D$504,MATCH(C1837,'Active Clients'!$A$5:$A$504,0)))&amp;"","ID not found"))</f>
        <v/>
      </c>
      <c r="E1837" s="51" t="str">
        <f aca="false">IF(C1837="","",IFERROR(IF(LEFT(C1837,1)="L",INDEX('Leads Pipeline'!$D$5:$D$1004,MATCH(C1837,'Leads Pipeline'!$A$5:$A$1004,0)),INDEX('Active Clients'!$B$5:$B$504,MATCH(C1837,'Active Clients'!$A$5:$A$504,0)))&amp;"","ID not found"))</f>
        <v/>
      </c>
      <c r="F1837" s="51" t="str">
        <f aca="false">IF(C1837="","",IFERROR(IF(LEFT(C1837,1)="L",INDEX('Leads Pipeline'!$E$5:$E$1004,MATCH(C1837,'Leads Pipeline'!$A$5:$A$1004,0)),INDEX('Active Clients'!$C$5:$C$504,MATCH(C1837,'Active Clients'!$A$5:$A$504,0)))&amp;"","ID not found"))</f>
        <v/>
      </c>
      <c r="G1837" s="16"/>
      <c r="H1837" s="16"/>
      <c r="I1837" s="16"/>
      <c r="J1837" s="16"/>
      <c r="K1837" s="16"/>
      <c r="L1837" s="18"/>
    </row>
    <row r="1838" customFormat="false" ht="15" hidden="false" customHeight="false" outlineLevel="0" collapsed="false">
      <c r="A1838" s="18"/>
      <c r="B1838" s="16"/>
      <c r="C1838" s="16"/>
      <c r="D1838" s="51" t="str">
        <f aca="false">IF(C1838="","",IFERROR(IF(LEFT(C1838,1)="L",INDEX('Leads Pipeline'!$F$5:$F$1004,MATCH(C1838,'Leads Pipeline'!$A$5:$A$1004,0)),INDEX('Active Clients'!$D$5:$D$504,MATCH(C1838,'Active Clients'!$A$5:$A$504,0)))&amp;"","ID not found"))</f>
        <v/>
      </c>
      <c r="E1838" s="51" t="str">
        <f aca="false">IF(C1838="","",IFERROR(IF(LEFT(C1838,1)="L",INDEX('Leads Pipeline'!$D$5:$D$1004,MATCH(C1838,'Leads Pipeline'!$A$5:$A$1004,0)),INDEX('Active Clients'!$B$5:$B$504,MATCH(C1838,'Active Clients'!$A$5:$A$504,0)))&amp;"","ID not found"))</f>
        <v/>
      </c>
      <c r="F1838" s="51" t="str">
        <f aca="false">IF(C1838="","",IFERROR(IF(LEFT(C1838,1)="L",INDEX('Leads Pipeline'!$E$5:$E$1004,MATCH(C1838,'Leads Pipeline'!$A$5:$A$1004,0)),INDEX('Active Clients'!$C$5:$C$504,MATCH(C1838,'Active Clients'!$A$5:$A$504,0)))&amp;"","ID not found"))</f>
        <v/>
      </c>
      <c r="G1838" s="16"/>
      <c r="H1838" s="16"/>
      <c r="I1838" s="16"/>
      <c r="J1838" s="16"/>
      <c r="K1838" s="16"/>
      <c r="L1838" s="18"/>
    </row>
    <row r="1839" customFormat="false" ht="15" hidden="false" customHeight="false" outlineLevel="0" collapsed="false">
      <c r="A1839" s="18"/>
      <c r="B1839" s="16"/>
      <c r="C1839" s="16"/>
      <c r="D1839" s="51" t="str">
        <f aca="false">IF(C1839="","",IFERROR(IF(LEFT(C1839,1)="L",INDEX('Leads Pipeline'!$F$5:$F$1004,MATCH(C1839,'Leads Pipeline'!$A$5:$A$1004,0)),INDEX('Active Clients'!$D$5:$D$504,MATCH(C1839,'Active Clients'!$A$5:$A$504,0)))&amp;"","ID not found"))</f>
        <v/>
      </c>
      <c r="E1839" s="51" t="str">
        <f aca="false">IF(C1839="","",IFERROR(IF(LEFT(C1839,1)="L",INDEX('Leads Pipeline'!$D$5:$D$1004,MATCH(C1839,'Leads Pipeline'!$A$5:$A$1004,0)),INDEX('Active Clients'!$B$5:$B$504,MATCH(C1839,'Active Clients'!$A$5:$A$504,0)))&amp;"","ID not found"))</f>
        <v/>
      </c>
      <c r="F1839" s="51" t="str">
        <f aca="false">IF(C1839="","",IFERROR(IF(LEFT(C1839,1)="L",INDEX('Leads Pipeline'!$E$5:$E$1004,MATCH(C1839,'Leads Pipeline'!$A$5:$A$1004,0)),INDEX('Active Clients'!$C$5:$C$504,MATCH(C1839,'Active Clients'!$A$5:$A$504,0)))&amp;"","ID not found"))</f>
        <v/>
      </c>
      <c r="G1839" s="16"/>
      <c r="H1839" s="16"/>
      <c r="I1839" s="16"/>
      <c r="J1839" s="16"/>
      <c r="K1839" s="16"/>
      <c r="L1839" s="18"/>
    </row>
    <row r="1840" customFormat="false" ht="15" hidden="false" customHeight="false" outlineLevel="0" collapsed="false">
      <c r="A1840" s="18"/>
      <c r="B1840" s="16"/>
      <c r="C1840" s="16"/>
      <c r="D1840" s="51" t="str">
        <f aca="false">IF(C1840="","",IFERROR(IF(LEFT(C1840,1)="L",INDEX('Leads Pipeline'!$F$5:$F$1004,MATCH(C1840,'Leads Pipeline'!$A$5:$A$1004,0)),INDEX('Active Clients'!$D$5:$D$504,MATCH(C1840,'Active Clients'!$A$5:$A$504,0)))&amp;"","ID not found"))</f>
        <v/>
      </c>
      <c r="E1840" s="51" t="str">
        <f aca="false">IF(C1840="","",IFERROR(IF(LEFT(C1840,1)="L",INDEX('Leads Pipeline'!$D$5:$D$1004,MATCH(C1840,'Leads Pipeline'!$A$5:$A$1004,0)),INDEX('Active Clients'!$B$5:$B$504,MATCH(C1840,'Active Clients'!$A$5:$A$504,0)))&amp;"","ID not found"))</f>
        <v/>
      </c>
      <c r="F1840" s="51" t="str">
        <f aca="false">IF(C1840="","",IFERROR(IF(LEFT(C1840,1)="L",INDEX('Leads Pipeline'!$E$5:$E$1004,MATCH(C1840,'Leads Pipeline'!$A$5:$A$1004,0)),INDEX('Active Clients'!$C$5:$C$504,MATCH(C1840,'Active Clients'!$A$5:$A$504,0)))&amp;"","ID not found"))</f>
        <v/>
      </c>
      <c r="G1840" s="16"/>
      <c r="H1840" s="16"/>
      <c r="I1840" s="16"/>
      <c r="J1840" s="16"/>
      <c r="K1840" s="16"/>
      <c r="L1840" s="18"/>
    </row>
    <row r="1841" customFormat="false" ht="15" hidden="false" customHeight="false" outlineLevel="0" collapsed="false">
      <c r="A1841" s="18"/>
      <c r="B1841" s="16"/>
      <c r="C1841" s="16"/>
      <c r="D1841" s="51" t="str">
        <f aca="false">IF(C1841="","",IFERROR(IF(LEFT(C1841,1)="L",INDEX('Leads Pipeline'!$F$5:$F$1004,MATCH(C1841,'Leads Pipeline'!$A$5:$A$1004,0)),INDEX('Active Clients'!$D$5:$D$504,MATCH(C1841,'Active Clients'!$A$5:$A$504,0)))&amp;"","ID not found"))</f>
        <v/>
      </c>
      <c r="E1841" s="51" t="str">
        <f aca="false">IF(C1841="","",IFERROR(IF(LEFT(C1841,1)="L",INDEX('Leads Pipeline'!$D$5:$D$1004,MATCH(C1841,'Leads Pipeline'!$A$5:$A$1004,0)),INDEX('Active Clients'!$B$5:$B$504,MATCH(C1841,'Active Clients'!$A$5:$A$504,0)))&amp;"","ID not found"))</f>
        <v/>
      </c>
      <c r="F1841" s="51" t="str">
        <f aca="false">IF(C1841="","",IFERROR(IF(LEFT(C1841,1)="L",INDEX('Leads Pipeline'!$E$5:$E$1004,MATCH(C1841,'Leads Pipeline'!$A$5:$A$1004,0)),INDEX('Active Clients'!$C$5:$C$504,MATCH(C1841,'Active Clients'!$A$5:$A$504,0)))&amp;"","ID not found"))</f>
        <v/>
      </c>
      <c r="G1841" s="16"/>
      <c r="H1841" s="16"/>
      <c r="I1841" s="16"/>
      <c r="J1841" s="16"/>
      <c r="K1841" s="16"/>
      <c r="L1841" s="18"/>
    </row>
    <row r="1842" customFormat="false" ht="15" hidden="false" customHeight="false" outlineLevel="0" collapsed="false">
      <c r="A1842" s="18"/>
      <c r="B1842" s="16"/>
      <c r="C1842" s="16"/>
      <c r="D1842" s="51" t="str">
        <f aca="false">IF(C1842="","",IFERROR(IF(LEFT(C1842,1)="L",INDEX('Leads Pipeline'!$F$5:$F$1004,MATCH(C1842,'Leads Pipeline'!$A$5:$A$1004,0)),INDEX('Active Clients'!$D$5:$D$504,MATCH(C1842,'Active Clients'!$A$5:$A$504,0)))&amp;"","ID not found"))</f>
        <v/>
      </c>
      <c r="E1842" s="51" t="str">
        <f aca="false">IF(C1842="","",IFERROR(IF(LEFT(C1842,1)="L",INDEX('Leads Pipeline'!$D$5:$D$1004,MATCH(C1842,'Leads Pipeline'!$A$5:$A$1004,0)),INDEX('Active Clients'!$B$5:$B$504,MATCH(C1842,'Active Clients'!$A$5:$A$504,0)))&amp;"","ID not found"))</f>
        <v/>
      </c>
      <c r="F1842" s="51" t="str">
        <f aca="false">IF(C1842="","",IFERROR(IF(LEFT(C1842,1)="L",INDEX('Leads Pipeline'!$E$5:$E$1004,MATCH(C1842,'Leads Pipeline'!$A$5:$A$1004,0)),INDEX('Active Clients'!$C$5:$C$504,MATCH(C1842,'Active Clients'!$A$5:$A$504,0)))&amp;"","ID not found"))</f>
        <v/>
      </c>
      <c r="G1842" s="16"/>
      <c r="H1842" s="16"/>
      <c r="I1842" s="16"/>
      <c r="J1842" s="16"/>
      <c r="K1842" s="16"/>
      <c r="L1842" s="18"/>
    </row>
    <row r="1843" customFormat="false" ht="15" hidden="false" customHeight="false" outlineLevel="0" collapsed="false">
      <c r="A1843" s="18"/>
      <c r="B1843" s="16"/>
      <c r="C1843" s="16"/>
      <c r="D1843" s="51" t="str">
        <f aca="false">IF(C1843="","",IFERROR(IF(LEFT(C1843,1)="L",INDEX('Leads Pipeline'!$F$5:$F$1004,MATCH(C1843,'Leads Pipeline'!$A$5:$A$1004,0)),INDEX('Active Clients'!$D$5:$D$504,MATCH(C1843,'Active Clients'!$A$5:$A$504,0)))&amp;"","ID not found"))</f>
        <v/>
      </c>
      <c r="E1843" s="51" t="str">
        <f aca="false">IF(C1843="","",IFERROR(IF(LEFT(C1843,1)="L",INDEX('Leads Pipeline'!$D$5:$D$1004,MATCH(C1843,'Leads Pipeline'!$A$5:$A$1004,0)),INDEX('Active Clients'!$B$5:$B$504,MATCH(C1843,'Active Clients'!$A$5:$A$504,0)))&amp;"","ID not found"))</f>
        <v/>
      </c>
      <c r="F1843" s="51" t="str">
        <f aca="false">IF(C1843="","",IFERROR(IF(LEFT(C1843,1)="L",INDEX('Leads Pipeline'!$E$5:$E$1004,MATCH(C1843,'Leads Pipeline'!$A$5:$A$1004,0)),INDEX('Active Clients'!$C$5:$C$504,MATCH(C1843,'Active Clients'!$A$5:$A$504,0)))&amp;"","ID not found"))</f>
        <v/>
      </c>
      <c r="G1843" s="16"/>
      <c r="H1843" s="16"/>
      <c r="I1843" s="16"/>
      <c r="J1843" s="16"/>
      <c r="K1843" s="16"/>
      <c r="L1843" s="18"/>
    </row>
    <row r="1844" customFormat="false" ht="15" hidden="false" customHeight="false" outlineLevel="0" collapsed="false">
      <c r="A1844" s="18"/>
      <c r="B1844" s="16"/>
      <c r="C1844" s="16"/>
      <c r="D1844" s="51" t="str">
        <f aca="false">IF(C1844="","",IFERROR(IF(LEFT(C1844,1)="L",INDEX('Leads Pipeline'!$F$5:$F$1004,MATCH(C1844,'Leads Pipeline'!$A$5:$A$1004,0)),INDEX('Active Clients'!$D$5:$D$504,MATCH(C1844,'Active Clients'!$A$5:$A$504,0)))&amp;"","ID not found"))</f>
        <v/>
      </c>
      <c r="E1844" s="51" t="str">
        <f aca="false">IF(C1844="","",IFERROR(IF(LEFT(C1844,1)="L",INDEX('Leads Pipeline'!$D$5:$D$1004,MATCH(C1844,'Leads Pipeline'!$A$5:$A$1004,0)),INDEX('Active Clients'!$B$5:$B$504,MATCH(C1844,'Active Clients'!$A$5:$A$504,0)))&amp;"","ID not found"))</f>
        <v/>
      </c>
      <c r="F1844" s="51" t="str">
        <f aca="false">IF(C1844="","",IFERROR(IF(LEFT(C1844,1)="L",INDEX('Leads Pipeline'!$E$5:$E$1004,MATCH(C1844,'Leads Pipeline'!$A$5:$A$1004,0)),INDEX('Active Clients'!$C$5:$C$504,MATCH(C1844,'Active Clients'!$A$5:$A$504,0)))&amp;"","ID not found"))</f>
        <v/>
      </c>
      <c r="G1844" s="16"/>
      <c r="H1844" s="16"/>
      <c r="I1844" s="16"/>
      <c r="J1844" s="16"/>
      <c r="K1844" s="16"/>
      <c r="L1844" s="18"/>
    </row>
    <row r="1845" customFormat="false" ht="15" hidden="false" customHeight="false" outlineLevel="0" collapsed="false">
      <c r="A1845" s="18"/>
      <c r="B1845" s="16"/>
      <c r="C1845" s="16"/>
      <c r="D1845" s="51" t="str">
        <f aca="false">IF(C1845="","",IFERROR(IF(LEFT(C1845,1)="L",INDEX('Leads Pipeline'!$F$5:$F$1004,MATCH(C1845,'Leads Pipeline'!$A$5:$A$1004,0)),INDEX('Active Clients'!$D$5:$D$504,MATCH(C1845,'Active Clients'!$A$5:$A$504,0)))&amp;"","ID not found"))</f>
        <v/>
      </c>
      <c r="E1845" s="51" t="str">
        <f aca="false">IF(C1845="","",IFERROR(IF(LEFT(C1845,1)="L",INDEX('Leads Pipeline'!$D$5:$D$1004,MATCH(C1845,'Leads Pipeline'!$A$5:$A$1004,0)),INDEX('Active Clients'!$B$5:$B$504,MATCH(C1845,'Active Clients'!$A$5:$A$504,0)))&amp;"","ID not found"))</f>
        <v/>
      </c>
      <c r="F1845" s="51" t="str">
        <f aca="false">IF(C1845="","",IFERROR(IF(LEFT(C1845,1)="L",INDEX('Leads Pipeline'!$E$5:$E$1004,MATCH(C1845,'Leads Pipeline'!$A$5:$A$1004,0)),INDEX('Active Clients'!$C$5:$C$504,MATCH(C1845,'Active Clients'!$A$5:$A$504,0)))&amp;"","ID not found"))</f>
        <v/>
      </c>
      <c r="G1845" s="16"/>
      <c r="H1845" s="16"/>
      <c r="I1845" s="16"/>
      <c r="J1845" s="16"/>
      <c r="K1845" s="16"/>
      <c r="L1845" s="18"/>
    </row>
    <row r="1846" customFormat="false" ht="15" hidden="false" customHeight="false" outlineLevel="0" collapsed="false">
      <c r="A1846" s="18"/>
      <c r="B1846" s="16"/>
      <c r="C1846" s="16"/>
      <c r="D1846" s="51" t="str">
        <f aca="false">IF(C1846="","",IFERROR(IF(LEFT(C1846,1)="L",INDEX('Leads Pipeline'!$F$5:$F$1004,MATCH(C1846,'Leads Pipeline'!$A$5:$A$1004,0)),INDEX('Active Clients'!$D$5:$D$504,MATCH(C1846,'Active Clients'!$A$5:$A$504,0)))&amp;"","ID not found"))</f>
        <v/>
      </c>
      <c r="E1846" s="51" t="str">
        <f aca="false">IF(C1846="","",IFERROR(IF(LEFT(C1846,1)="L",INDEX('Leads Pipeline'!$D$5:$D$1004,MATCH(C1846,'Leads Pipeline'!$A$5:$A$1004,0)),INDEX('Active Clients'!$B$5:$B$504,MATCH(C1846,'Active Clients'!$A$5:$A$504,0)))&amp;"","ID not found"))</f>
        <v/>
      </c>
      <c r="F1846" s="51" t="str">
        <f aca="false">IF(C1846="","",IFERROR(IF(LEFT(C1846,1)="L",INDEX('Leads Pipeline'!$E$5:$E$1004,MATCH(C1846,'Leads Pipeline'!$A$5:$A$1004,0)),INDEX('Active Clients'!$C$5:$C$504,MATCH(C1846,'Active Clients'!$A$5:$A$504,0)))&amp;"","ID not found"))</f>
        <v/>
      </c>
      <c r="G1846" s="16"/>
      <c r="H1846" s="16"/>
      <c r="I1846" s="16"/>
      <c r="J1846" s="16"/>
      <c r="K1846" s="16"/>
      <c r="L1846" s="18"/>
    </row>
    <row r="1847" customFormat="false" ht="15" hidden="false" customHeight="false" outlineLevel="0" collapsed="false">
      <c r="A1847" s="18"/>
      <c r="B1847" s="16"/>
      <c r="C1847" s="16"/>
      <c r="D1847" s="51" t="str">
        <f aca="false">IF(C1847="","",IFERROR(IF(LEFT(C1847,1)="L",INDEX('Leads Pipeline'!$F$5:$F$1004,MATCH(C1847,'Leads Pipeline'!$A$5:$A$1004,0)),INDEX('Active Clients'!$D$5:$D$504,MATCH(C1847,'Active Clients'!$A$5:$A$504,0)))&amp;"","ID not found"))</f>
        <v/>
      </c>
      <c r="E1847" s="51" t="str">
        <f aca="false">IF(C1847="","",IFERROR(IF(LEFT(C1847,1)="L",INDEX('Leads Pipeline'!$D$5:$D$1004,MATCH(C1847,'Leads Pipeline'!$A$5:$A$1004,0)),INDEX('Active Clients'!$B$5:$B$504,MATCH(C1847,'Active Clients'!$A$5:$A$504,0)))&amp;"","ID not found"))</f>
        <v/>
      </c>
      <c r="F1847" s="51" t="str">
        <f aca="false">IF(C1847="","",IFERROR(IF(LEFT(C1847,1)="L",INDEX('Leads Pipeline'!$E$5:$E$1004,MATCH(C1847,'Leads Pipeline'!$A$5:$A$1004,0)),INDEX('Active Clients'!$C$5:$C$504,MATCH(C1847,'Active Clients'!$A$5:$A$504,0)))&amp;"","ID not found"))</f>
        <v/>
      </c>
      <c r="G1847" s="16"/>
      <c r="H1847" s="16"/>
      <c r="I1847" s="16"/>
      <c r="J1847" s="16"/>
      <c r="K1847" s="16"/>
      <c r="L1847" s="18"/>
    </row>
    <row r="1848" customFormat="false" ht="15" hidden="false" customHeight="false" outlineLevel="0" collapsed="false">
      <c r="A1848" s="18"/>
      <c r="B1848" s="16"/>
      <c r="C1848" s="16"/>
      <c r="D1848" s="51" t="str">
        <f aca="false">IF(C1848="","",IFERROR(IF(LEFT(C1848,1)="L",INDEX('Leads Pipeline'!$F$5:$F$1004,MATCH(C1848,'Leads Pipeline'!$A$5:$A$1004,0)),INDEX('Active Clients'!$D$5:$D$504,MATCH(C1848,'Active Clients'!$A$5:$A$504,0)))&amp;"","ID not found"))</f>
        <v/>
      </c>
      <c r="E1848" s="51" t="str">
        <f aca="false">IF(C1848="","",IFERROR(IF(LEFT(C1848,1)="L",INDEX('Leads Pipeline'!$D$5:$D$1004,MATCH(C1848,'Leads Pipeline'!$A$5:$A$1004,0)),INDEX('Active Clients'!$B$5:$B$504,MATCH(C1848,'Active Clients'!$A$5:$A$504,0)))&amp;"","ID not found"))</f>
        <v/>
      </c>
      <c r="F1848" s="51" t="str">
        <f aca="false">IF(C1848="","",IFERROR(IF(LEFT(C1848,1)="L",INDEX('Leads Pipeline'!$E$5:$E$1004,MATCH(C1848,'Leads Pipeline'!$A$5:$A$1004,0)),INDEX('Active Clients'!$C$5:$C$504,MATCH(C1848,'Active Clients'!$A$5:$A$504,0)))&amp;"","ID not found"))</f>
        <v/>
      </c>
      <c r="G1848" s="16"/>
      <c r="H1848" s="16"/>
      <c r="I1848" s="16"/>
      <c r="J1848" s="16"/>
      <c r="K1848" s="16"/>
      <c r="L1848" s="18"/>
    </row>
    <row r="1849" customFormat="false" ht="15" hidden="false" customHeight="false" outlineLevel="0" collapsed="false">
      <c r="A1849" s="18"/>
      <c r="B1849" s="16"/>
      <c r="C1849" s="16"/>
      <c r="D1849" s="51" t="str">
        <f aca="false">IF(C1849="","",IFERROR(IF(LEFT(C1849,1)="L",INDEX('Leads Pipeline'!$F$5:$F$1004,MATCH(C1849,'Leads Pipeline'!$A$5:$A$1004,0)),INDEX('Active Clients'!$D$5:$D$504,MATCH(C1849,'Active Clients'!$A$5:$A$504,0)))&amp;"","ID not found"))</f>
        <v/>
      </c>
      <c r="E1849" s="51" t="str">
        <f aca="false">IF(C1849="","",IFERROR(IF(LEFT(C1849,1)="L",INDEX('Leads Pipeline'!$D$5:$D$1004,MATCH(C1849,'Leads Pipeline'!$A$5:$A$1004,0)),INDEX('Active Clients'!$B$5:$B$504,MATCH(C1849,'Active Clients'!$A$5:$A$504,0)))&amp;"","ID not found"))</f>
        <v/>
      </c>
      <c r="F1849" s="51" t="str">
        <f aca="false">IF(C1849="","",IFERROR(IF(LEFT(C1849,1)="L",INDEX('Leads Pipeline'!$E$5:$E$1004,MATCH(C1849,'Leads Pipeline'!$A$5:$A$1004,0)),INDEX('Active Clients'!$C$5:$C$504,MATCH(C1849,'Active Clients'!$A$5:$A$504,0)))&amp;"","ID not found"))</f>
        <v/>
      </c>
      <c r="G1849" s="16"/>
      <c r="H1849" s="16"/>
      <c r="I1849" s="16"/>
      <c r="J1849" s="16"/>
      <c r="K1849" s="16"/>
      <c r="L1849" s="18"/>
    </row>
    <row r="1850" customFormat="false" ht="15" hidden="false" customHeight="false" outlineLevel="0" collapsed="false">
      <c r="A1850" s="18"/>
      <c r="B1850" s="16"/>
      <c r="C1850" s="16"/>
      <c r="D1850" s="51" t="str">
        <f aca="false">IF(C1850="","",IFERROR(IF(LEFT(C1850,1)="L",INDEX('Leads Pipeline'!$F$5:$F$1004,MATCH(C1850,'Leads Pipeline'!$A$5:$A$1004,0)),INDEX('Active Clients'!$D$5:$D$504,MATCH(C1850,'Active Clients'!$A$5:$A$504,0)))&amp;"","ID not found"))</f>
        <v/>
      </c>
      <c r="E1850" s="51" t="str">
        <f aca="false">IF(C1850="","",IFERROR(IF(LEFT(C1850,1)="L",INDEX('Leads Pipeline'!$D$5:$D$1004,MATCH(C1850,'Leads Pipeline'!$A$5:$A$1004,0)),INDEX('Active Clients'!$B$5:$B$504,MATCH(C1850,'Active Clients'!$A$5:$A$504,0)))&amp;"","ID not found"))</f>
        <v/>
      </c>
      <c r="F1850" s="51" t="str">
        <f aca="false">IF(C1850="","",IFERROR(IF(LEFT(C1850,1)="L",INDEX('Leads Pipeline'!$E$5:$E$1004,MATCH(C1850,'Leads Pipeline'!$A$5:$A$1004,0)),INDEX('Active Clients'!$C$5:$C$504,MATCH(C1850,'Active Clients'!$A$5:$A$504,0)))&amp;"","ID not found"))</f>
        <v/>
      </c>
      <c r="G1850" s="16"/>
      <c r="H1850" s="16"/>
      <c r="I1850" s="16"/>
      <c r="J1850" s="16"/>
      <c r="K1850" s="16"/>
      <c r="L1850" s="18"/>
    </row>
    <row r="1851" customFormat="false" ht="15" hidden="false" customHeight="false" outlineLevel="0" collapsed="false">
      <c r="A1851" s="18"/>
      <c r="B1851" s="16"/>
      <c r="C1851" s="16"/>
      <c r="D1851" s="51" t="str">
        <f aca="false">IF(C1851="","",IFERROR(IF(LEFT(C1851,1)="L",INDEX('Leads Pipeline'!$F$5:$F$1004,MATCH(C1851,'Leads Pipeline'!$A$5:$A$1004,0)),INDEX('Active Clients'!$D$5:$D$504,MATCH(C1851,'Active Clients'!$A$5:$A$504,0)))&amp;"","ID not found"))</f>
        <v/>
      </c>
      <c r="E1851" s="51" t="str">
        <f aca="false">IF(C1851="","",IFERROR(IF(LEFT(C1851,1)="L",INDEX('Leads Pipeline'!$D$5:$D$1004,MATCH(C1851,'Leads Pipeline'!$A$5:$A$1004,0)),INDEX('Active Clients'!$B$5:$B$504,MATCH(C1851,'Active Clients'!$A$5:$A$504,0)))&amp;"","ID not found"))</f>
        <v/>
      </c>
      <c r="F1851" s="51" t="str">
        <f aca="false">IF(C1851="","",IFERROR(IF(LEFT(C1851,1)="L",INDEX('Leads Pipeline'!$E$5:$E$1004,MATCH(C1851,'Leads Pipeline'!$A$5:$A$1004,0)),INDEX('Active Clients'!$C$5:$C$504,MATCH(C1851,'Active Clients'!$A$5:$A$504,0)))&amp;"","ID not found"))</f>
        <v/>
      </c>
      <c r="G1851" s="16"/>
      <c r="H1851" s="16"/>
      <c r="I1851" s="16"/>
      <c r="J1851" s="16"/>
      <c r="K1851" s="16"/>
      <c r="L1851" s="18"/>
    </row>
    <row r="1852" customFormat="false" ht="15" hidden="false" customHeight="false" outlineLevel="0" collapsed="false">
      <c r="A1852" s="18"/>
      <c r="B1852" s="16"/>
      <c r="C1852" s="16"/>
      <c r="D1852" s="51" t="str">
        <f aca="false">IF(C1852="","",IFERROR(IF(LEFT(C1852,1)="L",INDEX('Leads Pipeline'!$F$5:$F$1004,MATCH(C1852,'Leads Pipeline'!$A$5:$A$1004,0)),INDEX('Active Clients'!$D$5:$D$504,MATCH(C1852,'Active Clients'!$A$5:$A$504,0)))&amp;"","ID not found"))</f>
        <v/>
      </c>
      <c r="E1852" s="51" t="str">
        <f aca="false">IF(C1852="","",IFERROR(IF(LEFT(C1852,1)="L",INDEX('Leads Pipeline'!$D$5:$D$1004,MATCH(C1852,'Leads Pipeline'!$A$5:$A$1004,0)),INDEX('Active Clients'!$B$5:$B$504,MATCH(C1852,'Active Clients'!$A$5:$A$504,0)))&amp;"","ID not found"))</f>
        <v/>
      </c>
      <c r="F1852" s="51" t="str">
        <f aca="false">IF(C1852="","",IFERROR(IF(LEFT(C1852,1)="L",INDEX('Leads Pipeline'!$E$5:$E$1004,MATCH(C1852,'Leads Pipeline'!$A$5:$A$1004,0)),INDEX('Active Clients'!$C$5:$C$504,MATCH(C1852,'Active Clients'!$A$5:$A$504,0)))&amp;"","ID not found"))</f>
        <v/>
      </c>
      <c r="G1852" s="16"/>
      <c r="H1852" s="16"/>
      <c r="I1852" s="16"/>
      <c r="J1852" s="16"/>
      <c r="K1852" s="16"/>
      <c r="L1852" s="18"/>
    </row>
    <row r="1853" customFormat="false" ht="15" hidden="false" customHeight="false" outlineLevel="0" collapsed="false">
      <c r="A1853" s="18"/>
      <c r="B1853" s="16"/>
      <c r="C1853" s="16"/>
      <c r="D1853" s="51" t="str">
        <f aca="false">IF(C1853="","",IFERROR(IF(LEFT(C1853,1)="L",INDEX('Leads Pipeline'!$F$5:$F$1004,MATCH(C1853,'Leads Pipeline'!$A$5:$A$1004,0)),INDEX('Active Clients'!$D$5:$D$504,MATCH(C1853,'Active Clients'!$A$5:$A$504,0)))&amp;"","ID not found"))</f>
        <v/>
      </c>
      <c r="E1853" s="51" t="str">
        <f aca="false">IF(C1853="","",IFERROR(IF(LEFT(C1853,1)="L",INDEX('Leads Pipeline'!$D$5:$D$1004,MATCH(C1853,'Leads Pipeline'!$A$5:$A$1004,0)),INDEX('Active Clients'!$B$5:$B$504,MATCH(C1853,'Active Clients'!$A$5:$A$504,0)))&amp;"","ID not found"))</f>
        <v/>
      </c>
      <c r="F1853" s="51" t="str">
        <f aca="false">IF(C1853="","",IFERROR(IF(LEFT(C1853,1)="L",INDEX('Leads Pipeline'!$E$5:$E$1004,MATCH(C1853,'Leads Pipeline'!$A$5:$A$1004,0)),INDEX('Active Clients'!$C$5:$C$504,MATCH(C1853,'Active Clients'!$A$5:$A$504,0)))&amp;"","ID not found"))</f>
        <v/>
      </c>
      <c r="G1853" s="16"/>
      <c r="H1853" s="16"/>
      <c r="I1853" s="16"/>
      <c r="J1853" s="16"/>
      <c r="K1853" s="16"/>
      <c r="L1853" s="18"/>
    </row>
    <row r="1854" customFormat="false" ht="15" hidden="false" customHeight="false" outlineLevel="0" collapsed="false">
      <c r="A1854" s="18"/>
      <c r="B1854" s="16"/>
      <c r="C1854" s="16"/>
      <c r="D1854" s="51" t="str">
        <f aca="false">IF(C1854="","",IFERROR(IF(LEFT(C1854,1)="L",INDEX('Leads Pipeline'!$F$5:$F$1004,MATCH(C1854,'Leads Pipeline'!$A$5:$A$1004,0)),INDEX('Active Clients'!$D$5:$D$504,MATCH(C1854,'Active Clients'!$A$5:$A$504,0)))&amp;"","ID not found"))</f>
        <v/>
      </c>
      <c r="E1854" s="51" t="str">
        <f aca="false">IF(C1854="","",IFERROR(IF(LEFT(C1854,1)="L",INDEX('Leads Pipeline'!$D$5:$D$1004,MATCH(C1854,'Leads Pipeline'!$A$5:$A$1004,0)),INDEX('Active Clients'!$B$5:$B$504,MATCH(C1854,'Active Clients'!$A$5:$A$504,0)))&amp;"","ID not found"))</f>
        <v/>
      </c>
      <c r="F1854" s="51" t="str">
        <f aca="false">IF(C1854="","",IFERROR(IF(LEFT(C1854,1)="L",INDEX('Leads Pipeline'!$E$5:$E$1004,MATCH(C1854,'Leads Pipeline'!$A$5:$A$1004,0)),INDEX('Active Clients'!$C$5:$C$504,MATCH(C1854,'Active Clients'!$A$5:$A$504,0)))&amp;"","ID not found"))</f>
        <v/>
      </c>
      <c r="G1854" s="16"/>
      <c r="H1854" s="16"/>
      <c r="I1854" s="16"/>
      <c r="J1854" s="16"/>
      <c r="K1854" s="16"/>
      <c r="L1854" s="18"/>
    </row>
    <row r="1855" customFormat="false" ht="15" hidden="false" customHeight="false" outlineLevel="0" collapsed="false">
      <c r="A1855" s="18"/>
      <c r="B1855" s="16"/>
      <c r="C1855" s="16"/>
      <c r="D1855" s="51" t="str">
        <f aca="false">IF(C1855="","",IFERROR(IF(LEFT(C1855,1)="L",INDEX('Leads Pipeline'!$F$5:$F$1004,MATCH(C1855,'Leads Pipeline'!$A$5:$A$1004,0)),INDEX('Active Clients'!$D$5:$D$504,MATCH(C1855,'Active Clients'!$A$5:$A$504,0)))&amp;"","ID not found"))</f>
        <v/>
      </c>
      <c r="E1855" s="51" t="str">
        <f aca="false">IF(C1855="","",IFERROR(IF(LEFT(C1855,1)="L",INDEX('Leads Pipeline'!$D$5:$D$1004,MATCH(C1855,'Leads Pipeline'!$A$5:$A$1004,0)),INDEX('Active Clients'!$B$5:$B$504,MATCH(C1855,'Active Clients'!$A$5:$A$504,0)))&amp;"","ID not found"))</f>
        <v/>
      </c>
      <c r="F1855" s="51" t="str">
        <f aca="false">IF(C1855="","",IFERROR(IF(LEFT(C1855,1)="L",INDEX('Leads Pipeline'!$E$5:$E$1004,MATCH(C1855,'Leads Pipeline'!$A$5:$A$1004,0)),INDEX('Active Clients'!$C$5:$C$504,MATCH(C1855,'Active Clients'!$A$5:$A$504,0)))&amp;"","ID not found"))</f>
        <v/>
      </c>
      <c r="G1855" s="16"/>
      <c r="H1855" s="16"/>
      <c r="I1855" s="16"/>
      <c r="J1855" s="16"/>
      <c r="K1855" s="16"/>
      <c r="L1855" s="18"/>
    </row>
    <row r="1856" customFormat="false" ht="15" hidden="false" customHeight="false" outlineLevel="0" collapsed="false">
      <c r="A1856" s="18"/>
      <c r="B1856" s="16"/>
      <c r="C1856" s="16"/>
      <c r="D1856" s="51" t="str">
        <f aca="false">IF(C1856="","",IFERROR(IF(LEFT(C1856,1)="L",INDEX('Leads Pipeline'!$F$5:$F$1004,MATCH(C1856,'Leads Pipeline'!$A$5:$A$1004,0)),INDEX('Active Clients'!$D$5:$D$504,MATCH(C1856,'Active Clients'!$A$5:$A$504,0)))&amp;"","ID not found"))</f>
        <v/>
      </c>
      <c r="E1856" s="51" t="str">
        <f aca="false">IF(C1856="","",IFERROR(IF(LEFT(C1856,1)="L",INDEX('Leads Pipeline'!$D$5:$D$1004,MATCH(C1856,'Leads Pipeline'!$A$5:$A$1004,0)),INDEX('Active Clients'!$B$5:$B$504,MATCH(C1856,'Active Clients'!$A$5:$A$504,0)))&amp;"","ID not found"))</f>
        <v/>
      </c>
      <c r="F1856" s="51" t="str">
        <f aca="false">IF(C1856="","",IFERROR(IF(LEFT(C1856,1)="L",INDEX('Leads Pipeline'!$E$5:$E$1004,MATCH(C1856,'Leads Pipeline'!$A$5:$A$1004,0)),INDEX('Active Clients'!$C$5:$C$504,MATCH(C1856,'Active Clients'!$A$5:$A$504,0)))&amp;"","ID not found"))</f>
        <v/>
      </c>
      <c r="G1856" s="16"/>
      <c r="H1856" s="16"/>
      <c r="I1856" s="16"/>
      <c r="J1856" s="16"/>
      <c r="K1856" s="16"/>
      <c r="L1856" s="18"/>
    </row>
    <row r="1857" customFormat="false" ht="15" hidden="false" customHeight="false" outlineLevel="0" collapsed="false">
      <c r="A1857" s="18"/>
      <c r="B1857" s="16"/>
      <c r="C1857" s="16"/>
      <c r="D1857" s="51" t="str">
        <f aca="false">IF(C1857="","",IFERROR(IF(LEFT(C1857,1)="L",INDEX('Leads Pipeline'!$F$5:$F$1004,MATCH(C1857,'Leads Pipeline'!$A$5:$A$1004,0)),INDEX('Active Clients'!$D$5:$D$504,MATCH(C1857,'Active Clients'!$A$5:$A$504,0)))&amp;"","ID not found"))</f>
        <v/>
      </c>
      <c r="E1857" s="51" t="str">
        <f aca="false">IF(C1857="","",IFERROR(IF(LEFT(C1857,1)="L",INDEX('Leads Pipeline'!$D$5:$D$1004,MATCH(C1857,'Leads Pipeline'!$A$5:$A$1004,0)),INDEX('Active Clients'!$B$5:$B$504,MATCH(C1857,'Active Clients'!$A$5:$A$504,0)))&amp;"","ID not found"))</f>
        <v/>
      </c>
      <c r="F1857" s="51" t="str">
        <f aca="false">IF(C1857="","",IFERROR(IF(LEFT(C1857,1)="L",INDEX('Leads Pipeline'!$E$5:$E$1004,MATCH(C1857,'Leads Pipeline'!$A$5:$A$1004,0)),INDEX('Active Clients'!$C$5:$C$504,MATCH(C1857,'Active Clients'!$A$5:$A$504,0)))&amp;"","ID not found"))</f>
        <v/>
      </c>
      <c r="G1857" s="16"/>
      <c r="H1857" s="16"/>
      <c r="I1857" s="16"/>
      <c r="J1857" s="16"/>
      <c r="K1857" s="16"/>
      <c r="L1857" s="18"/>
    </row>
    <row r="1858" customFormat="false" ht="15" hidden="false" customHeight="false" outlineLevel="0" collapsed="false">
      <c r="A1858" s="18"/>
      <c r="B1858" s="16"/>
      <c r="C1858" s="16"/>
      <c r="D1858" s="51" t="str">
        <f aca="false">IF(C1858="","",IFERROR(IF(LEFT(C1858,1)="L",INDEX('Leads Pipeline'!$F$5:$F$1004,MATCH(C1858,'Leads Pipeline'!$A$5:$A$1004,0)),INDEX('Active Clients'!$D$5:$D$504,MATCH(C1858,'Active Clients'!$A$5:$A$504,0)))&amp;"","ID not found"))</f>
        <v/>
      </c>
      <c r="E1858" s="51" t="str">
        <f aca="false">IF(C1858="","",IFERROR(IF(LEFT(C1858,1)="L",INDEX('Leads Pipeline'!$D$5:$D$1004,MATCH(C1858,'Leads Pipeline'!$A$5:$A$1004,0)),INDEX('Active Clients'!$B$5:$B$504,MATCH(C1858,'Active Clients'!$A$5:$A$504,0)))&amp;"","ID not found"))</f>
        <v/>
      </c>
      <c r="F1858" s="51" t="str">
        <f aca="false">IF(C1858="","",IFERROR(IF(LEFT(C1858,1)="L",INDEX('Leads Pipeline'!$E$5:$E$1004,MATCH(C1858,'Leads Pipeline'!$A$5:$A$1004,0)),INDEX('Active Clients'!$C$5:$C$504,MATCH(C1858,'Active Clients'!$A$5:$A$504,0)))&amp;"","ID not found"))</f>
        <v/>
      </c>
      <c r="G1858" s="16"/>
      <c r="H1858" s="16"/>
      <c r="I1858" s="16"/>
      <c r="J1858" s="16"/>
      <c r="K1858" s="16"/>
      <c r="L1858" s="18"/>
    </row>
    <row r="1859" customFormat="false" ht="15" hidden="false" customHeight="false" outlineLevel="0" collapsed="false">
      <c r="A1859" s="18"/>
      <c r="B1859" s="16"/>
      <c r="C1859" s="16"/>
      <c r="D1859" s="51" t="str">
        <f aca="false">IF(C1859="","",IFERROR(IF(LEFT(C1859,1)="L",INDEX('Leads Pipeline'!$F$5:$F$1004,MATCH(C1859,'Leads Pipeline'!$A$5:$A$1004,0)),INDEX('Active Clients'!$D$5:$D$504,MATCH(C1859,'Active Clients'!$A$5:$A$504,0)))&amp;"","ID not found"))</f>
        <v/>
      </c>
      <c r="E1859" s="51" t="str">
        <f aca="false">IF(C1859="","",IFERROR(IF(LEFT(C1859,1)="L",INDEX('Leads Pipeline'!$D$5:$D$1004,MATCH(C1859,'Leads Pipeline'!$A$5:$A$1004,0)),INDEX('Active Clients'!$B$5:$B$504,MATCH(C1859,'Active Clients'!$A$5:$A$504,0)))&amp;"","ID not found"))</f>
        <v/>
      </c>
      <c r="F1859" s="51" t="str">
        <f aca="false">IF(C1859="","",IFERROR(IF(LEFT(C1859,1)="L",INDEX('Leads Pipeline'!$E$5:$E$1004,MATCH(C1859,'Leads Pipeline'!$A$5:$A$1004,0)),INDEX('Active Clients'!$C$5:$C$504,MATCH(C1859,'Active Clients'!$A$5:$A$504,0)))&amp;"","ID not found"))</f>
        <v/>
      </c>
      <c r="G1859" s="16"/>
      <c r="H1859" s="16"/>
      <c r="I1859" s="16"/>
      <c r="J1859" s="16"/>
      <c r="K1859" s="16"/>
      <c r="L1859" s="18"/>
    </row>
    <row r="1860" customFormat="false" ht="15" hidden="false" customHeight="false" outlineLevel="0" collapsed="false">
      <c r="A1860" s="18"/>
      <c r="B1860" s="16"/>
      <c r="C1860" s="16"/>
      <c r="D1860" s="51" t="str">
        <f aca="false">IF(C1860="","",IFERROR(IF(LEFT(C1860,1)="L",INDEX('Leads Pipeline'!$F$5:$F$1004,MATCH(C1860,'Leads Pipeline'!$A$5:$A$1004,0)),INDEX('Active Clients'!$D$5:$D$504,MATCH(C1860,'Active Clients'!$A$5:$A$504,0)))&amp;"","ID not found"))</f>
        <v/>
      </c>
      <c r="E1860" s="51" t="str">
        <f aca="false">IF(C1860="","",IFERROR(IF(LEFT(C1860,1)="L",INDEX('Leads Pipeline'!$D$5:$D$1004,MATCH(C1860,'Leads Pipeline'!$A$5:$A$1004,0)),INDEX('Active Clients'!$B$5:$B$504,MATCH(C1860,'Active Clients'!$A$5:$A$504,0)))&amp;"","ID not found"))</f>
        <v/>
      </c>
      <c r="F1860" s="51" t="str">
        <f aca="false">IF(C1860="","",IFERROR(IF(LEFT(C1860,1)="L",INDEX('Leads Pipeline'!$E$5:$E$1004,MATCH(C1860,'Leads Pipeline'!$A$5:$A$1004,0)),INDEX('Active Clients'!$C$5:$C$504,MATCH(C1860,'Active Clients'!$A$5:$A$504,0)))&amp;"","ID not found"))</f>
        <v/>
      </c>
      <c r="G1860" s="16"/>
      <c r="H1860" s="16"/>
      <c r="I1860" s="16"/>
      <c r="J1860" s="16"/>
      <c r="K1860" s="16"/>
      <c r="L1860" s="18"/>
    </row>
    <row r="1861" customFormat="false" ht="15" hidden="false" customHeight="false" outlineLevel="0" collapsed="false">
      <c r="A1861" s="18"/>
      <c r="B1861" s="16"/>
      <c r="C1861" s="16"/>
      <c r="D1861" s="51" t="str">
        <f aca="false">IF(C1861="","",IFERROR(IF(LEFT(C1861,1)="L",INDEX('Leads Pipeline'!$F$5:$F$1004,MATCH(C1861,'Leads Pipeline'!$A$5:$A$1004,0)),INDEX('Active Clients'!$D$5:$D$504,MATCH(C1861,'Active Clients'!$A$5:$A$504,0)))&amp;"","ID not found"))</f>
        <v/>
      </c>
      <c r="E1861" s="51" t="str">
        <f aca="false">IF(C1861="","",IFERROR(IF(LEFT(C1861,1)="L",INDEX('Leads Pipeline'!$D$5:$D$1004,MATCH(C1861,'Leads Pipeline'!$A$5:$A$1004,0)),INDEX('Active Clients'!$B$5:$B$504,MATCH(C1861,'Active Clients'!$A$5:$A$504,0)))&amp;"","ID not found"))</f>
        <v/>
      </c>
      <c r="F1861" s="51" t="str">
        <f aca="false">IF(C1861="","",IFERROR(IF(LEFT(C1861,1)="L",INDEX('Leads Pipeline'!$E$5:$E$1004,MATCH(C1861,'Leads Pipeline'!$A$5:$A$1004,0)),INDEX('Active Clients'!$C$5:$C$504,MATCH(C1861,'Active Clients'!$A$5:$A$504,0)))&amp;"","ID not found"))</f>
        <v/>
      </c>
      <c r="G1861" s="16"/>
      <c r="H1861" s="16"/>
      <c r="I1861" s="16"/>
      <c r="J1861" s="16"/>
      <c r="K1861" s="16"/>
      <c r="L1861" s="18"/>
    </row>
    <row r="1862" customFormat="false" ht="15" hidden="false" customHeight="false" outlineLevel="0" collapsed="false">
      <c r="A1862" s="18"/>
      <c r="B1862" s="16"/>
      <c r="C1862" s="16"/>
      <c r="D1862" s="51" t="str">
        <f aca="false">IF(C1862="","",IFERROR(IF(LEFT(C1862,1)="L",INDEX('Leads Pipeline'!$F$5:$F$1004,MATCH(C1862,'Leads Pipeline'!$A$5:$A$1004,0)),INDEX('Active Clients'!$D$5:$D$504,MATCH(C1862,'Active Clients'!$A$5:$A$504,0)))&amp;"","ID not found"))</f>
        <v/>
      </c>
      <c r="E1862" s="51" t="str">
        <f aca="false">IF(C1862="","",IFERROR(IF(LEFT(C1862,1)="L",INDEX('Leads Pipeline'!$D$5:$D$1004,MATCH(C1862,'Leads Pipeline'!$A$5:$A$1004,0)),INDEX('Active Clients'!$B$5:$B$504,MATCH(C1862,'Active Clients'!$A$5:$A$504,0)))&amp;"","ID not found"))</f>
        <v/>
      </c>
      <c r="F1862" s="51" t="str">
        <f aca="false">IF(C1862="","",IFERROR(IF(LEFT(C1862,1)="L",INDEX('Leads Pipeline'!$E$5:$E$1004,MATCH(C1862,'Leads Pipeline'!$A$5:$A$1004,0)),INDEX('Active Clients'!$C$5:$C$504,MATCH(C1862,'Active Clients'!$A$5:$A$504,0)))&amp;"","ID not found"))</f>
        <v/>
      </c>
      <c r="G1862" s="16"/>
      <c r="H1862" s="16"/>
      <c r="I1862" s="16"/>
      <c r="J1862" s="16"/>
      <c r="K1862" s="16"/>
      <c r="L1862" s="18"/>
    </row>
    <row r="1863" customFormat="false" ht="15" hidden="false" customHeight="false" outlineLevel="0" collapsed="false">
      <c r="A1863" s="18"/>
      <c r="B1863" s="16"/>
      <c r="C1863" s="16"/>
      <c r="D1863" s="51" t="str">
        <f aca="false">IF(C1863="","",IFERROR(IF(LEFT(C1863,1)="L",INDEX('Leads Pipeline'!$F$5:$F$1004,MATCH(C1863,'Leads Pipeline'!$A$5:$A$1004,0)),INDEX('Active Clients'!$D$5:$D$504,MATCH(C1863,'Active Clients'!$A$5:$A$504,0)))&amp;"","ID not found"))</f>
        <v/>
      </c>
      <c r="E1863" s="51" t="str">
        <f aca="false">IF(C1863="","",IFERROR(IF(LEFT(C1863,1)="L",INDEX('Leads Pipeline'!$D$5:$D$1004,MATCH(C1863,'Leads Pipeline'!$A$5:$A$1004,0)),INDEX('Active Clients'!$B$5:$B$504,MATCH(C1863,'Active Clients'!$A$5:$A$504,0)))&amp;"","ID not found"))</f>
        <v/>
      </c>
      <c r="F1863" s="51" t="str">
        <f aca="false">IF(C1863="","",IFERROR(IF(LEFT(C1863,1)="L",INDEX('Leads Pipeline'!$E$5:$E$1004,MATCH(C1863,'Leads Pipeline'!$A$5:$A$1004,0)),INDEX('Active Clients'!$C$5:$C$504,MATCH(C1863,'Active Clients'!$A$5:$A$504,0)))&amp;"","ID not found"))</f>
        <v/>
      </c>
      <c r="G1863" s="16"/>
      <c r="H1863" s="16"/>
      <c r="I1863" s="16"/>
      <c r="J1863" s="16"/>
      <c r="K1863" s="16"/>
      <c r="L1863" s="18"/>
    </row>
    <row r="1864" customFormat="false" ht="15" hidden="false" customHeight="false" outlineLevel="0" collapsed="false">
      <c r="A1864" s="18"/>
      <c r="B1864" s="16"/>
      <c r="C1864" s="16"/>
      <c r="D1864" s="51" t="str">
        <f aca="false">IF(C1864="","",IFERROR(IF(LEFT(C1864,1)="L",INDEX('Leads Pipeline'!$F$5:$F$1004,MATCH(C1864,'Leads Pipeline'!$A$5:$A$1004,0)),INDEX('Active Clients'!$D$5:$D$504,MATCH(C1864,'Active Clients'!$A$5:$A$504,0)))&amp;"","ID not found"))</f>
        <v/>
      </c>
      <c r="E1864" s="51" t="str">
        <f aca="false">IF(C1864="","",IFERROR(IF(LEFT(C1864,1)="L",INDEX('Leads Pipeline'!$D$5:$D$1004,MATCH(C1864,'Leads Pipeline'!$A$5:$A$1004,0)),INDEX('Active Clients'!$B$5:$B$504,MATCH(C1864,'Active Clients'!$A$5:$A$504,0)))&amp;"","ID not found"))</f>
        <v/>
      </c>
      <c r="F1864" s="51" t="str">
        <f aca="false">IF(C1864="","",IFERROR(IF(LEFT(C1864,1)="L",INDEX('Leads Pipeline'!$E$5:$E$1004,MATCH(C1864,'Leads Pipeline'!$A$5:$A$1004,0)),INDEX('Active Clients'!$C$5:$C$504,MATCH(C1864,'Active Clients'!$A$5:$A$504,0)))&amp;"","ID not found"))</f>
        <v/>
      </c>
      <c r="G1864" s="16"/>
      <c r="H1864" s="16"/>
      <c r="I1864" s="16"/>
      <c r="J1864" s="16"/>
      <c r="K1864" s="16"/>
      <c r="L1864" s="18"/>
    </row>
    <row r="1865" customFormat="false" ht="15" hidden="false" customHeight="false" outlineLevel="0" collapsed="false">
      <c r="A1865" s="18"/>
      <c r="B1865" s="16"/>
      <c r="C1865" s="16"/>
      <c r="D1865" s="51" t="str">
        <f aca="false">IF(C1865="","",IFERROR(IF(LEFT(C1865,1)="L",INDEX('Leads Pipeline'!$F$5:$F$1004,MATCH(C1865,'Leads Pipeline'!$A$5:$A$1004,0)),INDEX('Active Clients'!$D$5:$D$504,MATCH(C1865,'Active Clients'!$A$5:$A$504,0)))&amp;"","ID not found"))</f>
        <v/>
      </c>
      <c r="E1865" s="51" t="str">
        <f aca="false">IF(C1865="","",IFERROR(IF(LEFT(C1865,1)="L",INDEX('Leads Pipeline'!$D$5:$D$1004,MATCH(C1865,'Leads Pipeline'!$A$5:$A$1004,0)),INDEX('Active Clients'!$B$5:$B$504,MATCH(C1865,'Active Clients'!$A$5:$A$504,0)))&amp;"","ID not found"))</f>
        <v/>
      </c>
      <c r="F1865" s="51" t="str">
        <f aca="false">IF(C1865="","",IFERROR(IF(LEFT(C1865,1)="L",INDEX('Leads Pipeline'!$E$5:$E$1004,MATCH(C1865,'Leads Pipeline'!$A$5:$A$1004,0)),INDEX('Active Clients'!$C$5:$C$504,MATCH(C1865,'Active Clients'!$A$5:$A$504,0)))&amp;"","ID not found"))</f>
        <v/>
      </c>
      <c r="G1865" s="16"/>
      <c r="H1865" s="16"/>
      <c r="I1865" s="16"/>
      <c r="J1865" s="16"/>
      <c r="K1865" s="16"/>
      <c r="L1865" s="18"/>
    </row>
    <row r="1866" customFormat="false" ht="15" hidden="false" customHeight="false" outlineLevel="0" collapsed="false">
      <c r="A1866" s="18"/>
      <c r="B1866" s="16"/>
      <c r="C1866" s="16"/>
      <c r="D1866" s="51" t="str">
        <f aca="false">IF(C1866="","",IFERROR(IF(LEFT(C1866,1)="L",INDEX('Leads Pipeline'!$F$5:$F$1004,MATCH(C1866,'Leads Pipeline'!$A$5:$A$1004,0)),INDEX('Active Clients'!$D$5:$D$504,MATCH(C1866,'Active Clients'!$A$5:$A$504,0)))&amp;"","ID not found"))</f>
        <v/>
      </c>
      <c r="E1866" s="51" t="str">
        <f aca="false">IF(C1866="","",IFERROR(IF(LEFT(C1866,1)="L",INDEX('Leads Pipeline'!$D$5:$D$1004,MATCH(C1866,'Leads Pipeline'!$A$5:$A$1004,0)),INDEX('Active Clients'!$B$5:$B$504,MATCH(C1866,'Active Clients'!$A$5:$A$504,0)))&amp;"","ID not found"))</f>
        <v/>
      </c>
      <c r="F1866" s="51" t="str">
        <f aca="false">IF(C1866="","",IFERROR(IF(LEFT(C1866,1)="L",INDEX('Leads Pipeline'!$E$5:$E$1004,MATCH(C1866,'Leads Pipeline'!$A$5:$A$1004,0)),INDEX('Active Clients'!$C$5:$C$504,MATCH(C1866,'Active Clients'!$A$5:$A$504,0)))&amp;"","ID not found"))</f>
        <v/>
      </c>
      <c r="G1866" s="16"/>
      <c r="H1866" s="16"/>
      <c r="I1866" s="16"/>
      <c r="J1866" s="16"/>
      <c r="K1866" s="16"/>
      <c r="L1866" s="18"/>
    </row>
    <row r="1867" customFormat="false" ht="15" hidden="false" customHeight="false" outlineLevel="0" collapsed="false">
      <c r="A1867" s="18"/>
      <c r="B1867" s="16"/>
      <c r="C1867" s="16"/>
      <c r="D1867" s="51" t="str">
        <f aca="false">IF(C1867="","",IFERROR(IF(LEFT(C1867,1)="L",INDEX('Leads Pipeline'!$F$5:$F$1004,MATCH(C1867,'Leads Pipeline'!$A$5:$A$1004,0)),INDEX('Active Clients'!$D$5:$D$504,MATCH(C1867,'Active Clients'!$A$5:$A$504,0)))&amp;"","ID not found"))</f>
        <v/>
      </c>
      <c r="E1867" s="51" t="str">
        <f aca="false">IF(C1867="","",IFERROR(IF(LEFT(C1867,1)="L",INDEX('Leads Pipeline'!$D$5:$D$1004,MATCH(C1867,'Leads Pipeline'!$A$5:$A$1004,0)),INDEX('Active Clients'!$B$5:$B$504,MATCH(C1867,'Active Clients'!$A$5:$A$504,0)))&amp;"","ID not found"))</f>
        <v/>
      </c>
      <c r="F1867" s="51" t="str">
        <f aca="false">IF(C1867="","",IFERROR(IF(LEFT(C1867,1)="L",INDEX('Leads Pipeline'!$E$5:$E$1004,MATCH(C1867,'Leads Pipeline'!$A$5:$A$1004,0)),INDEX('Active Clients'!$C$5:$C$504,MATCH(C1867,'Active Clients'!$A$5:$A$504,0)))&amp;"","ID not found"))</f>
        <v/>
      </c>
      <c r="G1867" s="16"/>
      <c r="H1867" s="16"/>
      <c r="I1867" s="16"/>
      <c r="J1867" s="16"/>
      <c r="K1867" s="16"/>
      <c r="L1867" s="18"/>
    </row>
    <row r="1868" customFormat="false" ht="15" hidden="false" customHeight="false" outlineLevel="0" collapsed="false">
      <c r="A1868" s="18"/>
      <c r="B1868" s="16"/>
      <c r="C1868" s="16"/>
      <c r="D1868" s="51" t="str">
        <f aca="false">IF(C1868="","",IFERROR(IF(LEFT(C1868,1)="L",INDEX('Leads Pipeline'!$F$5:$F$1004,MATCH(C1868,'Leads Pipeline'!$A$5:$A$1004,0)),INDEX('Active Clients'!$D$5:$D$504,MATCH(C1868,'Active Clients'!$A$5:$A$504,0)))&amp;"","ID not found"))</f>
        <v/>
      </c>
      <c r="E1868" s="51" t="str">
        <f aca="false">IF(C1868="","",IFERROR(IF(LEFT(C1868,1)="L",INDEX('Leads Pipeline'!$D$5:$D$1004,MATCH(C1868,'Leads Pipeline'!$A$5:$A$1004,0)),INDEX('Active Clients'!$B$5:$B$504,MATCH(C1868,'Active Clients'!$A$5:$A$504,0)))&amp;"","ID not found"))</f>
        <v/>
      </c>
      <c r="F1868" s="51" t="str">
        <f aca="false">IF(C1868="","",IFERROR(IF(LEFT(C1868,1)="L",INDEX('Leads Pipeline'!$E$5:$E$1004,MATCH(C1868,'Leads Pipeline'!$A$5:$A$1004,0)),INDEX('Active Clients'!$C$5:$C$504,MATCH(C1868,'Active Clients'!$A$5:$A$504,0)))&amp;"","ID not found"))</f>
        <v/>
      </c>
      <c r="G1868" s="16"/>
      <c r="H1868" s="16"/>
      <c r="I1868" s="16"/>
      <c r="J1868" s="16"/>
      <c r="K1868" s="16"/>
      <c r="L1868" s="18"/>
    </row>
    <row r="1869" customFormat="false" ht="15" hidden="false" customHeight="false" outlineLevel="0" collapsed="false">
      <c r="A1869" s="18"/>
      <c r="B1869" s="16"/>
      <c r="C1869" s="16"/>
      <c r="D1869" s="51" t="str">
        <f aca="false">IF(C1869="","",IFERROR(IF(LEFT(C1869,1)="L",INDEX('Leads Pipeline'!$F$5:$F$1004,MATCH(C1869,'Leads Pipeline'!$A$5:$A$1004,0)),INDEX('Active Clients'!$D$5:$D$504,MATCH(C1869,'Active Clients'!$A$5:$A$504,0)))&amp;"","ID not found"))</f>
        <v/>
      </c>
      <c r="E1869" s="51" t="str">
        <f aca="false">IF(C1869="","",IFERROR(IF(LEFT(C1869,1)="L",INDEX('Leads Pipeline'!$D$5:$D$1004,MATCH(C1869,'Leads Pipeline'!$A$5:$A$1004,0)),INDEX('Active Clients'!$B$5:$B$504,MATCH(C1869,'Active Clients'!$A$5:$A$504,0)))&amp;"","ID not found"))</f>
        <v/>
      </c>
      <c r="F1869" s="51" t="str">
        <f aca="false">IF(C1869="","",IFERROR(IF(LEFT(C1869,1)="L",INDEX('Leads Pipeline'!$E$5:$E$1004,MATCH(C1869,'Leads Pipeline'!$A$5:$A$1004,0)),INDEX('Active Clients'!$C$5:$C$504,MATCH(C1869,'Active Clients'!$A$5:$A$504,0)))&amp;"","ID not found"))</f>
        <v/>
      </c>
      <c r="G1869" s="16"/>
      <c r="H1869" s="16"/>
      <c r="I1869" s="16"/>
      <c r="J1869" s="16"/>
      <c r="K1869" s="16"/>
      <c r="L1869" s="18"/>
    </row>
    <row r="1870" customFormat="false" ht="15" hidden="false" customHeight="false" outlineLevel="0" collapsed="false">
      <c r="A1870" s="18"/>
      <c r="B1870" s="16"/>
      <c r="C1870" s="16"/>
      <c r="D1870" s="51" t="str">
        <f aca="false">IF(C1870="","",IFERROR(IF(LEFT(C1870,1)="L",INDEX('Leads Pipeline'!$F$5:$F$1004,MATCH(C1870,'Leads Pipeline'!$A$5:$A$1004,0)),INDEX('Active Clients'!$D$5:$D$504,MATCH(C1870,'Active Clients'!$A$5:$A$504,0)))&amp;"","ID not found"))</f>
        <v/>
      </c>
      <c r="E1870" s="51" t="str">
        <f aca="false">IF(C1870="","",IFERROR(IF(LEFT(C1870,1)="L",INDEX('Leads Pipeline'!$D$5:$D$1004,MATCH(C1870,'Leads Pipeline'!$A$5:$A$1004,0)),INDEX('Active Clients'!$B$5:$B$504,MATCH(C1870,'Active Clients'!$A$5:$A$504,0)))&amp;"","ID not found"))</f>
        <v/>
      </c>
      <c r="F1870" s="51" t="str">
        <f aca="false">IF(C1870="","",IFERROR(IF(LEFT(C1870,1)="L",INDEX('Leads Pipeline'!$E$5:$E$1004,MATCH(C1870,'Leads Pipeline'!$A$5:$A$1004,0)),INDEX('Active Clients'!$C$5:$C$504,MATCH(C1870,'Active Clients'!$A$5:$A$504,0)))&amp;"","ID not found"))</f>
        <v/>
      </c>
      <c r="G1870" s="16"/>
      <c r="H1870" s="16"/>
      <c r="I1870" s="16"/>
      <c r="J1870" s="16"/>
      <c r="K1870" s="16"/>
      <c r="L1870" s="18"/>
    </row>
    <row r="1871" customFormat="false" ht="15" hidden="false" customHeight="false" outlineLevel="0" collapsed="false">
      <c r="A1871" s="18"/>
      <c r="B1871" s="16"/>
      <c r="C1871" s="16"/>
      <c r="D1871" s="51" t="str">
        <f aca="false">IF(C1871="","",IFERROR(IF(LEFT(C1871,1)="L",INDEX('Leads Pipeline'!$F$5:$F$1004,MATCH(C1871,'Leads Pipeline'!$A$5:$A$1004,0)),INDEX('Active Clients'!$D$5:$D$504,MATCH(C1871,'Active Clients'!$A$5:$A$504,0)))&amp;"","ID not found"))</f>
        <v/>
      </c>
      <c r="E1871" s="51" t="str">
        <f aca="false">IF(C1871="","",IFERROR(IF(LEFT(C1871,1)="L",INDEX('Leads Pipeline'!$D$5:$D$1004,MATCH(C1871,'Leads Pipeline'!$A$5:$A$1004,0)),INDEX('Active Clients'!$B$5:$B$504,MATCH(C1871,'Active Clients'!$A$5:$A$504,0)))&amp;"","ID not found"))</f>
        <v/>
      </c>
      <c r="F1871" s="51" t="str">
        <f aca="false">IF(C1871="","",IFERROR(IF(LEFT(C1871,1)="L",INDEX('Leads Pipeline'!$E$5:$E$1004,MATCH(C1871,'Leads Pipeline'!$A$5:$A$1004,0)),INDEX('Active Clients'!$C$5:$C$504,MATCH(C1871,'Active Clients'!$A$5:$A$504,0)))&amp;"","ID not found"))</f>
        <v/>
      </c>
      <c r="G1871" s="16"/>
      <c r="H1871" s="16"/>
      <c r="I1871" s="16"/>
      <c r="J1871" s="16"/>
      <c r="K1871" s="16"/>
      <c r="L1871" s="18"/>
    </row>
    <row r="1872" customFormat="false" ht="15" hidden="false" customHeight="false" outlineLevel="0" collapsed="false">
      <c r="A1872" s="18"/>
      <c r="B1872" s="16"/>
      <c r="C1872" s="16"/>
      <c r="D1872" s="51" t="str">
        <f aca="false">IF(C1872="","",IFERROR(IF(LEFT(C1872,1)="L",INDEX('Leads Pipeline'!$F$5:$F$1004,MATCH(C1872,'Leads Pipeline'!$A$5:$A$1004,0)),INDEX('Active Clients'!$D$5:$D$504,MATCH(C1872,'Active Clients'!$A$5:$A$504,0)))&amp;"","ID not found"))</f>
        <v/>
      </c>
      <c r="E1872" s="51" t="str">
        <f aca="false">IF(C1872="","",IFERROR(IF(LEFT(C1872,1)="L",INDEX('Leads Pipeline'!$D$5:$D$1004,MATCH(C1872,'Leads Pipeline'!$A$5:$A$1004,0)),INDEX('Active Clients'!$B$5:$B$504,MATCH(C1872,'Active Clients'!$A$5:$A$504,0)))&amp;"","ID not found"))</f>
        <v/>
      </c>
      <c r="F1872" s="51" t="str">
        <f aca="false">IF(C1872="","",IFERROR(IF(LEFT(C1872,1)="L",INDEX('Leads Pipeline'!$E$5:$E$1004,MATCH(C1872,'Leads Pipeline'!$A$5:$A$1004,0)),INDEX('Active Clients'!$C$5:$C$504,MATCH(C1872,'Active Clients'!$A$5:$A$504,0)))&amp;"","ID not found"))</f>
        <v/>
      </c>
      <c r="G1872" s="16"/>
      <c r="H1872" s="16"/>
      <c r="I1872" s="16"/>
      <c r="J1872" s="16"/>
      <c r="K1872" s="16"/>
      <c r="L1872" s="18"/>
    </row>
    <row r="1873" customFormat="false" ht="15" hidden="false" customHeight="false" outlineLevel="0" collapsed="false">
      <c r="A1873" s="18"/>
      <c r="B1873" s="16"/>
      <c r="C1873" s="16"/>
      <c r="D1873" s="51" t="str">
        <f aca="false">IF(C1873="","",IFERROR(IF(LEFT(C1873,1)="L",INDEX('Leads Pipeline'!$F$5:$F$1004,MATCH(C1873,'Leads Pipeline'!$A$5:$A$1004,0)),INDEX('Active Clients'!$D$5:$D$504,MATCH(C1873,'Active Clients'!$A$5:$A$504,0)))&amp;"","ID not found"))</f>
        <v/>
      </c>
      <c r="E1873" s="51" t="str">
        <f aca="false">IF(C1873="","",IFERROR(IF(LEFT(C1873,1)="L",INDEX('Leads Pipeline'!$D$5:$D$1004,MATCH(C1873,'Leads Pipeline'!$A$5:$A$1004,0)),INDEX('Active Clients'!$B$5:$B$504,MATCH(C1873,'Active Clients'!$A$5:$A$504,0)))&amp;"","ID not found"))</f>
        <v/>
      </c>
      <c r="F1873" s="51" t="str">
        <f aca="false">IF(C1873="","",IFERROR(IF(LEFT(C1873,1)="L",INDEX('Leads Pipeline'!$E$5:$E$1004,MATCH(C1873,'Leads Pipeline'!$A$5:$A$1004,0)),INDEX('Active Clients'!$C$5:$C$504,MATCH(C1873,'Active Clients'!$A$5:$A$504,0)))&amp;"","ID not found"))</f>
        <v/>
      </c>
      <c r="G1873" s="16"/>
      <c r="H1873" s="16"/>
      <c r="I1873" s="16"/>
      <c r="J1873" s="16"/>
      <c r="K1873" s="16"/>
      <c r="L1873" s="18"/>
    </row>
    <row r="1874" customFormat="false" ht="15" hidden="false" customHeight="false" outlineLevel="0" collapsed="false">
      <c r="A1874" s="18"/>
      <c r="B1874" s="16"/>
      <c r="C1874" s="16"/>
      <c r="D1874" s="51" t="str">
        <f aca="false">IF(C1874="","",IFERROR(IF(LEFT(C1874,1)="L",INDEX('Leads Pipeline'!$F$5:$F$1004,MATCH(C1874,'Leads Pipeline'!$A$5:$A$1004,0)),INDEX('Active Clients'!$D$5:$D$504,MATCH(C1874,'Active Clients'!$A$5:$A$504,0)))&amp;"","ID not found"))</f>
        <v/>
      </c>
      <c r="E1874" s="51" t="str">
        <f aca="false">IF(C1874="","",IFERROR(IF(LEFT(C1874,1)="L",INDEX('Leads Pipeline'!$D$5:$D$1004,MATCH(C1874,'Leads Pipeline'!$A$5:$A$1004,0)),INDEX('Active Clients'!$B$5:$B$504,MATCH(C1874,'Active Clients'!$A$5:$A$504,0)))&amp;"","ID not found"))</f>
        <v/>
      </c>
      <c r="F1874" s="51" t="str">
        <f aca="false">IF(C1874="","",IFERROR(IF(LEFT(C1874,1)="L",INDEX('Leads Pipeline'!$E$5:$E$1004,MATCH(C1874,'Leads Pipeline'!$A$5:$A$1004,0)),INDEX('Active Clients'!$C$5:$C$504,MATCH(C1874,'Active Clients'!$A$5:$A$504,0)))&amp;"","ID not found"))</f>
        <v/>
      </c>
      <c r="G1874" s="16"/>
      <c r="H1874" s="16"/>
      <c r="I1874" s="16"/>
      <c r="J1874" s="16"/>
      <c r="K1874" s="16"/>
      <c r="L1874" s="18"/>
    </row>
    <row r="1875" customFormat="false" ht="15" hidden="false" customHeight="false" outlineLevel="0" collapsed="false">
      <c r="A1875" s="18"/>
      <c r="B1875" s="16"/>
      <c r="C1875" s="16"/>
      <c r="D1875" s="51" t="str">
        <f aca="false">IF(C1875="","",IFERROR(IF(LEFT(C1875,1)="L",INDEX('Leads Pipeline'!$F$5:$F$1004,MATCH(C1875,'Leads Pipeline'!$A$5:$A$1004,0)),INDEX('Active Clients'!$D$5:$D$504,MATCH(C1875,'Active Clients'!$A$5:$A$504,0)))&amp;"","ID not found"))</f>
        <v/>
      </c>
      <c r="E1875" s="51" t="str">
        <f aca="false">IF(C1875="","",IFERROR(IF(LEFT(C1875,1)="L",INDEX('Leads Pipeline'!$D$5:$D$1004,MATCH(C1875,'Leads Pipeline'!$A$5:$A$1004,0)),INDEX('Active Clients'!$B$5:$B$504,MATCH(C1875,'Active Clients'!$A$5:$A$504,0)))&amp;"","ID not found"))</f>
        <v/>
      </c>
      <c r="F1875" s="51" t="str">
        <f aca="false">IF(C1875="","",IFERROR(IF(LEFT(C1875,1)="L",INDEX('Leads Pipeline'!$E$5:$E$1004,MATCH(C1875,'Leads Pipeline'!$A$5:$A$1004,0)),INDEX('Active Clients'!$C$5:$C$504,MATCH(C1875,'Active Clients'!$A$5:$A$504,0)))&amp;"","ID not found"))</f>
        <v/>
      </c>
      <c r="G1875" s="16"/>
      <c r="H1875" s="16"/>
      <c r="I1875" s="16"/>
      <c r="J1875" s="16"/>
      <c r="K1875" s="16"/>
      <c r="L1875" s="18"/>
    </row>
    <row r="1876" customFormat="false" ht="15" hidden="false" customHeight="false" outlineLevel="0" collapsed="false">
      <c r="A1876" s="18"/>
      <c r="B1876" s="16"/>
      <c r="C1876" s="16"/>
      <c r="D1876" s="51" t="str">
        <f aca="false">IF(C1876="","",IFERROR(IF(LEFT(C1876,1)="L",INDEX('Leads Pipeline'!$F$5:$F$1004,MATCH(C1876,'Leads Pipeline'!$A$5:$A$1004,0)),INDEX('Active Clients'!$D$5:$D$504,MATCH(C1876,'Active Clients'!$A$5:$A$504,0)))&amp;"","ID not found"))</f>
        <v/>
      </c>
      <c r="E1876" s="51" t="str">
        <f aca="false">IF(C1876="","",IFERROR(IF(LEFT(C1876,1)="L",INDEX('Leads Pipeline'!$D$5:$D$1004,MATCH(C1876,'Leads Pipeline'!$A$5:$A$1004,0)),INDEX('Active Clients'!$B$5:$B$504,MATCH(C1876,'Active Clients'!$A$5:$A$504,0)))&amp;"","ID not found"))</f>
        <v/>
      </c>
      <c r="F1876" s="51" t="str">
        <f aca="false">IF(C1876="","",IFERROR(IF(LEFT(C1876,1)="L",INDEX('Leads Pipeline'!$E$5:$E$1004,MATCH(C1876,'Leads Pipeline'!$A$5:$A$1004,0)),INDEX('Active Clients'!$C$5:$C$504,MATCH(C1876,'Active Clients'!$A$5:$A$504,0)))&amp;"","ID not found"))</f>
        <v/>
      </c>
      <c r="G1876" s="16"/>
      <c r="H1876" s="16"/>
      <c r="I1876" s="16"/>
      <c r="J1876" s="16"/>
      <c r="K1876" s="16"/>
      <c r="L1876" s="18"/>
    </row>
    <row r="1877" customFormat="false" ht="15" hidden="false" customHeight="false" outlineLevel="0" collapsed="false">
      <c r="A1877" s="18"/>
      <c r="B1877" s="16"/>
      <c r="C1877" s="16"/>
      <c r="D1877" s="51" t="str">
        <f aca="false">IF(C1877="","",IFERROR(IF(LEFT(C1877,1)="L",INDEX('Leads Pipeline'!$F$5:$F$1004,MATCH(C1877,'Leads Pipeline'!$A$5:$A$1004,0)),INDEX('Active Clients'!$D$5:$D$504,MATCH(C1877,'Active Clients'!$A$5:$A$504,0)))&amp;"","ID not found"))</f>
        <v/>
      </c>
      <c r="E1877" s="51" t="str">
        <f aca="false">IF(C1877="","",IFERROR(IF(LEFT(C1877,1)="L",INDEX('Leads Pipeline'!$D$5:$D$1004,MATCH(C1877,'Leads Pipeline'!$A$5:$A$1004,0)),INDEX('Active Clients'!$B$5:$B$504,MATCH(C1877,'Active Clients'!$A$5:$A$504,0)))&amp;"","ID not found"))</f>
        <v/>
      </c>
      <c r="F1877" s="51" t="str">
        <f aca="false">IF(C1877="","",IFERROR(IF(LEFT(C1877,1)="L",INDEX('Leads Pipeline'!$E$5:$E$1004,MATCH(C1877,'Leads Pipeline'!$A$5:$A$1004,0)),INDEX('Active Clients'!$C$5:$C$504,MATCH(C1877,'Active Clients'!$A$5:$A$504,0)))&amp;"","ID not found"))</f>
        <v/>
      </c>
      <c r="G1877" s="16"/>
      <c r="H1877" s="16"/>
      <c r="I1877" s="16"/>
      <c r="J1877" s="16"/>
      <c r="K1877" s="16"/>
      <c r="L1877" s="18"/>
    </row>
    <row r="1878" customFormat="false" ht="15" hidden="false" customHeight="false" outlineLevel="0" collapsed="false">
      <c r="A1878" s="18"/>
      <c r="B1878" s="16"/>
      <c r="C1878" s="16"/>
      <c r="D1878" s="51" t="str">
        <f aca="false">IF(C1878="","",IFERROR(IF(LEFT(C1878,1)="L",INDEX('Leads Pipeline'!$F$5:$F$1004,MATCH(C1878,'Leads Pipeline'!$A$5:$A$1004,0)),INDEX('Active Clients'!$D$5:$D$504,MATCH(C1878,'Active Clients'!$A$5:$A$504,0)))&amp;"","ID not found"))</f>
        <v/>
      </c>
      <c r="E1878" s="51" t="str">
        <f aca="false">IF(C1878="","",IFERROR(IF(LEFT(C1878,1)="L",INDEX('Leads Pipeline'!$D$5:$D$1004,MATCH(C1878,'Leads Pipeline'!$A$5:$A$1004,0)),INDEX('Active Clients'!$B$5:$B$504,MATCH(C1878,'Active Clients'!$A$5:$A$504,0)))&amp;"","ID not found"))</f>
        <v/>
      </c>
      <c r="F1878" s="51" t="str">
        <f aca="false">IF(C1878="","",IFERROR(IF(LEFT(C1878,1)="L",INDEX('Leads Pipeline'!$E$5:$E$1004,MATCH(C1878,'Leads Pipeline'!$A$5:$A$1004,0)),INDEX('Active Clients'!$C$5:$C$504,MATCH(C1878,'Active Clients'!$A$5:$A$504,0)))&amp;"","ID not found"))</f>
        <v/>
      </c>
      <c r="G1878" s="16"/>
      <c r="H1878" s="16"/>
      <c r="I1878" s="16"/>
      <c r="J1878" s="16"/>
      <c r="K1878" s="16"/>
      <c r="L1878" s="18"/>
    </row>
    <row r="1879" customFormat="false" ht="15" hidden="false" customHeight="false" outlineLevel="0" collapsed="false">
      <c r="A1879" s="18"/>
      <c r="B1879" s="16"/>
      <c r="C1879" s="16"/>
      <c r="D1879" s="51" t="str">
        <f aca="false">IF(C1879="","",IFERROR(IF(LEFT(C1879,1)="L",INDEX('Leads Pipeline'!$F$5:$F$1004,MATCH(C1879,'Leads Pipeline'!$A$5:$A$1004,0)),INDEX('Active Clients'!$D$5:$D$504,MATCH(C1879,'Active Clients'!$A$5:$A$504,0)))&amp;"","ID not found"))</f>
        <v/>
      </c>
      <c r="E1879" s="51" t="str">
        <f aca="false">IF(C1879="","",IFERROR(IF(LEFT(C1879,1)="L",INDEX('Leads Pipeline'!$D$5:$D$1004,MATCH(C1879,'Leads Pipeline'!$A$5:$A$1004,0)),INDEX('Active Clients'!$B$5:$B$504,MATCH(C1879,'Active Clients'!$A$5:$A$504,0)))&amp;"","ID not found"))</f>
        <v/>
      </c>
      <c r="F1879" s="51" t="str">
        <f aca="false">IF(C1879="","",IFERROR(IF(LEFT(C1879,1)="L",INDEX('Leads Pipeline'!$E$5:$E$1004,MATCH(C1879,'Leads Pipeline'!$A$5:$A$1004,0)),INDEX('Active Clients'!$C$5:$C$504,MATCH(C1879,'Active Clients'!$A$5:$A$504,0)))&amp;"","ID not found"))</f>
        <v/>
      </c>
      <c r="G1879" s="16"/>
      <c r="H1879" s="16"/>
      <c r="I1879" s="16"/>
      <c r="J1879" s="16"/>
      <c r="K1879" s="16"/>
      <c r="L1879" s="18"/>
    </row>
    <row r="1880" customFormat="false" ht="15" hidden="false" customHeight="false" outlineLevel="0" collapsed="false">
      <c r="A1880" s="18"/>
      <c r="B1880" s="16"/>
      <c r="C1880" s="16"/>
      <c r="D1880" s="51" t="str">
        <f aca="false">IF(C1880="","",IFERROR(IF(LEFT(C1880,1)="L",INDEX('Leads Pipeline'!$F$5:$F$1004,MATCH(C1880,'Leads Pipeline'!$A$5:$A$1004,0)),INDEX('Active Clients'!$D$5:$D$504,MATCH(C1880,'Active Clients'!$A$5:$A$504,0)))&amp;"","ID not found"))</f>
        <v/>
      </c>
      <c r="E1880" s="51" t="str">
        <f aca="false">IF(C1880="","",IFERROR(IF(LEFT(C1880,1)="L",INDEX('Leads Pipeline'!$D$5:$D$1004,MATCH(C1880,'Leads Pipeline'!$A$5:$A$1004,0)),INDEX('Active Clients'!$B$5:$B$504,MATCH(C1880,'Active Clients'!$A$5:$A$504,0)))&amp;"","ID not found"))</f>
        <v/>
      </c>
      <c r="F1880" s="51" t="str">
        <f aca="false">IF(C1880="","",IFERROR(IF(LEFT(C1880,1)="L",INDEX('Leads Pipeline'!$E$5:$E$1004,MATCH(C1880,'Leads Pipeline'!$A$5:$A$1004,0)),INDEX('Active Clients'!$C$5:$C$504,MATCH(C1880,'Active Clients'!$A$5:$A$504,0)))&amp;"","ID not found"))</f>
        <v/>
      </c>
      <c r="G1880" s="16"/>
      <c r="H1880" s="16"/>
      <c r="I1880" s="16"/>
      <c r="J1880" s="16"/>
      <c r="K1880" s="16"/>
      <c r="L1880" s="18"/>
    </row>
    <row r="1881" customFormat="false" ht="15" hidden="false" customHeight="false" outlineLevel="0" collapsed="false">
      <c r="A1881" s="18"/>
      <c r="B1881" s="16"/>
      <c r="C1881" s="16"/>
      <c r="D1881" s="51" t="str">
        <f aca="false">IF(C1881="","",IFERROR(IF(LEFT(C1881,1)="L",INDEX('Leads Pipeline'!$F$5:$F$1004,MATCH(C1881,'Leads Pipeline'!$A$5:$A$1004,0)),INDEX('Active Clients'!$D$5:$D$504,MATCH(C1881,'Active Clients'!$A$5:$A$504,0)))&amp;"","ID not found"))</f>
        <v/>
      </c>
      <c r="E1881" s="51" t="str">
        <f aca="false">IF(C1881="","",IFERROR(IF(LEFT(C1881,1)="L",INDEX('Leads Pipeline'!$D$5:$D$1004,MATCH(C1881,'Leads Pipeline'!$A$5:$A$1004,0)),INDEX('Active Clients'!$B$5:$B$504,MATCH(C1881,'Active Clients'!$A$5:$A$504,0)))&amp;"","ID not found"))</f>
        <v/>
      </c>
      <c r="F1881" s="51" t="str">
        <f aca="false">IF(C1881="","",IFERROR(IF(LEFT(C1881,1)="L",INDEX('Leads Pipeline'!$E$5:$E$1004,MATCH(C1881,'Leads Pipeline'!$A$5:$A$1004,0)),INDEX('Active Clients'!$C$5:$C$504,MATCH(C1881,'Active Clients'!$A$5:$A$504,0)))&amp;"","ID not found"))</f>
        <v/>
      </c>
      <c r="G1881" s="16"/>
      <c r="H1881" s="16"/>
      <c r="I1881" s="16"/>
      <c r="J1881" s="16"/>
      <c r="K1881" s="16"/>
      <c r="L1881" s="18"/>
    </row>
    <row r="1882" customFormat="false" ht="15" hidden="false" customHeight="false" outlineLevel="0" collapsed="false">
      <c r="A1882" s="18"/>
      <c r="B1882" s="16"/>
      <c r="C1882" s="16"/>
      <c r="D1882" s="51" t="str">
        <f aca="false">IF(C1882="","",IFERROR(IF(LEFT(C1882,1)="L",INDEX('Leads Pipeline'!$F$5:$F$1004,MATCH(C1882,'Leads Pipeline'!$A$5:$A$1004,0)),INDEX('Active Clients'!$D$5:$D$504,MATCH(C1882,'Active Clients'!$A$5:$A$504,0)))&amp;"","ID not found"))</f>
        <v/>
      </c>
      <c r="E1882" s="51" t="str">
        <f aca="false">IF(C1882="","",IFERROR(IF(LEFT(C1882,1)="L",INDEX('Leads Pipeline'!$D$5:$D$1004,MATCH(C1882,'Leads Pipeline'!$A$5:$A$1004,0)),INDEX('Active Clients'!$B$5:$B$504,MATCH(C1882,'Active Clients'!$A$5:$A$504,0)))&amp;"","ID not found"))</f>
        <v/>
      </c>
      <c r="F1882" s="51" t="str">
        <f aca="false">IF(C1882="","",IFERROR(IF(LEFT(C1882,1)="L",INDEX('Leads Pipeline'!$E$5:$E$1004,MATCH(C1882,'Leads Pipeline'!$A$5:$A$1004,0)),INDEX('Active Clients'!$C$5:$C$504,MATCH(C1882,'Active Clients'!$A$5:$A$504,0)))&amp;"","ID not found"))</f>
        <v/>
      </c>
      <c r="G1882" s="16"/>
      <c r="H1882" s="16"/>
      <c r="I1882" s="16"/>
      <c r="J1882" s="16"/>
      <c r="K1882" s="16"/>
      <c r="L1882" s="18"/>
    </row>
    <row r="1883" customFormat="false" ht="15" hidden="false" customHeight="false" outlineLevel="0" collapsed="false">
      <c r="A1883" s="18"/>
      <c r="B1883" s="16"/>
      <c r="C1883" s="16"/>
      <c r="D1883" s="51" t="str">
        <f aca="false">IF(C1883="","",IFERROR(IF(LEFT(C1883,1)="L",INDEX('Leads Pipeline'!$F$5:$F$1004,MATCH(C1883,'Leads Pipeline'!$A$5:$A$1004,0)),INDEX('Active Clients'!$D$5:$D$504,MATCH(C1883,'Active Clients'!$A$5:$A$504,0)))&amp;"","ID not found"))</f>
        <v/>
      </c>
      <c r="E1883" s="51" t="str">
        <f aca="false">IF(C1883="","",IFERROR(IF(LEFT(C1883,1)="L",INDEX('Leads Pipeline'!$D$5:$D$1004,MATCH(C1883,'Leads Pipeline'!$A$5:$A$1004,0)),INDEX('Active Clients'!$B$5:$B$504,MATCH(C1883,'Active Clients'!$A$5:$A$504,0)))&amp;"","ID not found"))</f>
        <v/>
      </c>
      <c r="F1883" s="51" t="str">
        <f aca="false">IF(C1883="","",IFERROR(IF(LEFT(C1883,1)="L",INDEX('Leads Pipeline'!$E$5:$E$1004,MATCH(C1883,'Leads Pipeline'!$A$5:$A$1004,0)),INDEX('Active Clients'!$C$5:$C$504,MATCH(C1883,'Active Clients'!$A$5:$A$504,0)))&amp;"","ID not found"))</f>
        <v/>
      </c>
      <c r="G1883" s="16"/>
      <c r="H1883" s="16"/>
      <c r="I1883" s="16"/>
      <c r="J1883" s="16"/>
      <c r="K1883" s="16"/>
      <c r="L1883" s="18"/>
    </row>
    <row r="1884" customFormat="false" ht="15" hidden="false" customHeight="false" outlineLevel="0" collapsed="false">
      <c r="A1884" s="18"/>
      <c r="B1884" s="16"/>
      <c r="C1884" s="16"/>
      <c r="D1884" s="51" t="str">
        <f aca="false">IF(C1884="","",IFERROR(IF(LEFT(C1884,1)="L",INDEX('Leads Pipeline'!$F$5:$F$1004,MATCH(C1884,'Leads Pipeline'!$A$5:$A$1004,0)),INDEX('Active Clients'!$D$5:$D$504,MATCH(C1884,'Active Clients'!$A$5:$A$504,0)))&amp;"","ID not found"))</f>
        <v/>
      </c>
      <c r="E1884" s="51" t="str">
        <f aca="false">IF(C1884="","",IFERROR(IF(LEFT(C1884,1)="L",INDEX('Leads Pipeline'!$D$5:$D$1004,MATCH(C1884,'Leads Pipeline'!$A$5:$A$1004,0)),INDEX('Active Clients'!$B$5:$B$504,MATCH(C1884,'Active Clients'!$A$5:$A$504,0)))&amp;"","ID not found"))</f>
        <v/>
      </c>
      <c r="F1884" s="51" t="str">
        <f aca="false">IF(C1884="","",IFERROR(IF(LEFT(C1884,1)="L",INDEX('Leads Pipeline'!$E$5:$E$1004,MATCH(C1884,'Leads Pipeline'!$A$5:$A$1004,0)),INDEX('Active Clients'!$C$5:$C$504,MATCH(C1884,'Active Clients'!$A$5:$A$504,0)))&amp;"","ID not found"))</f>
        <v/>
      </c>
      <c r="G1884" s="16"/>
      <c r="H1884" s="16"/>
      <c r="I1884" s="16"/>
      <c r="J1884" s="16"/>
      <c r="K1884" s="16"/>
      <c r="L1884" s="18"/>
    </row>
    <row r="1885" customFormat="false" ht="15" hidden="false" customHeight="false" outlineLevel="0" collapsed="false">
      <c r="A1885" s="18"/>
      <c r="B1885" s="16"/>
      <c r="C1885" s="16"/>
      <c r="D1885" s="51" t="str">
        <f aca="false">IF(C1885="","",IFERROR(IF(LEFT(C1885,1)="L",INDEX('Leads Pipeline'!$F$5:$F$1004,MATCH(C1885,'Leads Pipeline'!$A$5:$A$1004,0)),INDEX('Active Clients'!$D$5:$D$504,MATCH(C1885,'Active Clients'!$A$5:$A$504,0)))&amp;"","ID not found"))</f>
        <v/>
      </c>
      <c r="E1885" s="51" t="str">
        <f aca="false">IF(C1885="","",IFERROR(IF(LEFT(C1885,1)="L",INDEX('Leads Pipeline'!$D$5:$D$1004,MATCH(C1885,'Leads Pipeline'!$A$5:$A$1004,0)),INDEX('Active Clients'!$B$5:$B$504,MATCH(C1885,'Active Clients'!$A$5:$A$504,0)))&amp;"","ID not found"))</f>
        <v/>
      </c>
      <c r="F1885" s="51" t="str">
        <f aca="false">IF(C1885="","",IFERROR(IF(LEFT(C1885,1)="L",INDEX('Leads Pipeline'!$E$5:$E$1004,MATCH(C1885,'Leads Pipeline'!$A$5:$A$1004,0)),INDEX('Active Clients'!$C$5:$C$504,MATCH(C1885,'Active Clients'!$A$5:$A$504,0)))&amp;"","ID not found"))</f>
        <v/>
      </c>
      <c r="G1885" s="16"/>
      <c r="H1885" s="16"/>
      <c r="I1885" s="16"/>
      <c r="J1885" s="16"/>
      <c r="K1885" s="16"/>
      <c r="L1885" s="18"/>
    </row>
    <row r="1886" customFormat="false" ht="15" hidden="false" customHeight="false" outlineLevel="0" collapsed="false">
      <c r="A1886" s="18"/>
      <c r="B1886" s="16"/>
      <c r="C1886" s="16"/>
      <c r="D1886" s="51" t="str">
        <f aca="false">IF(C1886="","",IFERROR(IF(LEFT(C1886,1)="L",INDEX('Leads Pipeline'!$F$5:$F$1004,MATCH(C1886,'Leads Pipeline'!$A$5:$A$1004,0)),INDEX('Active Clients'!$D$5:$D$504,MATCH(C1886,'Active Clients'!$A$5:$A$504,0)))&amp;"","ID not found"))</f>
        <v/>
      </c>
      <c r="E1886" s="51" t="str">
        <f aca="false">IF(C1886="","",IFERROR(IF(LEFT(C1886,1)="L",INDEX('Leads Pipeline'!$D$5:$D$1004,MATCH(C1886,'Leads Pipeline'!$A$5:$A$1004,0)),INDEX('Active Clients'!$B$5:$B$504,MATCH(C1886,'Active Clients'!$A$5:$A$504,0)))&amp;"","ID not found"))</f>
        <v/>
      </c>
      <c r="F1886" s="51" t="str">
        <f aca="false">IF(C1886="","",IFERROR(IF(LEFT(C1886,1)="L",INDEX('Leads Pipeline'!$E$5:$E$1004,MATCH(C1886,'Leads Pipeline'!$A$5:$A$1004,0)),INDEX('Active Clients'!$C$5:$C$504,MATCH(C1886,'Active Clients'!$A$5:$A$504,0)))&amp;"","ID not found"))</f>
        <v/>
      </c>
      <c r="G1886" s="16"/>
      <c r="H1886" s="16"/>
      <c r="I1886" s="16"/>
      <c r="J1886" s="16"/>
      <c r="K1886" s="16"/>
      <c r="L1886" s="18"/>
    </row>
    <row r="1887" customFormat="false" ht="15" hidden="false" customHeight="false" outlineLevel="0" collapsed="false">
      <c r="A1887" s="18"/>
      <c r="B1887" s="16"/>
      <c r="C1887" s="16"/>
      <c r="D1887" s="51" t="str">
        <f aca="false">IF(C1887="","",IFERROR(IF(LEFT(C1887,1)="L",INDEX('Leads Pipeline'!$F$5:$F$1004,MATCH(C1887,'Leads Pipeline'!$A$5:$A$1004,0)),INDEX('Active Clients'!$D$5:$D$504,MATCH(C1887,'Active Clients'!$A$5:$A$504,0)))&amp;"","ID not found"))</f>
        <v/>
      </c>
      <c r="E1887" s="51" t="str">
        <f aca="false">IF(C1887="","",IFERROR(IF(LEFT(C1887,1)="L",INDEX('Leads Pipeline'!$D$5:$D$1004,MATCH(C1887,'Leads Pipeline'!$A$5:$A$1004,0)),INDEX('Active Clients'!$B$5:$B$504,MATCH(C1887,'Active Clients'!$A$5:$A$504,0)))&amp;"","ID not found"))</f>
        <v/>
      </c>
      <c r="F1887" s="51" t="str">
        <f aca="false">IF(C1887="","",IFERROR(IF(LEFT(C1887,1)="L",INDEX('Leads Pipeline'!$E$5:$E$1004,MATCH(C1887,'Leads Pipeline'!$A$5:$A$1004,0)),INDEX('Active Clients'!$C$5:$C$504,MATCH(C1887,'Active Clients'!$A$5:$A$504,0)))&amp;"","ID not found"))</f>
        <v/>
      </c>
      <c r="G1887" s="16"/>
      <c r="H1887" s="16"/>
      <c r="I1887" s="16"/>
      <c r="J1887" s="16"/>
      <c r="K1887" s="16"/>
      <c r="L1887" s="18"/>
    </row>
    <row r="1888" customFormat="false" ht="15" hidden="false" customHeight="false" outlineLevel="0" collapsed="false">
      <c r="A1888" s="18"/>
      <c r="B1888" s="16"/>
      <c r="C1888" s="16"/>
      <c r="D1888" s="51" t="str">
        <f aca="false">IF(C1888="","",IFERROR(IF(LEFT(C1888,1)="L",INDEX('Leads Pipeline'!$F$5:$F$1004,MATCH(C1888,'Leads Pipeline'!$A$5:$A$1004,0)),INDEX('Active Clients'!$D$5:$D$504,MATCH(C1888,'Active Clients'!$A$5:$A$504,0)))&amp;"","ID not found"))</f>
        <v/>
      </c>
      <c r="E1888" s="51" t="str">
        <f aca="false">IF(C1888="","",IFERROR(IF(LEFT(C1888,1)="L",INDEX('Leads Pipeline'!$D$5:$D$1004,MATCH(C1888,'Leads Pipeline'!$A$5:$A$1004,0)),INDEX('Active Clients'!$B$5:$B$504,MATCH(C1888,'Active Clients'!$A$5:$A$504,0)))&amp;"","ID not found"))</f>
        <v/>
      </c>
      <c r="F1888" s="51" t="str">
        <f aca="false">IF(C1888="","",IFERROR(IF(LEFT(C1888,1)="L",INDEX('Leads Pipeline'!$E$5:$E$1004,MATCH(C1888,'Leads Pipeline'!$A$5:$A$1004,0)),INDEX('Active Clients'!$C$5:$C$504,MATCH(C1888,'Active Clients'!$A$5:$A$504,0)))&amp;"","ID not found"))</f>
        <v/>
      </c>
      <c r="G1888" s="16"/>
      <c r="H1888" s="16"/>
      <c r="I1888" s="16"/>
      <c r="J1888" s="16"/>
      <c r="K1888" s="16"/>
      <c r="L1888" s="18"/>
    </row>
    <row r="1889" customFormat="false" ht="15" hidden="false" customHeight="false" outlineLevel="0" collapsed="false">
      <c r="A1889" s="18"/>
      <c r="B1889" s="16"/>
      <c r="C1889" s="16"/>
      <c r="D1889" s="51" t="str">
        <f aca="false">IF(C1889="","",IFERROR(IF(LEFT(C1889,1)="L",INDEX('Leads Pipeline'!$F$5:$F$1004,MATCH(C1889,'Leads Pipeline'!$A$5:$A$1004,0)),INDEX('Active Clients'!$D$5:$D$504,MATCH(C1889,'Active Clients'!$A$5:$A$504,0)))&amp;"","ID not found"))</f>
        <v/>
      </c>
      <c r="E1889" s="51" t="str">
        <f aca="false">IF(C1889="","",IFERROR(IF(LEFT(C1889,1)="L",INDEX('Leads Pipeline'!$D$5:$D$1004,MATCH(C1889,'Leads Pipeline'!$A$5:$A$1004,0)),INDEX('Active Clients'!$B$5:$B$504,MATCH(C1889,'Active Clients'!$A$5:$A$504,0)))&amp;"","ID not found"))</f>
        <v/>
      </c>
      <c r="F1889" s="51" t="str">
        <f aca="false">IF(C1889="","",IFERROR(IF(LEFT(C1889,1)="L",INDEX('Leads Pipeline'!$E$5:$E$1004,MATCH(C1889,'Leads Pipeline'!$A$5:$A$1004,0)),INDEX('Active Clients'!$C$5:$C$504,MATCH(C1889,'Active Clients'!$A$5:$A$504,0)))&amp;"","ID not found"))</f>
        <v/>
      </c>
      <c r="G1889" s="16"/>
      <c r="H1889" s="16"/>
      <c r="I1889" s="16"/>
      <c r="J1889" s="16"/>
      <c r="K1889" s="16"/>
      <c r="L1889" s="18"/>
    </row>
    <row r="1890" customFormat="false" ht="15" hidden="false" customHeight="false" outlineLevel="0" collapsed="false">
      <c r="A1890" s="18"/>
      <c r="B1890" s="16"/>
      <c r="C1890" s="16"/>
      <c r="D1890" s="51" t="str">
        <f aca="false">IF(C1890="","",IFERROR(IF(LEFT(C1890,1)="L",INDEX('Leads Pipeline'!$F$5:$F$1004,MATCH(C1890,'Leads Pipeline'!$A$5:$A$1004,0)),INDEX('Active Clients'!$D$5:$D$504,MATCH(C1890,'Active Clients'!$A$5:$A$504,0)))&amp;"","ID not found"))</f>
        <v/>
      </c>
      <c r="E1890" s="51" t="str">
        <f aca="false">IF(C1890="","",IFERROR(IF(LEFT(C1890,1)="L",INDEX('Leads Pipeline'!$D$5:$D$1004,MATCH(C1890,'Leads Pipeline'!$A$5:$A$1004,0)),INDEX('Active Clients'!$B$5:$B$504,MATCH(C1890,'Active Clients'!$A$5:$A$504,0)))&amp;"","ID not found"))</f>
        <v/>
      </c>
      <c r="F1890" s="51" t="str">
        <f aca="false">IF(C1890="","",IFERROR(IF(LEFT(C1890,1)="L",INDEX('Leads Pipeline'!$E$5:$E$1004,MATCH(C1890,'Leads Pipeline'!$A$5:$A$1004,0)),INDEX('Active Clients'!$C$5:$C$504,MATCH(C1890,'Active Clients'!$A$5:$A$504,0)))&amp;"","ID not found"))</f>
        <v/>
      </c>
      <c r="G1890" s="16"/>
      <c r="H1890" s="16"/>
      <c r="I1890" s="16"/>
      <c r="J1890" s="16"/>
      <c r="K1890" s="16"/>
      <c r="L1890" s="18"/>
    </row>
    <row r="1891" customFormat="false" ht="15" hidden="false" customHeight="false" outlineLevel="0" collapsed="false">
      <c r="A1891" s="18"/>
      <c r="B1891" s="16"/>
      <c r="C1891" s="16"/>
      <c r="D1891" s="51" t="str">
        <f aca="false">IF(C1891="","",IFERROR(IF(LEFT(C1891,1)="L",INDEX('Leads Pipeline'!$F$5:$F$1004,MATCH(C1891,'Leads Pipeline'!$A$5:$A$1004,0)),INDEX('Active Clients'!$D$5:$D$504,MATCH(C1891,'Active Clients'!$A$5:$A$504,0)))&amp;"","ID not found"))</f>
        <v/>
      </c>
      <c r="E1891" s="51" t="str">
        <f aca="false">IF(C1891="","",IFERROR(IF(LEFT(C1891,1)="L",INDEX('Leads Pipeline'!$D$5:$D$1004,MATCH(C1891,'Leads Pipeline'!$A$5:$A$1004,0)),INDEX('Active Clients'!$B$5:$B$504,MATCH(C1891,'Active Clients'!$A$5:$A$504,0)))&amp;"","ID not found"))</f>
        <v/>
      </c>
      <c r="F1891" s="51" t="str">
        <f aca="false">IF(C1891="","",IFERROR(IF(LEFT(C1891,1)="L",INDEX('Leads Pipeline'!$E$5:$E$1004,MATCH(C1891,'Leads Pipeline'!$A$5:$A$1004,0)),INDEX('Active Clients'!$C$5:$C$504,MATCH(C1891,'Active Clients'!$A$5:$A$504,0)))&amp;"","ID not found"))</f>
        <v/>
      </c>
      <c r="G1891" s="16"/>
      <c r="H1891" s="16"/>
      <c r="I1891" s="16"/>
      <c r="J1891" s="16"/>
      <c r="K1891" s="16"/>
      <c r="L1891" s="18"/>
    </row>
    <row r="1892" customFormat="false" ht="15" hidden="false" customHeight="false" outlineLevel="0" collapsed="false">
      <c r="A1892" s="18"/>
      <c r="B1892" s="16"/>
      <c r="C1892" s="16"/>
      <c r="D1892" s="51" t="str">
        <f aca="false">IF(C1892="","",IFERROR(IF(LEFT(C1892,1)="L",INDEX('Leads Pipeline'!$F$5:$F$1004,MATCH(C1892,'Leads Pipeline'!$A$5:$A$1004,0)),INDEX('Active Clients'!$D$5:$D$504,MATCH(C1892,'Active Clients'!$A$5:$A$504,0)))&amp;"","ID not found"))</f>
        <v/>
      </c>
      <c r="E1892" s="51" t="str">
        <f aca="false">IF(C1892="","",IFERROR(IF(LEFT(C1892,1)="L",INDEX('Leads Pipeline'!$D$5:$D$1004,MATCH(C1892,'Leads Pipeline'!$A$5:$A$1004,0)),INDEX('Active Clients'!$B$5:$B$504,MATCH(C1892,'Active Clients'!$A$5:$A$504,0)))&amp;"","ID not found"))</f>
        <v/>
      </c>
      <c r="F1892" s="51" t="str">
        <f aca="false">IF(C1892="","",IFERROR(IF(LEFT(C1892,1)="L",INDEX('Leads Pipeline'!$E$5:$E$1004,MATCH(C1892,'Leads Pipeline'!$A$5:$A$1004,0)),INDEX('Active Clients'!$C$5:$C$504,MATCH(C1892,'Active Clients'!$A$5:$A$504,0)))&amp;"","ID not found"))</f>
        <v/>
      </c>
      <c r="G1892" s="16"/>
      <c r="H1892" s="16"/>
      <c r="I1892" s="16"/>
      <c r="J1892" s="16"/>
      <c r="K1892" s="16"/>
      <c r="L1892" s="18"/>
    </row>
    <row r="1893" customFormat="false" ht="15" hidden="false" customHeight="false" outlineLevel="0" collapsed="false">
      <c r="A1893" s="18"/>
      <c r="B1893" s="16"/>
      <c r="C1893" s="16"/>
      <c r="D1893" s="51" t="str">
        <f aca="false">IF(C1893="","",IFERROR(IF(LEFT(C1893,1)="L",INDEX('Leads Pipeline'!$F$5:$F$1004,MATCH(C1893,'Leads Pipeline'!$A$5:$A$1004,0)),INDEX('Active Clients'!$D$5:$D$504,MATCH(C1893,'Active Clients'!$A$5:$A$504,0)))&amp;"","ID not found"))</f>
        <v/>
      </c>
      <c r="E1893" s="51" t="str">
        <f aca="false">IF(C1893="","",IFERROR(IF(LEFT(C1893,1)="L",INDEX('Leads Pipeline'!$D$5:$D$1004,MATCH(C1893,'Leads Pipeline'!$A$5:$A$1004,0)),INDEX('Active Clients'!$B$5:$B$504,MATCH(C1893,'Active Clients'!$A$5:$A$504,0)))&amp;"","ID not found"))</f>
        <v/>
      </c>
      <c r="F1893" s="51" t="str">
        <f aca="false">IF(C1893="","",IFERROR(IF(LEFT(C1893,1)="L",INDEX('Leads Pipeline'!$E$5:$E$1004,MATCH(C1893,'Leads Pipeline'!$A$5:$A$1004,0)),INDEX('Active Clients'!$C$5:$C$504,MATCH(C1893,'Active Clients'!$A$5:$A$504,0)))&amp;"","ID not found"))</f>
        <v/>
      </c>
      <c r="G1893" s="16"/>
      <c r="H1893" s="16"/>
      <c r="I1893" s="16"/>
      <c r="J1893" s="16"/>
      <c r="K1893" s="16"/>
      <c r="L1893" s="18"/>
    </row>
    <row r="1894" customFormat="false" ht="15" hidden="false" customHeight="false" outlineLevel="0" collapsed="false">
      <c r="A1894" s="18"/>
      <c r="B1894" s="16"/>
      <c r="C1894" s="16"/>
      <c r="D1894" s="51" t="str">
        <f aca="false">IF(C1894="","",IFERROR(IF(LEFT(C1894,1)="L",INDEX('Leads Pipeline'!$F$5:$F$1004,MATCH(C1894,'Leads Pipeline'!$A$5:$A$1004,0)),INDEX('Active Clients'!$D$5:$D$504,MATCH(C1894,'Active Clients'!$A$5:$A$504,0)))&amp;"","ID not found"))</f>
        <v/>
      </c>
      <c r="E1894" s="51" t="str">
        <f aca="false">IF(C1894="","",IFERROR(IF(LEFT(C1894,1)="L",INDEX('Leads Pipeline'!$D$5:$D$1004,MATCH(C1894,'Leads Pipeline'!$A$5:$A$1004,0)),INDEX('Active Clients'!$B$5:$B$504,MATCH(C1894,'Active Clients'!$A$5:$A$504,0)))&amp;"","ID not found"))</f>
        <v/>
      </c>
      <c r="F1894" s="51" t="str">
        <f aca="false">IF(C1894="","",IFERROR(IF(LEFT(C1894,1)="L",INDEX('Leads Pipeline'!$E$5:$E$1004,MATCH(C1894,'Leads Pipeline'!$A$5:$A$1004,0)),INDEX('Active Clients'!$C$5:$C$504,MATCH(C1894,'Active Clients'!$A$5:$A$504,0)))&amp;"","ID not found"))</f>
        <v/>
      </c>
      <c r="G1894" s="16"/>
      <c r="H1894" s="16"/>
      <c r="I1894" s="16"/>
      <c r="J1894" s="16"/>
      <c r="K1894" s="16"/>
      <c r="L1894" s="18"/>
    </row>
    <row r="1895" customFormat="false" ht="15" hidden="false" customHeight="false" outlineLevel="0" collapsed="false">
      <c r="A1895" s="18"/>
      <c r="B1895" s="16"/>
      <c r="C1895" s="16"/>
      <c r="D1895" s="51" t="str">
        <f aca="false">IF(C1895="","",IFERROR(IF(LEFT(C1895,1)="L",INDEX('Leads Pipeline'!$F$5:$F$1004,MATCH(C1895,'Leads Pipeline'!$A$5:$A$1004,0)),INDEX('Active Clients'!$D$5:$D$504,MATCH(C1895,'Active Clients'!$A$5:$A$504,0)))&amp;"","ID not found"))</f>
        <v/>
      </c>
      <c r="E1895" s="51" t="str">
        <f aca="false">IF(C1895="","",IFERROR(IF(LEFT(C1895,1)="L",INDEX('Leads Pipeline'!$D$5:$D$1004,MATCH(C1895,'Leads Pipeline'!$A$5:$A$1004,0)),INDEX('Active Clients'!$B$5:$B$504,MATCH(C1895,'Active Clients'!$A$5:$A$504,0)))&amp;"","ID not found"))</f>
        <v/>
      </c>
      <c r="F1895" s="51" t="str">
        <f aca="false">IF(C1895="","",IFERROR(IF(LEFT(C1895,1)="L",INDEX('Leads Pipeline'!$E$5:$E$1004,MATCH(C1895,'Leads Pipeline'!$A$5:$A$1004,0)),INDEX('Active Clients'!$C$5:$C$504,MATCH(C1895,'Active Clients'!$A$5:$A$504,0)))&amp;"","ID not found"))</f>
        <v/>
      </c>
      <c r="G1895" s="16"/>
      <c r="H1895" s="16"/>
      <c r="I1895" s="16"/>
      <c r="J1895" s="16"/>
      <c r="K1895" s="16"/>
      <c r="L1895" s="18"/>
    </row>
    <row r="1896" customFormat="false" ht="15" hidden="false" customHeight="false" outlineLevel="0" collapsed="false">
      <c r="A1896" s="18"/>
      <c r="B1896" s="16"/>
      <c r="C1896" s="16"/>
      <c r="D1896" s="51" t="str">
        <f aca="false">IF(C1896="","",IFERROR(IF(LEFT(C1896,1)="L",INDEX('Leads Pipeline'!$F$5:$F$1004,MATCH(C1896,'Leads Pipeline'!$A$5:$A$1004,0)),INDEX('Active Clients'!$D$5:$D$504,MATCH(C1896,'Active Clients'!$A$5:$A$504,0)))&amp;"","ID not found"))</f>
        <v/>
      </c>
      <c r="E1896" s="51" t="str">
        <f aca="false">IF(C1896="","",IFERROR(IF(LEFT(C1896,1)="L",INDEX('Leads Pipeline'!$D$5:$D$1004,MATCH(C1896,'Leads Pipeline'!$A$5:$A$1004,0)),INDEX('Active Clients'!$B$5:$B$504,MATCH(C1896,'Active Clients'!$A$5:$A$504,0)))&amp;"","ID not found"))</f>
        <v/>
      </c>
      <c r="F1896" s="51" t="str">
        <f aca="false">IF(C1896="","",IFERROR(IF(LEFT(C1896,1)="L",INDEX('Leads Pipeline'!$E$5:$E$1004,MATCH(C1896,'Leads Pipeline'!$A$5:$A$1004,0)),INDEX('Active Clients'!$C$5:$C$504,MATCH(C1896,'Active Clients'!$A$5:$A$504,0)))&amp;"","ID not found"))</f>
        <v/>
      </c>
      <c r="G1896" s="16"/>
      <c r="H1896" s="16"/>
      <c r="I1896" s="16"/>
      <c r="J1896" s="16"/>
      <c r="K1896" s="16"/>
      <c r="L1896" s="18"/>
    </row>
    <row r="1897" customFormat="false" ht="15" hidden="false" customHeight="false" outlineLevel="0" collapsed="false">
      <c r="A1897" s="18"/>
      <c r="B1897" s="16"/>
      <c r="C1897" s="16"/>
      <c r="D1897" s="51" t="str">
        <f aca="false">IF(C1897="","",IFERROR(IF(LEFT(C1897,1)="L",INDEX('Leads Pipeline'!$F$5:$F$1004,MATCH(C1897,'Leads Pipeline'!$A$5:$A$1004,0)),INDEX('Active Clients'!$D$5:$D$504,MATCH(C1897,'Active Clients'!$A$5:$A$504,0)))&amp;"","ID not found"))</f>
        <v/>
      </c>
      <c r="E1897" s="51" t="str">
        <f aca="false">IF(C1897="","",IFERROR(IF(LEFT(C1897,1)="L",INDEX('Leads Pipeline'!$D$5:$D$1004,MATCH(C1897,'Leads Pipeline'!$A$5:$A$1004,0)),INDEX('Active Clients'!$B$5:$B$504,MATCH(C1897,'Active Clients'!$A$5:$A$504,0)))&amp;"","ID not found"))</f>
        <v/>
      </c>
      <c r="F1897" s="51" t="str">
        <f aca="false">IF(C1897="","",IFERROR(IF(LEFT(C1897,1)="L",INDEX('Leads Pipeline'!$E$5:$E$1004,MATCH(C1897,'Leads Pipeline'!$A$5:$A$1004,0)),INDEX('Active Clients'!$C$5:$C$504,MATCH(C1897,'Active Clients'!$A$5:$A$504,0)))&amp;"","ID not found"))</f>
        <v/>
      </c>
      <c r="G1897" s="16"/>
      <c r="H1897" s="16"/>
      <c r="I1897" s="16"/>
      <c r="J1897" s="16"/>
      <c r="K1897" s="16"/>
      <c r="L1897" s="18"/>
    </row>
    <row r="1898" customFormat="false" ht="15" hidden="false" customHeight="false" outlineLevel="0" collapsed="false">
      <c r="A1898" s="18"/>
      <c r="B1898" s="16"/>
      <c r="C1898" s="16"/>
      <c r="D1898" s="51" t="str">
        <f aca="false">IF(C1898="","",IFERROR(IF(LEFT(C1898,1)="L",INDEX('Leads Pipeline'!$F$5:$F$1004,MATCH(C1898,'Leads Pipeline'!$A$5:$A$1004,0)),INDEX('Active Clients'!$D$5:$D$504,MATCH(C1898,'Active Clients'!$A$5:$A$504,0)))&amp;"","ID not found"))</f>
        <v/>
      </c>
      <c r="E1898" s="51" t="str">
        <f aca="false">IF(C1898="","",IFERROR(IF(LEFT(C1898,1)="L",INDEX('Leads Pipeline'!$D$5:$D$1004,MATCH(C1898,'Leads Pipeline'!$A$5:$A$1004,0)),INDEX('Active Clients'!$B$5:$B$504,MATCH(C1898,'Active Clients'!$A$5:$A$504,0)))&amp;"","ID not found"))</f>
        <v/>
      </c>
      <c r="F1898" s="51" t="str">
        <f aca="false">IF(C1898="","",IFERROR(IF(LEFT(C1898,1)="L",INDEX('Leads Pipeline'!$E$5:$E$1004,MATCH(C1898,'Leads Pipeline'!$A$5:$A$1004,0)),INDEX('Active Clients'!$C$5:$C$504,MATCH(C1898,'Active Clients'!$A$5:$A$504,0)))&amp;"","ID not found"))</f>
        <v/>
      </c>
      <c r="G1898" s="16"/>
      <c r="H1898" s="16"/>
      <c r="I1898" s="16"/>
      <c r="J1898" s="16"/>
      <c r="K1898" s="16"/>
      <c r="L1898" s="18"/>
    </row>
    <row r="1899" customFormat="false" ht="15" hidden="false" customHeight="false" outlineLevel="0" collapsed="false">
      <c r="A1899" s="18"/>
      <c r="B1899" s="16"/>
      <c r="C1899" s="16"/>
      <c r="D1899" s="51" t="str">
        <f aca="false">IF(C1899="","",IFERROR(IF(LEFT(C1899,1)="L",INDEX('Leads Pipeline'!$F$5:$F$1004,MATCH(C1899,'Leads Pipeline'!$A$5:$A$1004,0)),INDEX('Active Clients'!$D$5:$D$504,MATCH(C1899,'Active Clients'!$A$5:$A$504,0)))&amp;"","ID not found"))</f>
        <v/>
      </c>
      <c r="E1899" s="51" t="str">
        <f aca="false">IF(C1899="","",IFERROR(IF(LEFT(C1899,1)="L",INDEX('Leads Pipeline'!$D$5:$D$1004,MATCH(C1899,'Leads Pipeline'!$A$5:$A$1004,0)),INDEX('Active Clients'!$B$5:$B$504,MATCH(C1899,'Active Clients'!$A$5:$A$504,0)))&amp;"","ID not found"))</f>
        <v/>
      </c>
      <c r="F1899" s="51" t="str">
        <f aca="false">IF(C1899="","",IFERROR(IF(LEFT(C1899,1)="L",INDEX('Leads Pipeline'!$E$5:$E$1004,MATCH(C1899,'Leads Pipeline'!$A$5:$A$1004,0)),INDEX('Active Clients'!$C$5:$C$504,MATCH(C1899,'Active Clients'!$A$5:$A$504,0)))&amp;"","ID not found"))</f>
        <v/>
      </c>
      <c r="G1899" s="16"/>
      <c r="H1899" s="16"/>
      <c r="I1899" s="16"/>
      <c r="J1899" s="16"/>
      <c r="K1899" s="16"/>
      <c r="L1899" s="18"/>
    </row>
    <row r="1900" customFormat="false" ht="15" hidden="false" customHeight="false" outlineLevel="0" collapsed="false">
      <c r="A1900" s="18"/>
      <c r="B1900" s="16"/>
      <c r="C1900" s="16"/>
      <c r="D1900" s="51" t="str">
        <f aca="false">IF(C1900="","",IFERROR(IF(LEFT(C1900,1)="L",INDEX('Leads Pipeline'!$F$5:$F$1004,MATCH(C1900,'Leads Pipeline'!$A$5:$A$1004,0)),INDEX('Active Clients'!$D$5:$D$504,MATCH(C1900,'Active Clients'!$A$5:$A$504,0)))&amp;"","ID not found"))</f>
        <v/>
      </c>
      <c r="E1900" s="51" t="str">
        <f aca="false">IF(C1900="","",IFERROR(IF(LEFT(C1900,1)="L",INDEX('Leads Pipeline'!$D$5:$D$1004,MATCH(C1900,'Leads Pipeline'!$A$5:$A$1004,0)),INDEX('Active Clients'!$B$5:$B$504,MATCH(C1900,'Active Clients'!$A$5:$A$504,0)))&amp;"","ID not found"))</f>
        <v/>
      </c>
      <c r="F1900" s="51" t="str">
        <f aca="false">IF(C1900="","",IFERROR(IF(LEFT(C1900,1)="L",INDEX('Leads Pipeline'!$E$5:$E$1004,MATCH(C1900,'Leads Pipeline'!$A$5:$A$1004,0)),INDEX('Active Clients'!$C$5:$C$504,MATCH(C1900,'Active Clients'!$A$5:$A$504,0)))&amp;"","ID not found"))</f>
        <v/>
      </c>
      <c r="G1900" s="16"/>
      <c r="H1900" s="16"/>
      <c r="I1900" s="16"/>
      <c r="J1900" s="16"/>
      <c r="K1900" s="16"/>
      <c r="L1900" s="18"/>
    </row>
    <row r="1901" customFormat="false" ht="15" hidden="false" customHeight="false" outlineLevel="0" collapsed="false">
      <c r="A1901" s="18"/>
      <c r="B1901" s="16"/>
      <c r="C1901" s="16"/>
      <c r="D1901" s="51" t="str">
        <f aca="false">IF(C1901="","",IFERROR(IF(LEFT(C1901,1)="L",INDEX('Leads Pipeline'!$F$5:$F$1004,MATCH(C1901,'Leads Pipeline'!$A$5:$A$1004,0)),INDEX('Active Clients'!$D$5:$D$504,MATCH(C1901,'Active Clients'!$A$5:$A$504,0)))&amp;"","ID not found"))</f>
        <v/>
      </c>
      <c r="E1901" s="51" t="str">
        <f aca="false">IF(C1901="","",IFERROR(IF(LEFT(C1901,1)="L",INDEX('Leads Pipeline'!$D$5:$D$1004,MATCH(C1901,'Leads Pipeline'!$A$5:$A$1004,0)),INDEX('Active Clients'!$B$5:$B$504,MATCH(C1901,'Active Clients'!$A$5:$A$504,0)))&amp;"","ID not found"))</f>
        <v/>
      </c>
      <c r="F1901" s="51" t="str">
        <f aca="false">IF(C1901="","",IFERROR(IF(LEFT(C1901,1)="L",INDEX('Leads Pipeline'!$E$5:$E$1004,MATCH(C1901,'Leads Pipeline'!$A$5:$A$1004,0)),INDEX('Active Clients'!$C$5:$C$504,MATCH(C1901,'Active Clients'!$A$5:$A$504,0)))&amp;"","ID not found"))</f>
        <v/>
      </c>
      <c r="G1901" s="16"/>
      <c r="H1901" s="16"/>
      <c r="I1901" s="16"/>
      <c r="J1901" s="16"/>
      <c r="K1901" s="16"/>
      <c r="L1901" s="18"/>
    </row>
    <row r="1902" customFormat="false" ht="15" hidden="false" customHeight="false" outlineLevel="0" collapsed="false">
      <c r="A1902" s="18"/>
      <c r="B1902" s="16"/>
      <c r="C1902" s="16"/>
      <c r="D1902" s="51" t="str">
        <f aca="false">IF(C1902="","",IFERROR(IF(LEFT(C1902,1)="L",INDEX('Leads Pipeline'!$F$5:$F$1004,MATCH(C1902,'Leads Pipeline'!$A$5:$A$1004,0)),INDEX('Active Clients'!$D$5:$D$504,MATCH(C1902,'Active Clients'!$A$5:$A$504,0)))&amp;"","ID not found"))</f>
        <v/>
      </c>
      <c r="E1902" s="51" t="str">
        <f aca="false">IF(C1902="","",IFERROR(IF(LEFT(C1902,1)="L",INDEX('Leads Pipeline'!$D$5:$D$1004,MATCH(C1902,'Leads Pipeline'!$A$5:$A$1004,0)),INDEX('Active Clients'!$B$5:$B$504,MATCH(C1902,'Active Clients'!$A$5:$A$504,0)))&amp;"","ID not found"))</f>
        <v/>
      </c>
      <c r="F1902" s="51" t="str">
        <f aca="false">IF(C1902="","",IFERROR(IF(LEFT(C1902,1)="L",INDEX('Leads Pipeline'!$E$5:$E$1004,MATCH(C1902,'Leads Pipeline'!$A$5:$A$1004,0)),INDEX('Active Clients'!$C$5:$C$504,MATCH(C1902,'Active Clients'!$A$5:$A$504,0)))&amp;"","ID not found"))</f>
        <v/>
      </c>
      <c r="G1902" s="16"/>
      <c r="H1902" s="16"/>
      <c r="I1902" s="16"/>
      <c r="J1902" s="16"/>
      <c r="K1902" s="16"/>
      <c r="L1902" s="18"/>
    </row>
    <row r="1903" customFormat="false" ht="15" hidden="false" customHeight="false" outlineLevel="0" collapsed="false">
      <c r="A1903" s="18"/>
      <c r="B1903" s="16"/>
      <c r="C1903" s="16"/>
      <c r="D1903" s="51" t="str">
        <f aca="false">IF(C1903="","",IFERROR(IF(LEFT(C1903,1)="L",INDEX('Leads Pipeline'!$F$5:$F$1004,MATCH(C1903,'Leads Pipeline'!$A$5:$A$1004,0)),INDEX('Active Clients'!$D$5:$D$504,MATCH(C1903,'Active Clients'!$A$5:$A$504,0)))&amp;"","ID not found"))</f>
        <v/>
      </c>
      <c r="E1903" s="51" t="str">
        <f aca="false">IF(C1903="","",IFERROR(IF(LEFT(C1903,1)="L",INDEX('Leads Pipeline'!$D$5:$D$1004,MATCH(C1903,'Leads Pipeline'!$A$5:$A$1004,0)),INDEX('Active Clients'!$B$5:$B$504,MATCH(C1903,'Active Clients'!$A$5:$A$504,0)))&amp;"","ID not found"))</f>
        <v/>
      </c>
      <c r="F1903" s="51" t="str">
        <f aca="false">IF(C1903="","",IFERROR(IF(LEFT(C1903,1)="L",INDEX('Leads Pipeline'!$E$5:$E$1004,MATCH(C1903,'Leads Pipeline'!$A$5:$A$1004,0)),INDEX('Active Clients'!$C$5:$C$504,MATCH(C1903,'Active Clients'!$A$5:$A$504,0)))&amp;"","ID not found"))</f>
        <v/>
      </c>
      <c r="G1903" s="16"/>
      <c r="H1903" s="16"/>
      <c r="I1903" s="16"/>
      <c r="J1903" s="16"/>
      <c r="K1903" s="16"/>
      <c r="L1903" s="18"/>
    </row>
    <row r="1904" customFormat="false" ht="15" hidden="false" customHeight="false" outlineLevel="0" collapsed="false">
      <c r="A1904" s="18"/>
      <c r="B1904" s="16"/>
      <c r="C1904" s="16"/>
      <c r="D1904" s="51" t="str">
        <f aca="false">IF(C1904="","",IFERROR(IF(LEFT(C1904,1)="L",INDEX('Leads Pipeline'!$F$5:$F$1004,MATCH(C1904,'Leads Pipeline'!$A$5:$A$1004,0)),INDEX('Active Clients'!$D$5:$D$504,MATCH(C1904,'Active Clients'!$A$5:$A$504,0)))&amp;"","ID not found"))</f>
        <v/>
      </c>
      <c r="E1904" s="51" t="str">
        <f aca="false">IF(C1904="","",IFERROR(IF(LEFT(C1904,1)="L",INDEX('Leads Pipeline'!$D$5:$D$1004,MATCH(C1904,'Leads Pipeline'!$A$5:$A$1004,0)),INDEX('Active Clients'!$B$5:$B$504,MATCH(C1904,'Active Clients'!$A$5:$A$504,0)))&amp;"","ID not found"))</f>
        <v/>
      </c>
      <c r="F1904" s="51" t="str">
        <f aca="false">IF(C1904="","",IFERROR(IF(LEFT(C1904,1)="L",INDEX('Leads Pipeline'!$E$5:$E$1004,MATCH(C1904,'Leads Pipeline'!$A$5:$A$1004,0)),INDEX('Active Clients'!$C$5:$C$504,MATCH(C1904,'Active Clients'!$A$5:$A$504,0)))&amp;"","ID not found"))</f>
        <v/>
      </c>
      <c r="G1904" s="16"/>
      <c r="H1904" s="16"/>
      <c r="I1904" s="16"/>
      <c r="J1904" s="16"/>
      <c r="K1904" s="16"/>
      <c r="L1904" s="18"/>
    </row>
    <row r="1905" customFormat="false" ht="15" hidden="false" customHeight="false" outlineLevel="0" collapsed="false">
      <c r="A1905" s="18"/>
      <c r="B1905" s="16"/>
      <c r="C1905" s="16"/>
      <c r="D1905" s="51" t="str">
        <f aca="false">IF(C1905="","",IFERROR(IF(LEFT(C1905,1)="L",INDEX('Leads Pipeline'!$F$5:$F$1004,MATCH(C1905,'Leads Pipeline'!$A$5:$A$1004,0)),INDEX('Active Clients'!$D$5:$D$504,MATCH(C1905,'Active Clients'!$A$5:$A$504,0)))&amp;"","ID not found"))</f>
        <v/>
      </c>
      <c r="E1905" s="51" t="str">
        <f aca="false">IF(C1905="","",IFERROR(IF(LEFT(C1905,1)="L",INDEX('Leads Pipeline'!$D$5:$D$1004,MATCH(C1905,'Leads Pipeline'!$A$5:$A$1004,0)),INDEX('Active Clients'!$B$5:$B$504,MATCH(C1905,'Active Clients'!$A$5:$A$504,0)))&amp;"","ID not found"))</f>
        <v/>
      </c>
      <c r="F1905" s="51" t="str">
        <f aca="false">IF(C1905="","",IFERROR(IF(LEFT(C1905,1)="L",INDEX('Leads Pipeline'!$E$5:$E$1004,MATCH(C1905,'Leads Pipeline'!$A$5:$A$1004,0)),INDEX('Active Clients'!$C$5:$C$504,MATCH(C1905,'Active Clients'!$A$5:$A$504,0)))&amp;"","ID not found"))</f>
        <v/>
      </c>
      <c r="G1905" s="16"/>
      <c r="H1905" s="16"/>
      <c r="I1905" s="16"/>
      <c r="J1905" s="16"/>
      <c r="K1905" s="16"/>
      <c r="L1905" s="18"/>
    </row>
    <row r="1906" customFormat="false" ht="15" hidden="false" customHeight="false" outlineLevel="0" collapsed="false">
      <c r="A1906" s="18"/>
      <c r="B1906" s="16"/>
      <c r="C1906" s="16"/>
      <c r="D1906" s="51" t="str">
        <f aca="false">IF(C1906="","",IFERROR(IF(LEFT(C1906,1)="L",INDEX('Leads Pipeline'!$F$5:$F$1004,MATCH(C1906,'Leads Pipeline'!$A$5:$A$1004,0)),INDEX('Active Clients'!$D$5:$D$504,MATCH(C1906,'Active Clients'!$A$5:$A$504,0)))&amp;"","ID not found"))</f>
        <v/>
      </c>
      <c r="E1906" s="51" t="str">
        <f aca="false">IF(C1906="","",IFERROR(IF(LEFT(C1906,1)="L",INDEX('Leads Pipeline'!$D$5:$D$1004,MATCH(C1906,'Leads Pipeline'!$A$5:$A$1004,0)),INDEX('Active Clients'!$B$5:$B$504,MATCH(C1906,'Active Clients'!$A$5:$A$504,0)))&amp;"","ID not found"))</f>
        <v/>
      </c>
      <c r="F1906" s="51" t="str">
        <f aca="false">IF(C1906="","",IFERROR(IF(LEFT(C1906,1)="L",INDEX('Leads Pipeline'!$E$5:$E$1004,MATCH(C1906,'Leads Pipeline'!$A$5:$A$1004,0)),INDEX('Active Clients'!$C$5:$C$504,MATCH(C1906,'Active Clients'!$A$5:$A$504,0)))&amp;"","ID not found"))</f>
        <v/>
      </c>
      <c r="G1906" s="16"/>
      <c r="H1906" s="16"/>
      <c r="I1906" s="16"/>
      <c r="J1906" s="16"/>
      <c r="K1906" s="16"/>
      <c r="L1906" s="18"/>
    </row>
    <row r="1907" customFormat="false" ht="15" hidden="false" customHeight="false" outlineLevel="0" collapsed="false">
      <c r="A1907" s="18"/>
      <c r="B1907" s="16"/>
      <c r="C1907" s="16"/>
      <c r="D1907" s="51" t="str">
        <f aca="false">IF(C1907="","",IFERROR(IF(LEFT(C1907,1)="L",INDEX('Leads Pipeline'!$F$5:$F$1004,MATCH(C1907,'Leads Pipeline'!$A$5:$A$1004,0)),INDEX('Active Clients'!$D$5:$D$504,MATCH(C1907,'Active Clients'!$A$5:$A$504,0)))&amp;"","ID not found"))</f>
        <v/>
      </c>
      <c r="E1907" s="51" t="str">
        <f aca="false">IF(C1907="","",IFERROR(IF(LEFT(C1907,1)="L",INDEX('Leads Pipeline'!$D$5:$D$1004,MATCH(C1907,'Leads Pipeline'!$A$5:$A$1004,0)),INDEX('Active Clients'!$B$5:$B$504,MATCH(C1907,'Active Clients'!$A$5:$A$504,0)))&amp;"","ID not found"))</f>
        <v/>
      </c>
      <c r="F1907" s="51" t="str">
        <f aca="false">IF(C1907="","",IFERROR(IF(LEFT(C1907,1)="L",INDEX('Leads Pipeline'!$E$5:$E$1004,MATCH(C1907,'Leads Pipeline'!$A$5:$A$1004,0)),INDEX('Active Clients'!$C$5:$C$504,MATCH(C1907,'Active Clients'!$A$5:$A$504,0)))&amp;"","ID not found"))</f>
        <v/>
      </c>
      <c r="G1907" s="16"/>
      <c r="H1907" s="16"/>
      <c r="I1907" s="16"/>
      <c r="J1907" s="16"/>
      <c r="K1907" s="16"/>
      <c r="L1907" s="18"/>
    </row>
    <row r="1908" customFormat="false" ht="15" hidden="false" customHeight="false" outlineLevel="0" collapsed="false">
      <c r="A1908" s="18"/>
      <c r="B1908" s="16"/>
      <c r="C1908" s="16"/>
      <c r="D1908" s="51" t="str">
        <f aca="false">IF(C1908="","",IFERROR(IF(LEFT(C1908,1)="L",INDEX('Leads Pipeline'!$F$5:$F$1004,MATCH(C1908,'Leads Pipeline'!$A$5:$A$1004,0)),INDEX('Active Clients'!$D$5:$D$504,MATCH(C1908,'Active Clients'!$A$5:$A$504,0)))&amp;"","ID not found"))</f>
        <v/>
      </c>
      <c r="E1908" s="51" t="str">
        <f aca="false">IF(C1908="","",IFERROR(IF(LEFT(C1908,1)="L",INDEX('Leads Pipeline'!$D$5:$D$1004,MATCH(C1908,'Leads Pipeline'!$A$5:$A$1004,0)),INDEX('Active Clients'!$B$5:$B$504,MATCH(C1908,'Active Clients'!$A$5:$A$504,0)))&amp;"","ID not found"))</f>
        <v/>
      </c>
      <c r="F1908" s="51" t="str">
        <f aca="false">IF(C1908="","",IFERROR(IF(LEFT(C1908,1)="L",INDEX('Leads Pipeline'!$E$5:$E$1004,MATCH(C1908,'Leads Pipeline'!$A$5:$A$1004,0)),INDEX('Active Clients'!$C$5:$C$504,MATCH(C1908,'Active Clients'!$A$5:$A$504,0)))&amp;"","ID not found"))</f>
        <v/>
      </c>
      <c r="G1908" s="16"/>
      <c r="H1908" s="16"/>
      <c r="I1908" s="16"/>
      <c r="J1908" s="16"/>
      <c r="K1908" s="16"/>
      <c r="L1908" s="18"/>
    </row>
    <row r="1909" customFormat="false" ht="15" hidden="false" customHeight="false" outlineLevel="0" collapsed="false">
      <c r="A1909" s="18"/>
      <c r="B1909" s="16"/>
      <c r="C1909" s="16"/>
      <c r="D1909" s="51" t="str">
        <f aca="false">IF(C1909="","",IFERROR(IF(LEFT(C1909,1)="L",INDEX('Leads Pipeline'!$F$5:$F$1004,MATCH(C1909,'Leads Pipeline'!$A$5:$A$1004,0)),INDEX('Active Clients'!$D$5:$D$504,MATCH(C1909,'Active Clients'!$A$5:$A$504,0)))&amp;"","ID not found"))</f>
        <v/>
      </c>
      <c r="E1909" s="51" t="str">
        <f aca="false">IF(C1909="","",IFERROR(IF(LEFT(C1909,1)="L",INDEX('Leads Pipeline'!$D$5:$D$1004,MATCH(C1909,'Leads Pipeline'!$A$5:$A$1004,0)),INDEX('Active Clients'!$B$5:$B$504,MATCH(C1909,'Active Clients'!$A$5:$A$504,0)))&amp;"","ID not found"))</f>
        <v/>
      </c>
      <c r="F1909" s="51" t="str">
        <f aca="false">IF(C1909="","",IFERROR(IF(LEFT(C1909,1)="L",INDEX('Leads Pipeline'!$E$5:$E$1004,MATCH(C1909,'Leads Pipeline'!$A$5:$A$1004,0)),INDEX('Active Clients'!$C$5:$C$504,MATCH(C1909,'Active Clients'!$A$5:$A$504,0)))&amp;"","ID not found"))</f>
        <v/>
      </c>
      <c r="G1909" s="16"/>
      <c r="H1909" s="16"/>
      <c r="I1909" s="16"/>
      <c r="J1909" s="16"/>
      <c r="K1909" s="16"/>
      <c r="L1909" s="18"/>
    </row>
    <row r="1910" customFormat="false" ht="15" hidden="false" customHeight="false" outlineLevel="0" collapsed="false">
      <c r="A1910" s="18"/>
      <c r="B1910" s="16"/>
      <c r="C1910" s="16"/>
      <c r="D1910" s="51" t="str">
        <f aca="false">IF(C1910="","",IFERROR(IF(LEFT(C1910,1)="L",INDEX('Leads Pipeline'!$F$5:$F$1004,MATCH(C1910,'Leads Pipeline'!$A$5:$A$1004,0)),INDEX('Active Clients'!$D$5:$D$504,MATCH(C1910,'Active Clients'!$A$5:$A$504,0)))&amp;"","ID not found"))</f>
        <v/>
      </c>
      <c r="E1910" s="51" t="str">
        <f aca="false">IF(C1910="","",IFERROR(IF(LEFT(C1910,1)="L",INDEX('Leads Pipeline'!$D$5:$D$1004,MATCH(C1910,'Leads Pipeline'!$A$5:$A$1004,0)),INDEX('Active Clients'!$B$5:$B$504,MATCH(C1910,'Active Clients'!$A$5:$A$504,0)))&amp;"","ID not found"))</f>
        <v/>
      </c>
      <c r="F1910" s="51" t="str">
        <f aca="false">IF(C1910="","",IFERROR(IF(LEFT(C1910,1)="L",INDEX('Leads Pipeline'!$E$5:$E$1004,MATCH(C1910,'Leads Pipeline'!$A$5:$A$1004,0)),INDEX('Active Clients'!$C$5:$C$504,MATCH(C1910,'Active Clients'!$A$5:$A$504,0)))&amp;"","ID not found"))</f>
        <v/>
      </c>
      <c r="G1910" s="16"/>
      <c r="H1910" s="16"/>
      <c r="I1910" s="16"/>
      <c r="J1910" s="16"/>
      <c r="K1910" s="16"/>
      <c r="L1910" s="18"/>
    </row>
    <row r="1911" customFormat="false" ht="15" hidden="false" customHeight="false" outlineLevel="0" collapsed="false">
      <c r="A1911" s="18"/>
      <c r="B1911" s="16"/>
      <c r="C1911" s="16"/>
      <c r="D1911" s="51" t="str">
        <f aca="false">IF(C1911="","",IFERROR(IF(LEFT(C1911,1)="L",INDEX('Leads Pipeline'!$F$5:$F$1004,MATCH(C1911,'Leads Pipeline'!$A$5:$A$1004,0)),INDEX('Active Clients'!$D$5:$D$504,MATCH(C1911,'Active Clients'!$A$5:$A$504,0)))&amp;"","ID not found"))</f>
        <v/>
      </c>
      <c r="E1911" s="51" t="str">
        <f aca="false">IF(C1911="","",IFERROR(IF(LEFT(C1911,1)="L",INDEX('Leads Pipeline'!$D$5:$D$1004,MATCH(C1911,'Leads Pipeline'!$A$5:$A$1004,0)),INDEX('Active Clients'!$B$5:$B$504,MATCH(C1911,'Active Clients'!$A$5:$A$504,0)))&amp;"","ID not found"))</f>
        <v/>
      </c>
      <c r="F1911" s="51" t="str">
        <f aca="false">IF(C1911="","",IFERROR(IF(LEFT(C1911,1)="L",INDEX('Leads Pipeline'!$E$5:$E$1004,MATCH(C1911,'Leads Pipeline'!$A$5:$A$1004,0)),INDEX('Active Clients'!$C$5:$C$504,MATCH(C1911,'Active Clients'!$A$5:$A$504,0)))&amp;"","ID not found"))</f>
        <v/>
      </c>
      <c r="G1911" s="16"/>
      <c r="H1911" s="16"/>
      <c r="I1911" s="16"/>
      <c r="J1911" s="16"/>
      <c r="K1911" s="16"/>
      <c r="L1911" s="18"/>
    </row>
    <row r="1912" customFormat="false" ht="15" hidden="false" customHeight="false" outlineLevel="0" collapsed="false">
      <c r="A1912" s="18"/>
      <c r="B1912" s="16"/>
      <c r="C1912" s="16"/>
      <c r="D1912" s="51" t="str">
        <f aca="false">IF(C1912="","",IFERROR(IF(LEFT(C1912,1)="L",INDEX('Leads Pipeline'!$F$5:$F$1004,MATCH(C1912,'Leads Pipeline'!$A$5:$A$1004,0)),INDEX('Active Clients'!$D$5:$D$504,MATCH(C1912,'Active Clients'!$A$5:$A$504,0)))&amp;"","ID not found"))</f>
        <v/>
      </c>
      <c r="E1912" s="51" t="str">
        <f aca="false">IF(C1912="","",IFERROR(IF(LEFT(C1912,1)="L",INDEX('Leads Pipeline'!$D$5:$D$1004,MATCH(C1912,'Leads Pipeline'!$A$5:$A$1004,0)),INDEX('Active Clients'!$B$5:$B$504,MATCH(C1912,'Active Clients'!$A$5:$A$504,0)))&amp;"","ID not found"))</f>
        <v/>
      </c>
      <c r="F1912" s="51" t="str">
        <f aca="false">IF(C1912="","",IFERROR(IF(LEFT(C1912,1)="L",INDEX('Leads Pipeline'!$E$5:$E$1004,MATCH(C1912,'Leads Pipeline'!$A$5:$A$1004,0)),INDEX('Active Clients'!$C$5:$C$504,MATCH(C1912,'Active Clients'!$A$5:$A$504,0)))&amp;"","ID not found"))</f>
        <v/>
      </c>
      <c r="G1912" s="16"/>
      <c r="H1912" s="16"/>
      <c r="I1912" s="16"/>
      <c r="J1912" s="16"/>
      <c r="K1912" s="16"/>
      <c r="L1912" s="18"/>
    </row>
    <row r="1913" customFormat="false" ht="15" hidden="false" customHeight="false" outlineLevel="0" collapsed="false">
      <c r="A1913" s="18"/>
      <c r="B1913" s="16"/>
      <c r="C1913" s="16"/>
      <c r="D1913" s="51" t="str">
        <f aca="false">IF(C1913="","",IFERROR(IF(LEFT(C1913,1)="L",INDEX('Leads Pipeline'!$F$5:$F$1004,MATCH(C1913,'Leads Pipeline'!$A$5:$A$1004,0)),INDEX('Active Clients'!$D$5:$D$504,MATCH(C1913,'Active Clients'!$A$5:$A$504,0)))&amp;"","ID not found"))</f>
        <v/>
      </c>
      <c r="E1913" s="51" t="str">
        <f aca="false">IF(C1913="","",IFERROR(IF(LEFT(C1913,1)="L",INDEX('Leads Pipeline'!$D$5:$D$1004,MATCH(C1913,'Leads Pipeline'!$A$5:$A$1004,0)),INDEX('Active Clients'!$B$5:$B$504,MATCH(C1913,'Active Clients'!$A$5:$A$504,0)))&amp;"","ID not found"))</f>
        <v/>
      </c>
      <c r="F1913" s="51" t="str">
        <f aca="false">IF(C1913="","",IFERROR(IF(LEFT(C1913,1)="L",INDEX('Leads Pipeline'!$E$5:$E$1004,MATCH(C1913,'Leads Pipeline'!$A$5:$A$1004,0)),INDEX('Active Clients'!$C$5:$C$504,MATCH(C1913,'Active Clients'!$A$5:$A$504,0)))&amp;"","ID not found"))</f>
        <v/>
      </c>
      <c r="G1913" s="16"/>
      <c r="H1913" s="16"/>
      <c r="I1913" s="16"/>
      <c r="J1913" s="16"/>
      <c r="K1913" s="16"/>
      <c r="L1913" s="18"/>
    </row>
    <row r="1914" customFormat="false" ht="15" hidden="false" customHeight="false" outlineLevel="0" collapsed="false">
      <c r="A1914" s="18"/>
      <c r="B1914" s="16"/>
      <c r="C1914" s="16"/>
      <c r="D1914" s="51" t="str">
        <f aca="false">IF(C1914="","",IFERROR(IF(LEFT(C1914,1)="L",INDEX('Leads Pipeline'!$F$5:$F$1004,MATCH(C1914,'Leads Pipeline'!$A$5:$A$1004,0)),INDEX('Active Clients'!$D$5:$D$504,MATCH(C1914,'Active Clients'!$A$5:$A$504,0)))&amp;"","ID not found"))</f>
        <v/>
      </c>
      <c r="E1914" s="51" t="str">
        <f aca="false">IF(C1914="","",IFERROR(IF(LEFT(C1914,1)="L",INDEX('Leads Pipeline'!$D$5:$D$1004,MATCH(C1914,'Leads Pipeline'!$A$5:$A$1004,0)),INDEX('Active Clients'!$B$5:$B$504,MATCH(C1914,'Active Clients'!$A$5:$A$504,0)))&amp;"","ID not found"))</f>
        <v/>
      </c>
      <c r="F1914" s="51" t="str">
        <f aca="false">IF(C1914="","",IFERROR(IF(LEFT(C1914,1)="L",INDEX('Leads Pipeline'!$E$5:$E$1004,MATCH(C1914,'Leads Pipeline'!$A$5:$A$1004,0)),INDEX('Active Clients'!$C$5:$C$504,MATCH(C1914,'Active Clients'!$A$5:$A$504,0)))&amp;"","ID not found"))</f>
        <v/>
      </c>
      <c r="G1914" s="16"/>
      <c r="H1914" s="16"/>
      <c r="I1914" s="16"/>
      <c r="J1914" s="16"/>
      <c r="K1914" s="16"/>
      <c r="L1914" s="18"/>
    </row>
    <row r="1915" customFormat="false" ht="15" hidden="false" customHeight="false" outlineLevel="0" collapsed="false">
      <c r="A1915" s="18"/>
      <c r="B1915" s="16"/>
      <c r="C1915" s="16"/>
      <c r="D1915" s="51" t="str">
        <f aca="false">IF(C1915="","",IFERROR(IF(LEFT(C1915,1)="L",INDEX('Leads Pipeline'!$F$5:$F$1004,MATCH(C1915,'Leads Pipeline'!$A$5:$A$1004,0)),INDEX('Active Clients'!$D$5:$D$504,MATCH(C1915,'Active Clients'!$A$5:$A$504,0)))&amp;"","ID not found"))</f>
        <v/>
      </c>
      <c r="E1915" s="51" t="str">
        <f aca="false">IF(C1915="","",IFERROR(IF(LEFT(C1915,1)="L",INDEX('Leads Pipeline'!$D$5:$D$1004,MATCH(C1915,'Leads Pipeline'!$A$5:$A$1004,0)),INDEX('Active Clients'!$B$5:$B$504,MATCH(C1915,'Active Clients'!$A$5:$A$504,0)))&amp;"","ID not found"))</f>
        <v/>
      </c>
      <c r="F1915" s="51" t="str">
        <f aca="false">IF(C1915="","",IFERROR(IF(LEFT(C1915,1)="L",INDEX('Leads Pipeline'!$E$5:$E$1004,MATCH(C1915,'Leads Pipeline'!$A$5:$A$1004,0)),INDEX('Active Clients'!$C$5:$C$504,MATCH(C1915,'Active Clients'!$A$5:$A$504,0)))&amp;"","ID not found"))</f>
        <v/>
      </c>
      <c r="G1915" s="16"/>
      <c r="H1915" s="16"/>
      <c r="I1915" s="16"/>
      <c r="J1915" s="16"/>
      <c r="K1915" s="16"/>
      <c r="L1915" s="18"/>
    </row>
    <row r="1916" customFormat="false" ht="15" hidden="false" customHeight="false" outlineLevel="0" collapsed="false">
      <c r="A1916" s="18"/>
      <c r="B1916" s="16"/>
      <c r="C1916" s="16"/>
      <c r="D1916" s="51" t="str">
        <f aca="false">IF(C1916="","",IFERROR(IF(LEFT(C1916,1)="L",INDEX('Leads Pipeline'!$F$5:$F$1004,MATCH(C1916,'Leads Pipeline'!$A$5:$A$1004,0)),INDEX('Active Clients'!$D$5:$D$504,MATCH(C1916,'Active Clients'!$A$5:$A$504,0)))&amp;"","ID not found"))</f>
        <v/>
      </c>
      <c r="E1916" s="51" t="str">
        <f aca="false">IF(C1916="","",IFERROR(IF(LEFT(C1916,1)="L",INDEX('Leads Pipeline'!$D$5:$D$1004,MATCH(C1916,'Leads Pipeline'!$A$5:$A$1004,0)),INDEX('Active Clients'!$B$5:$B$504,MATCH(C1916,'Active Clients'!$A$5:$A$504,0)))&amp;"","ID not found"))</f>
        <v/>
      </c>
      <c r="F1916" s="51" t="str">
        <f aca="false">IF(C1916="","",IFERROR(IF(LEFT(C1916,1)="L",INDEX('Leads Pipeline'!$E$5:$E$1004,MATCH(C1916,'Leads Pipeline'!$A$5:$A$1004,0)),INDEX('Active Clients'!$C$5:$C$504,MATCH(C1916,'Active Clients'!$A$5:$A$504,0)))&amp;"","ID not found"))</f>
        <v/>
      </c>
      <c r="G1916" s="16"/>
      <c r="H1916" s="16"/>
      <c r="I1916" s="16"/>
      <c r="J1916" s="16"/>
      <c r="K1916" s="16"/>
      <c r="L1916" s="18"/>
    </row>
    <row r="1917" customFormat="false" ht="15" hidden="false" customHeight="false" outlineLevel="0" collapsed="false">
      <c r="A1917" s="18"/>
      <c r="B1917" s="16"/>
      <c r="C1917" s="16"/>
      <c r="D1917" s="51" t="str">
        <f aca="false">IF(C1917="","",IFERROR(IF(LEFT(C1917,1)="L",INDEX('Leads Pipeline'!$F$5:$F$1004,MATCH(C1917,'Leads Pipeline'!$A$5:$A$1004,0)),INDEX('Active Clients'!$D$5:$D$504,MATCH(C1917,'Active Clients'!$A$5:$A$504,0)))&amp;"","ID not found"))</f>
        <v/>
      </c>
      <c r="E1917" s="51" t="str">
        <f aca="false">IF(C1917="","",IFERROR(IF(LEFT(C1917,1)="L",INDEX('Leads Pipeline'!$D$5:$D$1004,MATCH(C1917,'Leads Pipeline'!$A$5:$A$1004,0)),INDEX('Active Clients'!$B$5:$B$504,MATCH(C1917,'Active Clients'!$A$5:$A$504,0)))&amp;"","ID not found"))</f>
        <v/>
      </c>
      <c r="F1917" s="51" t="str">
        <f aca="false">IF(C1917="","",IFERROR(IF(LEFT(C1917,1)="L",INDEX('Leads Pipeline'!$E$5:$E$1004,MATCH(C1917,'Leads Pipeline'!$A$5:$A$1004,0)),INDEX('Active Clients'!$C$5:$C$504,MATCH(C1917,'Active Clients'!$A$5:$A$504,0)))&amp;"","ID not found"))</f>
        <v/>
      </c>
      <c r="G1917" s="16"/>
      <c r="H1917" s="16"/>
      <c r="I1917" s="16"/>
      <c r="J1917" s="16"/>
      <c r="K1917" s="16"/>
      <c r="L1917" s="18"/>
    </row>
    <row r="1918" customFormat="false" ht="15" hidden="false" customHeight="false" outlineLevel="0" collapsed="false">
      <c r="A1918" s="18"/>
      <c r="B1918" s="16"/>
      <c r="C1918" s="16"/>
      <c r="D1918" s="51" t="str">
        <f aca="false">IF(C1918="","",IFERROR(IF(LEFT(C1918,1)="L",INDEX('Leads Pipeline'!$F$5:$F$1004,MATCH(C1918,'Leads Pipeline'!$A$5:$A$1004,0)),INDEX('Active Clients'!$D$5:$D$504,MATCH(C1918,'Active Clients'!$A$5:$A$504,0)))&amp;"","ID not found"))</f>
        <v/>
      </c>
      <c r="E1918" s="51" t="str">
        <f aca="false">IF(C1918="","",IFERROR(IF(LEFT(C1918,1)="L",INDEX('Leads Pipeline'!$D$5:$D$1004,MATCH(C1918,'Leads Pipeline'!$A$5:$A$1004,0)),INDEX('Active Clients'!$B$5:$B$504,MATCH(C1918,'Active Clients'!$A$5:$A$504,0)))&amp;"","ID not found"))</f>
        <v/>
      </c>
      <c r="F1918" s="51" t="str">
        <f aca="false">IF(C1918="","",IFERROR(IF(LEFT(C1918,1)="L",INDEX('Leads Pipeline'!$E$5:$E$1004,MATCH(C1918,'Leads Pipeline'!$A$5:$A$1004,0)),INDEX('Active Clients'!$C$5:$C$504,MATCH(C1918,'Active Clients'!$A$5:$A$504,0)))&amp;"","ID not found"))</f>
        <v/>
      </c>
      <c r="G1918" s="16"/>
      <c r="H1918" s="16"/>
      <c r="I1918" s="16"/>
      <c r="J1918" s="16"/>
      <c r="K1918" s="16"/>
      <c r="L1918" s="18"/>
    </row>
    <row r="1919" customFormat="false" ht="15" hidden="false" customHeight="false" outlineLevel="0" collapsed="false">
      <c r="A1919" s="18"/>
      <c r="B1919" s="16"/>
      <c r="C1919" s="16"/>
      <c r="D1919" s="51" t="str">
        <f aca="false">IF(C1919="","",IFERROR(IF(LEFT(C1919,1)="L",INDEX('Leads Pipeline'!$F$5:$F$1004,MATCH(C1919,'Leads Pipeline'!$A$5:$A$1004,0)),INDEX('Active Clients'!$D$5:$D$504,MATCH(C1919,'Active Clients'!$A$5:$A$504,0)))&amp;"","ID not found"))</f>
        <v/>
      </c>
      <c r="E1919" s="51" t="str">
        <f aca="false">IF(C1919="","",IFERROR(IF(LEFT(C1919,1)="L",INDEX('Leads Pipeline'!$D$5:$D$1004,MATCH(C1919,'Leads Pipeline'!$A$5:$A$1004,0)),INDEX('Active Clients'!$B$5:$B$504,MATCH(C1919,'Active Clients'!$A$5:$A$504,0)))&amp;"","ID not found"))</f>
        <v/>
      </c>
      <c r="F1919" s="51" t="str">
        <f aca="false">IF(C1919="","",IFERROR(IF(LEFT(C1919,1)="L",INDEX('Leads Pipeline'!$E$5:$E$1004,MATCH(C1919,'Leads Pipeline'!$A$5:$A$1004,0)),INDEX('Active Clients'!$C$5:$C$504,MATCH(C1919,'Active Clients'!$A$5:$A$504,0)))&amp;"","ID not found"))</f>
        <v/>
      </c>
      <c r="G1919" s="16"/>
      <c r="H1919" s="16"/>
      <c r="I1919" s="16"/>
      <c r="J1919" s="16"/>
      <c r="K1919" s="16"/>
      <c r="L1919" s="18"/>
    </row>
    <row r="1920" customFormat="false" ht="15" hidden="false" customHeight="false" outlineLevel="0" collapsed="false">
      <c r="A1920" s="18"/>
      <c r="B1920" s="16"/>
      <c r="C1920" s="16"/>
      <c r="D1920" s="51" t="str">
        <f aca="false">IF(C1920="","",IFERROR(IF(LEFT(C1920,1)="L",INDEX('Leads Pipeline'!$F$5:$F$1004,MATCH(C1920,'Leads Pipeline'!$A$5:$A$1004,0)),INDEX('Active Clients'!$D$5:$D$504,MATCH(C1920,'Active Clients'!$A$5:$A$504,0)))&amp;"","ID not found"))</f>
        <v/>
      </c>
      <c r="E1920" s="51" t="str">
        <f aca="false">IF(C1920="","",IFERROR(IF(LEFT(C1920,1)="L",INDEX('Leads Pipeline'!$D$5:$D$1004,MATCH(C1920,'Leads Pipeline'!$A$5:$A$1004,0)),INDEX('Active Clients'!$B$5:$B$504,MATCH(C1920,'Active Clients'!$A$5:$A$504,0)))&amp;"","ID not found"))</f>
        <v/>
      </c>
      <c r="F1920" s="51" t="str">
        <f aca="false">IF(C1920="","",IFERROR(IF(LEFT(C1920,1)="L",INDEX('Leads Pipeline'!$E$5:$E$1004,MATCH(C1920,'Leads Pipeline'!$A$5:$A$1004,0)),INDEX('Active Clients'!$C$5:$C$504,MATCH(C1920,'Active Clients'!$A$5:$A$504,0)))&amp;"","ID not found"))</f>
        <v/>
      </c>
      <c r="G1920" s="16"/>
      <c r="H1920" s="16"/>
      <c r="I1920" s="16"/>
      <c r="J1920" s="16"/>
      <c r="K1920" s="16"/>
      <c r="L1920" s="18"/>
    </row>
    <row r="1921" customFormat="false" ht="15" hidden="false" customHeight="false" outlineLevel="0" collapsed="false">
      <c r="A1921" s="18"/>
      <c r="B1921" s="16"/>
      <c r="C1921" s="16"/>
      <c r="D1921" s="51" t="str">
        <f aca="false">IF(C1921="","",IFERROR(IF(LEFT(C1921,1)="L",INDEX('Leads Pipeline'!$F$5:$F$1004,MATCH(C1921,'Leads Pipeline'!$A$5:$A$1004,0)),INDEX('Active Clients'!$D$5:$D$504,MATCH(C1921,'Active Clients'!$A$5:$A$504,0)))&amp;"","ID not found"))</f>
        <v/>
      </c>
      <c r="E1921" s="51" t="str">
        <f aca="false">IF(C1921="","",IFERROR(IF(LEFT(C1921,1)="L",INDEX('Leads Pipeline'!$D$5:$D$1004,MATCH(C1921,'Leads Pipeline'!$A$5:$A$1004,0)),INDEX('Active Clients'!$B$5:$B$504,MATCH(C1921,'Active Clients'!$A$5:$A$504,0)))&amp;"","ID not found"))</f>
        <v/>
      </c>
      <c r="F1921" s="51" t="str">
        <f aca="false">IF(C1921="","",IFERROR(IF(LEFT(C1921,1)="L",INDEX('Leads Pipeline'!$E$5:$E$1004,MATCH(C1921,'Leads Pipeline'!$A$5:$A$1004,0)),INDEX('Active Clients'!$C$5:$C$504,MATCH(C1921,'Active Clients'!$A$5:$A$504,0)))&amp;"","ID not found"))</f>
        <v/>
      </c>
      <c r="G1921" s="16"/>
      <c r="H1921" s="16"/>
      <c r="I1921" s="16"/>
      <c r="J1921" s="16"/>
      <c r="K1921" s="16"/>
      <c r="L1921" s="18"/>
    </row>
    <row r="1922" customFormat="false" ht="15" hidden="false" customHeight="false" outlineLevel="0" collapsed="false">
      <c r="A1922" s="18"/>
      <c r="B1922" s="16"/>
      <c r="C1922" s="16"/>
      <c r="D1922" s="51" t="str">
        <f aca="false">IF(C1922="","",IFERROR(IF(LEFT(C1922,1)="L",INDEX('Leads Pipeline'!$F$5:$F$1004,MATCH(C1922,'Leads Pipeline'!$A$5:$A$1004,0)),INDEX('Active Clients'!$D$5:$D$504,MATCH(C1922,'Active Clients'!$A$5:$A$504,0)))&amp;"","ID not found"))</f>
        <v/>
      </c>
      <c r="E1922" s="51" t="str">
        <f aca="false">IF(C1922="","",IFERROR(IF(LEFT(C1922,1)="L",INDEX('Leads Pipeline'!$D$5:$D$1004,MATCH(C1922,'Leads Pipeline'!$A$5:$A$1004,0)),INDEX('Active Clients'!$B$5:$B$504,MATCH(C1922,'Active Clients'!$A$5:$A$504,0)))&amp;"","ID not found"))</f>
        <v/>
      </c>
      <c r="F1922" s="51" t="str">
        <f aca="false">IF(C1922="","",IFERROR(IF(LEFT(C1922,1)="L",INDEX('Leads Pipeline'!$E$5:$E$1004,MATCH(C1922,'Leads Pipeline'!$A$5:$A$1004,0)),INDEX('Active Clients'!$C$5:$C$504,MATCH(C1922,'Active Clients'!$A$5:$A$504,0)))&amp;"","ID not found"))</f>
        <v/>
      </c>
      <c r="G1922" s="16"/>
      <c r="H1922" s="16"/>
      <c r="I1922" s="16"/>
      <c r="J1922" s="16"/>
      <c r="K1922" s="16"/>
      <c r="L1922" s="18"/>
    </row>
    <row r="1923" customFormat="false" ht="15" hidden="false" customHeight="false" outlineLevel="0" collapsed="false">
      <c r="A1923" s="18"/>
      <c r="B1923" s="16"/>
      <c r="C1923" s="16"/>
      <c r="D1923" s="51" t="str">
        <f aca="false">IF(C1923="","",IFERROR(IF(LEFT(C1923,1)="L",INDEX('Leads Pipeline'!$F$5:$F$1004,MATCH(C1923,'Leads Pipeline'!$A$5:$A$1004,0)),INDEX('Active Clients'!$D$5:$D$504,MATCH(C1923,'Active Clients'!$A$5:$A$504,0)))&amp;"","ID not found"))</f>
        <v/>
      </c>
      <c r="E1923" s="51" t="str">
        <f aca="false">IF(C1923="","",IFERROR(IF(LEFT(C1923,1)="L",INDEX('Leads Pipeline'!$D$5:$D$1004,MATCH(C1923,'Leads Pipeline'!$A$5:$A$1004,0)),INDEX('Active Clients'!$B$5:$B$504,MATCH(C1923,'Active Clients'!$A$5:$A$504,0)))&amp;"","ID not found"))</f>
        <v/>
      </c>
      <c r="F1923" s="51" t="str">
        <f aca="false">IF(C1923="","",IFERROR(IF(LEFT(C1923,1)="L",INDEX('Leads Pipeline'!$E$5:$E$1004,MATCH(C1923,'Leads Pipeline'!$A$5:$A$1004,0)),INDEX('Active Clients'!$C$5:$C$504,MATCH(C1923,'Active Clients'!$A$5:$A$504,0)))&amp;"","ID not found"))</f>
        <v/>
      </c>
      <c r="G1923" s="16"/>
      <c r="H1923" s="16"/>
      <c r="I1923" s="16"/>
      <c r="J1923" s="16"/>
      <c r="K1923" s="16"/>
      <c r="L1923" s="18"/>
    </row>
    <row r="1924" customFormat="false" ht="15" hidden="false" customHeight="false" outlineLevel="0" collapsed="false">
      <c r="A1924" s="18"/>
      <c r="B1924" s="16"/>
      <c r="C1924" s="16"/>
      <c r="D1924" s="51" t="str">
        <f aca="false">IF(C1924="","",IFERROR(IF(LEFT(C1924,1)="L",INDEX('Leads Pipeline'!$F$5:$F$1004,MATCH(C1924,'Leads Pipeline'!$A$5:$A$1004,0)),INDEX('Active Clients'!$D$5:$D$504,MATCH(C1924,'Active Clients'!$A$5:$A$504,0)))&amp;"","ID not found"))</f>
        <v/>
      </c>
      <c r="E1924" s="51" t="str">
        <f aca="false">IF(C1924="","",IFERROR(IF(LEFT(C1924,1)="L",INDEX('Leads Pipeline'!$D$5:$D$1004,MATCH(C1924,'Leads Pipeline'!$A$5:$A$1004,0)),INDEX('Active Clients'!$B$5:$B$504,MATCH(C1924,'Active Clients'!$A$5:$A$504,0)))&amp;"","ID not found"))</f>
        <v/>
      </c>
      <c r="F1924" s="51" t="str">
        <f aca="false">IF(C1924="","",IFERROR(IF(LEFT(C1924,1)="L",INDEX('Leads Pipeline'!$E$5:$E$1004,MATCH(C1924,'Leads Pipeline'!$A$5:$A$1004,0)),INDEX('Active Clients'!$C$5:$C$504,MATCH(C1924,'Active Clients'!$A$5:$A$504,0)))&amp;"","ID not found"))</f>
        <v/>
      </c>
      <c r="G1924" s="16"/>
      <c r="H1924" s="16"/>
      <c r="I1924" s="16"/>
      <c r="J1924" s="16"/>
      <c r="K1924" s="16"/>
      <c r="L1924" s="18"/>
    </row>
    <row r="1925" customFormat="false" ht="15" hidden="false" customHeight="false" outlineLevel="0" collapsed="false">
      <c r="A1925" s="18"/>
      <c r="B1925" s="16"/>
      <c r="C1925" s="16"/>
      <c r="D1925" s="51" t="str">
        <f aca="false">IF(C1925="","",IFERROR(IF(LEFT(C1925,1)="L",INDEX('Leads Pipeline'!$F$5:$F$1004,MATCH(C1925,'Leads Pipeline'!$A$5:$A$1004,0)),INDEX('Active Clients'!$D$5:$D$504,MATCH(C1925,'Active Clients'!$A$5:$A$504,0)))&amp;"","ID not found"))</f>
        <v/>
      </c>
      <c r="E1925" s="51" t="str">
        <f aca="false">IF(C1925="","",IFERROR(IF(LEFT(C1925,1)="L",INDEX('Leads Pipeline'!$D$5:$D$1004,MATCH(C1925,'Leads Pipeline'!$A$5:$A$1004,0)),INDEX('Active Clients'!$B$5:$B$504,MATCH(C1925,'Active Clients'!$A$5:$A$504,0)))&amp;"","ID not found"))</f>
        <v/>
      </c>
      <c r="F1925" s="51" t="str">
        <f aca="false">IF(C1925="","",IFERROR(IF(LEFT(C1925,1)="L",INDEX('Leads Pipeline'!$E$5:$E$1004,MATCH(C1925,'Leads Pipeline'!$A$5:$A$1004,0)),INDEX('Active Clients'!$C$5:$C$504,MATCH(C1925,'Active Clients'!$A$5:$A$504,0)))&amp;"","ID not found"))</f>
        <v/>
      </c>
      <c r="G1925" s="16"/>
      <c r="H1925" s="16"/>
      <c r="I1925" s="16"/>
      <c r="J1925" s="16"/>
      <c r="K1925" s="16"/>
      <c r="L1925" s="18"/>
    </row>
    <row r="1926" customFormat="false" ht="15" hidden="false" customHeight="false" outlineLevel="0" collapsed="false">
      <c r="A1926" s="18"/>
      <c r="B1926" s="16"/>
      <c r="C1926" s="16"/>
      <c r="D1926" s="51" t="str">
        <f aca="false">IF(C1926="","",IFERROR(IF(LEFT(C1926,1)="L",INDEX('Leads Pipeline'!$F$5:$F$1004,MATCH(C1926,'Leads Pipeline'!$A$5:$A$1004,0)),INDEX('Active Clients'!$D$5:$D$504,MATCH(C1926,'Active Clients'!$A$5:$A$504,0)))&amp;"","ID not found"))</f>
        <v/>
      </c>
      <c r="E1926" s="51" t="str">
        <f aca="false">IF(C1926="","",IFERROR(IF(LEFT(C1926,1)="L",INDEX('Leads Pipeline'!$D$5:$D$1004,MATCH(C1926,'Leads Pipeline'!$A$5:$A$1004,0)),INDEX('Active Clients'!$B$5:$B$504,MATCH(C1926,'Active Clients'!$A$5:$A$504,0)))&amp;"","ID not found"))</f>
        <v/>
      </c>
      <c r="F1926" s="51" t="str">
        <f aca="false">IF(C1926="","",IFERROR(IF(LEFT(C1926,1)="L",INDEX('Leads Pipeline'!$E$5:$E$1004,MATCH(C1926,'Leads Pipeline'!$A$5:$A$1004,0)),INDEX('Active Clients'!$C$5:$C$504,MATCH(C1926,'Active Clients'!$A$5:$A$504,0)))&amp;"","ID not found"))</f>
        <v/>
      </c>
      <c r="G1926" s="16"/>
      <c r="H1926" s="16"/>
      <c r="I1926" s="16"/>
      <c r="J1926" s="16"/>
      <c r="K1926" s="16"/>
      <c r="L1926" s="18"/>
    </row>
    <row r="1927" customFormat="false" ht="15" hidden="false" customHeight="false" outlineLevel="0" collapsed="false">
      <c r="A1927" s="18"/>
      <c r="B1927" s="16"/>
      <c r="C1927" s="16"/>
      <c r="D1927" s="51" t="str">
        <f aca="false">IF(C1927="","",IFERROR(IF(LEFT(C1927,1)="L",INDEX('Leads Pipeline'!$F$5:$F$1004,MATCH(C1927,'Leads Pipeline'!$A$5:$A$1004,0)),INDEX('Active Clients'!$D$5:$D$504,MATCH(C1927,'Active Clients'!$A$5:$A$504,0)))&amp;"","ID not found"))</f>
        <v/>
      </c>
      <c r="E1927" s="51" t="str">
        <f aca="false">IF(C1927="","",IFERROR(IF(LEFT(C1927,1)="L",INDEX('Leads Pipeline'!$D$5:$D$1004,MATCH(C1927,'Leads Pipeline'!$A$5:$A$1004,0)),INDEX('Active Clients'!$B$5:$B$504,MATCH(C1927,'Active Clients'!$A$5:$A$504,0)))&amp;"","ID not found"))</f>
        <v/>
      </c>
      <c r="F1927" s="51" t="str">
        <f aca="false">IF(C1927="","",IFERROR(IF(LEFT(C1927,1)="L",INDEX('Leads Pipeline'!$E$5:$E$1004,MATCH(C1927,'Leads Pipeline'!$A$5:$A$1004,0)),INDEX('Active Clients'!$C$5:$C$504,MATCH(C1927,'Active Clients'!$A$5:$A$504,0)))&amp;"","ID not found"))</f>
        <v/>
      </c>
      <c r="G1927" s="16"/>
      <c r="H1927" s="16"/>
      <c r="I1927" s="16"/>
      <c r="J1927" s="16"/>
      <c r="K1927" s="16"/>
      <c r="L1927" s="18"/>
    </row>
    <row r="1928" customFormat="false" ht="15" hidden="false" customHeight="false" outlineLevel="0" collapsed="false">
      <c r="A1928" s="18"/>
      <c r="B1928" s="16"/>
      <c r="C1928" s="16"/>
      <c r="D1928" s="51" t="str">
        <f aca="false">IF(C1928="","",IFERROR(IF(LEFT(C1928,1)="L",INDEX('Leads Pipeline'!$F$5:$F$1004,MATCH(C1928,'Leads Pipeline'!$A$5:$A$1004,0)),INDEX('Active Clients'!$D$5:$D$504,MATCH(C1928,'Active Clients'!$A$5:$A$504,0)))&amp;"","ID not found"))</f>
        <v/>
      </c>
      <c r="E1928" s="51" t="str">
        <f aca="false">IF(C1928="","",IFERROR(IF(LEFT(C1928,1)="L",INDEX('Leads Pipeline'!$D$5:$D$1004,MATCH(C1928,'Leads Pipeline'!$A$5:$A$1004,0)),INDEX('Active Clients'!$B$5:$B$504,MATCH(C1928,'Active Clients'!$A$5:$A$504,0)))&amp;"","ID not found"))</f>
        <v/>
      </c>
      <c r="F1928" s="51" t="str">
        <f aca="false">IF(C1928="","",IFERROR(IF(LEFT(C1928,1)="L",INDEX('Leads Pipeline'!$E$5:$E$1004,MATCH(C1928,'Leads Pipeline'!$A$5:$A$1004,0)),INDEX('Active Clients'!$C$5:$C$504,MATCH(C1928,'Active Clients'!$A$5:$A$504,0)))&amp;"","ID not found"))</f>
        <v/>
      </c>
      <c r="G1928" s="16"/>
      <c r="H1928" s="16"/>
      <c r="I1928" s="16"/>
      <c r="J1928" s="16"/>
      <c r="K1928" s="16"/>
      <c r="L1928" s="18"/>
    </row>
    <row r="1929" customFormat="false" ht="15" hidden="false" customHeight="false" outlineLevel="0" collapsed="false">
      <c r="A1929" s="18"/>
      <c r="B1929" s="16"/>
      <c r="C1929" s="16"/>
      <c r="D1929" s="51" t="str">
        <f aca="false">IF(C1929="","",IFERROR(IF(LEFT(C1929,1)="L",INDEX('Leads Pipeline'!$F$5:$F$1004,MATCH(C1929,'Leads Pipeline'!$A$5:$A$1004,0)),INDEX('Active Clients'!$D$5:$D$504,MATCH(C1929,'Active Clients'!$A$5:$A$504,0)))&amp;"","ID not found"))</f>
        <v/>
      </c>
      <c r="E1929" s="51" t="str">
        <f aca="false">IF(C1929="","",IFERROR(IF(LEFT(C1929,1)="L",INDEX('Leads Pipeline'!$D$5:$D$1004,MATCH(C1929,'Leads Pipeline'!$A$5:$A$1004,0)),INDEX('Active Clients'!$B$5:$B$504,MATCH(C1929,'Active Clients'!$A$5:$A$504,0)))&amp;"","ID not found"))</f>
        <v/>
      </c>
      <c r="F1929" s="51" t="str">
        <f aca="false">IF(C1929="","",IFERROR(IF(LEFT(C1929,1)="L",INDEX('Leads Pipeline'!$E$5:$E$1004,MATCH(C1929,'Leads Pipeline'!$A$5:$A$1004,0)),INDEX('Active Clients'!$C$5:$C$504,MATCH(C1929,'Active Clients'!$A$5:$A$504,0)))&amp;"","ID not found"))</f>
        <v/>
      </c>
      <c r="G1929" s="16"/>
      <c r="H1929" s="16"/>
      <c r="I1929" s="16"/>
      <c r="J1929" s="16"/>
      <c r="K1929" s="16"/>
      <c r="L1929" s="18"/>
    </row>
    <row r="1930" customFormat="false" ht="15" hidden="false" customHeight="false" outlineLevel="0" collapsed="false">
      <c r="A1930" s="18"/>
      <c r="B1930" s="16"/>
      <c r="C1930" s="16"/>
      <c r="D1930" s="51" t="str">
        <f aca="false">IF(C1930="","",IFERROR(IF(LEFT(C1930,1)="L",INDEX('Leads Pipeline'!$F$5:$F$1004,MATCH(C1930,'Leads Pipeline'!$A$5:$A$1004,0)),INDEX('Active Clients'!$D$5:$D$504,MATCH(C1930,'Active Clients'!$A$5:$A$504,0)))&amp;"","ID not found"))</f>
        <v/>
      </c>
      <c r="E1930" s="51" t="str">
        <f aca="false">IF(C1930="","",IFERROR(IF(LEFT(C1930,1)="L",INDEX('Leads Pipeline'!$D$5:$D$1004,MATCH(C1930,'Leads Pipeline'!$A$5:$A$1004,0)),INDEX('Active Clients'!$B$5:$B$504,MATCH(C1930,'Active Clients'!$A$5:$A$504,0)))&amp;"","ID not found"))</f>
        <v/>
      </c>
      <c r="F1930" s="51" t="str">
        <f aca="false">IF(C1930="","",IFERROR(IF(LEFT(C1930,1)="L",INDEX('Leads Pipeline'!$E$5:$E$1004,MATCH(C1930,'Leads Pipeline'!$A$5:$A$1004,0)),INDEX('Active Clients'!$C$5:$C$504,MATCH(C1930,'Active Clients'!$A$5:$A$504,0)))&amp;"","ID not found"))</f>
        <v/>
      </c>
      <c r="G1930" s="16"/>
      <c r="H1930" s="16"/>
      <c r="I1930" s="16"/>
      <c r="J1930" s="16"/>
      <c r="K1930" s="16"/>
      <c r="L1930" s="18"/>
    </row>
    <row r="1931" customFormat="false" ht="15" hidden="false" customHeight="false" outlineLevel="0" collapsed="false">
      <c r="A1931" s="18"/>
      <c r="B1931" s="16"/>
      <c r="C1931" s="16"/>
      <c r="D1931" s="51" t="str">
        <f aca="false">IF(C1931="","",IFERROR(IF(LEFT(C1931,1)="L",INDEX('Leads Pipeline'!$F$5:$F$1004,MATCH(C1931,'Leads Pipeline'!$A$5:$A$1004,0)),INDEX('Active Clients'!$D$5:$D$504,MATCH(C1931,'Active Clients'!$A$5:$A$504,0)))&amp;"","ID not found"))</f>
        <v/>
      </c>
      <c r="E1931" s="51" t="str">
        <f aca="false">IF(C1931="","",IFERROR(IF(LEFT(C1931,1)="L",INDEX('Leads Pipeline'!$D$5:$D$1004,MATCH(C1931,'Leads Pipeline'!$A$5:$A$1004,0)),INDEX('Active Clients'!$B$5:$B$504,MATCH(C1931,'Active Clients'!$A$5:$A$504,0)))&amp;"","ID not found"))</f>
        <v/>
      </c>
      <c r="F1931" s="51" t="str">
        <f aca="false">IF(C1931="","",IFERROR(IF(LEFT(C1931,1)="L",INDEX('Leads Pipeline'!$E$5:$E$1004,MATCH(C1931,'Leads Pipeline'!$A$5:$A$1004,0)),INDEX('Active Clients'!$C$5:$C$504,MATCH(C1931,'Active Clients'!$A$5:$A$504,0)))&amp;"","ID not found"))</f>
        <v/>
      </c>
      <c r="G1931" s="16"/>
      <c r="H1931" s="16"/>
      <c r="I1931" s="16"/>
      <c r="J1931" s="16"/>
      <c r="K1931" s="16"/>
      <c r="L1931" s="18"/>
    </row>
    <row r="1932" customFormat="false" ht="15" hidden="false" customHeight="false" outlineLevel="0" collapsed="false">
      <c r="A1932" s="18"/>
      <c r="B1932" s="16"/>
      <c r="C1932" s="16"/>
      <c r="D1932" s="51" t="str">
        <f aca="false">IF(C1932="","",IFERROR(IF(LEFT(C1932,1)="L",INDEX('Leads Pipeline'!$F$5:$F$1004,MATCH(C1932,'Leads Pipeline'!$A$5:$A$1004,0)),INDEX('Active Clients'!$D$5:$D$504,MATCH(C1932,'Active Clients'!$A$5:$A$504,0)))&amp;"","ID not found"))</f>
        <v/>
      </c>
      <c r="E1932" s="51" t="str">
        <f aca="false">IF(C1932="","",IFERROR(IF(LEFT(C1932,1)="L",INDEX('Leads Pipeline'!$D$5:$D$1004,MATCH(C1932,'Leads Pipeline'!$A$5:$A$1004,0)),INDEX('Active Clients'!$B$5:$B$504,MATCH(C1932,'Active Clients'!$A$5:$A$504,0)))&amp;"","ID not found"))</f>
        <v/>
      </c>
      <c r="F1932" s="51" t="str">
        <f aca="false">IF(C1932="","",IFERROR(IF(LEFT(C1932,1)="L",INDEX('Leads Pipeline'!$E$5:$E$1004,MATCH(C1932,'Leads Pipeline'!$A$5:$A$1004,0)),INDEX('Active Clients'!$C$5:$C$504,MATCH(C1932,'Active Clients'!$A$5:$A$504,0)))&amp;"","ID not found"))</f>
        <v/>
      </c>
      <c r="G1932" s="16"/>
      <c r="H1932" s="16"/>
      <c r="I1932" s="16"/>
      <c r="J1932" s="16"/>
      <c r="K1932" s="16"/>
      <c r="L1932" s="18"/>
    </row>
    <row r="1933" customFormat="false" ht="15" hidden="false" customHeight="false" outlineLevel="0" collapsed="false">
      <c r="A1933" s="18"/>
      <c r="B1933" s="16"/>
      <c r="C1933" s="16"/>
      <c r="D1933" s="51" t="str">
        <f aca="false">IF(C1933="","",IFERROR(IF(LEFT(C1933,1)="L",INDEX('Leads Pipeline'!$F$5:$F$1004,MATCH(C1933,'Leads Pipeline'!$A$5:$A$1004,0)),INDEX('Active Clients'!$D$5:$D$504,MATCH(C1933,'Active Clients'!$A$5:$A$504,0)))&amp;"","ID not found"))</f>
        <v/>
      </c>
      <c r="E1933" s="51" t="str">
        <f aca="false">IF(C1933="","",IFERROR(IF(LEFT(C1933,1)="L",INDEX('Leads Pipeline'!$D$5:$D$1004,MATCH(C1933,'Leads Pipeline'!$A$5:$A$1004,0)),INDEX('Active Clients'!$B$5:$B$504,MATCH(C1933,'Active Clients'!$A$5:$A$504,0)))&amp;"","ID not found"))</f>
        <v/>
      </c>
      <c r="F1933" s="51" t="str">
        <f aca="false">IF(C1933="","",IFERROR(IF(LEFT(C1933,1)="L",INDEX('Leads Pipeline'!$E$5:$E$1004,MATCH(C1933,'Leads Pipeline'!$A$5:$A$1004,0)),INDEX('Active Clients'!$C$5:$C$504,MATCH(C1933,'Active Clients'!$A$5:$A$504,0)))&amp;"","ID not found"))</f>
        <v/>
      </c>
      <c r="G1933" s="16"/>
      <c r="H1933" s="16"/>
      <c r="I1933" s="16"/>
      <c r="J1933" s="16"/>
      <c r="K1933" s="16"/>
      <c r="L1933" s="18"/>
    </row>
    <row r="1934" customFormat="false" ht="15" hidden="false" customHeight="false" outlineLevel="0" collapsed="false">
      <c r="A1934" s="18"/>
      <c r="B1934" s="16"/>
      <c r="C1934" s="16"/>
      <c r="D1934" s="51" t="str">
        <f aca="false">IF(C1934="","",IFERROR(IF(LEFT(C1934,1)="L",INDEX('Leads Pipeline'!$F$5:$F$1004,MATCH(C1934,'Leads Pipeline'!$A$5:$A$1004,0)),INDEX('Active Clients'!$D$5:$D$504,MATCH(C1934,'Active Clients'!$A$5:$A$504,0)))&amp;"","ID not found"))</f>
        <v/>
      </c>
      <c r="E1934" s="51" t="str">
        <f aca="false">IF(C1934="","",IFERROR(IF(LEFT(C1934,1)="L",INDEX('Leads Pipeline'!$D$5:$D$1004,MATCH(C1934,'Leads Pipeline'!$A$5:$A$1004,0)),INDEX('Active Clients'!$B$5:$B$504,MATCH(C1934,'Active Clients'!$A$5:$A$504,0)))&amp;"","ID not found"))</f>
        <v/>
      </c>
      <c r="F1934" s="51" t="str">
        <f aca="false">IF(C1934="","",IFERROR(IF(LEFT(C1934,1)="L",INDEX('Leads Pipeline'!$E$5:$E$1004,MATCH(C1934,'Leads Pipeline'!$A$5:$A$1004,0)),INDEX('Active Clients'!$C$5:$C$504,MATCH(C1934,'Active Clients'!$A$5:$A$504,0)))&amp;"","ID not found"))</f>
        <v/>
      </c>
      <c r="G1934" s="16"/>
      <c r="H1934" s="16"/>
      <c r="I1934" s="16"/>
      <c r="J1934" s="16"/>
      <c r="K1934" s="16"/>
      <c r="L1934" s="18"/>
    </row>
    <row r="1935" customFormat="false" ht="15" hidden="false" customHeight="false" outlineLevel="0" collapsed="false">
      <c r="A1935" s="18"/>
      <c r="B1935" s="16"/>
      <c r="C1935" s="16"/>
      <c r="D1935" s="51" t="str">
        <f aca="false">IF(C1935="","",IFERROR(IF(LEFT(C1935,1)="L",INDEX('Leads Pipeline'!$F$5:$F$1004,MATCH(C1935,'Leads Pipeline'!$A$5:$A$1004,0)),INDEX('Active Clients'!$D$5:$D$504,MATCH(C1935,'Active Clients'!$A$5:$A$504,0)))&amp;"","ID not found"))</f>
        <v/>
      </c>
      <c r="E1935" s="51" t="str">
        <f aca="false">IF(C1935="","",IFERROR(IF(LEFT(C1935,1)="L",INDEX('Leads Pipeline'!$D$5:$D$1004,MATCH(C1935,'Leads Pipeline'!$A$5:$A$1004,0)),INDEX('Active Clients'!$B$5:$B$504,MATCH(C1935,'Active Clients'!$A$5:$A$504,0)))&amp;"","ID not found"))</f>
        <v/>
      </c>
      <c r="F1935" s="51" t="str">
        <f aca="false">IF(C1935="","",IFERROR(IF(LEFT(C1935,1)="L",INDEX('Leads Pipeline'!$E$5:$E$1004,MATCH(C1935,'Leads Pipeline'!$A$5:$A$1004,0)),INDEX('Active Clients'!$C$5:$C$504,MATCH(C1935,'Active Clients'!$A$5:$A$504,0)))&amp;"","ID not found"))</f>
        <v/>
      </c>
      <c r="G1935" s="16"/>
      <c r="H1935" s="16"/>
      <c r="I1935" s="16"/>
      <c r="J1935" s="16"/>
      <c r="K1935" s="16"/>
      <c r="L1935" s="18"/>
    </row>
    <row r="1936" customFormat="false" ht="15" hidden="false" customHeight="false" outlineLevel="0" collapsed="false">
      <c r="A1936" s="18"/>
      <c r="B1936" s="16"/>
      <c r="C1936" s="16"/>
      <c r="D1936" s="51" t="str">
        <f aca="false">IF(C1936="","",IFERROR(IF(LEFT(C1936,1)="L",INDEX('Leads Pipeline'!$F$5:$F$1004,MATCH(C1936,'Leads Pipeline'!$A$5:$A$1004,0)),INDEX('Active Clients'!$D$5:$D$504,MATCH(C1936,'Active Clients'!$A$5:$A$504,0)))&amp;"","ID not found"))</f>
        <v/>
      </c>
      <c r="E1936" s="51" t="str">
        <f aca="false">IF(C1936="","",IFERROR(IF(LEFT(C1936,1)="L",INDEX('Leads Pipeline'!$D$5:$D$1004,MATCH(C1936,'Leads Pipeline'!$A$5:$A$1004,0)),INDEX('Active Clients'!$B$5:$B$504,MATCH(C1936,'Active Clients'!$A$5:$A$504,0)))&amp;"","ID not found"))</f>
        <v/>
      </c>
      <c r="F1936" s="51" t="str">
        <f aca="false">IF(C1936="","",IFERROR(IF(LEFT(C1936,1)="L",INDEX('Leads Pipeline'!$E$5:$E$1004,MATCH(C1936,'Leads Pipeline'!$A$5:$A$1004,0)),INDEX('Active Clients'!$C$5:$C$504,MATCH(C1936,'Active Clients'!$A$5:$A$504,0)))&amp;"","ID not found"))</f>
        <v/>
      </c>
      <c r="G1936" s="16"/>
      <c r="H1936" s="16"/>
      <c r="I1936" s="16"/>
      <c r="J1936" s="16"/>
      <c r="K1936" s="16"/>
      <c r="L1936" s="18"/>
    </row>
    <row r="1937" customFormat="false" ht="15" hidden="false" customHeight="false" outlineLevel="0" collapsed="false">
      <c r="A1937" s="18"/>
      <c r="B1937" s="16"/>
      <c r="C1937" s="16"/>
      <c r="D1937" s="51" t="str">
        <f aca="false">IF(C1937="","",IFERROR(IF(LEFT(C1937,1)="L",INDEX('Leads Pipeline'!$F$5:$F$1004,MATCH(C1937,'Leads Pipeline'!$A$5:$A$1004,0)),INDEX('Active Clients'!$D$5:$D$504,MATCH(C1937,'Active Clients'!$A$5:$A$504,0)))&amp;"","ID not found"))</f>
        <v/>
      </c>
      <c r="E1937" s="51" t="str">
        <f aca="false">IF(C1937="","",IFERROR(IF(LEFT(C1937,1)="L",INDEX('Leads Pipeline'!$D$5:$D$1004,MATCH(C1937,'Leads Pipeline'!$A$5:$A$1004,0)),INDEX('Active Clients'!$B$5:$B$504,MATCH(C1937,'Active Clients'!$A$5:$A$504,0)))&amp;"","ID not found"))</f>
        <v/>
      </c>
      <c r="F1937" s="51" t="str">
        <f aca="false">IF(C1937="","",IFERROR(IF(LEFT(C1937,1)="L",INDEX('Leads Pipeline'!$E$5:$E$1004,MATCH(C1937,'Leads Pipeline'!$A$5:$A$1004,0)),INDEX('Active Clients'!$C$5:$C$504,MATCH(C1937,'Active Clients'!$A$5:$A$504,0)))&amp;"","ID not found"))</f>
        <v/>
      </c>
      <c r="G1937" s="16"/>
      <c r="H1937" s="16"/>
      <c r="I1937" s="16"/>
      <c r="J1937" s="16"/>
      <c r="K1937" s="16"/>
      <c r="L1937" s="18"/>
    </row>
    <row r="1938" customFormat="false" ht="15" hidden="false" customHeight="false" outlineLevel="0" collapsed="false">
      <c r="A1938" s="18"/>
      <c r="B1938" s="16"/>
      <c r="C1938" s="16"/>
      <c r="D1938" s="51" t="str">
        <f aca="false">IF(C1938="","",IFERROR(IF(LEFT(C1938,1)="L",INDEX('Leads Pipeline'!$F$5:$F$1004,MATCH(C1938,'Leads Pipeline'!$A$5:$A$1004,0)),INDEX('Active Clients'!$D$5:$D$504,MATCH(C1938,'Active Clients'!$A$5:$A$504,0)))&amp;"","ID not found"))</f>
        <v/>
      </c>
      <c r="E1938" s="51" t="str">
        <f aca="false">IF(C1938="","",IFERROR(IF(LEFT(C1938,1)="L",INDEX('Leads Pipeline'!$D$5:$D$1004,MATCH(C1938,'Leads Pipeline'!$A$5:$A$1004,0)),INDEX('Active Clients'!$B$5:$B$504,MATCH(C1938,'Active Clients'!$A$5:$A$504,0)))&amp;"","ID not found"))</f>
        <v/>
      </c>
      <c r="F1938" s="51" t="str">
        <f aca="false">IF(C1938="","",IFERROR(IF(LEFT(C1938,1)="L",INDEX('Leads Pipeline'!$E$5:$E$1004,MATCH(C1938,'Leads Pipeline'!$A$5:$A$1004,0)),INDEX('Active Clients'!$C$5:$C$504,MATCH(C1938,'Active Clients'!$A$5:$A$504,0)))&amp;"","ID not found"))</f>
        <v/>
      </c>
      <c r="G1938" s="16"/>
      <c r="H1938" s="16"/>
      <c r="I1938" s="16"/>
      <c r="J1938" s="16"/>
      <c r="K1938" s="16"/>
      <c r="L1938" s="18"/>
    </row>
    <row r="1939" customFormat="false" ht="15" hidden="false" customHeight="false" outlineLevel="0" collapsed="false">
      <c r="A1939" s="18"/>
      <c r="B1939" s="16"/>
      <c r="C1939" s="16"/>
      <c r="D1939" s="51" t="str">
        <f aca="false">IF(C1939="","",IFERROR(IF(LEFT(C1939,1)="L",INDEX('Leads Pipeline'!$F$5:$F$1004,MATCH(C1939,'Leads Pipeline'!$A$5:$A$1004,0)),INDEX('Active Clients'!$D$5:$D$504,MATCH(C1939,'Active Clients'!$A$5:$A$504,0)))&amp;"","ID not found"))</f>
        <v/>
      </c>
      <c r="E1939" s="51" t="str">
        <f aca="false">IF(C1939="","",IFERROR(IF(LEFT(C1939,1)="L",INDEX('Leads Pipeline'!$D$5:$D$1004,MATCH(C1939,'Leads Pipeline'!$A$5:$A$1004,0)),INDEX('Active Clients'!$B$5:$B$504,MATCH(C1939,'Active Clients'!$A$5:$A$504,0)))&amp;"","ID not found"))</f>
        <v/>
      </c>
      <c r="F1939" s="51" t="str">
        <f aca="false">IF(C1939="","",IFERROR(IF(LEFT(C1939,1)="L",INDEX('Leads Pipeline'!$E$5:$E$1004,MATCH(C1939,'Leads Pipeline'!$A$5:$A$1004,0)),INDEX('Active Clients'!$C$5:$C$504,MATCH(C1939,'Active Clients'!$A$5:$A$504,0)))&amp;"","ID not found"))</f>
        <v/>
      </c>
      <c r="G1939" s="16"/>
      <c r="H1939" s="16"/>
      <c r="I1939" s="16"/>
      <c r="J1939" s="16"/>
      <c r="K1939" s="16"/>
      <c r="L1939" s="18"/>
    </row>
    <row r="1940" customFormat="false" ht="15" hidden="false" customHeight="false" outlineLevel="0" collapsed="false">
      <c r="A1940" s="18"/>
      <c r="B1940" s="16"/>
      <c r="C1940" s="16"/>
      <c r="D1940" s="51" t="str">
        <f aca="false">IF(C1940="","",IFERROR(IF(LEFT(C1940,1)="L",INDEX('Leads Pipeline'!$F$5:$F$1004,MATCH(C1940,'Leads Pipeline'!$A$5:$A$1004,0)),INDEX('Active Clients'!$D$5:$D$504,MATCH(C1940,'Active Clients'!$A$5:$A$504,0)))&amp;"","ID not found"))</f>
        <v/>
      </c>
      <c r="E1940" s="51" t="str">
        <f aca="false">IF(C1940="","",IFERROR(IF(LEFT(C1940,1)="L",INDEX('Leads Pipeline'!$D$5:$D$1004,MATCH(C1940,'Leads Pipeline'!$A$5:$A$1004,0)),INDEX('Active Clients'!$B$5:$B$504,MATCH(C1940,'Active Clients'!$A$5:$A$504,0)))&amp;"","ID not found"))</f>
        <v/>
      </c>
      <c r="F1940" s="51" t="str">
        <f aca="false">IF(C1940="","",IFERROR(IF(LEFT(C1940,1)="L",INDEX('Leads Pipeline'!$E$5:$E$1004,MATCH(C1940,'Leads Pipeline'!$A$5:$A$1004,0)),INDEX('Active Clients'!$C$5:$C$504,MATCH(C1940,'Active Clients'!$A$5:$A$504,0)))&amp;"","ID not found"))</f>
        <v/>
      </c>
      <c r="G1940" s="16"/>
      <c r="H1940" s="16"/>
      <c r="I1940" s="16"/>
      <c r="J1940" s="16"/>
      <c r="K1940" s="16"/>
      <c r="L1940" s="18"/>
    </row>
    <row r="1941" customFormat="false" ht="15" hidden="false" customHeight="false" outlineLevel="0" collapsed="false">
      <c r="A1941" s="18"/>
      <c r="B1941" s="16"/>
      <c r="C1941" s="16"/>
      <c r="D1941" s="51" t="str">
        <f aca="false">IF(C1941="","",IFERROR(IF(LEFT(C1941,1)="L",INDEX('Leads Pipeline'!$F$5:$F$1004,MATCH(C1941,'Leads Pipeline'!$A$5:$A$1004,0)),INDEX('Active Clients'!$D$5:$D$504,MATCH(C1941,'Active Clients'!$A$5:$A$504,0)))&amp;"","ID not found"))</f>
        <v/>
      </c>
      <c r="E1941" s="51" t="str">
        <f aca="false">IF(C1941="","",IFERROR(IF(LEFT(C1941,1)="L",INDEX('Leads Pipeline'!$D$5:$D$1004,MATCH(C1941,'Leads Pipeline'!$A$5:$A$1004,0)),INDEX('Active Clients'!$B$5:$B$504,MATCH(C1941,'Active Clients'!$A$5:$A$504,0)))&amp;"","ID not found"))</f>
        <v/>
      </c>
      <c r="F1941" s="51" t="str">
        <f aca="false">IF(C1941="","",IFERROR(IF(LEFT(C1941,1)="L",INDEX('Leads Pipeline'!$E$5:$E$1004,MATCH(C1941,'Leads Pipeline'!$A$5:$A$1004,0)),INDEX('Active Clients'!$C$5:$C$504,MATCH(C1941,'Active Clients'!$A$5:$A$504,0)))&amp;"","ID not found"))</f>
        <v/>
      </c>
      <c r="G1941" s="16"/>
      <c r="H1941" s="16"/>
      <c r="I1941" s="16"/>
      <c r="J1941" s="16"/>
      <c r="K1941" s="16"/>
      <c r="L1941" s="18"/>
    </row>
    <row r="1942" customFormat="false" ht="15" hidden="false" customHeight="false" outlineLevel="0" collapsed="false">
      <c r="A1942" s="18"/>
      <c r="B1942" s="16"/>
      <c r="C1942" s="16"/>
      <c r="D1942" s="51" t="str">
        <f aca="false">IF(C1942="","",IFERROR(IF(LEFT(C1942,1)="L",INDEX('Leads Pipeline'!$F$5:$F$1004,MATCH(C1942,'Leads Pipeline'!$A$5:$A$1004,0)),INDEX('Active Clients'!$D$5:$D$504,MATCH(C1942,'Active Clients'!$A$5:$A$504,0)))&amp;"","ID not found"))</f>
        <v/>
      </c>
      <c r="E1942" s="51" t="str">
        <f aca="false">IF(C1942="","",IFERROR(IF(LEFT(C1942,1)="L",INDEX('Leads Pipeline'!$D$5:$D$1004,MATCH(C1942,'Leads Pipeline'!$A$5:$A$1004,0)),INDEX('Active Clients'!$B$5:$B$504,MATCH(C1942,'Active Clients'!$A$5:$A$504,0)))&amp;"","ID not found"))</f>
        <v/>
      </c>
      <c r="F1942" s="51" t="str">
        <f aca="false">IF(C1942="","",IFERROR(IF(LEFT(C1942,1)="L",INDEX('Leads Pipeline'!$E$5:$E$1004,MATCH(C1942,'Leads Pipeline'!$A$5:$A$1004,0)),INDEX('Active Clients'!$C$5:$C$504,MATCH(C1942,'Active Clients'!$A$5:$A$504,0)))&amp;"","ID not found"))</f>
        <v/>
      </c>
      <c r="G1942" s="16"/>
      <c r="H1942" s="16"/>
      <c r="I1942" s="16"/>
      <c r="J1942" s="16"/>
      <c r="K1942" s="16"/>
      <c r="L1942" s="18"/>
    </row>
    <row r="1943" customFormat="false" ht="15" hidden="false" customHeight="false" outlineLevel="0" collapsed="false">
      <c r="A1943" s="18"/>
      <c r="B1943" s="16"/>
      <c r="C1943" s="16"/>
      <c r="D1943" s="51" t="str">
        <f aca="false">IF(C1943="","",IFERROR(IF(LEFT(C1943,1)="L",INDEX('Leads Pipeline'!$F$5:$F$1004,MATCH(C1943,'Leads Pipeline'!$A$5:$A$1004,0)),INDEX('Active Clients'!$D$5:$D$504,MATCH(C1943,'Active Clients'!$A$5:$A$504,0)))&amp;"","ID not found"))</f>
        <v/>
      </c>
      <c r="E1943" s="51" t="str">
        <f aca="false">IF(C1943="","",IFERROR(IF(LEFT(C1943,1)="L",INDEX('Leads Pipeline'!$D$5:$D$1004,MATCH(C1943,'Leads Pipeline'!$A$5:$A$1004,0)),INDEX('Active Clients'!$B$5:$B$504,MATCH(C1943,'Active Clients'!$A$5:$A$504,0)))&amp;"","ID not found"))</f>
        <v/>
      </c>
      <c r="F1943" s="51" t="str">
        <f aca="false">IF(C1943="","",IFERROR(IF(LEFT(C1943,1)="L",INDEX('Leads Pipeline'!$E$5:$E$1004,MATCH(C1943,'Leads Pipeline'!$A$5:$A$1004,0)),INDEX('Active Clients'!$C$5:$C$504,MATCH(C1943,'Active Clients'!$A$5:$A$504,0)))&amp;"","ID not found"))</f>
        <v/>
      </c>
      <c r="G1943" s="16"/>
      <c r="H1943" s="16"/>
      <c r="I1943" s="16"/>
      <c r="J1943" s="16"/>
      <c r="K1943" s="16"/>
      <c r="L1943" s="18"/>
    </row>
    <row r="1944" customFormat="false" ht="15" hidden="false" customHeight="false" outlineLevel="0" collapsed="false">
      <c r="A1944" s="18"/>
      <c r="B1944" s="16"/>
      <c r="C1944" s="16"/>
      <c r="D1944" s="51" t="str">
        <f aca="false">IF(C1944="","",IFERROR(IF(LEFT(C1944,1)="L",INDEX('Leads Pipeline'!$F$5:$F$1004,MATCH(C1944,'Leads Pipeline'!$A$5:$A$1004,0)),INDEX('Active Clients'!$D$5:$D$504,MATCH(C1944,'Active Clients'!$A$5:$A$504,0)))&amp;"","ID not found"))</f>
        <v/>
      </c>
      <c r="E1944" s="51" t="str">
        <f aca="false">IF(C1944="","",IFERROR(IF(LEFT(C1944,1)="L",INDEX('Leads Pipeline'!$D$5:$D$1004,MATCH(C1944,'Leads Pipeline'!$A$5:$A$1004,0)),INDEX('Active Clients'!$B$5:$B$504,MATCH(C1944,'Active Clients'!$A$5:$A$504,0)))&amp;"","ID not found"))</f>
        <v/>
      </c>
      <c r="F1944" s="51" t="str">
        <f aca="false">IF(C1944="","",IFERROR(IF(LEFT(C1944,1)="L",INDEX('Leads Pipeline'!$E$5:$E$1004,MATCH(C1944,'Leads Pipeline'!$A$5:$A$1004,0)),INDEX('Active Clients'!$C$5:$C$504,MATCH(C1944,'Active Clients'!$A$5:$A$504,0)))&amp;"","ID not found"))</f>
        <v/>
      </c>
      <c r="G1944" s="16"/>
      <c r="H1944" s="16"/>
      <c r="I1944" s="16"/>
      <c r="J1944" s="16"/>
      <c r="K1944" s="16"/>
      <c r="L1944" s="18"/>
    </row>
    <row r="1945" customFormat="false" ht="15" hidden="false" customHeight="false" outlineLevel="0" collapsed="false">
      <c r="A1945" s="18"/>
      <c r="B1945" s="16"/>
      <c r="C1945" s="16"/>
      <c r="D1945" s="51" t="str">
        <f aca="false">IF(C1945="","",IFERROR(IF(LEFT(C1945,1)="L",INDEX('Leads Pipeline'!$F$5:$F$1004,MATCH(C1945,'Leads Pipeline'!$A$5:$A$1004,0)),INDEX('Active Clients'!$D$5:$D$504,MATCH(C1945,'Active Clients'!$A$5:$A$504,0)))&amp;"","ID not found"))</f>
        <v/>
      </c>
      <c r="E1945" s="51" t="str">
        <f aca="false">IF(C1945="","",IFERROR(IF(LEFT(C1945,1)="L",INDEX('Leads Pipeline'!$D$5:$D$1004,MATCH(C1945,'Leads Pipeline'!$A$5:$A$1004,0)),INDEX('Active Clients'!$B$5:$B$504,MATCH(C1945,'Active Clients'!$A$5:$A$504,0)))&amp;"","ID not found"))</f>
        <v/>
      </c>
      <c r="F1945" s="51" t="str">
        <f aca="false">IF(C1945="","",IFERROR(IF(LEFT(C1945,1)="L",INDEX('Leads Pipeline'!$E$5:$E$1004,MATCH(C1945,'Leads Pipeline'!$A$5:$A$1004,0)),INDEX('Active Clients'!$C$5:$C$504,MATCH(C1945,'Active Clients'!$A$5:$A$504,0)))&amp;"","ID not found"))</f>
        <v/>
      </c>
      <c r="G1945" s="16"/>
      <c r="H1945" s="16"/>
      <c r="I1945" s="16"/>
      <c r="J1945" s="16"/>
      <c r="K1945" s="16"/>
      <c r="L1945" s="18"/>
    </row>
    <row r="1946" customFormat="false" ht="15" hidden="false" customHeight="false" outlineLevel="0" collapsed="false">
      <c r="A1946" s="18"/>
      <c r="B1946" s="16"/>
      <c r="C1946" s="16"/>
      <c r="D1946" s="51" t="str">
        <f aca="false">IF(C1946="","",IFERROR(IF(LEFT(C1946,1)="L",INDEX('Leads Pipeline'!$F$5:$F$1004,MATCH(C1946,'Leads Pipeline'!$A$5:$A$1004,0)),INDEX('Active Clients'!$D$5:$D$504,MATCH(C1946,'Active Clients'!$A$5:$A$504,0)))&amp;"","ID not found"))</f>
        <v/>
      </c>
      <c r="E1946" s="51" t="str">
        <f aca="false">IF(C1946="","",IFERROR(IF(LEFT(C1946,1)="L",INDEX('Leads Pipeline'!$D$5:$D$1004,MATCH(C1946,'Leads Pipeline'!$A$5:$A$1004,0)),INDEX('Active Clients'!$B$5:$B$504,MATCH(C1946,'Active Clients'!$A$5:$A$504,0)))&amp;"","ID not found"))</f>
        <v/>
      </c>
      <c r="F1946" s="51" t="str">
        <f aca="false">IF(C1946="","",IFERROR(IF(LEFT(C1946,1)="L",INDEX('Leads Pipeline'!$E$5:$E$1004,MATCH(C1946,'Leads Pipeline'!$A$5:$A$1004,0)),INDEX('Active Clients'!$C$5:$C$504,MATCH(C1946,'Active Clients'!$A$5:$A$504,0)))&amp;"","ID not found"))</f>
        <v/>
      </c>
      <c r="G1946" s="16"/>
      <c r="H1946" s="16"/>
      <c r="I1946" s="16"/>
      <c r="J1946" s="16"/>
      <c r="K1946" s="16"/>
      <c r="L1946" s="18"/>
    </row>
    <row r="1947" customFormat="false" ht="15" hidden="false" customHeight="false" outlineLevel="0" collapsed="false">
      <c r="A1947" s="18"/>
      <c r="B1947" s="16"/>
      <c r="C1947" s="16"/>
      <c r="D1947" s="51" t="str">
        <f aca="false">IF(C1947="","",IFERROR(IF(LEFT(C1947,1)="L",INDEX('Leads Pipeline'!$F$5:$F$1004,MATCH(C1947,'Leads Pipeline'!$A$5:$A$1004,0)),INDEX('Active Clients'!$D$5:$D$504,MATCH(C1947,'Active Clients'!$A$5:$A$504,0)))&amp;"","ID not found"))</f>
        <v/>
      </c>
      <c r="E1947" s="51" t="str">
        <f aca="false">IF(C1947="","",IFERROR(IF(LEFT(C1947,1)="L",INDEX('Leads Pipeline'!$D$5:$D$1004,MATCH(C1947,'Leads Pipeline'!$A$5:$A$1004,0)),INDEX('Active Clients'!$B$5:$B$504,MATCH(C1947,'Active Clients'!$A$5:$A$504,0)))&amp;"","ID not found"))</f>
        <v/>
      </c>
      <c r="F1947" s="51" t="str">
        <f aca="false">IF(C1947="","",IFERROR(IF(LEFT(C1947,1)="L",INDEX('Leads Pipeline'!$E$5:$E$1004,MATCH(C1947,'Leads Pipeline'!$A$5:$A$1004,0)),INDEX('Active Clients'!$C$5:$C$504,MATCH(C1947,'Active Clients'!$A$5:$A$504,0)))&amp;"","ID not found"))</f>
        <v/>
      </c>
      <c r="G1947" s="16"/>
      <c r="H1947" s="16"/>
      <c r="I1947" s="16"/>
      <c r="J1947" s="16"/>
      <c r="K1947" s="16"/>
      <c r="L1947" s="18"/>
    </row>
    <row r="1948" customFormat="false" ht="15" hidden="false" customHeight="false" outlineLevel="0" collapsed="false">
      <c r="A1948" s="18"/>
      <c r="B1948" s="16"/>
      <c r="C1948" s="16"/>
      <c r="D1948" s="51" t="str">
        <f aca="false">IF(C1948="","",IFERROR(IF(LEFT(C1948,1)="L",INDEX('Leads Pipeline'!$F$5:$F$1004,MATCH(C1948,'Leads Pipeline'!$A$5:$A$1004,0)),INDEX('Active Clients'!$D$5:$D$504,MATCH(C1948,'Active Clients'!$A$5:$A$504,0)))&amp;"","ID not found"))</f>
        <v/>
      </c>
      <c r="E1948" s="51" t="str">
        <f aca="false">IF(C1948="","",IFERROR(IF(LEFT(C1948,1)="L",INDEX('Leads Pipeline'!$D$5:$D$1004,MATCH(C1948,'Leads Pipeline'!$A$5:$A$1004,0)),INDEX('Active Clients'!$B$5:$B$504,MATCH(C1948,'Active Clients'!$A$5:$A$504,0)))&amp;"","ID not found"))</f>
        <v/>
      </c>
      <c r="F1948" s="51" t="str">
        <f aca="false">IF(C1948="","",IFERROR(IF(LEFT(C1948,1)="L",INDEX('Leads Pipeline'!$E$5:$E$1004,MATCH(C1948,'Leads Pipeline'!$A$5:$A$1004,0)),INDEX('Active Clients'!$C$5:$C$504,MATCH(C1948,'Active Clients'!$A$5:$A$504,0)))&amp;"","ID not found"))</f>
        <v/>
      </c>
      <c r="G1948" s="16"/>
      <c r="H1948" s="16"/>
      <c r="I1948" s="16"/>
      <c r="J1948" s="16"/>
      <c r="K1948" s="16"/>
      <c r="L1948" s="18"/>
    </row>
    <row r="1949" customFormat="false" ht="15" hidden="false" customHeight="false" outlineLevel="0" collapsed="false">
      <c r="A1949" s="18"/>
      <c r="B1949" s="16"/>
      <c r="C1949" s="16"/>
      <c r="D1949" s="51" t="str">
        <f aca="false">IF(C1949="","",IFERROR(IF(LEFT(C1949,1)="L",INDEX('Leads Pipeline'!$F$5:$F$1004,MATCH(C1949,'Leads Pipeline'!$A$5:$A$1004,0)),INDEX('Active Clients'!$D$5:$D$504,MATCH(C1949,'Active Clients'!$A$5:$A$504,0)))&amp;"","ID not found"))</f>
        <v/>
      </c>
      <c r="E1949" s="51" t="str">
        <f aca="false">IF(C1949="","",IFERROR(IF(LEFT(C1949,1)="L",INDEX('Leads Pipeline'!$D$5:$D$1004,MATCH(C1949,'Leads Pipeline'!$A$5:$A$1004,0)),INDEX('Active Clients'!$B$5:$B$504,MATCH(C1949,'Active Clients'!$A$5:$A$504,0)))&amp;"","ID not found"))</f>
        <v/>
      </c>
      <c r="F1949" s="51" t="str">
        <f aca="false">IF(C1949="","",IFERROR(IF(LEFT(C1949,1)="L",INDEX('Leads Pipeline'!$E$5:$E$1004,MATCH(C1949,'Leads Pipeline'!$A$5:$A$1004,0)),INDEX('Active Clients'!$C$5:$C$504,MATCH(C1949,'Active Clients'!$A$5:$A$504,0)))&amp;"","ID not found"))</f>
        <v/>
      </c>
      <c r="G1949" s="16"/>
      <c r="H1949" s="16"/>
      <c r="I1949" s="16"/>
      <c r="J1949" s="16"/>
      <c r="K1949" s="16"/>
      <c r="L1949" s="18"/>
    </row>
    <row r="1950" customFormat="false" ht="15" hidden="false" customHeight="false" outlineLevel="0" collapsed="false">
      <c r="A1950" s="18"/>
      <c r="B1950" s="16"/>
      <c r="C1950" s="16"/>
      <c r="D1950" s="51" t="str">
        <f aca="false">IF(C1950="","",IFERROR(IF(LEFT(C1950,1)="L",INDEX('Leads Pipeline'!$F$5:$F$1004,MATCH(C1950,'Leads Pipeline'!$A$5:$A$1004,0)),INDEX('Active Clients'!$D$5:$D$504,MATCH(C1950,'Active Clients'!$A$5:$A$504,0)))&amp;"","ID not found"))</f>
        <v/>
      </c>
      <c r="E1950" s="51" t="str">
        <f aca="false">IF(C1950="","",IFERROR(IF(LEFT(C1950,1)="L",INDEX('Leads Pipeline'!$D$5:$D$1004,MATCH(C1950,'Leads Pipeline'!$A$5:$A$1004,0)),INDEX('Active Clients'!$B$5:$B$504,MATCH(C1950,'Active Clients'!$A$5:$A$504,0)))&amp;"","ID not found"))</f>
        <v/>
      </c>
      <c r="F1950" s="51" t="str">
        <f aca="false">IF(C1950="","",IFERROR(IF(LEFT(C1950,1)="L",INDEX('Leads Pipeline'!$E$5:$E$1004,MATCH(C1950,'Leads Pipeline'!$A$5:$A$1004,0)),INDEX('Active Clients'!$C$5:$C$504,MATCH(C1950,'Active Clients'!$A$5:$A$504,0)))&amp;"","ID not found"))</f>
        <v/>
      </c>
      <c r="G1950" s="16"/>
      <c r="H1950" s="16"/>
      <c r="I1950" s="16"/>
      <c r="J1950" s="16"/>
      <c r="K1950" s="16"/>
      <c r="L1950" s="18"/>
    </row>
    <row r="1951" customFormat="false" ht="15" hidden="false" customHeight="false" outlineLevel="0" collapsed="false">
      <c r="A1951" s="18"/>
      <c r="B1951" s="16"/>
      <c r="C1951" s="16"/>
      <c r="D1951" s="51" t="str">
        <f aca="false">IF(C1951="","",IFERROR(IF(LEFT(C1951,1)="L",INDEX('Leads Pipeline'!$F$5:$F$1004,MATCH(C1951,'Leads Pipeline'!$A$5:$A$1004,0)),INDEX('Active Clients'!$D$5:$D$504,MATCH(C1951,'Active Clients'!$A$5:$A$504,0)))&amp;"","ID not found"))</f>
        <v/>
      </c>
      <c r="E1951" s="51" t="str">
        <f aca="false">IF(C1951="","",IFERROR(IF(LEFT(C1951,1)="L",INDEX('Leads Pipeline'!$D$5:$D$1004,MATCH(C1951,'Leads Pipeline'!$A$5:$A$1004,0)),INDEX('Active Clients'!$B$5:$B$504,MATCH(C1951,'Active Clients'!$A$5:$A$504,0)))&amp;"","ID not found"))</f>
        <v/>
      </c>
      <c r="F1951" s="51" t="str">
        <f aca="false">IF(C1951="","",IFERROR(IF(LEFT(C1951,1)="L",INDEX('Leads Pipeline'!$E$5:$E$1004,MATCH(C1951,'Leads Pipeline'!$A$5:$A$1004,0)),INDEX('Active Clients'!$C$5:$C$504,MATCH(C1951,'Active Clients'!$A$5:$A$504,0)))&amp;"","ID not found"))</f>
        <v/>
      </c>
      <c r="G1951" s="16"/>
      <c r="H1951" s="16"/>
      <c r="I1951" s="16"/>
      <c r="J1951" s="16"/>
      <c r="K1951" s="16"/>
      <c r="L1951" s="18"/>
    </row>
    <row r="1952" customFormat="false" ht="15" hidden="false" customHeight="false" outlineLevel="0" collapsed="false">
      <c r="A1952" s="18"/>
      <c r="B1952" s="16"/>
      <c r="C1952" s="16"/>
      <c r="D1952" s="51" t="str">
        <f aca="false">IF(C1952="","",IFERROR(IF(LEFT(C1952,1)="L",INDEX('Leads Pipeline'!$F$5:$F$1004,MATCH(C1952,'Leads Pipeline'!$A$5:$A$1004,0)),INDEX('Active Clients'!$D$5:$D$504,MATCH(C1952,'Active Clients'!$A$5:$A$504,0)))&amp;"","ID not found"))</f>
        <v/>
      </c>
      <c r="E1952" s="51" t="str">
        <f aca="false">IF(C1952="","",IFERROR(IF(LEFT(C1952,1)="L",INDEX('Leads Pipeline'!$D$5:$D$1004,MATCH(C1952,'Leads Pipeline'!$A$5:$A$1004,0)),INDEX('Active Clients'!$B$5:$B$504,MATCH(C1952,'Active Clients'!$A$5:$A$504,0)))&amp;"","ID not found"))</f>
        <v/>
      </c>
      <c r="F1952" s="51" t="str">
        <f aca="false">IF(C1952="","",IFERROR(IF(LEFT(C1952,1)="L",INDEX('Leads Pipeline'!$E$5:$E$1004,MATCH(C1952,'Leads Pipeline'!$A$5:$A$1004,0)),INDEX('Active Clients'!$C$5:$C$504,MATCH(C1952,'Active Clients'!$A$5:$A$504,0)))&amp;"","ID not found"))</f>
        <v/>
      </c>
      <c r="G1952" s="16"/>
      <c r="H1952" s="16"/>
      <c r="I1952" s="16"/>
      <c r="J1952" s="16"/>
      <c r="K1952" s="16"/>
      <c r="L1952" s="18"/>
    </row>
    <row r="1953" customFormat="false" ht="15" hidden="false" customHeight="false" outlineLevel="0" collapsed="false">
      <c r="A1953" s="18"/>
      <c r="B1953" s="16"/>
      <c r="C1953" s="16"/>
      <c r="D1953" s="51" t="str">
        <f aca="false">IF(C1953="","",IFERROR(IF(LEFT(C1953,1)="L",INDEX('Leads Pipeline'!$F$5:$F$1004,MATCH(C1953,'Leads Pipeline'!$A$5:$A$1004,0)),INDEX('Active Clients'!$D$5:$D$504,MATCH(C1953,'Active Clients'!$A$5:$A$504,0)))&amp;"","ID not found"))</f>
        <v/>
      </c>
      <c r="E1953" s="51" t="str">
        <f aca="false">IF(C1953="","",IFERROR(IF(LEFT(C1953,1)="L",INDEX('Leads Pipeline'!$D$5:$D$1004,MATCH(C1953,'Leads Pipeline'!$A$5:$A$1004,0)),INDEX('Active Clients'!$B$5:$B$504,MATCH(C1953,'Active Clients'!$A$5:$A$504,0)))&amp;"","ID not found"))</f>
        <v/>
      </c>
      <c r="F1953" s="51" t="str">
        <f aca="false">IF(C1953="","",IFERROR(IF(LEFT(C1953,1)="L",INDEX('Leads Pipeline'!$E$5:$E$1004,MATCH(C1953,'Leads Pipeline'!$A$5:$A$1004,0)),INDEX('Active Clients'!$C$5:$C$504,MATCH(C1953,'Active Clients'!$A$5:$A$504,0)))&amp;"","ID not found"))</f>
        <v/>
      </c>
      <c r="G1953" s="16"/>
      <c r="H1953" s="16"/>
      <c r="I1953" s="16"/>
      <c r="J1953" s="16"/>
      <c r="K1953" s="16"/>
      <c r="L1953" s="18"/>
    </row>
    <row r="1954" customFormat="false" ht="15" hidden="false" customHeight="false" outlineLevel="0" collapsed="false">
      <c r="A1954" s="18"/>
      <c r="B1954" s="16"/>
      <c r="C1954" s="16"/>
      <c r="D1954" s="51" t="str">
        <f aca="false">IF(C1954="","",IFERROR(IF(LEFT(C1954,1)="L",INDEX('Leads Pipeline'!$F$5:$F$1004,MATCH(C1954,'Leads Pipeline'!$A$5:$A$1004,0)),INDEX('Active Clients'!$D$5:$D$504,MATCH(C1954,'Active Clients'!$A$5:$A$504,0)))&amp;"","ID not found"))</f>
        <v/>
      </c>
      <c r="E1954" s="51" t="str">
        <f aca="false">IF(C1954="","",IFERROR(IF(LEFT(C1954,1)="L",INDEX('Leads Pipeline'!$D$5:$D$1004,MATCH(C1954,'Leads Pipeline'!$A$5:$A$1004,0)),INDEX('Active Clients'!$B$5:$B$504,MATCH(C1954,'Active Clients'!$A$5:$A$504,0)))&amp;"","ID not found"))</f>
        <v/>
      </c>
      <c r="F1954" s="51" t="str">
        <f aca="false">IF(C1954="","",IFERROR(IF(LEFT(C1954,1)="L",INDEX('Leads Pipeline'!$E$5:$E$1004,MATCH(C1954,'Leads Pipeline'!$A$5:$A$1004,0)),INDEX('Active Clients'!$C$5:$C$504,MATCH(C1954,'Active Clients'!$A$5:$A$504,0)))&amp;"","ID not found"))</f>
        <v/>
      </c>
      <c r="G1954" s="16"/>
      <c r="H1954" s="16"/>
      <c r="I1954" s="16"/>
      <c r="J1954" s="16"/>
      <c r="K1954" s="16"/>
      <c r="L1954" s="18"/>
    </row>
    <row r="1955" customFormat="false" ht="15" hidden="false" customHeight="false" outlineLevel="0" collapsed="false">
      <c r="A1955" s="18"/>
      <c r="B1955" s="16"/>
      <c r="C1955" s="16"/>
      <c r="D1955" s="51" t="str">
        <f aca="false">IF(C1955="","",IFERROR(IF(LEFT(C1955,1)="L",INDEX('Leads Pipeline'!$F$5:$F$1004,MATCH(C1955,'Leads Pipeline'!$A$5:$A$1004,0)),INDEX('Active Clients'!$D$5:$D$504,MATCH(C1955,'Active Clients'!$A$5:$A$504,0)))&amp;"","ID not found"))</f>
        <v/>
      </c>
      <c r="E1955" s="51" t="str">
        <f aca="false">IF(C1955="","",IFERROR(IF(LEFT(C1955,1)="L",INDEX('Leads Pipeline'!$D$5:$D$1004,MATCH(C1955,'Leads Pipeline'!$A$5:$A$1004,0)),INDEX('Active Clients'!$B$5:$B$504,MATCH(C1955,'Active Clients'!$A$5:$A$504,0)))&amp;"","ID not found"))</f>
        <v/>
      </c>
      <c r="F1955" s="51" t="str">
        <f aca="false">IF(C1955="","",IFERROR(IF(LEFT(C1955,1)="L",INDEX('Leads Pipeline'!$E$5:$E$1004,MATCH(C1955,'Leads Pipeline'!$A$5:$A$1004,0)),INDEX('Active Clients'!$C$5:$C$504,MATCH(C1955,'Active Clients'!$A$5:$A$504,0)))&amp;"","ID not found"))</f>
        <v/>
      </c>
      <c r="G1955" s="16"/>
      <c r="H1955" s="16"/>
      <c r="I1955" s="16"/>
      <c r="J1955" s="16"/>
      <c r="K1955" s="16"/>
      <c r="L1955" s="18"/>
    </row>
    <row r="1956" customFormat="false" ht="15" hidden="false" customHeight="false" outlineLevel="0" collapsed="false">
      <c r="A1956" s="18"/>
      <c r="B1956" s="16"/>
      <c r="C1956" s="16"/>
      <c r="D1956" s="51" t="str">
        <f aca="false">IF(C1956="","",IFERROR(IF(LEFT(C1956,1)="L",INDEX('Leads Pipeline'!$F$5:$F$1004,MATCH(C1956,'Leads Pipeline'!$A$5:$A$1004,0)),INDEX('Active Clients'!$D$5:$D$504,MATCH(C1956,'Active Clients'!$A$5:$A$504,0)))&amp;"","ID not found"))</f>
        <v/>
      </c>
      <c r="E1956" s="51" t="str">
        <f aca="false">IF(C1956="","",IFERROR(IF(LEFT(C1956,1)="L",INDEX('Leads Pipeline'!$D$5:$D$1004,MATCH(C1956,'Leads Pipeline'!$A$5:$A$1004,0)),INDEX('Active Clients'!$B$5:$B$504,MATCH(C1956,'Active Clients'!$A$5:$A$504,0)))&amp;"","ID not found"))</f>
        <v/>
      </c>
      <c r="F1956" s="51" t="str">
        <f aca="false">IF(C1956="","",IFERROR(IF(LEFT(C1956,1)="L",INDEX('Leads Pipeline'!$E$5:$E$1004,MATCH(C1956,'Leads Pipeline'!$A$5:$A$1004,0)),INDEX('Active Clients'!$C$5:$C$504,MATCH(C1956,'Active Clients'!$A$5:$A$504,0)))&amp;"","ID not found"))</f>
        <v/>
      </c>
      <c r="G1956" s="16"/>
      <c r="H1956" s="16"/>
      <c r="I1956" s="16"/>
      <c r="J1956" s="16"/>
      <c r="K1956" s="16"/>
      <c r="L1956" s="18"/>
    </row>
    <row r="1957" customFormat="false" ht="15" hidden="false" customHeight="false" outlineLevel="0" collapsed="false">
      <c r="A1957" s="18"/>
      <c r="B1957" s="16"/>
      <c r="C1957" s="16"/>
      <c r="D1957" s="51" t="str">
        <f aca="false">IF(C1957="","",IFERROR(IF(LEFT(C1957,1)="L",INDEX('Leads Pipeline'!$F$5:$F$1004,MATCH(C1957,'Leads Pipeline'!$A$5:$A$1004,0)),INDEX('Active Clients'!$D$5:$D$504,MATCH(C1957,'Active Clients'!$A$5:$A$504,0)))&amp;"","ID not found"))</f>
        <v/>
      </c>
      <c r="E1957" s="51" t="str">
        <f aca="false">IF(C1957="","",IFERROR(IF(LEFT(C1957,1)="L",INDEX('Leads Pipeline'!$D$5:$D$1004,MATCH(C1957,'Leads Pipeline'!$A$5:$A$1004,0)),INDEX('Active Clients'!$B$5:$B$504,MATCH(C1957,'Active Clients'!$A$5:$A$504,0)))&amp;"","ID not found"))</f>
        <v/>
      </c>
      <c r="F1957" s="51" t="str">
        <f aca="false">IF(C1957="","",IFERROR(IF(LEFT(C1957,1)="L",INDEX('Leads Pipeline'!$E$5:$E$1004,MATCH(C1957,'Leads Pipeline'!$A$5:$A$1004,0)),INDEX('Active Clients'!$C$5:$C$504,MATCH(C1957,'Active Clients'!$A$5:$A$504,0)))&amp;"","ID not found"))</f>
        <v/>
      </c>
      <c r="G1957" s="16"/>
      <c r="H1957" s="16"/>
      <c r="I1957" s="16"/>
      <c r="J1957" s="16"/>
      <c r="K1957" s="16"/>
      <c r="L1957" s="18"/>
    </row>
    <row r="1958" customFormat="false" ht="15" hidden="false" customHeight="false" outlineLevel="0" collapsed="false">
      <c r="A1958" s="18"/>
      <c r="B1958" s="16"/>
      <c r="C1958" s="16"/>
      <c r="D1958" s="51" t="str">
        <f aca="false">IF(C1958="","",IFERROR(IF(LEFT(C1958,1)="L",INDEX('Leads Pipeline'!$F$5:$F$1004,MATCH(C1958,'Leads Pipeline'!$A$5:$A$1004,0)),INDEX('Active Clients'!$D$5:$D$504,MATCH(C1958,'Active Clients'!$A$5:$A$504,0)))&amp;"","ID not found"))</f>
        <v/>
      </c>
      <c r="E1958" s="51" t="str">
        <f aca="false">IF(C1958="","",IFERROR(IF(LEFT(C1958,1)="L",INDEX('Leads Pipeline'!$D$5:$D$1004,MATCH(C1958,'Leads Pipeline'!$A$5:$A$1004,0)),INDEX('Active Clients'!$B$5:$B$504,MATCH(C1958,'Active Clients'!$A$5:$A$504,0)))&amp;"","ID not found"))</f>
        <v/>
      </c>
      <c r="F1958" s="51" t="str">
        <f aca="false">IF(C1958="","",IFERROR(IF(LEFT(C1958,1)="L",INDEX('Leads Pipeline'!$E$5:$E$1004,MATCH(C1958,'Leads Pipeline'!$A$5:$A$1004,0)),INDEX('Active Clients'!$C$5:$C$504,MATCH(C1958,'Active Clients'!$A$5:$A$504,0)))&amp;"","ID not found"))</f>
        <v/>
      </c>
      <c r="G1958" s="16"/>
      <c r="H1958" s="16"/>
      <c r="I1958" s="16"/>
      <c r="J1958" s="16"/>
      <c r="K1958" s="16"/>
      <c r="L1958" s="18"/>
    </row>
    <row r="1959" customFormat="false" ht="15" hidden="false" customHeight="false" outlineLevel="0" collapsed="false">
      <c r="A1959" s="18"/>
      <c r="B1959" s="16"/>
      <c r="C1959" s="16"/>
      <c r="D1959" s="51" t="str">
        <f aca="false">IF(C1959="","",IFERROR(IF(LEFT(C1959,1)="L",INDEX('Leads Pipeline'!$F$5:$F$1004,MATCH(C1959,'Leads Pipeline'!$A$5:$A$1004,0)),INDEX('Active Clients'!$D$5:$D$504,MATCH(C1959,'Active Clients'!$A$5:$A$504,0)))&amp;"","ID not found"))</f>
        <v/>
      </c>
      <c r="E1959" s="51" t="str">
        <f aca="false">IF(C1959="","",IFERROR(IF(LEFT(C1959,1)="L",INDEX('Leads Pipeline'!$D$5:$D$1004,MATCH(C1959,'Leads Pipeline'!$A$5:$A$1004,0)),INDEX('Active Clients'!$B$5:$B$504,MATCH(C1959,'Active Clients'!$A$5:$A$504,0)))&amp;"","ID not found"))</f>
        <v/>
      </c>
      <c r="F1959" s="51" t="str">
        <f aca="false">IF(C1959="","",IFERROR(IF(LEFT(C1959,1)="L",INDEX('Leads Pipeline'!$E$5:$E$1004,MATCH(C1959,'Leads Pipeline'!$A$5:$A$1004,0)),INDEX('Active Clients'!$C$5:$C$504,MATCH(C1959,'Active Clients'!$A$5:$A$504,0)))&amp;"","ID not found"))</f>
        <v/>
      </c>
      <c r="G1959" s="16"/>
      <c r="H1959" s="16"/>
      <c r="I1959" s="16"/>
      <c r="J1959" s="16"/>
      <c r="K1959" s="16"/>
      <c r="L1959" s="18"/>
    </row>
    <row r="1960" customFormat="false" ht="15" hidden="false" customHeight="false" outlineLevel="0" collapsed="false">
      <c r="A1960" s="18"/>
      <c r="B1960" s="16"/>
      <c r="C1960" s="16"/>
      <c r="D1960" s="51" t="str">
        <f aca="false">IF(C1960="","",IFERROR(IF(LEFT(C1960,1)="L",INDEX('Leads Pipeline'!$F$5:$F$1004,MATCH(C1960,'Leads Pipeline'!$A$5:$A$1004,0)),INDEX('Active Clients'!$D$5:$D$504,MATCH(C1960,'Active Clients'!$A$5:$A$504,0)))&amp;"","ID not found"))</f>
        <v/>
      </c>
      <c r="E1960" s="51" t="str">
        <f aca="false">IF(C1960="","",IFERROR(IF(LEFT(C1960,1)="L",INDEX('Leads Pipeline'!$D$5:$D$1004,MATCH(C1960,'Leads Pipeline'!$A$5:$A$1004,0)),INDEX('Active Clients'!$B$5:$B$504,MATCH(C1960,'Active Clients'!$A$5:$A$504,0)))&amp;"","ID not found"))</f>
        <v/>
      </c>
      <c r="F1960" s="51" t="str">
        <f aca="false">IF(C1960="","",IFERROR(IF(LEFT(C1960,1)="L",INDEX('Leads Pipeline'!$E$5:$E$1004,MATCH(C1960,'Leads Pipeline'!$A$5:$A$1004,0)),INDEX('Active Clients'!$C$5:$C$504,MATCH(C1960,'Active Clients'!$A$5:$A$504,0)))&amp;"","ID not found"))</f>
        <v/>
      </c>
      <c r="G1960" s="16"/>
      <c r="H1960" s="16"/>
      <c r="I1960" s="16"/>
      <c r="J1960" s="16"/>
      <c r="K1960" s="16"/>
      <c r="L1960" s="18"/>
    </row>
    <row r="1961" customFormat="false" ht="15" hidden="false" customHeight="false" outlineLevel="0" collapsed="false">
      <c r="A1961" s="18"/>
      <c r="B1961" s="16"/>
      <c r="C1961" s="16"/>
      <c r="D1961" s="51" t="str">
        <f aca="false">IF(C1961="","",IFERROR(IF(LEFT(C1961,1)="L",INDEX('Leads Pipeline'!$F$5:$F$1004,MATCH(C1961,'Leads Pipeline'!$A$5:$A$1004,0)),INDEX('Active Clients'!$D$5:$D$504,MATCH(C1961,'Active Clients'!$A$5:$A$504,0)))&amp;"","ID not found"))</f>
        <v/>
      </c>
      <c r="E1961" s="51" t="str">
        <f aca="false">IF(C1961="","",IFERROR(IF(LEFT(C1961,1)="L",INDEX('Leads Pipeline'!$D$5:$D$1004,MATCH(C1961,'Leads Pipeline'!$A$5:$A$1004,0)),INDEX('Active Clients'!$B$5:$B$504,MATCH(C1961,'Active Clients'!$A$5:$A$504,0)))&amp;"","ID not found"))</f>
        <v/>
      </c>
      <c r="F1961" s="51" t="str">
        <f aca="false">IF(C1961="","",IFERROR(IF(LEFT(C1961,1)="L",INDEX('Leads Pipeline'!$E$5:$E$1004,MATCH(C1961,'Leads Pipeline'!$A$5:$A$1004,0)),INDEX('Active Clients'!$C$5:$C$504,MATCH(C1961,'Active Clients'!$A$5:$A$504,0)))&amp;"","ID not found"))</f>
        <v/>
      </c>
      <c r="G1961" s="16"/>
      <c r="H1961" s="16"/>
      <c r="I1961" s="16"/>
      <c r="J1961" s="16"/>
      <c r="K1961" s="16"/>
      <c r="L1961" s="18"/>
    </row>
    <row r="1962" customFormat="false" ht="15" hidden="false" customHeight="false" outlineLevel="0" collapsed="false">
      <c r="A1962" s="18"/>
      <c r="B1962" s="16"/>
      <c r="C1962" s="16"/>
      <c r="D1962" s="51" t="str">
        <f aca="false">IF(C1962="","",IFERROR(IF(LEFT(C1962,1)="L",INDEX('Leads Pipeline'!$F$5:$F$1004,MATCH(C1962,'Leads Pipeline'!$A$5:$A$1004,0)),INDEX('Active Clients'!$D$5:$D$504,MATCH(C1962,'Active Clients'!$A$5:$A$504,0)))&amp;"","ID not found"))</f>
        <v/>
      </c>
      <c r="E1962" s="51" t="str">
        <f aca="false">IF(C1962="","",IFERROR(IF(LEFT(C1962,1)="L",INDEX('Leads Pipeline'!$D$5:$D$1004,MATCH(C1962,'Leads Pipeline'!$A$5:$A$1004,0)),INDEX('Active Clients'!$B$5:$B$504,MATCH(C1962,'Active Clients'!$A$5:$A$504,0)))&amp;"","ID not found"))</f>
        <v/>
      </c>
      <c r="F1962" s="51" t="str">
        <f aca="false">IF(C1962="","",IFERROR(IF(LEFT(C1962,1)="L",INDEX('Leads Pipeline'!$E$5:$E$1004,MATCH(C1962,'Leads Pipeline'!$A$5:$A$1004,0)),INDEX('Active Clients'!$C$5:$C$504,MATCH(C1962,'Active Clients'!$A$5:$A$504,0)))&amp;"","ID not found"))</f>
        <v/>
      </c>
      <c r="G1962" s="16"/>
      <c r="H1962" s="16"/>
      <c r="I1962" s="16"/>
      <c r="J1962" s="16"/>
      <c r="K1962" s="16"/>
      <c r="L1962" s="18"/>
    </row>
    <row r="1963" customFormat="false" ht="15" hidden="false" customHeight="false" outlineLevel="0" collapsed="false">
      <c r="A1963" s="18"/>
      <c r="B1963" s="16"/>
      <c r="C1963" s="16"/>
      <c r="D1963" s="51" t="str">
        <f aca="false">IF(C1963="","",IFERROR(IF(LEFT(C1963,1)="L",INDEX('Leads Pipeline'!$F$5:$F$1004,MATCH(C1963,'Leads Pipeline'!$A$5:$A$1004,0)),INDEX('Active Clients'!$D$5:$D$504,MATCH(C1963,'Active Clients'!$A$5:$A$504,0)))&amp;"","ID not found"))</f>
        <v/>
      </c>
      <c r="E1963" s="51" t="str">
        <f aca="false">IF(C1963="","",IFERROR(IF(LEFT(C1963,1)="L",INDEX('Leads Pipeline'!$D$5:$D$1004,MATCH(C1963,'Leads Pipeline'!$A$5:$A$1004,0)),INDEX('Active Clients'!$B$5:$B$504,MATCH(C1963,'Active Clients'!$A$5:$A$504,0)))&amp;"","ID not found"))</f>
        <v/>
      </c>
      <c r="F1963" s="51" t="str">
        <f aca="false">IF(C1963="","",IFERROR(IF(LEFT(C1963,1)="L",INDEX('Leads Pipeline'!$E$5:$E$1004,MATCH(C1963,'Leads Pipeline'!$A$5:$A$1004,0)),INDEX('Active Clients'!$C$5:$C$504,MATCH(C1963,'Active Clients'!$A$5:$A$504,0)))&amp;"","ID not found"))</f>
        <v/>
      </c>
      <c r="G1963" s="16"/>
      <c r="H1963" s="16"/>
      <c r="I1963" s="16"/>
      <c r="J1963" s="16"/>
      <c r="K1963" s="16"/>
      <c r="L1963" s="18"/>
    </row>
    <row r="1964" customFormat="false" ht="15" hidden="false" customHeight="false" outlineLevel="0" collapsed="false">
      <c r="A1964" s="18"/>
      <c r="B1964" s="16"/>
      <c r="C1964" s="16"/>
      <c r="D1964" s="51" t="str">
        <f aca="false">IF(C1964="","",IFERROR(IF(LEFT(C1964,1)="L",INDEX('Leads Pipeline'!$F$5:$F$1004,MATCH(C1964,'Leads Pipeline'!$A$5:$A$1004,0)),INDEX('Active Clients'!$D$5:$D$504,MATCH(C1964,'Active Clients'!$A$5:$A$504,0)))&amp;"","ID not found"))</f>
        <v/>
      </c>
      <c r="E1964" s="51" t="str">
        <f aca="false">IF(C1964="","",IFERROR(IF(LEFT(C1964,1)="L",INDEX('Leads Pipeline'!$D$5:$D$1004,MATCH(C1964,'Leads Pipeline'!$A$5:$A$1004,0)),INDEX('Active Clients'!$B$5:$B$504,MATCH(C1964,'Active Clients'!$A$5:$A$504,0)))&amp;"","ID not found"))</f>
        <v/>
      </c>
      <c r="F1964" s="51" t="str">
        <f aca="false">IF(C1964="","",IFERROR(IF(LEFT(C1964,1)="L",INDEX('Leads Pipeline'!$E$5:$E$1004,MATCH(C1964,'Leads Pipeline'!$A$5:$A$1004,0)),INDEX('Active Clients'!$C$5:$C$504,MATCH(C1964,'Active Clients'!$A$5:$A$504,0)))&amp;"","ID not found"))</f>
        <v/>
      </c>
      <c r="G1964" s="16"/>
      <c r="H1964" s="16"/>
      <c r="I1964" s="16"/>
      <c r="J1964" s="16"/>
      <c r="K1964" s="16"/>
      <c r="L1964" s="18"/>
    </row>
    <row r="1965" customFormat="false" ht="15" hidden="false" customHeight="false" outlineLevel="0" collapsed="false">
      <c r="A1965" s="18"/>
      <c r="B1965" s="16"/>
      <c r="C1965" s="16"/>
      <c r="D1965" s="51" t="str">
        <f aca="false">IF(C1965="","",IFERROR(IF(LEFT(C1965,1)="L",INDEX('Leads Pipeline'!$F$5:$F$1004,MATCH(C1965,'Leads Pipeline'!$A$5:$A$1004,0)),INDEX('Active Clients'!$D$5:$D$504,MATCH(C1965,'Active Clients'!$A$5:$A$504,0)))&amp;"","ID not found"))</f>
        <v/>
      </c>
      <c r="E1965" s="51" t="str">
        <f aca="false">IF(C1965="","",IFERROR(IF(LEFT(C1965,1)="L",INDEX('Leads Pipeline'!$D$5:$D$1004,MATCH(C1965,'Leads Pipeline'!$A$5:$A$1004,0)),INDEX('Active Clients'!$B$5:$B$504,MATCH(C1965,'Active Clients'!$A$5:$A$504,0)))&amp;"","ID not found"))</f>
        <v/>
      </c>
      <c r="F1965" s="51" t="str">
        <f aca="false">IF(C1965="","",IFERROR(IF(LEFT(C1965,1)="L",INDEX('Leads Pipeline'!$E$5:$E$1004,MATCH(C1965,'Leads Pipeline'!$A$5:$A$1004,0)),INDEX('Active Clients'!$C$5:$C$504,MATCH(C1965,'Active Clients'!$A$5:$A$504,0)))&amp;"","ID not found"))</f>
        <v/>
      </c>
      <c r="G1965" s="16"/>
      <c r="H1965" s="16"/>
      <c r="I1965" s="16"/>
      <c r="J1965" s="16"/>
      <c r="K1965" s="16"/>
      <c r="L1965" s="18"/>
    </row>
    <row r="1966" customFormat="false" ht="15" hidden="false" customHeight="false" outlineLevel="0" collapsed="false">
      <c r="A1966" s="18"/>
      <c r="B1966" s="16"/>
      <c r="C1966" s="16"/>
      <c r="D1966" s="51" t="str">
        <f aca="false">IF(C1966="","",IFERROR(IF(LEFT(C1966,1)="L",INDEX('Leads Pipeline'!$F$5:$F$1004,MATCH(C1966,'Leads Pipeline'!$A$5:$A$1004,0)),INDEX('Active Clients'!$D$5:$D$504,MATCH(C1966,'Active Clients'!$A$5:$A$504,0)))&amp;"","ID not found"))</f>
        <v/>
      </c>
      <c r="E1966" s="51" t="str">
        <f aca="false">IF(C1966="","",IFERROR(IF(LEFT(C1966,1)="L",INDEX('Leads Pipeline'!$D$5:$D$1004,MATCH(C1966,'Leads Pipeline'!$A$5:$A$1004,0)),INDEX('Active Clients'!$B$5:$B$504,MATCH(C1966,'Active Clients'!$A$5:$A$504,0)))&amp;"","ID not found"))</f>
        <v/>
      </c>
      <c r="F1966" s="51" t="str">
        <f aca="false">IF(C1966="","",IFERROR(IF(LEFT(C1966,1)="L",INDEX('Leads Pipeline'!$E$5:$E$1004,MATCH(C1966,'Leads Pipeline'!$A$5:$A$1004,0)),INDEX('Active Clients'!$C$5:$C$504,MATCH(C1966,'Active Clients'!$A$5:$A$504,0)))&amp;"","ID not found"))</f>
        <v/>
      </c>
      <c r="G1966" s="16"/>
      <c r="H1966" s="16"/>
      <c r="I1966" s="16"/>
      <c r="J1966" s="16"/>
      <c r="K1966" s="16"/>
      <c r="L1966" s="18"/>
    </row>
    <row r="1967" customFormat="false" ht="15" hidden="false" customHeight="false" outlineLevel="0" collapsed="false">
      <c r="A1967" s="18"/>
      <c r="B1967" s="16"/>
      <c r="C1967" s="16"/>
      <c r="D1967" s="51" t="str">
        <f aca="false">IF(C1967="","",IFERROR(IF(LEFT(C1967,1)="L",INDEX('Leads Pipeline'!$F$5:$F$1004,MATCH(C1967,'Leads Pipeline'!$A$5:$A$1004,0)),INDEX('Active Clients'!$D$5:$D$504,MATCH(C1967,'Active Clients'!$A$5:$A$504,0)))&amp;"","ID not found"))</f>
        <v/>
      </c>
      <c r="E1967" s="51" t="str">
        <f aca="false">IF(C1967="","",IFERROR(IF(LEFT(C1967,1)="L",INDEX('Leads Pipeline'!$D$5:$D$1004,MATCH(C1967,'Leads Pipeline'!$A$5:$A$1004,0)),INDEX('Active Clients'!$B$5:$B$504,MATCH(C1967,'Active Clients'!$A$5:$A$504,0)))&amp;"","ID not found"))</f>
        <v/>
      </c>
      <c r="F1967" s="51" t="str">
        <f aca="false">IF(C1967="","",IFERROR(IF(LEFT(C1967,1)="L",INDEX('Leads Pipeline'!$E$5:$E$1004,MATCH(C1967,'Leads Pipeline'!$A$5:$A$1004,0)),INDEX('Active Clients'!$C$5:$C$504,MATCH(C1967,'Active Clients'!$A$5:$A$504,0)))&amp;"","ID not found"))</f>
        <v/>
      </c>
      <c r="G1967" s="16"/>
      <c r="H1967" s="16"/>
      <c r="I1967" s="16"/>
      <c r="J1967" s="16"/>
      <c r="K1967" s="16"/>
      <c r="L1967" s="18"/>
    </row>
    <row r="1968" customFormat="false" ht="15" hidden="false" customHeight="false" outlineLevel="0" collapsed="false">
      <c r="A1968" s="18"/>
      <c r="B1968" s="16"/>
      <c r="C1968" s="16"/>
      <c r="D1968" s="51" t="str">
        <f aca="false">IF(C1968="","",IFERROR(IF(LEFT(C1968,1)="L",INDEX('Leads Pipeline'!$F$5:$F$1004,MATCH(C1968,'Leads Pipeline'!$A$5:$A$1004,0)),INDEX('Active Clients'!$D$5:$D$504,MATCH(C1968,'Active Clients'!$A$5:$A$504,0)))&amp;"","ID not found"))</f>
        <v/>
      </c>
      <c r="E1968" s="51" t="str">
        <f aca="false">IF(C1968="","",IFERROR(IF(LEFT(C1968,1)="L",INDEX('Leads Pipeline'!$D$5:$D$1004,MATCH(C1968,'Leads Pipeline'!$A$5:$A$1004,0)),INDEX('Active Clients'!$B$5:$B$504,MATCH(C1968,'Active Clients'!$A$5:$A$504,0)))&amp;"","ID not found"))</f>
        <v/>
      </c>
      <c r="F1968" s="51" t="str">
        <f aca="false">IF(C1968="","",IFERROR(IF(LEFT(C1968,1)="L",INDEX('Leads Pipeline'!$E$5:$E$1004,MATCH(C1968,'Leads Pipeline'!$A$5:$A$1004,0)),INDEX('Active Clients'!$C$5:$C$504,MATCH(C1968,'Active Clients'!$A$5:$A$504,0)))&amp;"","ID not found"))</f>
        <v/>
      </c>
      <c r="G1968" s="16"/>
      <c r="H1968" s="16"/>
      <c r="I1968" s="16"/>
      <c r="J1968" s="16"/>
      <c r="K1968" s="16"/>
      <c r="L1968" s="18"/>
    </row>
    <row r="1969" customFormat="false" ht="15" hidden="false" customHeight="false" outlineLevel="0" collapsed="false">
      <c r="A1969" s="18"/>
      <c r="B1969" s="16"/>
      <c r="C1969" s="16"/>
      <c r="D1969" s="51" t="str">
        <f aca="false">IF(C1969="","",IFERROR(IF(LEFT(C1969,1)="L",INDEX('Leads Pipeline'!$F$5:$F$1004,MATCH(C1969,'Leads Pipeline'!$A$5:$A$1004,0)),INDEX('Active Clients'!$D$5:$D$504,MATCH(C1969,'Active Clients'!$A$5:$A$504,0)))&amp;"","ID not found"))</f>
        <v/>
      </c>
      <c r="E1969" s="51" t="str">
        <f aca="false">IF(C1969="","",IFERROR(IF(LEFT(C1969,1)="L",INDEX('Leads Pipeline'!$D$5:$D$1004,MATCH(C1969,'Leads Pipeline'!$A$5:$A$1004,0)),INDEX('Active Clients'!$B$5:$B$504,MATCH(C1969,'Active Clients'!$A$5:$A$504,0)))&amp;"","ID not found"))</f>
        <v/>
      </c>
      <c r="F1969" s="51" t="str">
        <f aca="false">IF(C1969="","",IFERROR(IF(LEFT(C1969,1)="L",INDEX('Leads Pipeline'!$E$5:$E$1004,MATCH(C1969,'Leads Pipeline'!$A$5:$A$1004,0)),INDEX('Active Clients'!$C$5:$C$504,MATCH(C1969,'Active Clients'!$A$5:$A$504,0)))&amp;"","ID not found"))</f>
        <v/>
      </c>
      <c r="G1969" s="16"/>
      <c r="H1969" s="16"/>
      <c r="I1969" s="16"/>
      <c r="J1969" s="16"/>
      <c r="K1969" s="16"/>
      <c r="L1969" s="18"/>
    </row>
    <row r="1970" customFormat="false" ht="15" hidden="false" customHeight="false" outlineLevel="0" collapsed="false">
      <c r="A1970" s="18"/>
      <c r="B1970" s="16"/>
      <c r="C1970" s="16"/>
      <c r="D1970" s="51" t="str">
        <f aca="false">IF(C1970="","",IFERROR(IF(LEFT(C1970,1)="L",INDEX('Leads Pipeline'!$F$5:$F$1004,MATCH(C1970,'Leads Pipeline'!$A$5:$A$1004,0)),INDEX('Active Clients'!$D$5:$D$504,MATCH(C1970,'Active Clients'!$A$5:$A$504,0)))&amp;"","ID not found"))</f>
        <v/>
      </c>
      <c r="E1970" s="51" t="str">
        <f aca="false">IF(C1970="","",IFERROR(IF(LEFT(C1970,1)="L",INDEX('Leads Pipeline'!$D$5:$D$1004,MATCH(C1970,'Leads Pipeline'!$A$5:$A$1004,0)),INDEX('Active Clients'!$B$5:$B$504,MATCH(C1970,'Active Clients'!$A$5:$A$504,0)))&amp;"","ID not found"))</f>
        <v/>
      </c>
      <c r="F1970" s="51" t="str">
        <f aca="false">IF(C1970="","",IFERROR(IF(LEFT(C1970,1)="L",INDEX('Leads Pipeline'!$E$5:$E$1004,MATCH(C1970,'Leads Pipeline'!$A$5:$A$1004,0)),INDEX('Active Clients'!$C$5:$C$504,MATCH(C1970,'Active Clients'!$A$5:$A$504,0)))&amp;"","ID not found"))</f>
        <v/>
      </c>
      <c r="G1970" s="16"/>
      <c r="H1970" s="16"/>
      <c r="I1970" s="16"/>
      <c r="J1970" s="16"/>
      <c r="K1970" s="16"/>
      <c r="L1970" s="18"/>
    </row>
    <row r="1971" customFormat="false" ht="15" hidden="false" customHeight="false" outlineLevel="0" collapsed="false">
      <c r="A1971" s="18"/>
      <c r="B1971" s="16"/>
      <c r="C1971" s="16"/>
      <c r="D1971" s="51" t="str">
        <f aca="false">IF(C1971="","",IFERROR(IF(LEFT(C1971,1)="L",INDEX('Leads Pipeline'!$F$5:$F$1004,MATCH(C1971,'Leads Pipeline'!$A$5:$A$1004,0)),INDEX('Active Clients'!$D$5:$D$504,MATCH(C1971,'Active Clients'!$A$5:$A$504,0)))&amp;"","ID not found"))</f>
        <v/>
      </c>
      <c r="E1971" s="51" t="str">
        <f aca="false">IF(C1971="","",IFERROR(IF(LEFT(C1971,1)="L",INDEX('Leads Pipeline'!$D$5:$D$1004,MATCH(C1971,'Leads Pipeline'!$A$5:$A$1004,0)),INDEX('Active Clients'!$B$5:$B$504,MATCH(C1971,'Active Clients'!$A$5:$A$504,0)))&amp;"","ID not found"))</f>
        <v/>
      </c>
      <c r="F1971" s="51" t="str">
        <f aca="false">IF(C1971="","",IFERROR(IF(LEFT(C1971,1)="L",INDEX('Leads Pipeline'!$E$5:$E$1004,MATCH(C1971,'Leads Pipeline'!$A$5:$A$1004,0)),INDEX('Active Clients'!$C$5:$C$504,MATCH(C1971,'Active Clients'!$A$5:$A$504,0)))&amp;"","ID not found"))</f>
        <v/>
      </c>
      <c r="G1971" s="16"/>
      <c r="H1971" s="16"/>
      <c r="I1971" s="16"/>
      <c r="J1971" s="16"/>
      <c r="K1971" s="16"/>
      <c r="L1971" s="18"/>
    </row>
    <row r="1972" customFormat="false" ht="15" hidden="false" customHeight="false" outlineLevel="0" collapsed="false">
      <c r="A1972" s="18"/>
      <c r="B1972" s="16"/>
      <c r="C1972" s="16"/>
      <c r="D1972" s="51" t="str">
        <f aca="false">IF(C1972="","",IFERROR(IF(LEFT(C1972,1)="L",INDEX('Leads Pipeline'!$F$5:$F$1004,MATCH(C1972,'Leads Pipeline'!$A$5:$A$1004,0)),INDEX('Active Clients'!$D$5:$D$504,MATCH(C1972,'Active Clients'!$A$5:$A$504,0)))&amp;"","ID not found"))</f>
        <v/>
      </c>
      <c r="E1972" s="51" t="str">
        <f aca="false">IF(C1972="","",IFERROR(IF(LEFT(C1972,1)="L",INDEX('Leads Pipeline'!$D$5:$D$1004,MATCH(C1972,'Leads Pipeline'!$A$5:$A$1004,0)),INDEX('Active Clients'!$B$5:$B$504,MATCH(C1972,'Active Clients'!$A$5:$A$504,0)))&amp;"","ID not found"))</f>
        <v/>
      </c>
      <c r="F1972" s="51" t="str">
        <f aca="false">IF(C1972="","",IFERROR(IF(LEFT(C1972,1)="L",INDEX('Leads Pipeline'!$E$5:$E$1004,MATCH(C1972,'Leads Pipeline'!$A$5:$A$1004,0)),INDEX('Active Clients'!$C$5:$C$504,MATCH(C1972,'Active Clients'!$A$5:$A$504,0)))&amp;"","ID not found"))</f>
        <v/>
      </c>
      <c r="G1972" s="16"/>
      <c r="H1972" s="16"/>
      <c r="I1972" s="16"/>
      <c r="J1972" s="16"/>
      <c r="K1972" s="16"/>
      <c r="L1972" s="18"/>
    </row>
    <row r="1973" customFormat="false" ht="15" hidden="false" customHeight="false" outlineLevel="0" collapsed="false">
      <c r="A1973" s="18"/>
      <c r="B1973" s="16"/>
      <c r="C1973" s="16"/>
      <c r="D1973" s="51" t="str">
        <f aca="false">IF(C1973="","",IFERROR(IF(LEFT(C1973,1)="L",INDEX('Leads Pipeline'!$F$5:$F$1004,MATCH(C1973,'Leads Pipeline'!$A$5:$A$1004,0)),INDEX('Active Clients'!$D$5:$D$504,MATCH(C1973,'Active Clients'!$A$5:$A$504,0)))&amp;"","ID not found"))</f>
        <v/>
      </c>
      <c r="E1973" s="51" t="str">
        <f aca="false">IF(C1973="","",IFERROR(IF(LEFT(C1973,1)="L",INDEX('Leads Pipeline'!$D$5:$D$1004,MATCH(C1973,'Leads Pipeline'!$A$5:$A$1004,0)),INDEX('Active Clients'!$B$5:$B$504,MATCH(C1973,'Active Clients'!$A$5:$A$504,0)))&amp;"","ID not found"))</f>
        <v/>
      </c>
      <c r="F1973" s="51" t="str">
        <f aca="false">IF(C1973="","",IFERROR(IF(LEFT(C1973,1)="L",INDEX('Leads Pipeline'!$E$5:$E$1004,MATCH(C1973,'Leads Pipeline'!$A$5:$A$1004,0)),INDEX('Active Clients'!$C$5:$C$504,MATCH(C1973,'Active Clients'!$A$5:$A$504,0)))&amp;"","ID not found"))</f>
        <v/>
      </c>
      <c r="G1973" s="16"/>
      <c r="H1973" s="16"/>
      <c r="I1973" s="16"/>
      <c r="J1973" s="16"/>
      <c r="K1973" s="16"/>
      <c r="L1973" s="18"/>
    </row>
    <row r="1974" customFormat="false" ht="15" hidden="false" customHeight="false" outlineLevel="0" collapsed="false">
      <c r="A1974" s="18"/>
      <c r="B1974" s="16"/>
      <c r="C1974" s="16"/>
      <c r="D1974" s="51" t="str">
        <f aca="false">IF(C1974="","",IFERROR(IF(LEFT(C1974,1)="L",INDEX('Leads Pipeline'!$F$5:$F$1004,MATCH(C1974,'Leads Pipeline'!$A$5:$A$1004,0)),INDEX('Active Clients'!$D$5:$D$504,MATCH(C1974,'Active Clients'!$A$5:$A$504,0)))&amp;"","ID not found"))</f>
        <v/>
      </c>
      <c r="E1974" s="51" t="str">
        <f aca="false">IF(C1974="","",IFERROR(IF(LEFT(C1974,1)="L",INDEX('Leads Pipeline'!$D$5:$D$1004,MATCH(C1974,'Leads Pipeline'!$A$5:$A$1004,0)),INDEX('Active Clients'!$B$5:$B$504,MATCH(C1974,'Active Clients'!$A$5:$A$504,0)))&amp;"","ID not found"))</f>
        <v/>
      </c>
      <c r="F1974" s="51" t="str">
        <f aca="false">IF(C1974="","",IFERROR(IF(LEFT(C1974,1)="L",INDEX('Leads Pipeline'!$E$5:$E$1004,MATCH(C1974,'Leads Pipeline'!$A$5:$A$1004,0)),INDEX('Active Clients'!$C$5:$C$504,MATCH(C1974,'Active Clients'!$A$5:$A$504,0)))&amp;"","ID not found"))</f>
        <v/>
      </c>
      <c r="G1974" s="16"/>
      <c r="H1974" s="16"/>
      <c r="I1974" s="16"/>
      <c r="J1974" s="16"/>
      <c r="K1974" s="16"/>
      <c r="L1974" s="18"/>
    </row>
    <row r="1975" customFormat="false" ht="15" hidden="false" customHeight="false" outlineLevel="0" collapsed="false">
      <c r="A1975" s="18"/>
      <c r="B1975" s="16"/>
      <c r="C1975" s="16"/>
      <c r="D1975" s="51" t="str">
        <f aca="false">IF(C1975="","",IFERROR(IF(LEFT(C1975,1)="L",INDEX('Leads Pipeline'!$F$5:$F$1004,MATCH(C1975,'Leads Pipeline'!$A$5:$A$1004,0)),INDEX('Active Clients'!$D$5:$D$504,MATCH(C1975,'Active Clients'!$A$5:$A$504,0)))&amp;"","ID not found"))</f>
        <v/>
      </c>
      <c r="E1975" s="51" t="str">
        <f aca="false">IF(C1975="","",IFERROR(IF(LEFT(C1975,1)="L",INDEX('Leads Pipeline'!$D$5:$D$1004,MATCH(C1975,'Leads Pipeline'!$A$5:$A$1004,0)),INDEX('Active Clients'!$B$5:$B$504,MATCH(C1975,'Active Clients'!$A$5:$A$504,0)))&amp;"","ID not found"))</f>
        <v/>
      </c>
      <c r="F1975" s="51" t="str">
        <f aca="false">IF(C1975="","",IFERROR(IF(LEFT(C1975,1)="L",INDEX('Leads Pipeline'!$E$5:$E$1004,MATCH(C1975,'Leads Pipeline'!$A$5:$A$1004,0)),INDEX('Active Clients'!$C$5:$C$504,MATCH(C1975,'Active Clients'!$A$5:$A$504,0)))&amp;"","ID not found"))</f>
        <v/>
      </c>
      <c r="G1975" s="16"/>
      <c r="H1975" s="16"/>
      <c r="I1975" s="16"/>
      <c r="J1975" s="16"/>
      <c r="K1975" s="16"/>
      <c r="L1975" s="18"/>
    </row>
    <row r="1976" customFormat="false" ht="15" hidden="false" customHeight="false" outlineLevel="0" collapsed="false">
      <c r="A1976" s="18"/>
      <c r="B1976" s="16"/>
      <c r="C1976" s="16"/>
      <c r="D1976" s="51" t="str">
        <f aca="false">IF(C1976="","",IFERROR(IF(LEFT(C1976,1)="L",INDEX('Leads Pipeline'!$F$5:$F$1004,MATCH(C1976,'Leads Pipeline'!$A$5:$A$1004,0)),INDEX('Active Clients'!$D$5:$D$504,MATCH(C1976,'Active Clients'!$A$5:$A$504,0)))&amp;"","ID not found"))</f>
        <v/>
      </c>
      <c r="E1976" s="51" t="str">
        <f aca="false">IF(C1976="","",IFERROR(IF(LEFT(C1976,1)="L",INDEX('Leads Pipeline'!$D$5:$D$1004,MATCH(C1976,'Leads Pipeline'!$A$5:$A$1004,0)),INDEX('Active Clients'!$B$5:$B$504,MATCH(C1976,'Active Clients'!$A$5:$A$504,0)))&amp;"","ID not found"))</f>
        <v/>
      </c>
      <c r="F1976" s="51" t="str">
        <f aca="false">IF(C1976="","",IFERROR(IF(LEFT(C1976,1)="L",INDEX('Leads Pipeline'!$E$5:$E$1004,MATCH(C1976,'Leads Pipeline'!$A$5:$A$1004,0)),INDEX('Active Clients'!$C$5:$C$504,MATCH(C1976,'Active Clients'!$A$5:$A$504,0)))&amp;"","ID not found"))</f>
        <v/>
      </c>
      <c r="G1976" s="16"/>
      <c r="H1976" s="16"/>
      <c r="I1976" s="16"/>
      <c r="J1976" s="16"/>
      <c r="K1976" s="16"/>
      <c r="L1976" s="18"/>
    </row>
    <row r="1977" customFormat="false" ht="15" hidden="false" customHeight="false" outlineLevel="0" collapsed="false">
      <c r="A1977" s="18"/>
      <c r="B1977" s="16"/>
      <c r="C1977" s="16"/>
      <c r="D1977" s="51" t="str">
        <f aca="false">IF(C1977="","",IFERROR(IF(LEFT(C1977,1)="L",INDEX('Leads Pipeline'!$F$5:$F$1004,MATCH(C1977,'Leads Pipeline'!$A$5:$A$1004,0)),INDEX('Active Clients'!$D$5:$D$504,MATCH(C1977,'Active Clients'!$A$5:$A$504,0)))&amp;"","ID not found"))</f>
        <v/>
      </c>
      <c r="E1977" s="51" t="str">
        <f aca="false">IF(C1977="","",IFERROR(IF(LEFT(C1977,1)="L",INDEX('Leads Pipeline'!$D$5:$D$1004,MATCH(C1977,'Leads Pipeline'!$A$5:$A$1004,0)),INDEX('Active Clients'!$B$5:$B$504,MATCH(C1977,'Active Clients'!$A$5:$A$504,0)))&amp;"","ID not found"))</f>
        <v/>
      </c>
      <c r="F1977" s="51" t="str">
        <f aca="false">IF(C1977="","",IFERROR(IF(LEFT(C1977,1)="L",INDEX('Leads Pipeline'!$E$5:$E$1004,MATCH(C1977,'Leads Pipeline'!$A$5:$A$1004,0)),INDEX('Active Clients'!$C$5:$C$504,MATCH(C1977,'Active Clients'!$A$5:$A$504,0)))&amp;"","ID not found"))</f>
        <v/>
      </c>
      <c r="G1977" s="16"/>
      <c r="H1977" s="16"/>
      <c r="I1977" s="16"/>
      <c r="J1977" s="16"/>
      <c r="K1977" s="16"/>
      <c r="L1977" s="18"/>
    </row>
    <row r="1978" customFormat="false" ht="15" hidden="false" customHeight="false" outlineLevel="0" collapsed="false">
      <c r="A1978" s="18"/>
      <c r="B1978" s="16"/>
      <c r="C1978" s="16"/>
      <c r="D1978" s="51" t="str">
        <f aca="false">IF(C1978="","",IFERROR(IF(LEFT(C1978,1)="L",INDEX('Leads Pipeline'!$F$5:$F$1004,MATCH(C1978,'Leads Pipeline'!$A$5:$A$1004,0)),INDEX('Active Clients'!$D$5:$D$504,MATCH(C1978,'Active Clients'!$A$5:$A$504,0)))&amp;"","ID not found"))</f>
        <v/>
      </c>
      <c r="E1978" s="51" t="str">
        <f aca="false">IF(C1978="","",IFERROR(IF(LEFT(C1978,1)="L",INDEX('Leads Pipeline'!$D$5:$D$1004,MATCH(C1978,'Leads Pipeline'!$A$5:$A$1004,0)),INDEX('Active Clients'!$B$5:$B$504,MATCH(C1978,'Active Clients'!$A$5:$A$504,0)))&amp;"","ID not found"))</f>
        <v/>
      </c>
      <c r="F1978" s="51" t="str">
        <f aca="false">IF(C1978="","",IFERROR(IF(LEFT(C1978,1)="L",INDEX('Leads Pipeline'!$E$5:$E$1004,MATCH(C1978,'Leads Pipeline'!$A$5:$A$1004,0)),INDEX('Active Clients'!$C$5:$C$504,MATCH(C1978,'Active Clients'!$A$5:$A$504,0)))&amp;"","ID not found"))</f>
        <v/>
      </c>
      <c r="G1978" s="16"/>
      <c r="H1978" s="16"/>
      <c r="I1978" s="16"/>
      <c r="J1978" s="16"/>
      <c r="K1978" s="16"/>
      <c r="L1978" s="18"/>
    </row>
    <row r="1979" customFormat="false" ht="15" hidden="false" customHeight="false" outlineLevel="0" collapsed="false">
      <c r="A1979" s="18"/>
      <c r="B1979" s="16"/>
      <c r="C1979" s="16"/>
      <c r="D1979" s="51" t="str">
        <f aca="false">IF(C1979="","",IFERROR(IF(LEFT(C1979,1)="L",INDEX('Leads Pipeline'!$F$5:$F$1004,MATCH(C1979,'Leads Pipeline'!$A$5:$A$1004,0)),INDEX('Active Clients'!$D$5:$D$504,MATCH(C1979,'Active Clients'!$A$5:$A$504,0)))&amp;"","ID not found"))</f>
        <v/>
      </c>
      <c r="E1979" s="51" t="str">
        <f aca="false">IF(C1979="","",IFERROR(IF(LEFT(C1979,1)="L",INDEX('Leads Pipeline'!$D$5:$D$1004,MATCH(C1979,'Leads Pipeline'!$A$5:$A$1004,0)),INDEX('Active Clients'!$B$5:$B$504,MATCH(C1979,'Active Clients'!$A$5:$A$504,0)))&amp;"","ID not found"))</f>
        <v/>
      </c>
      <c r="F1979" s="51" t="str">
        <f aca="false">IF(C1979="","",IFERROR(IF(LEFT(C1979,1)="L",INDEX('Leads Pipeline'!$E$5:$E$1004,MATCH(C1979,'Leads Pipeline'!$A$5:$A$1004,0)),INDEX('Active Clients'!$C$5:$C$504,MATCH(C1979,'Active Clients'!$A$5:$A$504,0)))&amp;"","ID not found"))</f>
        <v/>
      </c>
      <c r="G1979" s="16"/>
      <c r="H1979" s="16"/>
      <c r="I1979" s="16"/>
      <c r="J1979" s="16"/>
      <c r="K1979" s="16"/>
      <c r="L1979" s="18"/>
    </row>
    <row r="1980" customFormat="false" ht="15" hidden="false" customHeight="false" outlineLevel="0" collapsed="false">
      <c r="A1980" s="18"/>
      <c r="B1980" s="16"/>
      <c r="C1980" s="16"/>
      <c r="D1980" s="51" t="str">
        <f aca="false">IF(C1980="","",IFERROR(IF(LEFT(C1980,1)="L",INDEX('Leads Pipeline'!$F$5:$F$1004,MATCH(C1980,'Leads Pipeline'!$A$5:$A$1004,0)),INDEX('Active Clients'!$D$5:$D$504,MATCH(C1980,'Active Clients'!$A$5:$A$504,0)))&amp;"","ID not found"))</f>
        <v/>
      </c>
      <c r="E1980" s="51" t="str">
        <f aca="false">IF(C1980="","",IFERROR(IF(LEFT(C1980,1)="L",INDEX('Leads Pipeline'!$D$5:$D$1004,MATCH(C1980,'Leads Pipeline'!$A$5:$A$1004,0)),INDEX('Active Clients'!$B$5:$B$504,MATCH(C1980,'Active Clients'!$A$5:$A$504,0)))&amp;"","ID not found"))</f>
        <v/>
      </c>
      <c r="F1980" s="51" t="str">
        <f aca="false">IF(C1980="","",IFERROR(IF(LEFT(C1980,1)="L",INDEX('Leads Pipeline'!$E$5:$E$1004,MATCH(C1980,'Leads Pipeline'!$A$5:$A$1004,0)),INDEX('Active Clients'!$C$5:$C$504,MATCH(C1980,'Active Clients'!$A$5:$A$504,0)))&amp;"","ID not found"))</f>
        <v/>
      </c>
      <c r="G1980" s="16"/>
      <c r="H1980" s="16"/>
      <c r="I1980" s="16"/>
      <c r="J1980" s="16"/>
      <c r="K1980" s="16"/>
      <c r="L1980" s="18"/>
    </row>
    <row r="1981" customFormat="false" ht="15" hidden="false" customHeight="false" outlineLevel="0" collapsed="false">
      <c r="A1981" s="18"/>
      <c r="B1981" s="16"/>
      <c r="C1981" s="16"/>
      <c r="D1981" s="51" t="str">
        <f aca="false">IF(C1981="","",IFERROR(IF(LEFT(C1981,1)="L",INDEX('Leads Pipeline'!$F$5:$F$1004,MATCH(C1981,'Leads Pipeline'!$A$5:$A$1004,0)),INDEX('Active Clients'!$D$5:$D$504,MATCH(C1981,'Active Clients'!$A$5:$A$504,0)))&amp;"","ID not found"))</f>
        <v/>
      </c>
      <c r="E1981" s="51" t="str">
        <f aca="false">IF(C1981="","",IFERROR(IF(LEFT(C1981,1)="L",INDEX('Leads Pipeline'!$D$5:$D$1004,MATCH(C1981,'Leads Pipeline'!$A$5:$A$1004,0)),INDEX('Active Clients'!$B$5:$B$504,MATCH(C1981,'Active Clients'!$A$5:$A$504,0)))&amp;"","ID not found"))</f>
        <v/>
      </c>
      <c r="F1981" s="51" t="str">
        <f aca="false">IF(C1981="","",IFERROR(IF(LEFT(C1981,1)="L",INDEX('Leads Pipeline'!$E$5:$E$1004,MATCH(C1981,'Leads Pipeline'!$A$5:$A$1004,0)),INDEX('Active Clients'!$C$5:$C$504,MATCH(C1981,'Active Clients'!$A$5:$A$504,0)))&amp;"","ID not found"))</f>
        <v/>
      </c>
      <c r="G1981" s="16"/>
      <c r="H1981" s="16"/>
      <c r="I1981" s="16"/>
      <c r="J1981" s="16"/>
      <c r="K1981" s="16"/>
      <c r="L1981" s="18"/>
    </row>
    <row r="1982" customFormat="false" ht="15" hidden="false" customHeight="false" outlineLevel="0" collapsed="false">
      <c r="A1982" s="18"/>
      <c r="B1982" s="16"/>
      <c r="C1982" s="16"/>
      <c r="D1982" s="51" t="str">
        <f aca="false">IF(C1982="","",IFERROR(IF(LEFT(C1982,1)="L",INDEX('Leads Pipeline'!$F$5:$F$1004,MATCH(C1982,'Leads Pipeline'!$A$5:$A$1004,0)),INDEX('Active Clients'!$D$5:$D$504,MATCH(C1982,'Active Clients'!$A$5:$A$504,0)))&amp;"","ID not found"))</f>
        <v/>
      </c>
      <c r="E1982" s="51" t="str">
        <f aca="false">IF(C1982="","",IFERROR(IF(LEFT(C1982,1)="L",INDEX('Leads Pipeline'!$D$5:$D$1004,MATCH(C1982,'Leads Pipeline'!$A$5:$A$1004,0)),INDEX('Active Clients'!$B$5:$B$504,MATCH(C1982,'Active Clients'!$A$5:$A$504,0)))&amp;"","ID not found"))</f>
        <v/>
      </c>
      <c r="F1982" s="51" t="str">
        <f aca="false">IF(C1982="","",IFERROR(IF(LEFT(C1982,1)="L",INDEX('Leads Pipeline'!$E$5:$E$1004,MATCH(C1982,'Leads Pipeline'!$A$5:$A$1004,0)),INDEX('Active Clients'!$C$5:$C$504,MATCH(C1982,'Active Clients'!$A$5:$A$504,0)))&amp;"","ID not found"))</f>
        <v/>
      </c>
      <c r="G1982" s="16"/>
      <c r="H1982" s="16"/>
      <c r="I1982" s="16"/>
      <c r="J1982" s="16"/>
      <c r="K1982" s="16"/>
      <c r="L1982" s="18"/>
    </row>
    <row r="1983" customFormat="false" ht="15" hidden="false" customHeight="false" outlineLevel="0" collapsed="false">
      <c r="A1983" s="18"/>
      <c r="B1983" s="16"/>
      <c r="C1983" s="16"/>
      <c r="D1983" s="51" t="str">
        <f aca="false">IF(C1983="","",IFERROR(IF(LEFT(C1983,1)="L",INDEX('Leads Pipeline'!$F$5:$F$1004,MATCH(C1983,'Leads Pipeline'!$A$5:$A$1004,0)),INDEX('Active Clients'!$D$5:$D$504,MATCH(C1983,'Active Clients'!$A$5:$A$504,0)))&amp;"","ID not found"))</f>
        <v/>
      </c>
      <c r="E1983" s="51" t="str">
        <f aca="false">IF(C1983="","",IFERROR(IF(LEFT(C1983,1)="L",INDEX('Leads Pipeline'!$D$5:$D$1004,MATCH(C1983,'Leads Pipeline'!$A$5:$A$1004,0)),INDEX('Active Clients'!$B$5:$B$504,MATCH(C1983,'Active Clients'!$A$5:$A$504,0)))&amp;"","ID not found"))</f>
        <v/>
      </c>
      <c r="F1983" s="51" t="str">
        <f aca="false">IF(C1983="","",IFERROR(IF(LEFT(C1983,1)="L",INDEX('Leads Pipeline'!$E$5:$E$1004,MATCH(C1983,'Leads Pipeline'!$A$5:$A$1004,0)),INDEX('Active Clients'!$C$5:$C$504,MATCH(C1983,'Active Clients'!$A$5:$A$504,0)))&amp;"","ID not found"))</f>
        <v/>
      </c>
      <c r="G1983" s="16"/>
      <c r="H1983" s="16"/>
      <c r="I1983" s="16"/>
      <c r="J1983" s="16"/>
      <c r="K1983" s="16"/>
      <c r="L1983" s="18"/>
    </row>
    <row r="1984" customFormat="false" ht="15" hidden="false" customHeight="false" outlineLevel="0" collapsed="false">
      <c r="A1984" s="18"/>
      <c r="B1984" s="16"/>
      <c r="C1984" s="16"/>
      <c r="D1984" s="51" t="str">
        <f aca="false">IF(C1984="","",IFERROR(IF(LEFT(C1984,1)="L",INDEX('Leads Pipeline'!$F$5:$F$1004,MATCH(C1984,'Leads Pipeline'!$A$5:$A$1004,0)),INDEX('Active Clients'!$D$5:$D$504,MATCH(C1984,'Active Clients'!$A$5:$A$504,0)))&amp;"","ID not found"))</f>
        <v/>
      </c>
      <c r="E1984" s="51" t="str">
        <f aca="false">IF(C1984="","",IFERROR(IF(LEFT(C1984,1)="L",INDEX('Leads Pipeline'!$D$5:$D$1004,MATCH(C1984,'Leads Pipeline'!$A$5:$A$1004,0)),INDEX('Active Clients'!$B$5:$B$504,MATCH(C1984,'Active Clients'!$A$5:$A$504,0)))&amp;"","ID not found"))</f>
        <v/>
      </c>
      <c r="F1984" s="51" t="str">
        <f aca="false">IF(C1984="","",IFERROR(IF(LEFT(C1984,1)="L",INDEX('Leads Pipeline'!$E$5:$E$1004,MATCH(C1984,'Leads Pipeline'!$A$5:$A$1004,0)),INDEX('Active Clients'!$C$5:$C$504,MATCH(C1984,'Active Clients'!$A$5:$A$504,0)))&amp;"","ID not found"))</f>
        <v/>
      </c>
      <c r="G1984" s="16"/>
      <c r="H1984" s="16"/>
      <c r="I1984" s="16"/>
      <c r="J1984" s="16"/>
      <c r="K1984" s="16"/>
      <c r="L1984" s="18"/>
    </row>
    <row r="1985" customFormat="false" ht="15" hidden="false" customHeight="false" outlineLevel="0" collapsed="false">
      <c r="A1985" s="18"/>
      <c r="B1985" s="16"/>
      <c r="C1985" s="16"/>
      <c r="D1985" s="51" t="str">
        <f aca="false">IF(C1985="","",IFERROR(IF(LEFT(C1985,1)="L",INDEX('Leads Pipeline'!$F$5:$F$1004,MATCH(C1985,'Leads Pipeline'!$A$5:$A$1004,0)),INDEX('Active Clients'!$D$5:$D$504,MATCH(C1985,'Active Clients'!$A$5:$A$504,0)))&amp;"","ID not found"))</f>
        <v/>
      </c>
      <c r="E1985" s="51" t="str">
        <f aca="false">IF(C1985="","",IFERROR(IF(LEFT(C1985,1)="L",INDEX('Leads Pipeline'!$D$5:$D$1004,MATCH(C1985,'Leads Pipeline'!$A$5:$A$1004,0)),INDEX('Active Clients'!$B$5:$B$504,MATCH(C1985,'Active Clients'!$A$5:$A$504,0)))&amp;"","ID not found"))</f>
        <v/>
      </c>
      <c r="F1985" s="51" t="str">
        <f aca="false">IF(C1985="","",IFERROR(IF(LEFT(C1985,1)="L",INDEX('Leads Pipeline'!$E$5:$E$1004,MATCH(C1985,'Leads Pipeline'!$A$5:$A$1004,0)),INDEX('Active Clients'!$C$5:$C$504,MATCH(C1985,'Active Clients'!$A$5:$A$504,0)))&amp;"","ID not found"))</f>
        <v/>
      </c>
      <c r="G1985" s="16"/>
      <c r="H1985" s="16"/>
      <c r="I1985" s="16"/>
      <c r="J1985" s="16"/>
      <c r="K1985" s="16"/>
      <c r="L1985" s="18"/>
    </row>
    <row r="1986" customFormat="false" ht="15" hidden="false" customHeight="false" outlineLevel="0" collapsed="false">
      <c r="A1986" s="18"/>
      <c r="B1986" s="16"/>
      <c r="C1986" s="16"/>
      <c r="D1986" s="51" t="str">
        <f aca="false">IF(C1986="","",IFERROR(IF(LEFT(C1986,1)="L",INDEX('Leads Pipeline'!$F$5:$F$1004,MATCH(C1986,'Leads Pipeline'!$A$5:$A$1004,0)),INDEX('Active Clients'!$D$5:$D$504,MATCH(C1986,'Active Clients'!$A$5:$A$504,0)))&amp;"","ID not found"))</f>
        <v/>
      </c>
      <c r="E1986" s="51" t="str">
        <f aca="false">IF(C1986="","",IFERROR(IF(LEFT(C1986,1)="L",INDEX('Leads Pipeline'!$D$5:$D$1004,MATCH(C1986,'Leads Pipeline'!$A$5:$A$1004,0)),INDEX('Active Clients'!$B$5:$B$504,MATCH(C1986,'Active Clients'!$A$5:$A$504,0)))&amp;"","ID not found"))</f>
        <v/>
      </c>
      <c r="F1986" s="51" t="str">
        <f aca="false">IF(C1986="","",IFERROR(IF(LEFT(C1986,1)="L",INDEX('Leads Pipeline'!$E$5:$E$1004,MATCH(C1986,'Leads Pipeline'!$A$5:$A$1004,0)),INDEX('Active Clients'!$C$5:$C$504,MATCH(C1986,'Active Clients'!$A$5:$A$504,0)))&amp;"","ID not found"))</f>
        <v/>
      </c>
      <c r="G1986" s="16"/>
      <c r="H1986" s="16"/>
      <c r="I1986" s="16"/>
      <c r="J1986" s="16"/>
      <c r="K1986" s="16"/>
      <c r="L1986" s="18"/>
    </row>
    <row r="1987" customFormat="false" ht="15" hidden="false" customHeight="false" outlineLevel="0" collapsed="false">
      <c r="A1987" s="18"/>
      <c r="B1987" s="16"/>
      <c r="C1987" s="16"/>
      <c r="D1987" s="51" t="str">
        <f aca="false">IF(C1987="","",IFERROR(IF(LEFT(C1987,1)="L",INDEX('Leads Pipeline'!$F$5:$F$1004,MATCH(C1987,'Leads Pipeline'!$A$5:$A$1004,0)),INDEX('Active Clients'!$D$5:$D$504,MATCH(C1987,'Active Clients'!$A$5:$A$504,0)))&amp;"","ID not found"))</f>
        <v/>
      </c>
      <c r="E1987" s="51" t="str">
        <f aca="false">IF(C1987="","",IFERROR(IF(LEFT(C1987,1)="L",INDEX('Leads Pipeline'!$D$5:$D$1004,MATCH(C1987,'Leads Pipeline'!$A$5:$A$1004,0)),INDEX('Active Clients'!$B$5:$B$504,MATCH(C1987,'Active Clients'!$A$5:$A$504,0)))&amp;"","ID not found"))</f>
        <v/>
      </c>
      <c r="F1987" s="51" t="str">
        <f aca="false">IF(C1987="","",IFERROR(IF(LEFT(C1987,1)="L",INDEX('Leads Pipeline'!$E$5:$E$1004,MATCH(C1987,'Leads Pipeline'!$A$5:$A$1004,0)),INDEX('Active Clients'!$C$5:$C$504,MATCH(C1987,'Active Clients'!$A$5:$A$504,0)))&amp;"","ID not found"))</f>
        <v/>
      </c>
      <c r="G1987" s="16"/>
      <c r="H1987" s="16"/>
      <c r="I1987" s="16"/>
      <c r="J1987" s="16"/>
      <c r="K1987" s="16"/>
      <c r="L1987" s="18"/>
    </row>
    <row r="1988" customFormat="false" ht="15" hidden="false" customHeight="false" outlineLevel="0" collapsed="false">
      <c r="A1988" s="18"/>
      <c r="B1988" s="16"/>
      <c r="C1988" s="16"/>
      <c r="D1988" s="51" t="str">
        <f aca="false">IF(C1988="","",IFERROR(IF(LEFT(C1988,1)="L",INDEX('Leads Pipeline'!$F$5:$F$1004,MATCH(C1988,'Leads Pipeline'!$A$5:$A$1004,0)),INDEX('Active Clients'!$D$5:$D$504,MATCH(C1988,'Active Clients'!$A$5:$A$504,0)))&amp;"","ID not found"))</f>
        <v/>
      </c>
      <c r="E1988" s="51" t="str">
        <f aca="false">IF(C1988="","",IFERROR(IF(LEFT(C1988,1)="L",INDEX('Leads Pipeline'!$D$5:$D$1004,MATCH(C1988,'Leads Pipeline'!$A$5:$A$1004,0)),INDEX('Active Clients'!$B$5:$B$504,MATCH(C1988,'Active Clients'!$A$5:$A$504,0)))&amp;"","ID not found"))</f>
        <v/>
      </c>
      <c r="F1988" s="51" t="str">
        <f aca="false">IF(C1988="","",IFERROR(IF(LEFT(C1988,1)="L",INDEX('Leads Pipeline'!$E$5:$E$1004,MATCH(C1988,'Leads Pipeline'!$A$5:$A$1004,0)),INDEX('Active Clients'!$C$5:$C$504,MATCH(C1988,'Active Clients'!$A$5:$A$504,0)))&amp;"","ID not found"))</f>
        <v/>
      </c>
      <c r="G1988" s="16"/>
      <c r="H1988" s="16"/>
      <c r="I1988" s="16"/>
      <c r="J1988" s="16"/>
      <c r="K1988" s="16"/>
      <c r="L1988" s="18"/>
    </row>
    <row r="1989" customFormat="false" ht="15" hidden="false" customHeight="false" outlineLevel="0" collapsed="false">
      <c r="A1989" s="18"/>
      <c r="B1989" s="16"/>
      <c r="C1989" s="16"/>
      <c r="D1989" s="51" t="str">
        <f aca="false">IF(C1989="","",IFERROR(IF(LEFT(C1989,1)="L",INDEX('Leads Pipeline'!$F$5:$F$1004,MATCH(C1989,'Leads Pipeline'!$A$5:$A$1004,0)),INDEX('Active Clients'!$D$5:$D$504,MATCH(C1989,'Active Clients'!$A$5:$A$504,0)))&amp;"","ID not found"))</f>
        <v/>
      </c>
      <c r="E1989" s="51" t="str">
        <f aca="false">IF(C1989="","",IFERROR(IF(LEFT(C1989,1)="L",INDEX('Leads Pipeline'!$D$5:$D$1004,MATCH(C1989,'Leads Pipeline'!$A$5:$A$1004,0)),INDEX('Active Clients'!$B$5:$B$504,MATCH(C1989,'Active Clients'!$A$5:$A$504,0)))&amp;"","ID not found"))</f>
        <v/>
      </c>
      <c r="F1989" s="51" t="str">
        <f aca="false">IF(C1989="","",IFERROR(IF(LEFT(C1989,1)="L",INDEX('Leads Pipeline'!$E$5:$E$1004,MATCH(C1989,'Leads Pipeline'!$A$5:$A$1004,0)),INDEX('Active Clients'!$C$5:$C$504,MATCH(C1989,'Active Clients'!$A$5:$A$504,0)))&amp;"","ID not found"))</f>
        <v/>
      </c>
      <c r="G1989" s="16"/>
      <c r="H1989" s="16"/>
      <c r="I1989" s="16"/>
      <c r="J1989" s="16"/>
      <c r="K1989" s="16"/>
      <c r="L1989" s="18"/>
    </row>
    <row r="1990" customFormat="false" ht="15" hidden="false" customHeight="false" outlineLevel="0" collapsed="false">
      <c r="A1990" s="18"/>
      <c r="B1990" s="16"/>
      <c r="C1990" s="16"/>
      <c r="D1990" s="51" t="str">
        <f aca="false">IF(C1990="","",IFERROR(IF(LEFT(C1990,1)="L",INDEX('Leads Pipeline'!$F$5:$F$1004,MATCH(C1990,'Leads Pipeline'!$A$5:$A$1004,0)),INDEX('Active Clients'!$D$5:$D$504,MATCH(C1990,'Active Clients'!$A$5:$A$504,0)))&amp;"","ID not found"))</f>
        <v/>
      </c>
      <c r="E1990" s="51" t="str">
        <f aca="false">IF(C1990="","",IFERROR(IF(LEFT(C1990,1)="L",INDEX('Leads Pipeline'!$D$5:$D$1004,MATCH(C1990,'Leads Pipeline'!$A$5:$A$1004,0)),INDEX('Active Clients'!$B$5:$B$504,MATCH(C1990,'Active Clients'!$A$5:$A$504,0)))&amp;"","ID not found"))</f>
        <v/>
      </c>
      <c r="F1990" s="51" t="str">
        <f aca="false">IF(C1990="","",IFERROR(IF(LEFT(C1990,1)="L",INDEX('Leads Pipeline'!$E$5:$E$1004,MATCH(C1990,'Leads Pipeline'!$A$5:$A$1004,0)),INDEX('Active Clients'!$C$5:$C$504,MATCH(C1990,'Active Clients'!$A$5:$A$504,0)))&amp;"","ID not found"))</f>
        <v/>
      </c>
      <c r="G1990" s="16"/>
      <c r="H1990" s="16"/>
      <c r="I1990" s="16"/>
      <c r="J1990" s="16"/>
      <c r="K1990" s="16"/>
      <c r="L1990" s="18"/>
    </row>
    <row r="1991" customFormat="false" ht="15" hidden="false" customHeight="false" outlineLevel="0" collapsed="false">
      <c r="A1991" s="18"/>
      <c r="B1991" s="16"/>
      <c r="C1991" s="16"/>
      <c r="D1991" s="51" t="str">
        <f aca="false">IF(C1991="","",IFERROR(IF(LEFT(C1991,1)="L",INDEX('Leads Pipeline'!$F$5:$F$1004,MATCH(C1991,'Leads Pipeline'!$A$5:$A$1004,0)),INDEX('Active Clients'!$D$5:$D$504,MATCH(C1991,'Active Clients'!$A$5:$A$504,0)))&amp;"","ID not found"))</f>
        <v/>
      </c>
      <c r="E1991" s="51" t="str">
        <f aca="false">IF(C1991="","",IFERROR(IF(LEFT(C1991,1)="L",INDEX('Leads Pipeline'!$D$5:$D$1004,MATCH(C1991,'Leads Pipeline'!$A$5:$A$1004,0)),INDEX('Active Clients'!$B$5:$B$504,MATCH(C1991,'Active Clients'!$A$5:$A$504,0)))&amp;"","ID not found"))</f>
        <v/>
      </c>
      <c r="F1991" s="51" t="str">
        <f aca="false">IF(C1991="","",IFERROR(IF(LEFT(C1991,1)="L",INDEX('Leads Pipeline'!$E$5:$E$1004,MATCH(C1991,'Leads Pipeline'!$A$5:$A$1004,0)),INDEX('Active Clients'!$C$5:$C$504,MATCH(C1991,'Active Clients'!$A$5:$A$504,0)))&amp;"","ID not found"))</f>
        <v/>
      </c>
      <c r="G1991" s="16"/>
      <c r="H1991" s="16"/>
      <c r="I1991" s="16"/>
      <c r="J1991" s="16"/>
      <c r="K1991" s="16"/>
      <c r="L1991" s="18"/>
    </row>
    <row r="1992" customFormat="false" ht="15" hidden="false" customHeight="false" outlineLevel="0" collapsed="false">
      <c r="A1992" s="18"/>
      <c r="B1992" s="16"/>
      <c r="C1992" s="16"/>
      <c r="D1992" s="51" t="str">
        <f aca="false">IF(C1992="","",IFERROR(IF(LEFT(C1992,1)="L",INDEX('Leads Pipeline'!$F$5:$F$1004,MATCH(C1992,'Leads Pipeline'!$A$5:$A$1004,0)),INDEX('Active Clients'!$D$5:$D$504,MATCH(C1992,'Active Clients'!$A$5:$A$504,0)))&amp;"","ID not found"))</f>
        <v/>
      </c>
      <c r="E1992" s="51" t="str">
        <f aca="false">IF(C1992="","",IFERROR(IF(LEFT(C1992,1)="L",INDEX('Leads Pipeline'!$D$5:$D$1004,MATCH(C1992,'Leads Pipeline'!$A$5:$A$1004,0)),INDEX('Active Clients'!$B$5:$B$504,MATCH(C1992,'Active Clients'!$A$5:$A$504,0)))&amp;"","ID not found"))</f>
        <v/>
      </c>
      <c r="F1992" s="51" t="str">
        <f aca="false">IF(C1992="","",IFERROR(IF(LEFT(C1992,1)="L",INDEX('Leads Pipeline'!$E$5:$E$1004,MATCH(C1992,'Leads Pipeline'!$A$5:$A$1004,0)),INDEX('Active Clients'!$C$5:$C$504,MATCH(C1992,'Active Clients'!$A$5:$A$504,0)))&amp;"","ID not found"))</f>
        <v/>
      </c>
      <c r="G1992" s="16"/>
      <c r="H1992" s="16"/>
      <c r="I1992" s="16"/>
      <c r="J1992" s="16"/>
      <c r="K1992" s="16"/>
      <c r="L1992" s="18"/>
    </row>
    <row r="1993" customFormat="false" ht="15" hidden="false" customHeight="false" outlineLevel="0" collapsed="false">
      <c r="A1993" s="18"/>
      <c r="B1993" s="16"/>
      <c r="C1993" s="16"/>
      <c r="D1993" s="51" t="str">
        <f aca="false">IF(C1993="","",IFERROR(IF(LEFT(C1993,1)="L",INDEX('Leads Pipeline'!$F$5:$F$1004,MATCH(C1993,'Leads Pipeline'!$A$5:$A$1004,0)),INDEX('Active Clients'!$D$5:$D$504,MATCH(C1993,'Active Clients'!$A$5:$A$504,0)))&amp;"","ID not found"))</f>
        <v/>
      </c>
      <c r="E1993" s="51" t="str">
        <f aca="false">IF(C1993="","",IFERROR(IF(LEFT(C1993,1)="L",INDEX('Leads Pipeline'!$D$5:$D$1004,MATCH(C1993,'Leads Pipeline'!$A$5:$A$1004,0)),INDEX('Active Clients'!$B$5:$B$504,MATCH(C1993,'Active Clients'!$A$5:$A$504,0)))&amp;"","ID not found"))</f>
        <v/>
      </c>
      <c r="F1993" s="51" t="str">
        <f aca="false">IF(C1993="","",IFERROR(IF(LEFT(C1993,1)="L",INDEX('Leads Pipeline'!$E$5:$E$1004,MATCH(C1993,'Leads Pipeline'!$A$5:$A$1004,0)),INDEX('Active Clients'!$C$5:$C$504,MATCH(C1993,'Active Clients'!$A$5:$A$504,0)))&amp;"","ID not found"))</f>
        <v/>
      </c>
      <c r="G1993" s="16"/>
      <c r="H1993" s="16"/>
      <c r="I1993" s="16"/>
      <c r="J1993" s="16"/>
      <c r="K1993" s="16"/>
      <c r="L1993" s="18"/>
    </row>
    <row r="1994" customFormat="false" ht="15" hidden="false" customHeight="false" outlineLevel="0" collapsed="false">
      <c r="A1994" s="18"/>
      <c r="B1994" s="16"/>
      <c r="C1994" s="16"/>
      <c r="D1994" s="51" t="str">
        <f aca="false">IF(C1994="","",IFERROR(IF(LEFT(C1994,1)="L",INDEX('Leads Pipeline'!$F$5:$F$1004,MATCH(C1994,'Leads Pipeline'!$A$5:$A$1004,0)),INDEX('Active Clients'!$D$5:$D$504,MATCH(C1994,'Active Clients'!$A$5:$A$504,0)))&amp;"","ID not found"))</f>
        <v/>
      </c>
      <c r="E1994" s="51" t="str">
        <f aca="false">IF(C1994="","",IFERROR(IF(LEFT(C1994,1)="L",INDEX('Leads Pipeline'!$D$5:$D$1004,MATCH(C1994,'Leads Pipeline'!$A$5:$A$1004,0)),INDEX('Active Clients'!$B$5:$B$504,MATCH(C1994,'Active Clients'!$A$5:$A$504,0)))&amp;"","ID not found"))</f>
        <v/>
      </c>
      <c r="F1994" s="51" t="str">
        <f aca="false">IF(C1994="","",IFERROR(IF(LEFT(C1994,1)="L",INDEX('Leads Pipeline'!$E$5:$E$1004,MATCH(C1994,'Leads Pipeline'!$A$5:$A$1004,0)),INDEX('Active Clients'!$C$5:$C$504,MATCH(C1994,'Active Clients'!$A$5:$A$504,0)))&amp;"","ID not found"))</f>
        <v/>
      </c>
      <c r="G1994" s="16"/>
      <c r="H1994" s="16"/>
      <c r="I1994" s="16"/>
      <c r="J1994" s="16"/>
      <c r="K1994" s="16"/>
      <c r="L1994" s="18"/>
    </row>
    <row r="1995" customFormat="false" ht="15" hidden="false" customHeight="false" outlineLevel="0" collapsed="false">
      <c r="A1995" s="18"/>
      <c r="B1995" s="16"/>
      <c r="C1995" s="16"/>
      <c r="D1995" s="51" t="str">
        <f aca="false">IF(C1995="","",IFERROR(IF(LEFT(C1995,1)="L",INDEX('Leads Pipeline'!$F$5:$F$1004,MATCH(C1995,'Leads Pipeline'!$A$5:$A$1004,0)),INDEX('Active Clients'!$D$5:$D$504,MATCH(C1995,'Active Clients'!$A$5:$A$504,0)))&amp;"","ID not found"))</f>
        <v/>
      </c>
      <c r="E1995" s="51" t="str">
        <f aca="false">IF(C1995="","",IFERROR(IF(LEFT(C1995,1)="L",INDEX('Leads Pipeline'!$D$5:$D$1004,MATCH(C1995,'Leads Pipeline'!$A$5:$A$1004,0)),INDEX('Active Clients'!$B$5:$B$504,MATCH(C1995,'Active Clients'!$A$5:$A$504,0)))&amp;"","ID not found"))</f>
        <v/>
      </c>
      <c r="F1995" s="51" t="str">
        <f aca="false">IF(C1995="","",IFERROR(IF(LEFT(C1995,1)="L",INDEX('Leads Pipeline'!$E$5:$E$1004,MATCH(C1995,'Leads Pipeline'!$A$5:$A$1004,0)),INDEX('Active Clients'!$C$5:$C$504,MATCH(C1995,'Active Clients'!$A$5:$A$504,0)))&amp;"","ID not found"))</f>
        <v/>
      </c>
      <c r="G1995" s="16"/>
      <c r="H1995" s="16"/>
      <c r="I1995" s="16"/>
      <c r="J1995" s="16"/>
      <c r="K1995" s="16"/>
      <c r="L1995" s="18"/>
    </row>
    <row r="1996" customFormat="false" ht="15" hidden="false" customHeight="false" outlineLevel="0" collapsed="false">
      <c r="A1996" s="18"/>
      <c r="B1996" s="16"/>
      <c r="C1996" s="16"/>
      <c r="D1996" s="51" t="str">
        <f aca="false">IF(C1996="","",IFERROR(IF(LEFT(C1996,1)="L",INDEX('Leads Pipeline'!$F$5:$F$1004,MATCH(C1996,'Leads Pipeline'!$A$5:$A$1004,0)),INDEX('Active Clients'!$D$5:$D$504,MATCH(C1996,'Active Clients'!$A$5:$A$504,0)))&amp;"","ID not found"))</f>
        <v/>
      </c>
      <c r="E1996" s="51" t="str">
        <f aca="false">IF(C1996="","",IFERROR(IF(LEFT(C1996,1)="L",INDEX('Leads Pipeline'!$D$5:$D$1004,MATCH(C1996,'Leads Pipeline'!$A$5:$A$1004,0)),INDEX('Active Clients'!$B$5:$B$504,MATCH(C1996,'Active Clients'!$A$5:$A$504,0)))&amp;"","ID not found"))</f>
        <v/>
      </c>
      <c r="F1996" s="51" t="str">
        <f aca="false">IF(C1996="","",IFERROR(IF(LEFT(C1996,1)="L",INDEX('Leads Pipeline'!$E$5:$E$1004,MATCH(C1996,'Leads Pipeline'!$A$5:$A$1004,0)),INDEX('Active Clients'!$C$5:$C$504,MATCH(C1996,'Active Clients'!$A$5:$A$504,0)))&amp;"","ID not found"))</f>
        <v/>
      </c>
      <c r="G1996" s="16"/>
      <c r="H1996" s="16"/>
      <c r="I1996" s="16"/>
      <c r="J1996" s="16"/>
      <c r="K1996" s="16"/>
      <c r="L1996" s="18"/>
    </row>
    <row r="1997" customFormat="false" ht="15" hidden="false" customHeight="false" outlineLevel="0" collapsed="false">
      <c r="A1997" s="18"/>
      <c r="B1997" s="16"/>
      <c r="C1997" s="16"/>
      <c r="D1997" s="51" t="str">
        <f aca="false">IF(C1997="","",IFERROR(IF(LEFT(C1997,1)="L",INDEX('Leads Pipeline'!$F$5:$F$1004,MATCH(C1997,'Leads Pipeline'!$A$5:$A$1004,0)),INDEX('Active Clients'!$D$5:$D$504,MATCH(C1997,'Active Clients'!$A$5:$A$504,0)))&amp;"","ID not found"))</f>
        <v/>
      </c>
      <c r="E1997" s="51" t="str">
        <f aca="false">IF(C1997="","",IFERROR(IF(LEFT(C1997,1)="L",INDEX('Leads Pipeline'!$D$5:$D$1004,MATCH(C1997,'Leads Pipeline'!$A$5:$A$1004,0)),INDEX('Active Clients'!$B$5:$B$504,MATCH(C1997,'Active Clients'!$A$5:$A$504,0)))&amp;"","ID not found"))</f>
        <v/>
      </c>
      <c r="F1997" s="51" t="str">
        <f aca="false">IF(C1997="","",IFERROR(IF(LEFT(C1997,1)="L",INDEX('Leads Pipeline'!$E$5:$E$1004,MATCH(C1997,'Leads Pipeline'!$A$5:$A$1004,0)),INDEX('Active Clients'!$C$5:$C$504,MATCH(C1997,'Active Clients'!$A$5:$A$504,0)))&amp;"","ID not found"))</f>
        <v/>
      </c>
      <c r="G1997" s="16"/>
      <c r="H1997" s="16"/>
      <c r="I1997" s="16"/>
      <c r="J1997" s="16"/>
      <c r="K1997" s="16"/>
      <c r="L1997" s="18"/>
    </row>
    <row r="1998" customFormat="false" ht="15" hidden="false" customHeight="false" outlineLevel="0" collapsed="false">
      <c r="A1998" s="18"/>
      <c r="B1998" s="16"/>
      <c r="C1998" s="16"/>
      <c r="D1998" s="51" t="str">
        <f aca="false">IF(C1998="","",IFERROR(IF(LEFT(C1998,1)="L",INDEX('Leads Pipeline'!$F$5:$F$1004,MATCH(C1998,'Leads Pipeline'!$A$5:$A$1004,0)),INDEX('Active Clients'!$D$5:$D$504,MATCH(C1998,'Active Clients'!$A$5:$A$504,0)))&amp;"","ID not found"))</f>
        <v/>
      </c>
      <c r="E1998" s="51" t="str">
        <f aca="false">IF(C1998="","",IFERROR(IF(LEFT(C1998,1)="L",INDEX('Leads Pipeline'!$D$5:$D$1004,MATCH(C1998,'Leads Pipeline'!$A$5:$A$1004,0)),INDEX('Active Clients'!$B$5:$B$504,MATCH(C1998,'Active Clients'!$A$5:$A$504,0)))&amp;"","ID not found"))</f>
        <v/>
      </c>
      <c r="F1998" s="51" t="str">
        <f aca="false">IF(C1998="","",IFERROR(IF(LEFT(C1998,1)="L",INDEX('Leads Pipeline'!$E$5:$E$1004,MATCH(C1998,'Leads Pipeline'!$A$5:$A$1004,0)),INDEX('Active Clients'!$C$5:$C$504,MATCH(C1998,'Active Clients'!$A$5:$A$504,0)))&amp;"","ID not found"))</f>
        <v/>
      </c>
      <c r="G1998" s="16"/>
      <c r="H1998" s="16"/>
      <c r="I1998" s="16"/>
      <c r="J1998" s="16"/>
      <c r="K1998" s="16"/>
      <c r="L1998" s="18"/>
    </row>
    <row r="1999" customFormat="false" ht="15" hidden="false" customHeight="false" outlineLevel="0" collapsed="false">
      <c r="A1999" s="18"/>
      <c r="B1999" s="16"/>
      <c r="C1999" s="16"/>
      <c r="D1999" s="51" t="str">
        <f aca="false">IF(C1999="","",IFERROR(IF(LEFT(C1999,1)="L",INDEX('Leads Pipeline'!$F$5:$F$1004,MATCH(C1999,'Leads Pipeline'!$A$5:$A$1004,0)),INDEX('Active Clients'!$D$5:$D$504,MATCH(C1999,'Active Clients'!$A$5:$A$504,0)))&amp;"","ID not found"))</f>
        <v/>
      </c>
      <c r="E1999" s="51" t="str">
        <f aca="false">IF(C1999="","",IFERROR(IF(LEFT(C1999,1)="L",INDEX('Leads Pipeline'!$D$5:$D$1004,MATCH(C1999,'Leads Pipeline'!$A$5:$A$1004,0)),INDEX('Active Clients'!$B$5:$B$504,MATCH(C1999,'Active Clients'!$A$5:$A$504,0)))&amp;"","ID not found"))</f>
        <v/>
      </c>
      <c r="F1999" s="51" t="str">
        <f aca="false">IF(C1999="","",IFERROR(IF(LEFT(C1999,1)="L",INDEX('Leads Pipeline'!$E$5:$E$1004,MATCH(C1999,'Leads Pipeline'!$A$5:$A$1004,0)),INDEX('Active Clients'!$C$5:$C$504,MATCH(C1999,'Active Clients'!$A$5:$A$504,0)))&amp;"","ID not found"))</f>
        <v/>
      </c>
      <c r="G1999" s="16"/>
      <c r="H1999" s="16"/>
      <c r="I1999" s="16"/>
      <c r="J1999" s="16"/>
      <c r="K1999" s="16"/>
      <c r="L1999" s="18"/>
    </row>
    <row r="2000" customFormat="false" ht="15" hidden="false" customHeight="false" outlineLevel="0" collapsed="false">
      <c r="A2000" s="18"/>
      <c r="B2000" s="16"/>
      <c r="C2000" s="16"/>
      <c r="D2000" s="51" t="str">
        <f aca="false">IF(C2000="","",IFERROR(IF(LEFT(C2000,1)="L",INDEX('Leads Pipeline'!$F$5:$F$1004,MATCH(C2000,'Leads Pipeline'!$A$5:$A$1004,0)),INDEX('Active Clients'!$D$5:$D$504,MATCH(C2000,'Active Clients'!$A$5:$A$504,0)))&amp;"","ID not found"))</f>
        <v/>
      </c>
      <c r="E2000" s="51" t="str">
        <f aca="false">IF(C2000="","",IFERROR(IF(LEFT(C2000,1)="L",INDEX('Leads Pipeline'!$D$5:$D$1004,MATCH(C2000,'Leads Pipeline'!$A$5:$A$1004,0)),INDEX('Active Clients'!$B$5:$B$504,MATCH(C2000,'Active Clients'!$A$5:$A$504,0)))&amp;"","ID not found"))</f>
        <v/>
      </c>
      <c r="F2000" s="51" t="str">
        <f aca="false">IF(C2000="","",IFERROR(IF(LEFT(C2000,1)="L",INDEX('Leads Pipeline'!$E$5:$E$1004,MATCH(C2000,'Leads Pipeline'!$A$5:$A$1004,0)),INDEX('Active Clients'!$C$5:$C$504,MATCH(C2000,'Active Clients'!$A$5:$A$504,0)))&amp;"","ID not found"))</f>
        <v/>
      </c>
      <c r="G2000" s="16"/>
      <c r="H2000" s="16"/>
      <c r="I2000" s="16"/>
      <c r="J2000" s="16"/>
      <c r="K2000" s="16"/>
      <c r="L2000" s="18"/>
    </row>
    <row r="2001" customFormat="false" ht="15" hidden="false" customHeight="false" outlineLevel="0" collapsed="false">
      <c r="A2001" s="18"/>
      <c r="B2001" s="16"/>
      <c r="C2001" s="16"/>
      <c r="D2001" s="51" t="str">
        <f aca="false">IF(C2001="","",IFERROR(IF(LEFT(C2001,1)="L",INDEX('Leads Pipeline'!$F$5:$F$1004,MATCH(C2001,'Leads Pipeline'!$A$5:$A$1004,0)),INDEX('Active Clients'!$D$5:$D$504,MATCH(C2001,'Active Clients'!$A$5:$A$504,0)))&amp;"","ID not found"))</f>
        <v/>
      </c>
      <c r="E2001" s="51" t="str">
        <f aca="false">IF(C2001="","",IFERROR(IF(LEFT(C2001,1)="L",INDEX('Leads Pipeline'!$D$5:$D$1004,MATCH(C2001,'Leads Pipeline'!$A$5:$A$1004,0)),INDEX('Active Clients'!$B$5:$B$504,MATCH(C2001,'Active Clients'!$A$5:$A$504,0)))&amp;"","ID not found"))</f>
        <v/>
      </c>
      <c r="F2001" s="51" t="str">
        <f aca="false">IF(C2001="","",IFERROR(IF(LEFT(C2001,1)="L",INDEX('Leads Pipeline'!$E$5:$E$1004,MATCH(C2001,'Leads Pipeline'!$A$5:$A$1004,0)),INDEX('Active Clients'!$C$5:$C$504,MATCH(C2001,'Active Clients'!$A$5:$A$504,0)))&amp;"","ID not found"))</f>
        <v/>
      </c>
      <c r="G2001" s="16"/>
      <c r="H2001" s="16"/>
      <c r="I2001" s="16"/>
      <c r="J2001" s="16"/>
      <c r="K2001" s="16"/>
      <c r="L2001" s="18"/>
    </row>
    <row r="2002" customFormat="false" ht="15" hidden="false" customHeight="false" outlineLevel="0" collapsed="false">
      <c r="A2002" s="18"/>
      <c r="B2002" s="16"/>
      <c r="C2002" s="16"/>
      <c r="D2002" s="51" t="str">
        <f aca="false">IF(C2002="","",IFERROR(IF(LEFT(C2002,1)="L",INDEX('Leads Pipeline'!$F$5:$F$1004,MATCH(C2002,'Leads Pipeline'!$A$5:$A$1004,0)),INDEX('Active Clients'!$D$5:$D$504,MATCH(C2002,'Active Clients'!$A$5:$A$504,0)))&amp;"","ID not found"))</f>
        <v/>
      </c>
      <c r="E2002" s="51" t="str">
        <f aca="false">IF(C2002="","",IFERROR(IF(LEFT(C2002,1)="L",INDEX('Leads Pipeline'!$D$5:$D$1004,MATCH(C2002,'Leads Pipeline'!$A$5:$A$1004,0)),INDEX('Active Clients'!$B$5:$B$504,MATCH(C2002,'Active Clients'!$A$5:$A$504,0)))&amp;"","ID not found"))</f>
        <v/>
      </c>
      <c r="F2002" s="51" t="str">
        <f aca="false">IF(C2002="","",IFERROR(IF(LEFT(C2002,1)="L",INDEX('Leads Pipeline'!$E$5:$E$1004,MATCH(C2002,'Leads Pipeline'!$A$5:$A$1004,0)),INDEX('Active Clients'!$C$5:$C$504,MATCH(C2002,'Active Clients'!$A$5:$A$504,0)))&amp;"","ID not found"))</f>
        <v/>
      </c>
      <c r="G2002" s="16"/>
      <c r="H2002" s="16"/>
      <c r="I2002" s="16"/>
      <c r="J2002" s="16"/>
      <c r="K2002" s="16"/>
      <c r="L2002" s="18"/>
    </row>
    <row r="2003" customFormat="false" ht="15" hidden="false" customHeight="false" outlineLevel="0" collapsed="false">
      <c r="A2003" s="18"/>
      <c r="B2003" s="16"/>
      <c r="C2003" s="16"/>
      <c r="D2003" s="51" t="str">
        <f aca="false">IF(C2003="","",IFERROR(IF(LEFT(C2003,1)="L",INDEX('Leads Pipeline'!$F$5:$F$1004,MATCH(C2003,'Leads Pipeline'!$A$5:$A$1004,0)),INDEX('Active Clients'!$D$5:$D$504,MATCH(C2003,'Active Clients'!$A$5:$A$504,0)))&amp;"","ID not found"))</f>
        <v/>
      </c>
      <c r="E2003" s="51" t="str">
        <f aca="false">IF(C2003="","",IFERROR(IF(LEFT(C2003,1)="L",INDEX('Leads Pipeline'!$D$5:$D$1004,MATCH(C2003,'Leads Pipeline'!$A$5:$A$1004,0)),INDEX('Active Clients'!$B$5:$B$504,MATCH(C2003,'Active Clients'!$A$5:$A$504,0)))&amp;"","ID not found"))</f>
        <v/>
      </c>
      <c r="F2003" s="51" t="str">
        <f aca="false">IF(C2003="","",IFERROR(IF(LEFT(C2003,1)="L",INDEX('Leads Pipeline'!$E$5:$E$1004,MATCH(C2003,'Leads Pipeline'!$A$5:$A$1004,0)),INDEX('Active Clients'!$C$5:$C$504,MATCH(C2003,'Active Clients'!$A$5:$A$504,0)))&amp;"","ID not found"))</f>
        <v/>
      </c>
      <c r="G2003" s="16"/>
      <c r="H2003" s="16"/>
      <c r="I2003" s="16"/>
      <c r="J2003" s="16"/>
      <c r="K2003" s="16"/>
      <c r="L2003" s="18"/>
    </row>
    <row r="2004" customFormat="false" ht="15" hidden="false" customHeight="false" outlineLevel="0" collapsed="false">
      <c r="A2004" s="18"/>
      <c r="B2004" s="16"/>
      <c r="C2004" s="16"/>
      <c r="D2004" s="51" t="str">
        <f aca="false">IF(C2004="","",IFERROR(IF(LEFT(C2004,1)="L",INDEX('Leads Pipeline'!$F$5:$F$1004,MATCH(C2004,'Leads Pipeline'!$A$5:$A$1004,0)),INDEX('Active Clients'!$D$5:$D$504,MATCH(C2004,'Active Clients'!$A$5:$A$504,0)))&amp;"","ID not found"))</f>
        <v/>
      </c>
      <c r="E2004" s="51" t="str">
        <f aca="false">IF(C2004="","",IFERROR(IF(LEFT(C2004,1)="L",INDEX('Leads Pipeline'!$D$5:$D$1004,MATCH(C2004,'Leads Pipeline'!$A$5:$A$1004,0)),INDEX('Active Clients'!$B$5:$B$504,MATCH(C2004,'Active Clients'!$A$5:$A$504,0)))&amp;"","ID not found"))</f>
        <v/>
      </c>
      <c r="F2004" s="51" t="str">
        <f aca="false">IF(C2004="","",IFERROR(IF(LEFT(C2004,1)="L",INDEX('Leads Pipeline'!$E$5:$E$1004,MATCH(C2004,'Leads Pipeline'!$A$5:$A$1004,0)),INDEX('Active Clients'!$C$5:$C$504,MATCH(C2004,'Active Clients'!$A$5:$A$504,0)))&amp;"","ID not found"))</f>
        <v/>
      </c>
      <c r="G2004" s="16"/>
      <c r="H2004" s="16"/>
      <c r="I2004" s="16"/>
      <c r="J2004" s="16"/>
      <c r="K2004" s="16"/>
      <c r="L2004" s="18"/>
    </row>
    <row r="2005" customFormat="false" ht="15" hidden="false" customHeight="false" outlineLevel="0" collapsed="false">
      <c r="A2005" s="18"/>
      <c r="B2005" s="16"/>
      <c r="C2005" s="16"/>
      <c r="D2005" s="51" t="str">
        <f aca="false">IF(C2005="","",IFERROR(IF(LEFT(C2005,1)="L",INDEX('Leads Pipeline'!$F$5:$F$1004,MATCH(C2005,'Leads Pipeline'!$A$5:$A$1004,0)),INDEX('Active Clients'!$D$5:$D$504,MATCH(C2005,'Active Clients'!$A$5:$A$504,0)))&amp;"","ID not found"))</f>
        <v/>
      </c>
      <c r="E2005" s="51" t="str">
        <f aca="false">IF(C2005="","",IFERROR(IF(LEFT(C2005,1)="L",INDEX('Leads Pipeline'!$D$5:$D$1004,MATCH(C2005,'Leads Pipeline'!$A$5:$A$1004,0)),INDEX('Active Clients'!$B$5:$B$504,MATCH(C2005,'Active Clients'!$A$5:$A$504,0)))&amp;"","ID not found"))</f>
        <v/>
      </c>
      <c r="F2005" s="51" t="str">
        <f aca="false">IF(C2005="","",IFERROR(IF(LEFT(C2005,1)="L",INDEX('Leads Pipeline'!$E$5:$E$1004,MATCH(C2005,'Leads Pipeline'!$A$5:$A$1004,0)),INDEX('Active Clients'!$C$5:$C$504,MATCH(C2005,'Active Clients'!$A$5:$A$504,0)))&amp;"","ID not found"))</f>
        <v/>
      </c>
      <c r="G2005" s="16"/>
      <c r="H2005" s="16"/>
      <c r="I2005" s="16"/>
      <c r="J2005" s="16"/>
      <c r="K2005" s="16"/>
      <c r="L2005" s="18"/>
    </row>
    <row r="2006" customFormat="false" ht="15" hidden="false" customHeight="false" outlineLevel="0" collapsed="false">
      <c r="A2006" s="18"/>
      <c r="B2006" s="16"/>
      <c r="C2006" s="16"/>
      <c r="D2006" s="51" t="str">
        <f aca="false">IF(C2006="","",IFERROR(IF(LEFT(C2006,1)="L",INDEX('Leads Pipeline'!$F$5:$F$1004,MATCH(C2006,'Leads Pipeline'!$A$5:$A$1004,0)),INDEX('Active Clients'!$D$5:$D$504,MATCH(C2006,'Active Clients'!$A$5:$A$504,0)))&amp;"","ID not found"))</f>
        <v/>
      </c>
      <c r="E2006" s="51" t="str">
        <f aca="false">IF(C2006="","",IFERROR(IF(LEFT(C2006,1)="L",INDEX('Leads Pipeline'!$D$5:$D$1004,MATCH(C2006,'Leads Pipeline'!$A$5:$A$1004,0)),INDEX('Active Clients'!$B$5:$B$504,MATCH(C2006,'Active Clients'!$A$5:$A$504,0)))&amp;"","ID not found"))</f>
        <v/>
      </c>
      <c r="F2006" s="51" t="str">
        <f aca="false">IF(C2006="","",IFERROR(IF(LEFT(C2006,1)="L",INDEX('Leads Pipeline'!$E$5:$E$1004,MATCH(C2006,'Leads Pipeline'!$A$5:$A$1004,0)),INDEX('Active Clients'!$C$5:$C$504,MATCH(C2006,'Active Clients'!$A$5:$A$504,0)))&amp;"","ID not found"))</f>
        <v/>
      </c>
      <c r="G2006" s="16"/>
      <c r="H2006" s="16"/>
      <c r="I2006" s="16"/>
      <c r="J2006" s="16"/>
      <c r="K2006" s="16"/>
      <c r="L2006" s="18"/>
    </row>
    <row r="2007" customFormat="false" ht="15" hidden="false" customHeight="false" outlineLevel="0" collapsed="false">
      <c r="A2007" s="18"/>
      <c r="B2007" s="16"/>
      <c r="C2007" s="16"/>
      <c r="D2007" s="51" t="str">
        <f aca="false">IF(C2007="","",IFERROR(IF(LEFT(C2007,1)="L",INDEX('Leads Pipeline'!$F$5:$F$1004,MATCH(C2007,'Leads Pipeline'!$A$5:$A$1004,0)),INDEX('Active Clients'!$D$5:$D$504,MATCH(C2007,'Active Clients'!$A$5:$A$504,0)))&amp;"","ID not found"))</f>
        <v/>
      </c>
      <c r="E2007" s="51" t="str">
        <f aca="false">IF(C2007="","",IFERROR(IF(LEFT(C2007,1)="L",INDEX('Leads Pipeline'!$D$5:$D$1004,MATCH(C2007,'Leads Pipeline'!$A$5:$A$1004,0)),INDEX('Active Clients'!$B$5:$B$504,MATCH(C2007,'Active Clients'!$A$5:$A$504,0)))&amp;"","ID not found"))</f>
        <v/>
      </c>
      <c r="F2007" s="51" t="str">
        <f aca="false">IF(C2007="","",IFERROR(IF(LEFT(C2007,1)="L",INDEX('Leads Pipeline'!$E$5:$E$1004,MATCH(C2007,'Leads Pipeline'!$A$5:$A$1004,0)),INDEX('Active Clients'!$C$5:$C$504,MATCH(C2007,'Active Clients'!$A$5:$A$504,0)))&amp;"","ID not found"))</f>
        <v/>
      </c>
      <c r="G2007" s="16"/>
      <c r="H2007" s="16"/>
      <c r="I2007" s="16"/>
      <c r="J2007" s="16"/>
      <c r="K2007" s="16"/>
      <c r="L2007" s="18"/>
    </row>
    <row r="2008" customFormat="false" ht="15" hidden="false" customHeight="false" outlineLevel="0" collapsed="false">
      <c r="A2008" s="18"/>
      <c r="B2008" s="16"/>
      <c r="C2008" s="16"/>
      <c r="D2008" s="51" t="str">
        <f aca="false">IF(C2008="","",IFERROR(IF(LEFT(C2008,1)="L",INDEX('Leads Pipeline'!$F$5:$F$1004,MATCH(C2008,'Leads Pipeline'!$A$5:$A$1004,0)),INDEX('Active Clients'!$D$5:$D$504,MATCH(C2008,'Active Clients'!$A$5:$A$504,0)))&amp;"","ID not found"))</f>
        <v/>
      </c>
      <c r="E2008" s="51" t="str">
        <f aca="false">IF(C2008="","",IFERROR(IF(LEFT(C2008,1)="L",INDEX('Leads Pipeline'!$D$5:$D$1004,MATCH(C2008,'Leads Pipeline'!$A$5:$A$1004,0)),INDEX('Active Clients'!$B$5:$B$504,MATCH(C2008,'Active Clients'!$A$5:$A$504,0)))&amp;"","ID not found"))</f>
        <v/>
      </c>
      <c r="F2008" s="51" t="str">
        <f aca="false">IF(C2008="","",IFERROR(IF(LEFT(C2008,1)="L",INDEX('Leads Pipeline'!$E$5:$E$1004,MATCH(C2008,'Leads Pipeline'!$A$5:$A$1004,0)),INDEX('Active Clients'!$C$5:$C$504,MATCH(C2008,'Active Clients'!$A$5:$A$504,0)))&amp;"","ID not found"))</f>
        <v/>
      </c>
      <c r="G2008" s="16"/>
      <c r="H2008" s="16"/>
      <c r="I2008" s="16"/>
      <c r="J2008" s="16"/>
      <c r="K2008" s="16"/>
      <c r="L2008" s="18"/>
    </row>
    <row r="2009" customFormat="false" ht="15" hidden="false" customHeight="false" outlineLevel="0" collapsed="false">
      <c r="A2009" s="18"/>
      <c r="B2009" s="16"/>
      <c r="C2009" s="16"/>
      <c r="D2009" s="51" t="str">
        <f aca="false">IF(C2009="","",IFERROR(IF(LEFT(C2009,1)="L",INDEX('Leads Pipeline'!$F$5:$F$1004,MATCH(C2009,'Leads Pipeline'!$A$5:$A$1004,0)),INDEX('Active Clients'!$D$5:$D$504,MATCH(C2009,'Active Clients'!$A$5:$A$504,0)))&amp;"","ID not found"))</f>
        <v/>
      </c>
      <c r="E2009" s="51" t="str">
        <f aca="false">IF(C2009="","",IFERROR(IF(LEFT(C2009,1)="L",INDEX('Leads Pipeline'!$D$5:$D$1004,MATCH(C2009,'Leads Pipeline'!$A$5:$A$1004,0)),INDEX('Active Clients'!$B$5:$B$504,MATCH(C2009,'Active Clients'!$A$5:$A$504,0)))&amp;"","ID not found"))</f>
        <v/>
      </c>
      <c r="F2009" s="51" t="str">
        <f aca="false">IF(C2009="","",IFERROR(IF(LEFT(C2009,1)="L",INDEX('Leads Pipeline'!$E$5:$E$1004,MATCH(C2009,'Leads Pipeline'!$A$5:$A$1004,0)),INDEX('Active Clients'!$C$5:$C$504,MATCH(C2009,'Active Clients'!$A$5:$A$504,0)))&amp;"","ID not found"))</f>
        <v/>
      </c>
      <c r="G2009" s="16"/>
      <c r="H2009" s="16"/>
      <c r="I2009" s="16"/>
      <c r="J2009" s="16"/>
      <c r="K2009" s="16"/>
      <c r="L2009" s="18"/>
    </row>
    <row r="2010" customFormat="false" ht="15" hidden="false" customHeight="false" outlineLevel="0" collapsed="false">
      <c r="A2010" s="18"/>
      <c r="B2010" s="16"/>
      <c r="C2010" s="16"/>
      <c r="D2010" s="51" t="str">
        <f aca="false">IF(C2010="","",IFERROR(IF(LEFT(C2010,1)="L",INDEX('Leads Pipeline'!$F$5:$F$1004,MATCH(C2010,'Leads Pipeline'!$A$5:$A$1004,0)),INDEX('Active Clients'!$D$5:$D$504,MATCH(C2010,'Active Clients'!$A$5:$A$504,0)))&amp;"","ID not found"))</f>
        <v/>
      </c>
      <c r="E2010" s="51" t="str">
        <f aca="false">IF(C2010="","",IFERROR(IF(LEFT(C2010,1)="L",INDEX('Leads Pipeline'!$D$5:$D$1004,MATCH(C2010,'Leads Pipeline'!$A$5:$A$1004,0)),INDEX('Active Clients'!$B$5:$B$504,MATCH(C2010,'Active Clients'!$A$5:$A$504,0)))&amp;"","ID not found"))</f>
        <v/>
      </c>
      <c r="F2010" s="51" t="str">
        <f aca="false">IF(C2010="","",IFERROR(IF(LEFT(C2010,1)="L",INDEX('Leads Pipeline'!$E$5:$E$1004,MATCH(C2010,'Leads Pipeline'!$A$5:$A$1004,0)),INDEX('Active Clients'!$C$5:$C$504,MATCH(C2010,'Active Clients'!$A$5:$A$504,0)))&amp;"","ID not found"))</f>
        <v/>
      </c>
      <c r="G2010" s="16"/>
      <c r="H2010" s="16"/>
      <c r="I2010" s="16"/>
      <c r="J2010" s="16"/>
      <c r="K2010" s="16"/>
      <c r="L2010" s="18"/>
    </row>
    <row r="2011" customFormat="false" ht="15" hidden="false" customHeight="false" outlineLevel="0" collapsed="false">
      <c r="A2011" s="18"/>
      <c r="B2011" s="16"/>
      <c r="C2011" s="16"/>
      <c r="D2011" s="51" t="str">
        <f aca="false">IF(C2011="","",IFERROR(IF(LEFT(C2011,1)="L",INDEX('Leads Pipeline'!$F$5:$F$1004,MATCH(C2011,'Leads Pipeline'!$A$5:$A$1004,0)),INDEX('Active Clients'!$D$5:$D$504,MATCH(C2011,'Active Clients'!$A$5:$A$504,0)))&amp;"","ID not found"))</f>
        <v/>
      </c>
      <c r="E2011" s="51" t="str">
        <f aca="false">IF(C2011="","",IFERROR(IF(LEFT(C2011,1)="L",INDEX('Leads Pipeline'!$D$5:$D$1004,MATCH(C2011,'Leads Pipeline'!$A$5:$A$1004,0)),INDEX('Active Clients'!$B$5:$B$504,MATCH(C2011,'Active Clients'!$A$5:$A$504,0)))&amp;"","ID not found"))</f>
        <v/>
      </c>
      <c r="F2011" s="51" t="str">
        <f aca="false">IF(C2011="","",IFERROR(IF(LEFT(C2011,1)="L",INDEX('Leads Pipeline'!$E$5:$E$1004,MATCH(C2011,'Leads Pipeline'!$A$5:$A$1004,0)),INDEX('Active Clients'!$C$5:$C$504,MATCH(C2011,'Active Clients'!$A$5:$A$504,0)))&amp;"","ID not found"))</f>
        <v/>
      </c>
      <c r="G2011" s="16"/>
      <c r="H2011" s="16"/>
      <c r="I2011" s="16"/>
      <c r="J2011" s="16"/>
      <c r="K2011" s="16"/>
      <c r="L2011" s="18"/>
    </row>
    <row r="2012" customFormat="false" ht="15" hidden="false" customHeight="false" outlineLevel="0" collapsed="false">
      <c r="A2012" s="18"/>
      <c r="B2012" s="16"/>
      <c r="C2012" s="16"/>
      <c r="D2012" s="51" t="str">
        <f aca="false">IF(C2012="","",IFERROR(IF(LEFT(C2012,1)="L",INDEX('Leads Pipeline'!$F$5:$F$1004,MATCH(C2012,'Leads Pipeline'!$A$5:$A$1004,0)),INDEX('Active Clients'!$D$5:$D$504,MATCH(C2012,'Active Clients'!$A$5:$A$504,0)))&amp;"","ID not found"))</f>
        <v/>
      </c>
      <c r="E2012" s="51" t="str">
        <f aca="false">IF(C2012="","",IFERROR(IF(LEFT(C2012,1)="L",INDEX('Leads Pipeline'!$D$5:$D$1004,MATCH(C2012,'Leads Pipeline'!$A$5:$A$1004,0)),INDEX('Active Clients'!$B$5:$B$504,MATCH(C2012,'Active Clients'!$A$5:$A$504,0)))&amp;"","ID not found"))</f>
        <v/>
      </c>
      <c r="F2012" s="51" t="str">
        <f aca="false">IF(C2012="","",IFERROR(IF(LEFT(C2012,1)="L",INDEX('Leads Pipeline'!$E$5:$E$1004,MATCH(C2012,'Leads Pipeline'!$A$5:$A$1004,0)),INDEX('Active Clients'!$C$5:$C$504,MATCH(C2012,'Active Clients'!$A$5:$A$504,0)))&amp;"","ID not found"))</f>
        <v/>
      </c>
      <c r="G2012" s="16"/>
      <c r="H2012" s="16"/>
      <c r="I2012" s="16"/>
      <c r="J2012" s="16"/>
      <c r="K2012" s="16"/>
      <c r="L2012" s="18"/>
    </row>
    <row r="2013" customFormat="false" ht="15" hidden="false" customHeight="false" outlineLevel="0" collapsed="false">
      <c r="A2013" s="18"/>
      <c r="B2013" s="16"/>
      <c r="C2013" s="16"/>
      <c r="D2013" s="51" t="str">
        <f aca="false">IF(C2013="","",IFERROR(IF(LEFT(C2013,1)="L",INDEX('Leads Pipeline'!$F$5:$F$1004,MATCH(C2013,'Leads Pipeline'!$A$5:$A$1004,0)),INDEX('Active Clients'!$D$5:$D$504,MATCH(C2013,'Active Clients'!$A$5:$A$504,0)))&amp;"","ID not found"))</f>
        <v/>
      </c>
      <c r="E2013" s="51" t="str">
        <f aca="false">IF(C2013="","",IFERROR(IF(LEFT(C2013,1)="L",INDEX('Leads Pipeline'!$D$5:$D$1004,MATCH(C2013,'Leads Pipeline'!$A$5:$A$1004,0)),INDEX('Active Clients'!$B$5:$B$504,MATCH(C2013,'Active Clients'!$A$5:$A$504,0)))&amp;"","ID not found"))</f>
        <v/>
      </c>
      <c r="F2013" s="51" t="str">
        <f aca="false">IF(C2013="","",IFERROR(IF(LEFT(C2013,1)="L",INDEX('Leads Pipeline'!$E$5:$E$1004,MATCH(C2013,'Leads Pipeline'!$A$5:$A$1004,0)),INDEX('Active Clients'!$C$5:$C$504,MATCH(C2013,'Active Clients'!$A$5:$A$504,0)))&amp;"","ID not found"))</f>
        <v/>
      </c>
      <c r="G2013" s="16"/>
      <c r="H2013" s="16"/>
      <c r="I2013" s="16"/>
      <c r="J2013" s="16"/>
      <c r="K2013" s="16"/>
      <c r="L2013" s="18"/>
    </row>
    <row r="2014" customFormat="false" ht="15" hidden="false" customHeight="false" outlineLevel="0" collapsed="false">
      <c r="A2014" s="18"/>
      <c r="B2014" s="16"/>
      <c r="C2014" s="16"/>
      <c r="D2014" s="51" t="str">
        <f aca="false">IF(C2014="","",IFERROR(IF(LEFT(C2014,1)="L",INDEX('Leads Pipeline'!$F$5:$F$1004,MATCH(C2014,'Leads Pipeline'!$A$5:$A$1004,0)),INDEX('Active Clients'!$D$5:$D$504,MATCH(C2014,'Active Clients'!$A$5:$A$504,0)))&amp;"","ID not found"))</f>
        <v/>
      </c>
      <c r="E2014" s="51" t="str">
        <f aca="false">IF(C2014="","",IFERROR(IF(LEFT(C2014,1)="L",INDEX('Leads Pipeline'!$D$5:$D$1004,MATCH(C2014,'Leads Pipeline'!$A$5:$A$1004,0)),INDEX('Active Clients'!$B$5:$B$504,MATCH(C2014,'Active Clients'!$A$5:$A$504,0)))&amp;"","ID not found"))</f>
        <v/>
      </c>
      <c r="F2014" s="51" t="str">
        <f aca="false">IF(C2014="","",IFERROR(IF(LEFT(C2014,1)="L",INDEX('Leads Pipeline'!$E$5:$E$1004,MATCH(C2014,'Leads Pipeline'!$A$5:$A$1004,0)),INDEX('Active Clients'!$C$5:$C$504,MATCH(C2014,'Active Clients'!$A$5:$A$504,0)))&amp;"","ID not found"))</f>
        <v/>
      </c>
      <c r="G2014" s="16"/>
      <c r="H2014" s="16"/>
      <c r="I2014" s="16"/>
      <c r="J2014" s="16"/>
      <c r="K2014" s="16"/>
      <c r="L2014" s="18"/>
    </row>
    <row r="2015" customFormat="false" ht="15" hidden="false" customHeight="false" outlineLevel="0" collapsed="false">
      <c r="A2015" s="18"/>
      <c r="B2015" s="16"/>
      <c r="C2015" s="16"/>
      <c r="D2015" s="51" t="str">
        <f aca="false">IF(C2015="","",IFERROR(IF(LEFT(C2015,1)="L",INDEX('Leads Pipeline'!$F$5:$F$1004,MATCH(C2015,'Leads Pipeline'!$A$5:$A$1004,0)),INDEX('Active Clients'!$D$5:$D$504,MATCH(C2015,'Active Clients'!$A$5:$A$504,0)))&amp;"","ID not found"))</f>
        <v/>
      </c>
      <c r="E2015" s="51" t="str">
        <f aca="false">IF(C2015="","",IFERROR(IF(LEFT(C2015,1)="L",INDEX('Leads Pipeline'!$D$5:$D$1004,MATCH(C2015,'Leads Pipeline'!$A$5:$A$1004,0)),INDEX('Active Clients'!$B$5:$B$504,MATCH(C2015,'Active Clients'!$A$5:$A$504,0)))&amp;"","ID not found"))</f>
        <v/>
      </c>
      <c r="F2015" s="51" t="str">
        <f aca="false">IF(C2015="","",IFERROR(IF(LEFT(C2015,1)="L",INDEX('Leads Pipeline'!$E$5:$E$1004,MATCH(C2015,'Leads Pipeline'!$A$5:$A$1004,0)),INDEX('Active Clients'!$C$5:$C$504,MATCH(C2015,'Active Clients'!$A$5:$A$504,0)))&amp;"","ID not found"))</f>
        <v/>
      </c>
      <c r="G2015" s="16"/>
      <c r="H2015" s="16"/>
      <c r="I2015" s="16"/>
      <c r="J2015" s="16"/>
      <c r="K2015" s="16"/>
      <c r="L2015" s="18"/>
    </row>
    <row r="2016" customFormat="false" ht="15" hidden="false" customHeight="false" outlineLevel="0" collapsed="false">
      <c r="A2016" s="18"/>
      <c r="B2016" s="16"/>
      <c r="C2016" s="16"/>
      <c r="D2016" s="51" t="str">
        <f aca="false">IF(C2016="","",IFERROR(IF(LEFT(C2016,1)="L",INDEX('Leads Pipeline'!$F$5:$F$1004,MATCH(C2016,'Leads Pipeline'!$A$5:$A$1004,0)),INDEX('Active Clients'!$D$5:$D$504,MATCH(C2016,'Active Clients'!$A$5:$A$504,0)))&amp;"","ID not found"))</f>
        <v/>
      </c>
      <c r="E2016" s="51" t="str">
        <f aca="false">IF(C2016="","",IFERROR(IF(LEFT(C2016,1)="L",INDEX('Leads Pipeline'!$D$5:$D$1004,MATCH(C2016,'Leads Pipeline'!$A$5:$A$1004,0)),INDEX('Active Clients'!$B$5:$B$504,MATCH(C2016,'Active Clients'!$A$5:$A$504,0)))&amp;"","ID not found"))</f>
        <v/>
      </c>
      <c r="F2016" s="51" t="str">
        <f aca="false">IF(C2016="","",IFERROR(IF(LEFT(C2016,1)="L",INDEX('Leads Pipeline'!$E$5:$E$1004,MATCH(C2016,'Leads Pipeline'!$A$5:$A$1004,0)),INDEX('Active Clients'!$C$5:$C$504,MATCH(C2016,'Active Clients'!$A$5:$A$504,0)))&amp;"","ID not found"))</f>
        <v/>
      </c>
      <c r="G2016" s="16"/>
      <c r="H2016" s="16"/>
      <c r="I2016" s="16"/>
      <c r="J2016" s="16"/>
      <c r="K2016" s="16"/>
      <c r="L2016" s="18"/>
    </row>
    <row r="2017" customFormat="false" ht="15" hidden="false" customHeight="false" outlineLevel="0" collapsed="false">
      <c r="A2017" s="18"/>
      <c r="B2017" s="16"/>
      <c r="C2017" s="16"/>
      <c r="D2017" s="51" t="str">
        <f aca="false">IF(C2017="","",IFERROR(IF(LEFT(C2017,1)="L",INDEX('Leads Pipeline'!$F$5:$F$1004,MATCH(C2017,'Leads Pipeline'!$A$5:$A$1004,0)),INDEX('Active Clients'!$D$5:$D$504,MATCH(C2017,'Active Clients'!$A$5:$A$504,0)))&amp;"","ID not found"))</f>
        <v/>
      </c>
      <c r="E2017" s="51" t="str">
        <f aca="false">IF(C2017="","",IFERROR(IF(LEFT(C2017,1)="L",INDEX('Leads Pipeline'!$D$5:$D$1004,MATCH(C2017,'Leads Pipeline'!$A$5:$A$1004,0)),INDEX('Active Clients'!$B$5:$B$504,MATCH(C2017,'Active Clients'!$A$5:$A$504,0)))&amp;"","ID not found"))</f>
        <v/>
      </c>
      <c r="F2017" s="51" t="str">
        <f aca="false">IF(C2017="","",IFERROR(IF(LEFT(C2017,1)="L",INDEX('Leads Pipeline'!$E$5:$E$1004,MATCH(C2017,'Leads Pipeline'!$A$5:$A$1004,0)),INDEX('Active Clients'!$C$5:$C$504,MATCH(C2017,'Active Clients'!$A$5:$A$504,0)))&amp;"","ID not found"))</f>
        <v/>
      </c>
      <c r="G2017" s="16"/>
      <c r="H2017" s="16"/>
      <c r="I2017" s="16"/>
      <c r="J2017" s="16"/>
      <c r="K2017" s="16"/>
      <c r="L2017" s="18"/>
    </row>
    <row r="2018" customFormat="false" ht="15" hidden="false" customHeight="false" outlineLevel="0" collapsed="false">
      <c r="A2018" s="18"/>
      <c r="B2018" s="16"/>
      <c r="C2018" s="16"/>
      <c r="D2018" s="51" t="str">
        <f aca="false">IF(C2018="","",IFERROR(IF(LEFT(C2018,1)="L",INDEX('Leads Pipeline'!$F$5:$F$1004,MATCH(C2018,'Leads Pipeline'!$A$5:$A$1004,0)),INDEX('Active Clients'!$D$5:$D$504,MATCH(C2018,'Active Clients'!$A$5:$A$504,0)))&amp;"","ID not found"))</f>
        <v/>
      </c>
      <c r="E2018" s="51" t="str">
        <f aca="false">IF(C2018="","",IFERROR(IF(LEFT(C2018,1)="L",INDEX('Leads Pipeline'!$D$5:$D$1004,MATCH(C2018,'Leads Pipeline'!$A$5:$A$1004,0)),INDEX('Active Clients'!$B$5:$B$504,MATCH(C2018,'Active Clients'!$A$5:$A$504,0)))&amp;"","ID not found"))</f>
        <v/>
      </c>
      <c r="F2018" s="51" t="str">
        <f aca="false">IF(C2018="","",IFERROR(IF(LEFT(C2018,1)="L",INDEX('Leads Pipeline'!$E$5:$E$1004,MATCH(C2018,'Leads Pipeline'!$A$5:$A$1004,0)),INDEX('Active Clients'!$C$5:$C$504,MATCH(C2018,'Active Clients'!$A$5:$A$504,0)))&amp;"","ID not found"))</f>
        <v/>
      </c>
      <c r="G2018" s="16"/>
      <c r="H2018" s="16"/>
      <c r="I2018" s="16"/>
      <c r="J2018" s="16"/>
      <c r="K2018" s="16"/>
      <c r="L2018" s="18"/>
    </row>
    <row r="2019" customFormat="false" ht="15" hidden="false" customHeight="false" outlineLevel="0" collapsed="false">
      <c r="A2019" s="18"/>
      <c r="B2019" s="16"/>
      <c r="C2019" s="16"/>
      <c r="D2019" s="51" t="str">
        <f aca="false">IF(C2019="","",IFERROR(IF(LEFT(C2019,1)="L",INDEX('Leads Pipeline'!$F$5:$F$1004,MATCH(C2019,'Leads Pipeline'!$A$5:$A$1004,0)),INDEX('Active Clients'!$D$5:$D$504,MATCH(C2019,'Active Clients'!$A$5:$A$504,0)))&amp;"","ID not found"))</f>
        <v/>
      </c>
      <c r="E2019" s="51" t="str">
        <f aca="false">IF(C2019="","",IFERROR(IF(LEFT(C2019,1)="L",INDEX('Leads Pipeline'!$D$5:$D$1004,MATCH(C2019,'Leads Pipeline'!$A$5:$A$1004,0)),INDEX('Active Clients'!$B$5:$B$504,MATCH(C2019,'Active Clients'!$A$5:$A$504,0)))&amp;"","ID not found"))</f>
        <v/>
      </c>
      <c r="F2019" s="51" t="str">
        <f aca="false">IF(C2019="","",IFERROR(IF(LEFT(C2019,1)="L",INDEX('Leads Pipeline'!$E$5:$E$1004,MATCH(C2019,'Leads Pipeline'!$A$5:$A$1004,0)),INDEX('Active Clients'!$C$5:$C$504,MATCH(C2019,'Active Clients'!$A$5:$A$504,0)))&amp;"","ID not found"))</f>
        <v/>
      </c>
      <c r="G2019" s="16"/>
      <c r="H2019" s="16"/>
      <c r="I2019" s="16"/>
      <c r="J2019" s="16"/>
      <c r="K2019" s="16"/>
      <c r="L2019" s="18"/>
    </row>
    <row r="2020" customFormat="false" ht="15" hidden="false" customHeight="false" outlineLevel="0" collapsed="false">
      <c r="A2020" s="18"/>
      <c r="B2020" s="16"/>
      <c r="C2020" s="16"/>
      <c r="D2020" s="51" t="str">
        <f aca="false">IF(C2020="","",IFERROR(IF(LEFT(C2020,1)="L",INDEX('Leads Pipeline'!$F$5:$F$1004,MATCH(C2020,'Leads Pipeline'!$A$5:$A$1004,0)),INDEX('Active Clients'!$D$5:$D$504,MATCH(C2020,'Active Clients'!$A$5:$A$504,0)))&amp;"","ID not found"))</f>
        <v/>
      </c>
      <c r="E2020" s="51" t="str">
        <f aca="false">IF(C2020="","",IFERROR(IF(LEFT(C2020,1)="L",INDEX('Leads Pipeline'!$D$5:$D$1004,MATCH(C2020,'Leads Pipeline'!$A$5:$A$1004,0)),INDEX('Active Clients'!$B$5:$B$504,MATCH(C2020,'Active Clients'!$A$5:$A$504,0)))&amp;"","ID not found"))</f>
        <v/>
      </c>
      <c r="F2020" s="51" t="str">
        <f aca="false">IF(C2020="","",IFERROR(IF(LEFT(C2020,1)="L",INDEX('Leads Pipeline'!$E$5:$E$1004,MATCH(C2020,'Leads Pipeline'!$A$5:$A$1004,0)),INDEX('Active Clients'!$C$5:$C$504,MATCH(C2020,'Active Clients'!$A$5:$A$504,0)))&amp;"","ID not found"))</f>
        <v/>
      </c>
      <c r="G2020" s="16"/>
      <c r="H2020" s="16"/>
      <c r="I2020" s="16"/>
      <c r="J2020" s="16"/>
      <c r="K2020" s="16"/>
      <c r="L2020" s="18"/>
    </row>
    <row r="2021" customFormat="false" ht="15" hidden="false" customHeight="false" outlineLevel="0" collapsed="false">
      <c r="A2021" s="18"/>
      <c r="B2021" s="16"/>
      <c r="C2021" s="16"/>
      <c r="D2021" s="51" t="str">
        <f aca="false">IF(C2021="","",IFERROR(IF(LEFT(C2021,1)="L",INDEX('Leads Pipeline'!$F$5:$F$1004,MATCH(C2021,'Leads Pipeline'!$A$5:$A$1004,0)),INDEX('Active Clients'!$D$5:$D$504,MATCH(C2021,'Active Clients'!$A$5:$A$504,0)))&amp;"","ID not found"))</f>
        <v/>
      </c>
      <c r="E2021" s="51" t="str">
        <f aca="false">IF(C2021="","",IFERROR(IF(LEFT(C2021,1)="L",INDEX('Leads Pipeline'!$D$5:$D$1004,MATCH(C2021,'Leads Pipeline'!$A$5:$A$1004,0)),INDEX('Active Clients'!$B$5:$B$504,MATCH(C2021,'Active Clients'!$A$5:$A$504,0)))&amp;"","ID not found"))</f>
        <v/>
      </c>
      <c r="F2021" s="51" t="str">
        <f aca="false">IF(C2021="","",IFERROR(IF(LEFT(C2021,1)="L",INDEX('Leads Pipeline'!$E$5:$E$1004,MATCH(C2021,'Leads Pipeline'!$A$5:$A$1004,0)),INDEX('Active Clients'!$C$5:$C$504,MATCH(C2021,'Active Clients'!$A$5:$A$504,0)))&amp;"","ID not found"))</f>
        <v/>
      </c>
      <c r="G2021" s="16"/>
      <c r="H2021" s="16"/>
      <c r="I2021" s="16"/>
      <c r="J2021" s="16"/>
      <c r="K2021" s="16"/>
      <c r="L2021" s="18"/>
    </row>
    <row r="2022" customFormat="false" ht="15" hidden="false" customHeight="false" outlineLevel="0" collapsed="false">
      <c r="A2022" s="18"/>
      <c r="B2022" s="16"/>
      <c r="C2022" s="16"/>
      <c r="D2022" s="51" t="str">
        <f aca="false">IF(C2022="","",IFERROR(IF(LEFT(C2022,1)="L",INDEX('Leads Pipeline'!$F$5:$F$1004,MATCH(C2022,'Leads Pipeline'!$A$5:$A$1004,0)),INDEX('Active Clients'!$D$5:$D$504,MATCH(C2022,'Active Clients'!$A$5:$A$504,0)))&amp;"","ID not found"))</f>
        <v/>
      </c>
      <c r="E2022" s="51" t="str">
        <f aca="false">IF(C2022="","",IFERROR(IF(LEFT(C2022,1)="L",INDEX('Leads Pipeline'!$D$5:$D$1004,MATCH(C2022,'Leads Pipeline'!$A$5:$A$1004,0)),INDEX('Active Clients'!$B$5:$B$504,MATCH(C2022,'Active Clients'!$A$5:$A$504,0)))&amp;"","ID not found"))</f>
        <v/>
      </c>
      <c r="F2022" s="51" t="str">
        <f aca="false">IF(C2022="","",IFERROR(IF(LEFT(C2022,1)="L",INDEX('Leads Pipeline'!$E$5:$E$1004,MATCH(C2022,'Leads Pipeline'!$A$5:$A$1004,0)),INDEX('Active Clients'!$C$5:$C$504,MATCH(C2022,'Active Clients'!$A$5:$A$504,0)))&amp;"","ID not found"))</f>
        <v/>
      </c>
      <c r="G2022" s="16"/>
      <c r="H2022" s="16"/>
      <c r="I2022" s="16"/>
      <c r="J2022" s="16"/>
      <c r="K2022" s="16"/>
      <c r="L2022" s="18"/>
    </row>
    <row r="2023" customFormat="false" ht="15" hidden="false" customHeight="false" outlineLevel="0" collapsed="false">
      <c r="A2023" s="18"/>
      <c r="B2023" s="16"/>
      <c r="C2023" s="16"/>
      <c r="D2023" s="51" t="str">
        <f aca="false">IF(C2023="","",IFERROR(IF(LEFT(C2023,1)="L",INDEX('Leads Pipeline'!$F$5:$F$1004,MATCH(C2023,'Leads Pipeline'!$A$5:$A$1004,0)),INDEX('Active Clients'!$D$5:$D$504,MATCH(C2023,'Active Clients'!$A$5:$A$504,0)))&amp;"","ID not found"))</f>
        <v/>
      </c>
      <c r="E2023" s="51" t="str">
        <f aca="false">IF(C2023="","",IFERROR(IF(LEFT(C2023,1)="L",INDEX('Leads Pipeline'!$D$5:$D$1004,MATCH(C2023,'Leads Pipeline'!$A$5:$A$1004,0)),INDEX('Active Clients'!$B$5:$B$504,MATCH(C2023,'Active Clients'!$A$5:$A$504,0)))&amp;"","ID not found"))</f>
        <v/>
      </c>
      <c r="F2023" s="51" t="str">
        <f aca="false">IF(C2023="","",IFERROR(IF(LEFT(C2023,1)="L",INDEX('Leads Pipeline'!$E$5:$E$1004,MATCH(C2023,'Leads Pipeline'!$A$5:$A$1004,0)),INDEX('Active Clients'!$C$5:$C$504,MATCH(C2023,'Active Clients'!$A$5:$A$504,0)))&amp;"","ID not found"))</f>
        <v/>
      </c>
      <c r="G2023" s="16"/>
      <c r="H2023" s="16"/>
      <c r="I2023" s="16"/>
      <c r="J2023" s="16"/>
      <c r="K2023" s="16"/>
      <c r="L2023" s="18"/>
    </row>
    <row r="2024" customFormat="false" ht="15" hidden="false" customHeight="false" outlineLevel="0" collapsed="false">
      <c r="A2024" s="18"/>
      <c r="B2024" s="16"/>
      <c r="C2024" s="16"/>
      <c r="D2024" s="51" t="str">
        <f aca="false">IF(C2024="","",IFERROR(IF(LEFT(C2024,1)="L",INDEX('Leads Pipeline'!$F$5:$F$1004,MATCH(C2024,'Leads Pipeline'!$A$5:$A$1004,0)),INDEX('Active Clients'!$D$5:$D$504,MATCH(C2024,'Active Clients'!$A$5:$A$504,0)))&amp;"","ID not found"))</f>
        <v/>
      </c>
      <c r="E2024" s="51" t="str">
        <f aca="false">IF(C2024="","",IFERROR(IF(LEFT(C2024,1)="L",INDEX('Leads Pipeline'!$D$5:$D$1004,MATCH(C2024,'Leads Pipeline'!$A$5:$A$1004,0)),INDEX('Active Clients'!$B$5:$B$504,MATCH(C2024,'Active Clients'!$A$5:$A$504,0)))&amp;"","ID not found"))</f>
        <v/>
      </c>
      <c r="F2024" s="51" t="str">
        <f aca="false">IF(C2024="","",IFERROR(IF(LEFT(C2024,1)="L",INDEX('Leads Pipeline'!$E$5:$E$1004,MATCH(C2024,'Leads Pipeline'!$A$5:$A$1004,0)),INDEX('Active Clients'!$C$5:$C$504,MATCH(C2024,'Active Clients'!$A$5:$A$504,0)))&amp;"","ID not found"))</f>
        <v/>
      </c>
      <c r="G2024" s="16"/>
      <c r="H2024" s="16"/>
      <c r="I2024" s="16"/>
      <c r="J2024" s="16"/>
      <c r="K2024" s="16"/>
      <c r="L2024" s="18"/>
    </row>
    <row r="2025" customFormat="false" ht="15" hidden="false" customHeight="false" outlineLevel="0" collapsed="false">
      <c r="A2025" s="18"/>
      <c r="B2025" s="16"/>
      <c r="C2025" s="16"/>
      <c r="D2025" s="51" t="str">
        <f aca="false">IF(C2025="","",IFERROR(IF(LEFT(C2025,1)="L",INDEX('Leads Pipeline'!$F$5:$F$1004,MATCH(C2025,'Leads Pipeline'!$A$5:$A$1004,0)),INDEX('Active Clients'!$D$5:$D$504,MATCH(C2025,'Active Clients'!$A$5:$A$504,0)))&amp;"","ID not found"))</f>
        <v/>
      </c>
      <c r="E2025" s="51" t="str">
        <f aca="false">IF(C2025="","",IFERROR(IF(LEFT(C2025,1)="L",INDEX('Leads Pipeline'!$D$5:$D$1004,MATCH(C2025,'Leads Pipeline'!$A$5:$A$1004,0)),INDEX('Active Clients'!$B$5:$B$504,MATCH(C2025,'Active Clients'!$A$5:$A$504,0)))&amp;"","ID not found"))</f>
        <v/>
      </c>
      <c r="F2025" s="51" t="str">
        <f aca="false">IF(C2025="","",IFERROR(IF(LEFT(C2025,1)="L",INDEX('Leads Pipeline'!$E$5:$E$1004,MATCH(C2025,'Leads Pipeline'!$A$5:$A$1004,0)),INDEX('Active Clients'!$C$5:$C$504,MATCH(C2025,'Active Clients'!$A$5:$A$504,0)))&amp;"","ID not found"))</f>
        <v/>
      </c>
      <c r="G2025" s="16"/>
      <c r="H2025" s="16"/>
      <c r="I2025" s="16"/>
      <c r="J2025" s="16"/>
      <c r="K2025" s="16"/>
      <c r="L2025" s="18"/>
    </row>
    <row r="2026" customFormat="false" ht="15" hidden="false" customHeight="false" outlineLevel="0" collapsed="false">
      <c r="A2026" s="18"/>
      <c r="B2026" s="16"/>
      <c r="C2026" s="16"/>
      <c r="D2026" s="51" t="str">
        <f aca="false">IF(C2026="","",IFERROR(IF(LEFT(C2026,1)="L",INDEX('Leads Pipeline'!$F$5:$F$1004,MATCH(C2026,'Leads Pipeline'!$A$5:$A$1004,0)),INDEX('Active Clients'!$D$5:$D$504,MATCH(C2026,'Active Clients'!$A$5:$A$504,0)))&amp;"","ID not found"))</f>
        <v/>
      </c>
      <c r="E2026" s="51" t="str">
        <f aca="false">IF(C2026="","",IFERROR(IF(LEFT(C2026,1)="L",INDEX('Leads Pipeline'!$D$5:$D$1004,MATCH(C2026,'Leads Pipeline'!$A$5:$A$1004,0)),INDEX('Active Clients'!$B$5:$B$504,MATCH(C2026,'Active Clients'!$A$5:$A$504,0)))&amp;"","ID not found"))</f>
        <v/>
      </c>
      <c r="F2026" s="51" t="str">
        <f aca="false">IF(C2026="","",IFERROR(IF(LEFT(C2026,1)="L",INDEX('Leads Pipeline'!$E$5:$E$1004,MATCH(C2026,'Leads Pipeline'!$A$5:$A$1004,0)),INDEX('Active Clients'!$C$5:$C$504,MATCH(C2026,'Active Clients'!$A$5:$A$504,0)))&amp;"","ID not found"))</f>
        <v/>
      </c>
      <c r="G2026" s="16"/>
      <c r="H2026" s="16"/>
      <c r="I2026" s="16"/>
      <c r="J2026" s="16"/>
      <c r="K2026" s="16"/>
      <c r="L2026" s="18"/>
    </row>
    <row r="2027" customFormat="false" ht="15" hidden="false" customHeight="false" outlineLevel="0" collapsed="false">
      <c r="A2027" s="18"/>
      <c r="B2027" s="16"/>
      <c r="C2027" s="16"/>
      <c r="D2027" s="51" t="str">
        <f aca="false">IF(C2027="","",IFERROR(IF(LEFT(C2027,1)="L",INDEX('Leads Pipeline'!$F$5:$F$1004,MATCH(C2027,'Leads Pipeline'!$A$5:$A$1004,0)),INDEX('Active Clients'!$D$5:$D$504,MATCH(C2027,'Active Clients'!$A$5:$A$504,0)))&amp;"","ID not found"))</f>
        <v/>
      </c>
      <c r="E2027" s="51" t="str">
        <f aca="false">IF(C2027="","",IFERROR(IF(LEFT(C2027,1)="L",INDEX('Leads Pipeline'!$D$5:$D$1004,MATCH(C2027,'Leads Pipeline'!$A$5:$A$1004,0)),INDEX('Active Clients'!$B$5:$B$504,MATCH(C2027,'Active Clients'!$A$5:$A$504,0)))&amp;"","ID not found"))</f>
        <v/>
      </c>
      <c r="F2027" s="51" t="str">
        <f aca="false">IF(C2027="","",IFERROR(IF(LEFT(C2027,1)="L",INDEX('Leads Pipeline'!$E$5:$E$1004,MATCH(C2027,'Leads Pipeline'!$A$5:$A$1004,0)),INDEX('Active Clients'!$C$5:$C$504,MATCH(C2027,'Active Clients'!$A$5:$A$504,0)))&amp;"","ID not found"))</f>
        <v/>
      </c>
      <c r="G2027" s="16"/>
      <c r="H2027" s="16"/>
      <c r="I2027" s="16"/>
      <c r="J2027" s="16"/>
      <c r="K2027" s="16"/>
      <c r="L2027" s="18"/>
    </row>
    <row r="2028" customFormat="false" ht="15" hidden="false" customHeight="false" outlineLevel="0" collapsed="false">
      <c r="A2028" s="18"/>
      <c r="B2028" s="16"/>
      <c r="C2028" s="16"/>
      <c r="D2028" s="51" t="str">
        <f aca="false">IF(C2028="","",IFERROR(IF(LEFT(C2028,1)="L",INDEX('Leads Pipeline'!$F$5:$F$1004,MATCH(C2028,'Leads Pipeline'!$A$5:$A$1004,0)),INDEX('Active Clients'!$D$5:$D$504,MATCH(C2028,'Active Clients'!$A$5:$A$504,0)))&amp;"","ID not found"))</f>
        <v/>
      </c>
      <c r="E2028" s="51" t="str">
        <f aca="false">IF(C2028="","",IFERROR(IF(LEFT(C2028,1)="L",INDEX('Leads Pipeline'!$D$5:$D$1004,MATCH(C2028,'Leads Pipeline'!$A$5:$A$1004,0)),INDEX('Active Clients'!$B$5:$B$504,MATCH(C2028,'Active Clients'!$A$5:$A$504,0)))&amp;"","ID not found"))</f>
        <v/>
      </c>
      <c r="F2028" s="51" t="str">
        <f aca="false">IF(C2028="","",IFERROR(IF(LEFT(C2028,1)="L",INDEX('Leads Pipeline'!$E$5:$E$1004,MATCH(C2028,'Leads Pipeline'!$A$5:$A$1004,0)),INDEX('Active Clients'!$C$5:$C$504,MATCH(C2028,'Active Clients'!$A$5:$A$504,0)))&amp;"","ID not found"))</f>
        <v/>
      </c>
      <c r="G2028" s="16"/>
      <c r="H2028" s="16"/>
      <c r="I2028" s="16"/>
      <c r="J2028" s="16"/>
      <c r="K2028" s="16"/>
      <c r="L2028" s="18"/>
    </row>
    <row r="2029" customFormat="false" ht="15" hidden="false" customHeight="false" outlineLevel="0" collapsed="false">
      <c r="A2029" s="18"/>
      <c r="B2029" s="16"/>
      <c r="C2029" s="16"/>
      <c r="D2029" s="51" t="str">
        <f aca="false">IF(C2029="","",IFERROR(IF(LEFT(C2029,1)="L",INDEX('Leads Pipeline'!$F$5:$F$1004,MATCH(C2029,'Leads Pipeline'!$A$5:$A$1004,0)),INDEX('Active Clients'!$D$5:$D$504,MATCH(C2029,'Active Clients'!$A$5:$A$504,0)))&amp;"","ID not found"))</f>
        <v/>
      </c>
      <c r="E2029" s="51" t="str">
        <f aca="false">IF(C2029="","",IFERROR(IF(LEFT(C2029,1)="L",INDEX('Leads Pipeline'!$D$5:$D$1004,MATCH(C2029,'Leads Pipeline'!$A$5:$A$1004,0)),INDEX('Active Clients'!$B$5:$B$504,MATCH(C2029,'Active Clients'!$A$5:$A$504,0)))&amp;"","ID not found"))</f>
        <v/>
      </c>
      <c r="F2029" s="51" t="str">
        <f aca="false">IF(C2029="","",IFERROR(IF(LEFT(C2029,1)="L",INDEX('Leads Pipeline'!$E$5:$E$1004,MATCH(C2029,'Leads Pipeline'!$A$5:$A$1004,0)),INDEX('Active Clients'!$C$5:$C$504,MATCH(C2029,'Active Clients'!$A$5:$A$504,0)))&amp;"","ID not found"))</f>
        <v/>
      </c>
      <c r="G2029" s="16"/>
      <c r="H2029" s="16"/>
      <c r="I2029" s="16"/>
      <c r="J2029" s="16"/>
      <c r="K2029" s="16"/>
      <c r="L2029" s="18"/>
    </row>
    <row r="2030" customFormat="false" ht="15" hidden="false" customHeight="false" outlineLevel="0" collapsed="false">
      <c r="A2030" s="18"/>
      <c r="B2030" s="16"/>
      <c r="C2030" s="16"/>
      <c r="D2030" s="51" t="str">
        <f aca="false">IF(C2030="","",IFERROR(IF(LEFT(C2030,1)="L",INDEX('Leads Pipeline'!$F$5:$F$1004,MATCH(C2030,'Leads Pipeline'!$A$5:$A$1004,0)),INDEX('Active Clients'!$D$5:$D$504,MATCH(C2030,'Active Clients'!$A$5:$A$504,0)))&amp;"","ID not found"))</f>
        <v/>
      </c>
      <c r="E2030" s="51" t="str">
        <f aca="false">IF(C2030="","",IFERROR(IF(LEFT(C2030,1)="L",INDEX('Leads Pipeline'!$D$5:$D$1004,MATCH(C2030,'Leads Pipeline'!$A$5:$A$1004,0)),INDEX('Active Clients'!$B$5:$B$504,MATCH(C2030,'Active Clients'!$A$5:$A$504,0)))&amp;"","ID not found"))</f>
        <v/>
      </c>
      <c r="F2030" s="51" t="str">
        <f aca="false">IF(C2030="","",IFERROR(IF(LEFT(C2030,1)="L",INDEX('Leads Pipeline'!$E$5:$E$1004,MATCH(C2030,'Leads Pipeline'!$A$5:$A$1004,0)),INDEX('Active Clients'!$C$5:$C$504,MATCH(C2030,'Active Clients'!$A$5:$A$504,0)))&amp;"","ID not found"))</f>
        <v/>
      </c>
      <c r="G2030" s="16"/>
      <c r="H2030" s="16"/>
      <c r="I2030" s="16"/>
      <c r="J2030" s="16"/>
      <c r="K2030" s="16"/>
      <c r="L2030" s="18"/>
    </row>
    <row r="2031" customFormat="false" ht="15" hidden="false" customHeight="false" outlineLevel="0" collapsed="false">
      <c r="A2031" s="18"/>
      <c r="B2031" s="16"/>
      <c r="C2031" s="16"/>
      <c r="D2031" s="51" t="str">
        <f aca="false">IF(C2031="","",IFERROR(IF(LEFT(C2031,1)="L",INDEX('Leads Pipeline'!$F$5:$F$1004,MATCH(C2031,'Leads Pipeline'!$A$5:$A$1004,0)),INDEX('Active Clients'!$D$5:$D$504,MATCH(C2031,'Active Clients'!$A$5:$A$504,0)))&amp;"","ID not found"))</f>
        <v/>
      </c>
      <c r="E2031" s="51" t="str">
        <f aca="false">IF(C2031="","",IFERROR(IF(LEFT(C2031,1)="L",INDEX('Leads Pipeline'!$D$5:$D$1004,MATCH(C2031,'Leads Pipeline'!$A$5:$A$1004,0)),INDEX('Active Clients'!$B$5:$B$504,MATCH(C2031,'Active Clients'!$A$5:$A$504,0)))&amp;"","ID not found"))</f>
        <v/>
      </c>
      <c r="F2031" s="51" t="str">
        <f aca="false">IF(C2031="","",IFERROR(IF(LEFT(C2031,1)="L",INDEX('Leads Pipeline'!$E$5:$E$1004,MATCH(C2031,'Leads Pipeline'!$A$5:$A$1004,0)),INDEX('Active Clients'!$C$5:$C$504,MATCH(C2031,'Active Clients'!$A$5:$A$504,0)))&amp;"","ID not found"))</f>
        <v/>
      </c>
      <c r="G2031" s="16"/>
      <c r="H2031" s="16"/>
      <c r="I2031" s="16"/>
      <c r="J2031" s="16"/>
      <c r="K2031" s="16"/>
      <c r="L2031" s="18"/>
    </row>
    <row r="2032" customFormat="false" ht="15" hidden="false" customHeight="false" outlineLevel="0" collapsed="false">
      <c r="A2032" s="18"/>
      <c r="B2032" s="16"/>
      <c r="C2032" s="16"/>
      <c r="D2032" s="51" t="str">
        <f aca="false">IF(C2032="","",IFERROR(IF(LEFT(C2032,1)="L",INDEX('Leads Pipeline'!$F$5:$F$1004,MATCH(C2032,'Leads Pipeline'!$A$5:$A$1004,0)),INDEX('Active Clients'!$D$5:$D$504,MATCH(C2032,'Active Clients'!$A$5:$A$504,0)))&amp;"","ID not found"))</f>
        <v/>
      </c>
      <c r="E2032" s="51" t="str">
        <f aca="false">IF(C2032="","",IFERROR(IF(LEFT(C2032,1)="L",INDEX('Leads Pipeline'!$D$5:$D$1004,MATCH(C2032,'Leads Pipeline'!$A$5:$A$1004,0)),INDEX('Active Clients'!$B$5:$B$504,MATCH(C2032,'Active Clients'!$A$5:$A$504,0)))&amp;"","ID not found"))</f>
        <v/>
      </c>
      <c r="F2032" s="51" t="str">
        <f aca="false">IF(C2032="","",IFERROR(IF(LEFT(C2032,1)="L",INDEX('Leads Pipeline'!$E$5:$E$1004,MATCH(C2032,'Leads Pipeline'!$A$5:$A$1004,0)),INDEX('Active Clients'!$C$5:$C$504,MATCH(C2032,'Active Clients'!$A$5:$A$504,0)))&amp;"","ID not found"))</f>
        <v/>
      </c>
      <c r="G2032" s="16"/>
      <c r="H2032" s="16"/>
      <c r="I2032" s="16"/>
      <c r="J2032" s="16"/>
      <c r="K2032" s="16"/>
      <c r="L2032" s="18"/>
    </row>
    <row r="2033" customFormat="false" ht="15" hidden="false" customHeight="false" outlineLevel="0" collapsed="false">
      <c r="A2033" s="18"/>
      <c r="B2033" s="16"/>
      <c r="C2033" s="16"/>
      <c r="D2033" s="51" t="str">
        <f aca="false">IF(C2033="","",IFERROR(IF(LEFT(C2033,1)="L",INDEX('Leads Pipeline'!$F$5:$F$1004,MATCH(C2033,'Leads Pipeline'!$A$5:$A$1004,0)),INDEX('Active Clients'!$D$5:$D$504,MATCH(C2033,'Active Clients'!$A$5:$A$504,0)))&amp;"","ID not found"))</f>
        <v/>
      </c>
      <c r="E2033" s="51" t="str">
        <f aca="false">IF(C2033="","",IFERROR(IF(LEFT(C2033,1)="L",INDEX('Leads Pipeline'!$D$5:$D$1004,MATCH(C2033,'Leads Pipeline'!$A$5:$A$1004,0)),INDEX('Active Clients'!$B$5:$B$504,MATCH(C2033,'Active Clients'!$A$5:$A$504,0)))&amp;"","ID not found"))</f>
        <v/>
      </c>
      <c r="F2033" s="51" t="str">
        <f aca="false">IF(C2033="","",IFERROR(IF(LEFT(C2033,1)="L",INDEX('Leads Pipeline'!$E$5:$E$1004,MATCH(C2033,'Leads Pipeline'!$A$5:$A$1004,0)),INDEX('Active Clients'!$C$5:$C$504,MATCH(C2033,'Active Clients'!$A$5:$A$504,0)))&amp;"","ID not found"))</f>
        <v/>
      </c>
      <c r="G2033" s="16"/>
      <c r="H2033" s="16"/>
      <c r="I2033" s="16"/>
      <c r="J2033" s="16"/>
      <c r="K2033" s="16"/>
      <c r="L2033" s="18"/>
    </row>
    <row r="2034" customFormat="false" ht="15" hidden="false" customHeight="false" outlineLevel="0" collapsed="false">
      <c r="A2034" s="18"/>
      <c r="B2034" s="16"/>
      <c r="C2034" s="16"/>
      <c r="D2034" s="51" t="str">
        <f aca="false">IF(C2034="","",IFERROR(IF(LEFT(C2034,1)="L",INDEX('Leads Pipeline'!$F$5:$F$1004,MATCH(C2034,'Leads Pipeline'!$A$5:$A$1004,0)),INDEX('Active Clients'!$D$5:$D$504,MATCH(C2034,'Active Clients'!$A$5:$A$504,0)))&amp;"","ID not found"))</f>
        <v/>
      </c>
      <c r="E2034" s="51" t="str">
        <f aca="false">IF(C2034="","",IFERROR(IF(LEFT(C2034,1)="L",INDEX('Leads Pipeline'!$D$5:$D$1004,MATCH(C2034,'Leads Pipeline'!$A$5:$A$1004,0)),INDEX('Active Clients'!$B$5:$B$504,MATCH(C2034,'Active Clients'!$A$5:$A$504,0)))&amp;"","ID not found"))</f>
        <v/>
      </c>
      <c r="F2034" s="51" t="str">
        <f aca="false">IF(C2034="","",IFERROR(IF(LEFT(C2034,1)="L",INDEX('Leads Pipeline'!$E$5:$E$1004,MATCH(C2034,'Leads Pipeline'!$A$5:$A$1004,0)),INDEX('Active Clients'!$C$5:$C$504,MATCH(C2034,'Active Clients'!$A$5:$A$504,0)))&amp;"","ID not found"))</f>
        <v/>
      </c>
      <c r="G2034" s="16"/>
      <c r="H2034" s="16"/>
      <c r="I2034" s="16"/>
      <c r="J2034" s="16"/>
      <c r="K2034" s="16"/>
      <c r="L2034" s="18"/>
    </row>
    <row r="2035" customFormat="false" ht="15" hidden="false" customHeight="false" outlineLevel="0" collapsed="false">
      <c r="A2035" s="18"/>
      <c r="B2035" s="16"/>
      <c r="C2035" s="16"/>
      <c r="D2035" s="51" t="str">
        <f aca="false">IF(C2035="","",IFERROR(IF(LEFT(C2035,1)="L",INDEX('Leads Pipeline'!$F$5:$F$1004,MATCH(C2035,'Leads Pipeline'!$A$5:$A$1004,0)),INDEX('Active Clients'!$D$5:$D$504,MATCH(C2035,'Active Clients'!$A$5:$A$504,0)))&amp;"","ID not found"))</f>
        <v/>
      </c>
      <c r="E2035" s="51" t="str">
        <f aca="false">IF(C2035="","",IFERROR(IF(LEFT(C2035,1)="L",INDEX('Leads Pipeline'!$D$5:$D$1004,MATCH(C2035,'Leads Pipeline'!$A$5:$A$1004,0)),INDEX('Active Clients'!$B$5:$B$504,MATCH(C2035,'Active Clients'!$A$5:$A$504,0)))&amp;"","ID not found"))</f>
        <v/>
      </c>
      <c r="F2035" s="51" t="str">
        <f aca="false">IF(C2035="","",IFERROR(IF(LEFT(C2035,1)="L",INDEX('Leads Pipeline'!$E$5:$E$1004,MATCH(C2035,'Leads Pipeline'!$A$5:$A$1004,0)),INDEX('Active Clients'!$C$5:$C$504,MATCH(C2035,'Active Clients'!$A$5:$A$504,0)))&amp;"","ID not found"))</f>
        <v/>
      </c>
      <c r="G2035" s="16"/>
      <c r="H2035" s="16"/>
      <c r="I2035" s="16"/>
      <c r="J2035" s="16"/>
      <c r="K2035" s="16"/>
      <c r="L2035" s="18"/>
    </row>
    <row r="2036" customFormat="false" ht="15" hidden="false" customHeight="false" outlineLevel="0" collapsed="false">
      <c r="A2036" s="18"/>
      <c r="B2036" s="16"/>
      <c r="C2036" s="16"/>
      <c r="D2036" s="51" t="str">
        <f aca="false">IF(C2036="","",IFERROR(IF(LEFT(C2036,1)="L",INDEX('Leads Pipeline'!$F$5:$F$1004,MATCH(C2036,'Leads Pipeline'!$A$5:$A$1004,0)),INDEX('Active Clients'!$D$5:$D$504,MATCH(C2036,'Active Clients'!$A$5:$A$504,0)))&amp;"","ID not found"))</f>
        <v/>
      </c>
      <c r="E2036" s="51" t="str">
        <f aca="false">IF(C2036="","",IFERROR(IF(LEFT(C2036,1)="L",INDEX('Leads Pipeline'!$D$5:$D$1004,MATCH(C2036,'Leads Pipeline'!$A$5:$A$1004,0)),INDEX('Active Clients'!$B$5:$B$504,MATCH(C2036,'Active Clients'!$A$5:$A$504,0)))&amp;"","ID not found"))</f>
        <v/>
      </c>
      <c r="F2036" s="51" t="str">
        <f aca="false">IF(C2036="","",IFERROR(IF(LEFT(C2036,1)="L",INDEX('Leads Pipeline'!$E$5:$E$1004,MATCH(C2036,'Leads Pipeline'!$A$5:$A$1004,0)),INDEX('Active Clients'!$C$5:$C$504,MATCH(C2036,'Active Clients'!$A$5:$A$504,0)))&amp;"","ID not found"))</f>
        <v/>
      </c>
      <c r="G2036" s="16"/>
      <c r="H2036" s="16"/>
      <c r="I2036" s="16"/>
      <c r="J2036" s="16"/>
      <c r="K2036" s="16"/>
      <c r="L2036" s="18"/>
    </row>
    <row r="2037" customFormat="false" ht="15" hidden="false" customHeight="false" outlineLevel="0" collapsed="false">
      <c r="A2037" s="18"/>
      <c r="B2037" s="16"/>
      <c r="C2037" s="16"/>
      <c r="D2037" s="51" t="str">
        <f aca="false">IF(C2037="","",IFERROR(IF(LEFT(C2037,1)="L",INDEX('Leads Pipeline'!$F$5:$F$1004,MATCH(C2037,'Leads Pipeline'!$A$5:$A$1004,0)),INDEX('Active Clients'!$D$5:$D$504,MATCH(C2037,'Active Clients'!$A$5:$A$504,0)))&amp;"","ID not found"))</f>
        <v/>
      </c>
      <c r="E2037" s="51" t="str">
        <f aca="false">IF(C2037="","",IFERROR(IF(LEFT(C2037,1)="L",INDEX('Leads Pipeline'!$D$5:$D$1004,MATCH(C2037,'Leads Pipeline'!$A$5:$A$1004,0)),INDEX('Active Clients'!$B$5:$B$504,MATCH(C2037,'Active Clients'!$A$5:$A$504,0)))&amp;"","ID not found"))</f>
        <v/>
      </c>
      <c r="F2037" s="51" t="str">
        <f aca="false">IF(C2037="","",IFERROR(IF(LEFT(C2037,1)="L",INDEX('Leads Pipeline'!$E$5:$E$1004,MATCH(C2037,'Leads Pipeline'!$A$5:$A$1004,0)),INDEX('Active Clients'!$C$5:$C$504,MATCH(C2037,'Active Clients'!$A$5:$A$504,0)))&amp;"","ID not found"))</f>
        <v/>
      </c>
      <c r="G2037" s="16"/>
      <c r="H2037" s="16"/>
      <c r="I2037" s="16"/>
      <c r="J2037" s="16"/>
      <c r="K2037" s="16"/>
      <c r="L2037" s="18"/>
    </row>
    <row r="2038" customFormat="false" ht="15" hidden="false" customHeight="false" outlineLevel="0" collapsed="false">
      <c r="A2038" s="18"/>
      <c r="B2038" s="16"/>
      <c r="C2038" s="16"/>
      <c r="D2038" s="51" t="str">
        <f aca="false">IF(C2038="","",IFERROR(IF(LEFT(C2038,1)="L",INDEX('Leads Pipeline'!$F$5:$F$1004,MATCH(C2038,'Leads Pipeline'!$A$5:$A$1004,0)),INDEX('Active Clients'!$D$5:$D$504,MATCH(C2038,'Active Clients'!$A$5:$A$504,0)))&amp;"","ID not found"))</f>
        <v/>
      </c>
      <c r="E2038" s="51" t="str">
        <f aca="false">IF(C2038="","",IFERROR(IF(LEFT(C2038,1)="L",INDEX('Leads Pipeline'!$D$5:$D$1004,MATCH(C2038,'Leads Pipeline'!$A$5:$A$1004,0)),INDEX('Active Clients'!$B$5:$B$504,MATCH(C2038,'Active Clients'!$A$5:$A$504,0)))&amp;"","ID not found"))</f>
        <v/>
      </c>
      <c r="F2038" s="51" t="str">
        <f aca="false">IF(C2038="","",IFERROR(IF(LEFT(C2038,1)="L",INDEX('Leads Pipeline'!$E$5:$E$1004,MATCH(C2038,'Leads Pipeline'!$A$5:$A$1004,0)),INDEX('Active Clients'!$C$5:$C$504,MATCH(C2038,'Active Clients'!$A$5:$A$504,0)))&amp;"","ID not found"))</f>
        <v/>
      </c>
      <c r="G2038" s="16"/>
      <c r="H2038" s="16"/>
      <c r="I2038" s="16"/>
      <c r="J2038" s="16"/>
      <c r="K2038" s="16"/>
      <c r="L2038" s="18"/>
    </row>
    <row r="2039" customFormat="false" ht="15" hidden="false" customHeight="false" outlineLevel="0" collapsed="false">
      <c r="A2039" s="18"/>
      <c r="B2039" s="16"/>
      <c r="C2039" s="16"/>
      <c r="D2039" s="51" t="str">
        <f aca="false">IF(C2039="","",IFERROR(IF(LEFT(C2039,1)="L",INDEX('Leads Pipeline'!$F$5:$F$1004,MATCH(C2039,'Leads Pipeline'!$A$5:$A$1004,0)),INDEX('Active Clients'!$D$5:$D$504,MATCH(C2039,'Active Clients'!$A$5:$A$504,0)))&amp;"","ID not found"))</f>
        <v/>
      </c>
      <c r="E2039" s="51" t="str">
        <f aca="false">IF(C2039="","",IFERROR(IF(LEFT(C2039,1)="L",INDEX('Leads Pipeline'!$D$5:$D$1004,MATCH(C2039,'Leads Pipeline'!$A$5:$A$1004,0)),INDEX('Active Clients'!$B$5:$B$504,MATCH(C2039,'Active Clients'!$A$5:$A$504,0)))&amp;"","ID not found"))</f>
        <v/>
      </c>
      <c r="F2039" s="51" t="str">
        <f aca="false">IF(C2039="","",IFERROR(IF(LEFT(C2039,1)="L",INDEX('Leads Pipeline'!$E$5:$E$1004,MATCH(C2039,'Leads Pipeline'!$A$5:$A$1004,0)),INDEX('Active Clients'!$C$5:$C$504,MATCH(C2039,'Active Clients'!$A$5:$A$504,0)))&amp;"","ID not found"))</f>
        <v/>
      </c>
      <c r="G2039" s="16"/>
      <c r="H2039" s="16"/>
      <c r="I2039" s="16"/>
      <c r="J2039" s="16"/>
      <c r="K2039" s="16"/>
      <c r="L2039" s="18"/>
    </row>
    <row r="2040" customFormat="false" ht="15" hidden="false" customHeight="false" outlineLevel="0" collapsed="false">
      <c r="A2040" s="18"/>
      <c r="B2040" s="16"/>
      <c r="C2040" s="16"/>
      <c r="D2040" s="51" t="str">
        <f aca="false">IF(C2040="","",IFERROR(IF(LEFT(C2040,1)="L",INDEX('Leads Pipeline'!$F$5:$F$1004,MATCH(C2040,'Leads Pipeline'!$A$5:$A$1004,0)),INDEX('Active Clients'!$D$5:$D$504,MATCH(C2040,'Active Clients'!$A$5:$A$504,0)))&amp;"","ID not found"))</f>
        <v/>
      </c>
      <c r="E2040" s="51" t="str">
        <f aca="false">IF(C2040="","",IFERROR(IF(LEFT(C2040,1)="L",INDEX('Leads Pipeline'!$D$5:$D$1004,MATCH(C2040,'Leads Pipeline'!$A$5:$A$1004,0)),INDEX('Active Clients'!$B$5:$B$504,MATCH(C2040,'Active Clients'!$A$5:$A$504,0)))&amp;"","ID not found"))</f>
        <v/>
      </c>
      <c r="F2040" s="51" t="str">
        <f aca="false">IF(C2040="","",IFERROR(IF(LEFT(C2040,1)="L",INDEX('Leads Pipeline'!$E$5:$E$1004,MATCH(C2040,'Leads Pipeline'!$A$5:$A$1004,0)),INDEX('Active Clients'!$C$5:$C$504,MATCH(C2040,'Active Clients'!$A$5:$A$504,0)))&amp;"","ID not found"))</f>
        <v/>
      </c>
      <c r="G2040" s="16"/>
      <c r="H2040" s="16"/>
      <c r="I2040" s="16"/>
      <c r="J2040" s="16"/>
      <c r="K2040" s="16"/>
      <c r="L2040" s="18"/>
    </row>
    <row r="2041" customFormat="false" ht="15" hidden="false" customHeight="false" outlineLevel="0" collapsed="false">
      <c r="A2041" s="18"/>
      <c r="B2041" s="16"/>
      <c r="C2041" s="16"/>
      <c r="D2041" s="51" t="str">
        <f aca="false">IF(C2041="","",IFERROR(IF(LEFT(C2041,1)="L",INDEX('Leads Pipeline'!$F$5:$F$1004,MATCH(C2041,'Leads Pipeline'!$A$5:$A$1004,0)),INDEX('Active Clients'!$D$5:$D$504,MATCH(C2041,'Active Clients'!$A$5:$A$504,0)))&amp;"","ID not found"))</f>
        <v/>
      </c>
      <c r="E2041" s="51" t="str">
        <f aca="false">IF(C2041="","",IFERROR(IF(LEFT(C2041,1)="L",INDEX('Leads Pipeline'!$D$5:$D$1004,MATCH(C2041,'Leads Pipeline'!$A$5:$A$1004,0)),INDEX('Active Clients'!$B$5:$B$504,MATCH(C2041,'Active Clients'!$A$5:$A$504,0)))&amp;"","ID not found"))</f>
        <v/>
      </c>
      <c r="F2041" s="51" t="str">
        <f aca="false">IF(C2041="","",IFERROR(IF(LEFT(C2041,1)="L",INDEX('Leads Pipeline'!$E$5:$E$1004,MATCH(C2041,'Leads Pipeline'!$A$5:$A$1004,0)),INDEX('Active Clients'!$C$5:$C$504,MATCH(C2041,'Active Clients'!$A$5:$A$504,0)))&amp;"","ID not found"))</f>
        <v/>
      </c>
      <c r="G2041" s="16"/>
      <c r="H2041" s="16"/>
      <c r="I2041" s="16"/>
      <c r="J2041" s="16"/>
      <c r="K2041" s="16"/>
      <c r="L2041" s="18"/>
    </row>
    <row r="2042" customFormat="false" ht="15" hidden="false" customHeight="false" outlineLevel="0" collapsed="false">
      <c r="A2042" s="18"/>
      <c r="B2042" s="16"/>
      <c r="C2042" s="16"/>
      <c r="D2042" s="51" t="str">
        <f aca="false">IF(C2042="","",IFERROR(IF(LEFT(C2042,1)="L",INDEX('Leads Pipeline'!$F$5:$F$1004,MATCH(C2042,'Leads Pipeline'!$A$5:$A$1004,0)),INDEX('Active Clients'!$D$5:$D$504,MATCH(C2042,'Active Clients'!$A$5:$A$504,0)))&amp;"","ID not found"))</f>
        <v/>
      </c>
      <c r="E2042" s="51" t="str">
        <f aca="false">IF(C2042="","",IFERROR(IF(LEFT(C2042,1)="L",INDEX('Leads Pipeline'!$D$5:$D$1004,MATCH(C2042,'Leads Pipeline'!$A$5:$A$1004,0)),INDEX('Active Clients'!$B$5:$B$504,MATCH(C2042,'Active Clients'!$A$5:$A$504,0)))&amp;"","ID not found"))</f>
        <v/>
      </c>
      <c r="F2042" s="51" t="str">
        <f aca="false">IF(C2042="","",IFERROR(IF(LEFT(C2042,1)="L",INDEX('Leads Pipeline'!$E$5:$E$1004,MATCH(C2042,'Leads Pipeline'!$A$5:$A$1004,0)),INDEX('Active Clients'!$C$5:$C$504,MATCH(C2042,'Active Clients'!$A$5:$A$504,0)))&amp;"","ID not found"))</f>
        <v/>
      </c>
      <c r="G2042" s="16"/>
      <c r="H2042" s="16"/>
      <c r="I2042" s="16"/>
      <c r="J2042" s="16"/>
      <c r="K2042" s="16"/>
      <c r="L2042" s="18"/>
    </row>
    <row r="2043" customFormat="false" ht="15" hidden="false" customHeight="false" outlineLevel="0" collapsed="false">
      <c r="A2043" s="18"/>
      <c r="B2043" s="16"/>
      <c r="C2043" s="16"/>
      <c r="D2043" s="51" t="str">
        <f aca="false">IF(C2043="","",IFERROR(IF(LEFT(C2043,1)="L",INDEX('Leads Pipeline'!$F$5:$F$1004,MATCH(C2043,'Leads Pipeline'!$A$5:$A$1004,0)),INDEX('Active Clients'!$D$5:$D$504,MATCH(C2043,'Active Clients'!$A$5:$A$504,0)))&amp;"","ID not found"))</f>
        <v/>
      </c>
      <c r="E2043" s="51" t="str">
        <f aca="false">IF(C2043="","",IFERROR(IF(LEFT(C2043,1)="L",INDEX('Leads Pipeline'!$D$5:$D$1004,MATCH(C2043,'Leads Pipeline'!$A$5:$A$1004,0)),INDEX('Active Clients'!$B$5:$B$504,MATCH(C2043,'Active Clients'!$A$5:$A$504,0)))&amp;"","ID not found"))</f>
        <v/>
      </c>
      <c r="F2043" s="51" t="str">
        <f aca="false">IF(C2043="","",IFERROR(IF(LEFT(C2043,1)="L",INDEX('Leads Pipeline'!$E$5:$E$1004,MATCH(C2043,'Leads Pipeline'!$A$5:$A$1004,0)),INDEX('Active Clients'!$C$5:$C$504,MATCH(C2043,'Active Clients'!$A$5:$A$504,0)))&amp;"","ID not found"))</f>
        <v/>
      </c>
      <c r="G2043" s="16"/>
      <c r="H2043" s="16"/>
      <c r="I2043" s="16"/>
      <c r="J2043" s="16"/>
      <c r="K2043" s="16"/>
      <c r="L2043" s="18"/>
    </row>
    <row r="2044" customFormat="false" ht="15" hidden="false" customHeight="false" outlineLevel="0" collapsed="false">
      <c r="A2044" s="18"/>
      <c r="B2044" s="16"/>
      <c r="C2044" s="16"/>
      <c r="D2044" s="51" t="str">
        <f aca="false">IF(C2044="","",IFERROR(IF(LEFT(C2044,1)="L",INDEX('Leads Pipeline'!$F$5:$F$1004,MATCH(C2044,'Leads Pipeline'!$A$5:$A$1004,0)),INDEX('Active Clients'!$D$5:$D$504,MATCH(C2044,'Active Clients'!$A$5:$A$504,0)))&amp;"","ID not found"))</f>
        <v/>
      </c>
      <c r="E2044" s="51" t="str">
        <f aca="false">IF(C2044="","",IFERROR(IF(LEFT(C2044,1)="L",INDEX('Leads Pipeline'!$D$5:$D$1004,MATCH(C2044,'Leads Pipeline'!$A$5:$A$1004,0)),INDEX('Active Clients'!$B$5:$B$504,MATCH(C2044,'Active Clients'!$A$5:$A$504,0)))&amp;"","ID not found"))</f>
        <v/>
      </c>
      <c r="F2044" s="51" t="str">
        <f aca="false">IF(C2044="","",IFERROR(IF(LEFT(C2044,1)="L",INDEX('Leads Pipeline'!$E$5:$E$1004,MATCH(C2044,'Leads Pipeline'!$A$5:$A$1004,0)),INDEX('Active Clients'!$C$5:$C$504,MATCH(C2044,'Active Clients'!$A$5:$A$504,0)))&amp;"","ID not found"))</f>
        <v/>
      </c>
      <c r="G2044" s="16"/>
      <c r="H2044" s="16"/>
      <c r="I2044" s="16"/>
      <c r="J2044" s="16"/>
      <c r="K2044" s="16"/>
      <c r="L2044" s="18"/>
    </row>
    <row r="2045" customFormat="false" ht="15" hidden="false" customHeight="false" outlineLevel="0" collapsed="false">
      <c r="A2045" s="18"/>
      <c r="B2045" s="16"/>
      <c r="C2045" s="16"/>
      <c r="D2045" s="51" t="str">
        <f aca="false">IF(C2045="","",IFERROR(IF(LEFT(C2045,1)="L",INDEX('Leads Pipeline'!$F$5:$F$1004,MATCH(C2045,'Leads Pipeline'!$A$5:$A$1004,0)),INDEX('Active Clients'!$D$5:$D$504,MATCH(C2045,'Active Clients'!$A$5:$A$504,0)))&amp;"","ID not found"))</f>
        <v/>
      </c>
      <c r="E2045" s="51" t="str">
        <f aca="false">IF(C2045="","",IFERROR(IF(LEFT(C2045,1)="L",INDEX('Leads Pipeline'!$D$5:$D$1004,MATCH(C2045,'Leads Pipeline'!$A$5:$A$1004,0)),INDEX('Active Clients'!$B$5:$B$504,MATCH(C2045,'Active Clients'!$A$5:$A$504,0)))&amp;"","ID not found"))</f>
        <v/>
      </c>
      <c r="F2045" s="51" t="str">
        <f aca="false">IF(C2045="","",IFERROR(IF(LEFT(C2045,1)="L",INDEX('Leads Pipeline'!$E$5:$E$1004,MATCH(C2045,'Leads Pipeline'!$A$5:$A$1004,0)),INDEX('Active Clients'!$C$5:$C$504,MATCH(C2045,'Active Clients'!$A$5:$A$504,0)))&amp;"","ID not found"))</f>
        <v/>
      </c>
      <c r="G2045" s="16"/>
      <c r="H2045" s="16"/>
      <c r="I2045" s="16"/>
      <c r="J2045" s="16"/>
      <c r="K2045" s="16"/>
      <c r="L2045" s="18"/>
    </row>
    <row r="2046" customFormat="false" ht="15" hidden="false" customHeight="false" outlineLevel="0" collapsed="false">
      <c r="A2046" s="18"/>
      <c r="B2046" s="16"/>
      <c r="C2046" s="16"/>
      <c r="D2046" s="51" t="str">
        <f aca="false">IF(C2046="","",IFERROR(IF(LEFT(C2046,1)="L",INDEX('Leads Pipeline'!$F$5:$F$1004,MATCH(C2046,'Leads Pipeline'!$A$5:$A$1004,0)),INDEX('Active Clients'!$D$5:$D$504,MATCH(C2046,'Active Clients'!$A$5:$A$504,0)))&amp;"","ID not found"))</f>
        <v/>
      </c>
      <c r="E2046" s="51" t="str">
        <f aca="false">IF(C2046="","",IFERROR(IF(LEFT(C2046,1)="L",INDEX('Leads Pipeline'!$D$5:$D$1004,MATCH(C2046,'Leads Pipeline'!$A$5:$A$1004,0)),INDEX('Active Clients'!$B$5:$B$504,MATCH(C2046,'Active Clients'!$A$5:$A$504,0)))&amp;"","ID not found"))</f>
        <v/>
      </c>
      <c r="F2046" s="51" t="str">
        <f aca="false">IF(C2046="","",IFERROR(IF(LEFT(C2046,1)="L",INDEX('Leads Pipeline'!$E$5:$E$1004,MATCH(C2046,'Leads Pipeline'!$A$5:$A$1004,0)),INDEX('Active Clients'!$C$5:$C$504,MATCH(C2046,'Active Clients'!$A$5:$A$504,0)))&amp;"","ID not found"))</f>
        <v/>
      </c>
      <c r="G2046" s="16"/>
      <c r="H2046" s="16"/>
      <c r="I2046" s="16"/>
      <c r="J2046" s="16"/>
      <c r="K2046" s="16"/>
      <c r="L2046" s="18"/>
    </row>
    <row r="2047" customFormat="false" ht="15" hidden="false" customHeight="false" outlineLevel="0" collapsed="false">
      <c r="A2047" s="18"/>
      <c r="B2047" s="16"/>
      <c r="C2047" s="16"/>
      <c r="D2047" s="51" t="str">
        <f aca="false">IF(C2047="","",IFERROR(IF(LEFT(C2047,1)="L",INDEX('Leads Pipeline'!$F$5:$F$1004,MATCH(C2047,'Leads Pipeline'!$A$5:$A$1004,0)),INDEX('Active Clients'!$D$5:$D$504,MATCH(C2047,'Active Clients'!$A$5:$A$504,0)))&amp;"","ID not found"))</f>
        <v/>
      </c>
      <c r="E2047" s="51" t="str">
        <f aca="false">IF(C2047="","",IFERROR(IF(LEFT(C2047,1)="L",INDEX('Leads Pipeline'!$D$5:$D$1004,MATCH(C2047,'Leads Pipeline'!$A$5:$A$1004,0)),INDEX('Active Clients'!$B$5:$B$504,MATCH(C2047,'Active Clients'!$A$5:$A$504,0)))&amp;"","ID not found"))</f>
        <v/>
      </c>
      <c r="F2047" s="51" t="str">
        <f aca="false">IF(C2047="","",IFERROR(IF(LEFT(C2047,1)="L",INDEX('Leads Pipeline'!$E$5:$E$1004,MATCH(C2047,'Leads Pipeline'!$A$5:$A$1004,0)),INDEX('Active Clients'!$C$5:$C$504,MATCH(C2047,'Active Clients'!$A$5:$A$504,0)))&amp;"","ID not found"))</f>
        <v/>
      </c>
      <c r="G2047" s="16"/>
      <c r="H2047" s="16"/>
      <c r="I2047" s="16"/>
      <c r="J2047" s="16"/>
      <c r="K2047" s="16"/>
      <c r="L2047" s="18"/>
    </row>
    <row r="2048" customFormat="false" ht="15" hidden="false" customHeight="false" outlineLevel="0" collapsed="false">
      <c r="A2048" s="18"/>
      <c r="B2048" s="16"/>
      <c r="C2048" s="16"/>
      <c r="D2048" s="51" t="str">
        <f aca="false">IF(C2048="","",IFERROR(IF(LEFT(C2048,1)="L",INDEX('Leads Pipeline'!$F$5:$F$1004,MATCH(C2048,'Leads Pipeline'!$A$5:$A$1004,0)),INDEX('Active Clients'!$D$5:$D$504,MATCH(C2048,'Active Clients'!$A$5:$A$504,0)))&amp;"","ID not found"))</f>
        <v/>
      </c>
      <c r="E2048" s="51" t="str">
        <f aca="false">IF(C2048="","",IFERROR(IF(LEFT(C2048,1)="L",INDEX('Leads Pipeline'!$D$5:$D$1004,MATCH(C2048,'Leads Pipeline'!$A$5:$A$1004,0)),INDEX('Active Clients'!$B$5:$B$504,MATCH(C2048,'Active Clients'!$A$5:$A$504,0)))&amp;"","ID not found"))</f>
        <v/>
      </c>
      <c r="F2048" s="51" t="str">
        <f aca="false">IF(C2048="","",IFERROR(IF(LEFT(C2048,1)="L",INDEX('Leads Pipeline'!$E$5:$E$1004,MATCH(C2048,'Leads Pipeline'!$A$5:$A$1004,0)),INDEX('Active Clients'!$C$5:$C$504,MATCH(C2048,'Active Clients'!$A$5:$A$504,0)))&amp;"","ID not found"))</f>
        <v/>
      </c>
      <c r="G2048" s="16"/>
      <c r="H2048" s="16"/>
      <c r="I2048" s="16"/>
      <c r="J2048" s="16"/>
      <c r="K2048" s="16"/>
      <c r="L2048" s="18"/>
    </row>
    <row r="2049" customFormat="false" ht="15" hidden="false" customHeight="false" outlineLevel="0" collapsed="false">
      <c r="A2049" s="18"/>
      <c r="B2049" s="16"/>
      <c r="C2049" s="16"/>
      <c r="D2049" s="51" t="str">
        <f aca="false">IF(C2049="","",IFERROR(IF(LEFT(C2049,1)="L",INDEX('Leads Pipeline'!$F$5:$F$1004,MATCH(C2049,'Leads Pipeline'!$A$5:$A$1004,0)),INDEX('Active Clients'!$D$5:$D$504,MATCH(C2049,'Active Clients'!$A$5:$A$504,0)))&amp;"","ID not found"))</f>
        <v/>
      </c>
      <c r="E2049" s="51" t="str">
        <f aca="false">IF(C2049="","",IFERROR(IF(LEFT(C2049,1)="L",INDEX('Leads Pipeline'!$D$5:$D$1004,MATCH(C2049,'Leads Pipeline'!$A$5:$A$1004,0)),INDEX('Active Clients'!$B$5:$B$504,MATCH(C2049,'Active Clients'!$A$5:$A$504,0)))&amp;"","ID not found"))</f>
        <v/>
      </c>
      <c r="F2049" s="51" t="str">
        <f aca="false">IF(C2049="","",IFERROR(IF(LEFT(C2049,1)="L",INDEX('Leads Pipeline'!$E$5:$E$1004,MATCH(C2049,'Leads Pipeline'!$A$5:$A$1004,0)),INDEX('Active Clients'!$C$5:$C$504,MATCH(C2049,'Active Clients'!$A$5:$A$504,0)))&amp;"","ID not found"))</f>
        <v/>
      </c>
      <c r="G2049" s="16"/>
      <c r="H2049" s="16"/>
      <c r="I2049" s="16"/>
      <c r="J2049" s="16"/>
      <c r="K2049" s="16"/>
      <c r="L2049" s="18"/>
    </row>
    <row r="2050" customFormat="false" ht="15" hidden="false" customHeight="false" outlineLevel="0" collapsed="false">
      <c r="A2050" s="18"/>
      <c r="B2050" s="16"/>
      <c r="C2050" s="16"/>
      <c r="D2050" s="51" t="str">
        <f aca="false">IF(C2050="","",IFERROR(IF(LEFT(C2050,1)="L",INDEX('Leads Pipeline'!$F$5:$F$1004,MATCH(C2050,'Leads Pipeline'!$A$5:$A$1004,0)),INDEX('Active Clients'!$D$5:$D$504,MATCH(C2050,'Active Clients'!$A$5:$A$504,0)))&amp;"","ID not found"))</f>
        <v/>
      </c>
      <c r="E2050" s="51" t="str">
        <f aca="false">IF(C2050="","",IFERROR(IF(LEFT(C2050,1)="L",INDEX('Leads Pipeline'!$D$5:$D$1004,MATCH(C2050,'Leads Pipeline'!$A$5:$A$1004,0)),INDEX('Active Clients'!$B$5:$B$504,MATCH(C2050,'Active Clients'!$A$5:$A$504,0)))&amp;"","ID not found"))</f>
        <v/>
      </c>
      <c r="F2050" s="51" t="str">
        <f aca="false">IF(C2050="","",IFERROR(IF(LEFT(C2050,1)="L",INDEX('Leads Pipeline'!$E$5:$E$1004,MATCH(C2050,'Leads Pipeline'!$A$5:$A$1004,0)),INDEX('Active Clients'!$C$5:$C$504,MATCH(C2050,'Active Clients'!$A$5:$A$504,0)))&amp;"","ID not found"))</f>
        <v/>
      </c>
      <c r="G2050" s="16"/>
      <c r="H2050" s="16"/>
      <c r="I2050" s="16"/>
      <c r="J2050" s="16"/>
      <c r="K2050" s="16"/>
      <c r="L2050" s="18"/>
    </row>
    <row r="2051" customFormat="false" ht="15" hidden="false" customHeight="false" outlineLevel="0" collapsed="false">
      <c r="A2051" s="18"/>
      <c r="B2051" s="16"/>
      <c r="C2051" s="16"/>
      <c r="D2051" s="51" t="str">
        <f aca="false">IF(C2051="","",IFERROR(IF(LEFT(C2051,1)="L",INDEX('Leads Pipeline'!$F$5:$F$1004,MATCH(C2051,'Leads Pipeline'!$A$5:$A$1004,0)),INDEX('Active Clients'!$D$5:$D$504,MATCH(C2051,'Active Clients'!$A$5:$A$504,0)))&amp;"","ID not found"))</f>
        <v/>
      </c>
      <c r="E2051" s="51" t="str">
        <f aca="false">IF(C2051="","",IFERROR(IF(LEFT(C2051,1)="L",INDEX('Leads Pipeline'!$D$5:$D$1004,MATCH(C2051,'Leads Pipeline'!$A$5:$A$1004,0)),INDEX('Active Clients'!$B$5:$B$504,MATCH(C2051,'Active Clients'!$A$5:$A$504,0)))&amp;"","ID not found"))</f>
        <v/>
      </c>
      <c r="F2051" s="51" t="str">
        <f aca="false">IF(C2051="","",IFERROR(IF(LEFT(C2051,1)="L",INDEX('Leads Pipeline'!$E$5:$E$1004,MATCH(C2051,'Leads Pipeline'!$A$5:$A$1004,0)),INDEX('Active Clients'!$C$5:$C$504,MATCH(C2051,'Active Clients'!$A$5:$A$504,0)))&amp;"","ID not found"))</f>
        <v/>
      </c>
      <c r="G2051" s="16"/>
      <c r="H2051" s="16"/>
      <c r="I2051" s="16"/>
      <c r="J2051" s="16"/>
      <c r="K2051" s="16"/>
      <c r="L2051" s="18"/>
    </row>
    <row r="2052" customFormat="false" ht="15" hidden="false" customHeight="false" outlineLevel="0" collapsed="false">
      <c r="A2052" s="18"/>
      <c r="B2052" s="16"/>
      <c r="C2052" s="16"/>
      <c r="D2052" s="51" t="str">
        <f aca="false">IF(C2052="","",IFERROR(IF(LEFT(C2052,1)="L",INDEX('Leads Pipeline'!$F$5:$F$1004,MATCH(C2052,'Leads Pipeline'!$A$5:$A$1004,0)),INDEX('Active Clients'!$D$5:$D$504,MATCH(C2052,'Active Clients'!$A$5:$A$504,0)))&amp;"","ID not found"))</f>
        <v/>
      </c>
      <c r="E2052" s="51" t="str">
        <f aca="false">IF(C2052="","",IFERROR(IF(LEFT(C2052,1)="L",INDEX('Leads Pipeline'!$D$5:$D$1004,MATCH(C2052,'Leads Pipeline'!$A$5:$A$1004,0)),INDEX('Active Clients'!$B$5:$B$504,MATCH(C2052,'Active Clients'!$A$5:$A$504,0)))&amp;"","ID not found"))</f>
        <v/>
      </c>
      <c r="F2052" s="51" t="str">
        <f aca="false">IF(C2052="","",IFERROR(IF(LEFT(C2052,1)="L",INDEX('Leads Pipeline'!$E$5:$E$1004,MATCH(C2052,'Leads Pipeline'!$A$5:$A$1004,0)),INDEX('Active Clients'!$C$5:$C$504,MATCH(C2052,'Active Clients'!$A$5:$A$504,0)))&amp;"","ID not found"))</f>
        <v/>
      </c>
      <c r="G2052" s="16"/>
      <c r="H2052" s="16"/>
      <c r="I2052" s="16"/>
      <c r="J2052" s="16"/>
      <c r="K2052" s="16"/>
      <c r="L2052" s="18"/>
    </row>
    <row r="2053" customFormat="false" ht="15" hidden="false" customHeight="false" outlineLevel="0" collapsed="false">
      <c r="A2053" s="18"/>
      <c r="B2053" s="16"/>
      <c r="C2053" s="16"/>
      <c r="D2053" s="51" t="str">
        <f aca="false">IF(C2053="","",IFERROR(IF(LEFT(C2053,1)="L",INDEX('Leads Pipeline'!$F$5:$F$1004,MATCH(C2053,'Leads Pipeline'!$A$5:$A$1004,0)),INDEX('Active Clients'!$D$5:$D$504,MATCH(C2053,'Active Clients'!$A$5:$A$504,0)))&amp;"","ID not found"))</f>
        <v/>
      </c>
      <c r="E2053" s="51" t="str">
        <f aca="false">IF(C2053="","",IFERROR(IF(LEFT(C2053,1)="L",INDEX('Leads Pipeline'!$D$5:$D$1004,MATCH(C2053,'Leads Pipeline'!$A$5:$A$1004,0)),INDEX('Active Clients'!$B$5:$B$504,MATCH(C2053,'Active Clients'!$A$5:$A$504,0)))&amp;"","ID not found"))</f>
        <v/>
      </c>
      <c r="F2053" s="51" t="str">
        <f aca="false">IF(C2053="","",IFERROR(IF(LEFT(C2053,1)="L",INDEX('Leads Pipeline'!$E$5:$E$1004,MATCH(C2053,'Leads Pipeline'!$A$5:$A$1004,0)),INDEX('Active Clients'!$C$5:$C$504,MATCH(C2053,'Active Clients'!$A$5:$A$504,0)))&amp;"","ID not found"))</f>
        <v/>
      </c>
      <c r="G2053" s="16"/>
      <c r="H2053" s="16"/>
      <c r="I2053" s="16"/>
      <c r="J2053" s="16"/>
      <c r="K2053" s="16"/>
      <c r="L2053" s="18"/>
    </row>
    <row r="2054" customFormat="false" ht="15" hidden="false" customHeight="false" outlineLevel="0" collapsed="false">
      <c r="A2054" s="18"/>
      <c r="B2054" s="16"/>
      <c r="C2054" s="16"/>
      <c r="D2054" s="51" t="str">
        <f aca="false">IF(C2054="","",IFERROR(IF(LEFT(C2054,1)="L",INDEX('Leads Pipeline'!$F$5:$F$1004,MATCH(C2054,'Leads Pipeline'!$A$5:$A$1004,0)),INDEX('Active Clients'!$D$5:$D$504,MATCH(C2054,'Active Clients'!$A$5:$A$504,0)))&amp;"","ID not found"))</f>
        <v/>
      </c>
      <c r="E2054" s="51" t="str">
        <f aca="false">IF(C2054="","",IFERROR(IF(LEFT(C2054,1)="L",INDEX('Leads Pipeline'!$D$5:$D$1004,MATCH(C2054,'Leads Pipeline'!$A$5:$A$1004,0)),INDEX('Active Clients'!$B$5:$B$504,MATCH(C2054,'Active Clients'!$A$5:$A$504,0)))&amp;"","ID not found"))</f>
        <v/>
      </c>
      <c r="F2054" s="51" t="str">
        <f aca="false">IF(C2054="","",IFERROR(IF(LEFT(C2054,1)="L",INDEX('Leads Pipeline'!$E$5:$E$1004,MATCH(C2054,'Leads Pipeline'!$A$5:$A$1004,0)),INDEX('Active Clients'!$C$5:$C$504,MATCH(C2054,'Active Clients'!$A$5:$A$504,0)))&amp;"","ID not found"))</f>
        <v/>
      </c>
      <c r="G2054" s="16"/>
      <c r="H2054" s="16"/>
      <c r="I2054" s="16"/>
      <c r="J2054" s="16"/>
      <c r="K2054" s="16"/>
      <c r="L2054" s="18"/>
    </row>
    <row r="2055" customFormat="false" ht="15" hidden="false" customHeight="false" outlineLevel="0" collapsed="false">
      <c r="A2055" s="18"/>
      <c r="B2055" s="16"/>
      <c r="C2055" s="16"/>
      <c r="D2055" s="51" t="str">
        <f aca="false">IF(C2055="","",IFERROR(IF(LEFT(C2055,1)="L",INDEX('Leads Pipeline'!$F$5:$F$1004,MATCH(C2055,'Leads Pipeline'!$A$5:$A$1004,0)),INDEX('Active Clients'!$D$5:$D$504,MATCH(C2055,'Active Clients'!$A$5:$A$504,0)))&amp;"","ID not found"))</f>
        <v/>
      </c>
      <c r="E2055" s="51" t="str">
        <f aca="false">IF(C2055="","",IFERROR(IF(LEFT(C2055,1)="L",INDEX('Leads Pipeline'!$D$5:$D$1004,MATCH(C2055,'Leads Pipeline'!$A$5:$A$1004,0)),INDEX('Active Clients'!$B$5:$B$504,MATCH(C2055,'Active Clients'!$A$5:$A$504,0)))&amp;"","ID not found"))</f>
        <v/>
      </c>
      <c r="F2055" s="51" t="str">
        <f aca="false">IF(C2055="","",IFERROR(IF(LEFT(C2055,1)="L",INDEX('Leads Pipeline'!$E$5:$E$1004,MATCH(C2055,'Leads Pipeline'!$A$5:$A$1004,0)),INDEX('Active Clients'!$C$5:$C$504,MATCH(C2055,'Active Clients'!$A$5:$A$504,0)))&amp;"","ID not found"))</f>
        <v/>
      </c>
      <c r="G2055" s="16"/>
      <c r="H2055" s="16"/>
      <c r="I2055" s="16"/>
      <c r="J2055" s="16"/>
      <c r="K2055" s="16"/>
      <c r="L2055" s="18"/>
    </row>
    <row r="2056" customFormat="false" ht="15" hidden="false" customHeight="false" outlineLevel="0" collapsed="false">
      <c r="A2056" s="18"/>
      <c r="B2056" s="16"/>
      <c r="C2056" s="16"/>
      <c r="D2056" s="51" t="str">
        <f aca="false">IF(C2056="","",IFERROR(IF(LEFT(C2056,1)="L",INDEX('Leads Pipeline'!$F$5:$F$1004,MATCH(C2056,'Leads Pipeline'!$A$5:$A$1004,0)),INDEX('Active Clients'!$D$5:$D$504,MATCH(C2056,'Active Clients'!$A$5:$A$504,0)))&amp;"","ID not found"))</f>
        <v/>
      </c>
      <c r="E2056" s="51" t="str">
        <f aca="false">IF(C2056="","",IFERROR(IF(LEFT(C2056,1)="L",INDEX('Leads Pipeline'!$D$5:$D$1004,MATCH(C2056,'Leads Pipeline'!$A$5:$A$1004,0)),INDEX('Active Clients'!$B$5:$B$504,MATCH(C2056,'Active Clients'!$A$5:$A$504,0)))&amp;"","ID not found"))</f>
        <v/>
      </c>
      <c r="F2056" s="51" t="str">
        <f aca="false">IF(C2056="","",IFERROR(IF(LEFT(C2056,1)="L",INDEX('Leads Pipeline'!$E$5:$E$1004,MATCH(C2056,'Leads Pipeline'!$A$5:$A$1004,0)),INDEX('Active Clients'!$C$5:$C$504,MATCH(C2056,'Active Clients'!$A$5:$A$504,0)))&amp;"","ID not found"))</f>
        <v/>
      </c>
      <c r="G2056" s="16"/>
      <c r="H2056" s="16"/>
      <c r="I2056" s="16"/>
      <c r="J2056" s="16"/>
      <c r="K2056" s="16"/>
      <c r="L2056" s="18"/>
    </row>
    <row r="2057" customFormat="false" ht="15" hidden="false" customHeight="false" outlineLevel="0" collapsed="false">
      <c r="A2057" s="18"/>
      <c r="B2057" s="16"/>
      <c r="C2057" s="16"/>
      <c r="D2057" s="51" t="str">
        <f aca="false">IF(C2057="","",IFERROR(IF(LEFT(C2057,1)="L",INDEX('Leads Pipeline'!$F$5:$F$1004,MATCH(C2057,'Leads Pipeline'!$A$5:$A$1004,0)),INDEX('Active Clients'!$D$5:$D$504,MATCH(C2057,'Active Clients'!$A$5:$A$504,0)))&amp;"","ID not found"))</f>
        <v/>
      </c>
      <c r="E2057" s="51" t="str">
        <f aca="false">IF(C2057="","",IFERROR(IF(LEFT(C2057,1)="L",INDEX('Leads Pipeline'!$D$5:$D$1004,MATCH(C2057,'Leads Pipeline'!$A$5:$A$1004,0)),INDEX('Active Clients'!$B$5:$B$504,MATCH(C2057,'Active Clients'!$A$5:$A$504,0)))&amp;"","ID not found"))</f>
        <v/>
      </c>
      <c r="F2057" s="51" t="str">
        <f aca="false">IF(C2057="","",IFERROR(IF(LEFT(C2057,1)="L",INDEX('Leads Pipeline'!$E$5:$E$1004,MATCH(C2057,'Leads Pipeline'!$A$5:$A$1004,0)),INDEX('Active Clients'!$C$5:$C$504,MATCH(C2057,'Active Clients'!$A$5:$A$504,0)))&amp;"","ID not found"))</f>
        <v/>
      </c>
      <c r="G2057" s="16"/>
      <c r="H2057" s="16"/>
      <c r="I2057" s="16"/>
      <c r="J2057" s="16"/>
      <c r="K2057" s="16"/>
      <c r="L2057" s="18"/>
    </row>
    <row r="2058" customFormat="false" ht="15" hidden="false" customHeight="false" outlineLevel="0" collapsed="false">
      <c r="A2058" s="18"/>
      <c r="B2058" s="16"/>
      <c r="C2058" s="16"/>
      <c r="D2058" s="51" t="str">
        <f aca="false">IF(C2058="","",IFERROR(IF(LEFT(C2058,1)="L",INDEX('Leads Pipeline'!$F$5:$F$1004,MATCH(C2058,'Leads Pipeline'!$A$5:$A$1004,0)),INDEX('Active Clients'!$D$5:$D$504,MATCH(C2058,'Active Clients'!$A$5:$A$504,0)))&amp;"","ID not found"))</f>
        <v/>
      </c>
      <c r="E2058" s="51" t="str">
        <f aca="false">IF(C2058="","",IFERROR(IF(LEFT(C2058,1)="L",INDEX('Leads Pipeline'!$D$5:$D$1004,MATCH(C2058,'Leads Pipeline'!$A$5:$A$1004,0)),INDEX('Active Clients'!$B$5:$B$504,MATCH(C2058,'Active Clients'!$A$5:$A$504,0)))&amp;"","ID not found"))</f>
        <v/>
      </c>
      <c r="F2058" s="51" t="str">
        <f aca="false">IF(C2058="","",IFERROR(IF(LEFT(C2058,1)="L",INDEX('Leads Pipeline'!$E$5:$E$1004,MATCH(C2058,'Leads Pipeline'!$A$5:$A$1004,0)),INDEX('Active Clients'!$C$5:$C$504,MATCH(C2058,'Active Clients'!$A$5:$A$504,0)))&amp;"","ID not found"))</f>
        <v/>
      </c>
      <c r="G2058" s="16"/>
      <c r="H2058" s="16"/>
      <c r="I2058" s="16"/>
      <c r="J2058" s="16"/>
      <c r="K2058" s="16"/>
      <c r="L2058" s="18"/>
    </row>
    <row r="2059" customFormat="false" ht="15" hidden="false" customHeight="false" outlineLevel="0" collapsed="false">
      <c r="A2059" s="18"/>
      <c r="B2059" s="16"/>
      <c r="C2059" s="16"/>
      <c r="D2059" s="51" t="str">
        <f aca="false">IF(C2059="","",IFERROR(IF(LEFT(C2059,1)="L",INDEX('Leads Pipeline'!$F$5:$F$1004,MATCH(C2059,'Leads Pipeline'!$A$5:$A$1004,0)),INDEX('Active Clients'!$D$5:$D$504,MATCH(C2059,'Active Clients'!$A$5:$A$504,0)))&amp;"","ID not found"))</f>
        <v/>
      </c>
      <c r="E2059" s="51" t="str">
        <f aca="false">IF(C2059="","",IFERROR(IF(LEFT(C2059,1)="L",INDEX('Leads Pipeline'!$D$5:$D$1004,MATCH(C2059,'Leads Pipeline'!$A$5:$A$1004,0)),INDEX('Active Clients'!$B$5:$B$504,MATCH(C2059,'Active Clients'!$A$5:$A$504,0)))&amp;"","ID not found"))</f>
        <v/>
      </c>
      <c r="F2059" s="51" t="str">
        <f aca="false">IF(C2059="","",IFERROR(IF(LEFT(C2059,1)="L",INDEX('Leads Pipeline'!$E$5:$E$1004,MATCH(C2059,'Leads Pipeline'!$A$5:$A$1004,0)),INDEX('Active Clients'!$C$5:$C$504,MATCH(C2059,'Active Clients'!$A$5:$A$504,0)))&amp;"","ID not found"))</f>
        <v/>
      </c>
      <c r="G2059" s="16"/>
      <c r="H2059" s="16"/>
      <c r="I2059" s="16"/>
      <c r="J2059" s="16"/>
      <c r="K2059" s="16"/>
      <c r="L2059" s="18"/>
    </row>
    <row r="2060" customFormat="false" ht="15" hidden="false" customHeight="false" outlineLevel="0" collapsed="false">
      <c r="A2060" s="18"/>
      <c r="B2060" s="16"/>
      <c r="C2060" s="16"/>
      <c r="D2060" s="51" t="str">
        <f aca="false">IF(C2060="","",IFERROR(IF(LEFT(C2060,1)="L",INDEX('Leads Pipeline'!$F$5:$F$1004,MATCH(C2060,'Leads Pipeline'!$A$5:$A$1004,0)),INDEX('Active Clients'!$D$5:$D$504,MATCH(C2060,'Active Clients'!$A$5:$A$504,0)))&amp;"","ID not found"))</f>
        <v/>
      </c>
      <c r="E2060" s="51" t="str">
        <f aca="false">IF(C2060="","",IFERROR(IF(LEFT(C2060,1)="L",INDEX('Leads Pipeline'!$D$5:$D$1004,MATCH(C2060,'Leads Pipeline'!$A$5:$A$1004,0)),INDEX('Active Clients'!$B$5:$B$504,MATCH(C2060,'Active Clients'!$A$5:$A$504,0)))&amp;"","ID not found"))</f>
        <v/>
      </c>
      <c r="F2060" s="51" t="str">
        <f aca="false">IF(C2060="","",IFERROR(IF(LEFT(C2060,1)="L",INDEX('Leads Pipeline'!$E$5:$E$1004,MATCH(C2060,'Leads Pipeline'!$A$5:$A$1004,0)),INDEX('Active Clients'!$C$5:$C$504,MATCH(C2060,'Active Clients'!$A$5:$A$504,0)))&amp;"","ID not found"))</f>
        <v/>
      </c>
      <c r="G2060" s="16"/>
      <c r="H2060" s="16"/>
      <c r="I2060" s="16"/>
      <c r="J2060" s="16"/>
      <c r="K2060" s="16"/>
      <c r="L2060" s="18"/>
    </row>
    <row r="2061" customFormat="false" ht="15" hidden="false" customHeight="false" outlineLevel="0" collapsed="false">
      <c r="A2061" s="18"/>
      <c r="B2061" s="16"/>
      <c r="C2061" s="16"/>
      <c r="D2061" s="51" t="str">
        <f aca="false">IF(C2061="","",IFERROR(IF(LEFT(C2061,1)="L",INDEX('Leads Pipeline'!$F$5:$F$1004,MATCH(C2061,'Leads Pipeline'!$A$5:$A$1004,0)),INDEX('Active Clients'!$D$5:$D$504,MATCH(C2061,'Active Clients'!$A$5:$A$504,0)))&amp;"","ID not found"))</f>
        <v/>
      </c>
      <c r="E2061" s="51" t="str">
        <f aca="false">IF(C2061="","",IFERROR(IF(LEFT(C2061,1)="L",INDEX('Leads Pipeline'!$D$5:$D$1004,MATCH(C2061,'Leads Pipeline'!$A$5:$A$1004,0)),INDEX('Active Clients'!$B$5:$B$504,MATCH(C2061,'Active Clients'!$A$5:$A$504,0)))&amp;"","ID not found"))</f>
        <v/>
      </c>
      <c r="F2061" s="51" t="str">
        <f aca="false">IF(C2061="","",IFERROR(IF(LEFT(C2061,1)="L",INDEX('Leads Pipeline'!$E$5:$E$1004,MATCH(C2061,'Leads Pipeline'!$A$5:$A$1004,0)),INDEX('Active Clients'!$C$5:$C$504,MATCH(C2061,'Active Clients'!$A$5:$A$504,0)))&amp;"","ID not found"))</f>
        <v/>
      </c>
      <c r="G2061" s="16"/>
      <c r="H2061" s="16"/>
      <c r="I2061" s="16"/>
      <c r="J2061" s="16"/>
      <c r="K2061" s="16"/>
      <c r="L2061" s="18"/>
    </row>
    <row r="2062" customFormat="false" ht="15" hidden="false" customHeight="false" outlineLevel="0" collapsed="false">
      <c r="A2062" s="18"/>
      <c r="B2062" s="16"/>
      <c r="C2062" s="16"/>
      <c r="D2062" s="51" t="str">
        <f aca="false">IF(C2062="","",IFERROR(IF(LEFT(C2062,1)="L",INDEX('Leads Pipeline'!$F$5:$F$1004,MATCH(C2062,'Leads Pipeline'!$A$5:$A$1004,0)),INDEX('Active Clients'!$D$5:$D$504,MATCH(C2062,'Active Clients'!$A$5:$A$504,0)))&amp;"","ID not found"))</f>
        <v/>
      </c>
      <c r="E2062" s="51" t="str">
        <f aca="false">IF(C2062="","",IFERROR(IF(LEFT(C2062,1)="L",INDEX('Leads Pipeline'!$D$5:$D$1004,MATCH(C2062,'Leads Pipeline'!$A$5:$A$1004,0)),INDEX('Active Clients'!$B$5:$B$504,MATCH(C2062,'Active Clients'!$A$5:$A$504,0)))&amp;"","ID not found"))</f>
        <v/>
      </c>
      <c r="F2062" s="51" t="str">
        <f aca="false">IF(C2062="","",IFERROR(IF(LEFT(C2062,1)="L",INDEX('Leads Pipeline'!$E$5:$E$1004,MATCH(C2062,'Leads Pipeline'!$A$5:$A$1004,0)),INDEX('Active Clients'!$C$5:$C$504,MATCH(C2062,'Active Clients'!$A$5:$A$504,0)))&amp;"","ID not found"))</f>
        <v/>
      </c>
      <c r="G2062" s="16"/>
      <c r="H2062" s="16"/>
      <c r="I2062" s="16"/>
      <c r="J2062" s="16"/>
      <c r="K2062" s="16"/>
      <c r="L2062" s="18"/>
    </row>
    <row r="2063" customFormat="false" ht="15" hidden="false" customHeight="false" outlineLevel="0" collapsed="false">
      <c r="A2063" s="18"/>
      <c r="B2063" s="16"/>
      <c r="C2063" s="16"/>
      <c r="D2063" s="51" t="str">
        <f aca="false">IF(C2063="","",IFERROR(IF(LEFT(C2063,1)="L",INDEX('Leads Pipeline'!$F$5:$F$1004,MATCH(C2063,'Leads Pipeline'!$A$5:$A$1004,0)),INDEX('Active Clients'!$D$5:$D$504,MATCH(C2063,'Active Clients'!$A$5:$A$504,0)))&amp;"","ID not found"))</f>
        <v/>
      </c>
      <c r="E2063" s="51" t="str">
        <f aca="false">IF(C2063="","",IFERROR(IF(LEFT(C2063,1)="L",INDEX('Leads Pipeline'!$D$5:$D$1004,MATCH(C2063,'Leads Pipeline'!$A$5:$A$1004,0)),INDEX('Active Clients'!$B$5:$B$504,MATCH(C2063,'Active Clients'!$A$5:$A$504,0)))&amp;"","ID not found"))</f>
        <v/>
      </c>
      <c r="F2063" s="51" t="str">
        <f aca="false">IF(C2063="","",IFERROR(IF(LEFT(C2063,1)="L",INDEX('Leads Pipeline'!$E$5:$E$1004,MATCH(C2063,'Leads Pipeline'!$A$5:$A$1004,0)),INDEX('Active Clients'!$C$5:$C$504,MATCH(C2063,'Active Clients'!$A$5:$A$504,0)))&amp;"","ID not found"))</f>
        <v/>
      </c>
      <c r="G2063" s="16"/>
      <c r="H2063" s="16"/>
      <c r="I2063" s="16"/>
      <c r="J2063" s="16"/>
      <c r="K2063" s="16"/>
      <c r="L2063" s="18"/>
    </row>
    <row r="2064" customFormat="false" ht="15" hidden="false" customHeight="false" outlineLevel="0" collapsed="false">
      <c r="A2064" s="18"/>
      <c r="B2064" s="16"/>
      <c r="C2064" s="16"/>
      <c r="D2064" s="51" t="str">
        <f aca="false">IF(C2064="","",IFERROR(IF(LEFT(C2064,1)="L",INDEX('Leads Pipeline'!$F$5:$F$1004,MATCH(C2064,'Leads Pipeline'!$A$5:$A$1004,0)),INDEX('Active Clients'!$D$5:$D$504,MATCH(C2064,'Active Clients'!$A$5:$A$504,0)))&amp;"","ID not found"))</f>
        <v/>
      </c>
      <c r="E2064" s="51" t="str">
        <f aca="false">IF(C2064="","",IFERROR(IF(LEFT(C2064,1)="L",INDEX('Leads Pipeline'!$D$5:$D$1004,MATCH(C2064,'Leads Pipeline'!$A$5:$A$1004,0)),INDEX('Active Clients'!$B$5:$B$504,MATCH(C2064,'Active Clients'!$A$5:$A$504,0)))&amp;"","ID not found"))</f>
        <v/>
      </c>
      <c r="F2064" s="51" t="str">
        <f aca="false">IF(C2064="","",IFERROR(IF(LEFT(C2064,1)="L",INDEX('Leads Pipeline'!$E$5:$E$1004,MATCH(C2064,'Leads Pipeline'!$A$5:$A$1004,0)),INDEX('Active Clients'!$C$5:$C$504,MATCH(C2064,'Active Clients'!$A$5:$A$504,0)))&amp;"","ID not found"))</f>
        <v/>
      </c>
      <c r="G2064" s="16"/>
      <c r="H2064" s="16"/>
      <c r="I2064" s="16"/>
      <c r="J2064" s="16"/>
      <c r="K2064" s="16"/>
      <c r="L2064" s="18"/>
    </row>
    <row r="2065" customFormat="false" ht="15" hidden="false" customHeight="false" outlineLevel="0" collapsed="false">
      <c r="A2065" s="18"/>
      <c r="B2065" s="16"/>
      <c r="C2065" s="16"/>
      <c r="D2065" s="51" t="str">
        <f aca="false">IF(C2065="","",IFERROR(IF(LEFT(C2065,1)="L",INDEX('Leads Pipeline'!$F$5:$F$1004,MATCH(C2065,'Leads Pipeline'!$A$5:$A$1004,0)),INDEX('Active Clients'!$D$5:$D$504,MATCH(C2065,'Active Clients'!$A$5:$A$504,0)))&amp;"","ID not found"))</f>
        <v/>
      </c>
      <c r="E2065" s="51" t="str">
        <f aca="false">IF(C2065="","",IFERROR(IF(LEFT(C2065,1)="L",INDEX('Leads Pipeline'!$D$5:$D$1004,MATCH(C2065,'Leads Pipeline'!$A$5:$A$1004,0)),INDEX('Active Clients'!$B$5:$B$504,MATCH(C2065,'Active Clients'!$A$5:$A$504,0)))&amp;"","ID not found"))</f>
        <v/>
      </c>
      <c r="F2065" s="51" t="str">
        <f aca="false">IF(C2065="","",IFERROR(IF(LEFT(C2065,1)="L",INDEX('Leads Pipeline'!$E$5:$E$1004,MATCH(C2065,'Leads Pipeline'!$A$5:$A$1004,0)),INDEX('Active Clients'!$C$5:$C$504,MATCH(C2065,'Active Clients'!$A$5:$A$504,0)))&amp;"","ID not found"))</f>
        <v/>
      </c>
      <c r="G2065" s="16"/>
      <c r="H2065" s="16"/>
      <c r="I2065" s="16"/>
      <c r="J2065" s="16"/>
      <c r="K2065" s="16"/>
      <c r="L2065" s="18"/>
    </row>
    <row r="2066" customFormat="false" ht="15" hidden="false" customHeight="false" outlineLevel="0" collapsed="false">
      <c r="A2066" s="18"/>
      <c r="B2066" s="16"/>
      <c r="C2066" s="16"/>
      <c r="D2066" s="51" t="str">
        <f aca="false">IF(C2066="","",IFERROR(IF(LEFT(C2066,1)="L",INDEX('Leads Pipeline'!$F$5:$F$1004,MATCH(C2066,'Leads Pipeline'!$A$5:$A$1004,0)),INDEX('Active Clients'!$D$5:$D$504,MATCH(C2066,'Active Clients'!$A$5:$A$504,0)))&amp;"","ID not found"))</f>
        <v/>
      </c>
      <c r="E2066" s="51" t="str">
        <f aca="false">IF(C2066="","",IFERROR(IF(LEFT(C2066,1)="L",INDEX('Leads Pipeline'!$D$5:$D$1004,MATCH(C2066,'Leads Pipeline'!$A$5:$A$1004,0)),INDEX('Active Clients'!$B$5:$B$504,MATCH(C2066,'Active Clients'!$A$5:$A$504,0)))&amp;"","ID not found"))</f>
        <v/>
      </c>
      <c r="F2066" s="51" t="str">
        <f aca="false">IF(C2066="","",IFERROR(IF(LEFT(C2066,1)="L",INDEX('Leads Pipeline'!$E$5:$E$1004,MATCH(C2066,'Leads Pipeline'!$A$5:$A$1004,0)),INDEX('Active Clients'!$C$5:$C$504,MATCH(C2066,'Active Clients'!$A$5:$A$504,0)))&amp;"","ID not found"))</f>
        <v/>
      </c>
      <c r="G2066" s="16"/>
      <c r="H2066" s="16"/>
      <c r="I2066" s="16"/>
      <c r="J2066" s="16"/>
      <c r="K2066" s="16"/>
      <c r="L2066" s="18"/>
    </row>
    <row r="2067" customFormat="false" ht="15" hidden="false" customHeight="false" outlineLevel="0" collapsed="false">
      <c r="A2067" s="18"/>
      <c r="B2067" s="16"/>
      <c r="C2067" s="16"/>
      <c r="D2067" s="51" t="str">
        <f aca="false">IF(C2067="","",IFERROR(IF(LEFT(C2067,1)="L",INDEX('Leads Pipeline'!$F$5:$F$1004,MATCH(C2067,'Leads Pipeline'!$A$5:$A$1004,0)),INDEX('Active Clients'!$D$5:$D$504,MATCH(C2067,'Active Clients'!$A$5:$A$504,0)))&amp;"","ID not found"))</f>
        <v/>
      </c>
      <c r="E2067" s="51" t="str">
        <f aca="false">IF(C2067="","",IFERROR(IF(LEFT(C2067,1)="L",INDEX('Leads Pipeline'!$D$5:$D$1004,MATCH(C2067,'Leads Pipeline'!$A$5:$A$1004,0)),INDEX('Active Clients'!$B$5:$B$504,MATCH(C2067,'Active Clients'!$A$5:$A$504,0)))&amp;"","ID not found"))</f>
        <v/>
      </c>
      <c r="F2067" s="51" t="str">
        <f aca="false">IF(C2067="","",IFERROR(IF(LEFT(C2067,1)="L",INDEX('Leads Pipeline'!$E$5:$E$1004,MATCH(C2067,'Leads Pipeline'!$A$5:$A$1004,0)),INDEX('Active Clients'!$C$5:$C$504,MATCH(C2067,'Active Clients'!$A$5:$A$504,0)))&amp;"","ID not found"))</f>
        <v/>
      </c>
      <c r="G2067" s="16"/>
      <c r="H2067" s="16"/>
      <c r="I2067" s="16"/>
      <c r="J2067" s="16"/>
      <c r="K2067" s="16"/>
      <c r="L2067" s="18"/>
    </row>
    <row r="2068" customFormat="false" ht="15" hidden="false" customHeight="false" outlineLevel="0" collapsed="false">
      <c r="A2068" s="18"/>
      <c r="B2068" s="16"/>
      <c r="C2068" s="16"/>
      <c r="D2068" s="51" t="str">
        <f aca="false">IF(C2068="","",IFERROR(IF(LEFT(C2068,1)="L",INDEX('Leads Pipeline'!$F$5:$F$1004,MATCH(C2068,'Leads Pipeline'!$A$5:$A$1004,0)),INDEX('Active Clients'!$D$5:$D$504,MATCH(C2068,'Active Clients'!$A$5:$A$504,0)))&amp;"","ID not found"))</f>
        <v/>
      </c>
      <c r="E2068" s="51" t="str">
        <f aca="false">IF(C2068="","",IFERROR(IF(LEFT(C2068,1)="L",INDEX('Leads Pipeline'!$D$5:$D$1004,MATCH(C2068,'Leads Pipeline'!$A$5:$A$1004,0)),INDEX('Active Clients'!$B$5:$B$504,MATCH(C2068,'Active Clients'!$A$5:$A$504,0)))&amp;"","ID not found"))</f>
        <v/>
      </c>
      <c r="F2068" s="51" t="str">
        <f aca="false">IF(C2068="","",IFERROR(IF(LEFT(C2068,1)="L",INDEX('Leads Pipeline'!$E$5:$E$1004,MATCH(C2068,'Leads Pipeline'!$A$5:$A$1004,0)),INDEX('Active Clients'!$C$5:$C$504,MATCH(C2068,'Active Clients'!$A$5:$A$504,0)))&amp;"","ID not found"))</f>
        <v/>
      </c>
      <c r="G2068" s="16"/>
      <c r="H2068" s="16"/>
      <c r="I2068" s="16"/>
      <c r="J2068" s="16"/>
      <c r="K2068" s="16"/>
      <c r="L2068" s="18"/>
    </row>
    <row r="2069" customFormat="false" ht="15" hidden="false" customHeight="false" outlineLevel="0" collapsed="false">
      <c r="A2069" s="18"/>
      <c r="B2069" s="16"/>
      <c r="C2069" s="16"/>
      <c r="D2069" s="51" t="str">
        <f aca="false">IF(C2069="","",IFERROR(IF(LEFT(C2069,1)="L",INDEX('Leads Pipeline'!$F$5:$F$1004,MATCH(C2069,'Leads Pipeline'!$A$5:$A$1004,0)),INDEX('Active Clients'!$D$5:$D$504,MATCH(C2069,'Active Clients'!$A$5:$A$504,0)))&amp;"","ID not found"))</f>
        <v/>
      </c>
      <c r="E2069" s="51" t="str">
        <f aca="false">IF(C2069="","",IFERROR(IF(LEFT(C2069,1)="L",INDEX('Leads Pipeline'!$D$5:$D$1004,MATCH(C2069,'Leads Pipeline'!$A$5:$A$1004,0)),INDEX('Active Clients'!$B$5:$B$504,MATCH(C2069,'Active Clients'!$A$5:$A$504,0)))&amp;"","ID not found"))</f>
        <v/>
      </c>
      <c r="F2069" s="51" t="str">
        <f aca="false">IF(C2069="","",IFERROR(IF(LEFT(C2069,1)="L",INDEX('Leads Pipeline'!$E$5:$E$1004,MATCH(C2069,'Leads Pipeline'!$A$5:$A$1004,0)),INDEX('Active Clients'!$C$5:$C$504,MATCH(C2069,'Active Clients'!$A$5:$A$504,0)))&amp;"","ID not found"))</f>
        <v/>
      </c>
      <c r="G2069" s="16"/>
      <c r="H2069" s="16"/>
      <c r="I2069" s="16"/>
      <c r="J2069" s="16"/>
      <c r="K2069" s="16"/>
      <c r="L2069" s="18"/>
    </row>
    <row r="2070" customFormat="false" ht="15" hidden="false" customHeight="false" outlineLevel="0" collapsed="false">
      <c r="A2070" s="18"/>
      <c r="B2070" s="16"/>
      <c r="C2070" s="16"/>
      <c r="D2070" s="51" t="str">
        <f aca="false">IF(C2070="","",IFERROR(IF(LEFT(C2070,1)="L",INDEX('Leads Pipeline'!$F$5:$F$1004,MATCH(C2070,'Leads Pipeline'!$A$5:$A$1004,0)),INDEX('Active Clients'!$D$5:$D$504,MATCH(C2070,'Active Clients'!$A$5:$A$504,0)))&amp;"","ID not found"))</f>
        <v/>
      </c>
      <c r="E2070" s="51" t="str">
        <f aca="false">IF(C2070="","",IFERROR(IF(LEFT(C2070,1)="L",INDEX('Leads Pipeline'!$D$5:$D$1004,MATCH(C2070,'Leads Pipeline'!$A$5:$A$1004,0)),INDEX('Active Clients'!$B$5:$B$504,MATCH(C2070,'Active Clients'!$A$5:$A$504,0)))&amp;"","ID not found"))</f>
        <v/>
      </c>
      <c r="F2070" s="51" t="str">
        <f aca="false">IF(C2070="","",IFERROR(IF(LEFT(C2070,1)="L",INDEX('Leads Pipeline'!$E$5:$E$1004,MATCH(C2070,'Leads Pipeline'!$A$5:$A$1004,0)),INDEX('Active Clients'!$C$5:$C$504,MATCH(C2070,'Active Clients'!$A$5:$A$504,0)))&amp;"","ID not found"))</f>
        <v/>
      </c>
      <c r="G2070" s="16"/>
      <c r="H2070" s="16"/>
      <c r="I2070" s="16"/>
      <c r="J2070" s="16"/>
      <c r="K2070" s="16"/>
      <c r="L2070" s="18"/>
    </row>
    <row r="2071" customFormat="false" ht="15" hidden="false" customHeight="false" outlineLevel="0" collapsed="false">
      <c r="A2071" s="18"/>
      <c r="B2071" s="16"/>
      <c r="C2071" s="16"/>
      <c r="D2071" s="51" t="str">
        <f aca="false">IF(C2071="","",IFERROR(IF(LEFT(C2071,1)="L",INDEX('Leads Pipeline'!$F$5:$F$1004,MATCH(C2071,'Leads Pipeline'!$A$5:$A$1004,0)),INDEX('Active Clients'!$D$5:$D$504,MATCH(C2071,'Active Clients'!$A$5:$A$504,0)))&amp;"","ID not found"))</f>
        <v/>
      </c>
      <c r="E2071" s="51" t="str">
        <f aca="false">IF(C2071="","",IFERROR(IF(LEFT(C2071,1)="L",INDEX('Leads Pipeline'!$D$5:$D$1004,MATCH(C2071,'Leads Pipeline'!$A$5:$A$1004,0)),INDEX('Active Clients'!$B$5:$B$504,MATCH(C2071,'Active Clients'!$A$5:$A$504,0)))&amp;"","ID not found"))</f>
        <v/>
      </c>
      <c r="F2071" s="51" t="str">
        <f aca="false">IF(C2071="","",IFERROR(IF(LEFT(C2071,1)="L",INDEX('Leads Pipeline'!$E$5:$E$1004,MATCH(C2071,'Leads Pipeline'!$A$5:$A$1004,0)),INDEX('Active Clients'!$C$5:$C$504,MATCH(C2071,'Active Clients'!$A$5:$A$504,0)))&amp;"","ID not found"))</f>
        <v/>
      </c>
      <c r="G2071" s="16"/>
      <c r="H2071" s="16"/>
      <c r="I2071" s="16"/>
      <c r="J2071" s="16"/>
      <c r="K2071" s="16"/>
      <c r="L2071" s="18"/>
    </row>
    <row r="2072" customFormat="false" ht="15" hidden="false" customHeight="false" outlineLevel="0" collapsed="false">
      <c r="A2072" s="18"/>
      <c r="B2072" s="16"/>
      <c r="C2072" s="16"/>
      <c r="D2072" s="51" t="str">
        <f aca="false">IF(C2072="","",IFERROR(IF(LEFT(C2072,1)="L",INDEX('Leads Pipeline'!$F$5:$F$1004,MATCH(C2072,'Leads Pipeline'!$A$5:$A$1004,0)),INDEX('Active Clients'!$D$5:$D$504,MATCH(C2072,'Active Clients'!$A$5:$A$504,0)))&amp;"","ID not found"))</f>
        <v/>
      </c>
      <c r="E2072" s="51" t="str">
        <f aca="false">IF(C2072="","",IFERROR(IF(LEFT(C2072,1)="L",INDEX('Leads Pipeline'!$D$5:$D$1004,MATCH(C2072,'Leads Pipeline'!$A$5:$A$1004,0)),INDEX('Active Clients'!$B$5:$B$504,MATCH(C2072,'Active Clients'!$A$5:$A$504,0)))&amp;"","ID not found"))</f>
        <v/>
      </c>
      <c r="F2072" s="51" t="str">
        <f aca="false">IF(C2072="","",IFERROR(IF(LEFT(C2072,1)="L",INDEX('Leads Pipeline'!$E$5:$E$1004,MATCH(C2072,'Leads Pipeline'!$A$5:$A$1004,0)),INDEX('Active Clients'!$C$5:$C$504,MATCH(C2072,'Active Clients'!$A$5:$A$504,0)))&amp;"","ID not found"))</f>
        <v/>
      </c>
      <c r="G2072" s="16"/>
      <c r="H2072" s="16"/>
      <c r="I2072" s="16"/>
      <c r="J2072" s="16"/>
      <c r="K2072" s="16"/>
      <c r="L2072" s="18"/>
    </row>
    <row r="2073" customFormat="false" ht="15" hidden="false" customHeight="false" outlineLevel="0" collapsed="false">
      <c r="A2073" s="18"/>
      <c r="B2073" s="16"/>
      <c r="C2073" s="16"/>
      <c r="D2073" s="51" t="str">
        <f aca="false">IF(C2073="","",IFERROR(IF(LEFT(C2073,1)="L",INDEX('Leads Pipeline'!$F$5:$F$1004,MATCH(C2073,'Leads Pipeline'!$A$5:$A$1004,0)),INDEX('Active Clients'!$D$5:$D$504,MATCH(C2073,'Active Clients'!$A$5:$A$504,0)))&amp;"","ID not found"))</f>
        <v/>
      </c>
      <c r="E2073" s="51" t="str">
        <f aca="false">IF(C2073="","",IFERROR(IF(LEFT(C2073,1)="L",INDEX('Leads Pipeline'!$D$5:$D$1004,MATCH(C2073,'Leads Pipeline'!$A$5:$A$1004,0)),INDEX('Active Clients'!$B$5:$B$504,MATCH(C2073,'Active Clients'!$A$5:$A$504,0)))&amp;"","ID not found"))</f>
        <v/>
      </c>
      <c r="F2073" s="51" t="str">
        <f aca="false">IF(C2073="","",IFERROR(IF(LEFT(C2073,1)="L",INDEX('Leads Pipeline'!$E$5:$E$1004,MATCH(C2073,'Leads Pipeline'!$A$5:$A$1004,0)),INDEX('Active Clients'!$C$5:$C$504,MATCH(C2073,'Active Clients'!$A$5:$A$504,0)))&amp;"","ID not found"))</f>
        <v/>
      </c>
      <c r="G2073" s="16"/>
      <c r="H2073" s="16"/>
      <c r="I2073" s="16"/>
      <c r="J2073" s="16"/>
      <c r="K2073" s="16"/>
      <c r="L2073" s="18"/>
    </row>
    <row r="2074" customFormat="false" ht="15" hidden="false" customHeight="false" outlineLevel="0" collapsed="false">
      <c r="A2074" s="18"/>
      <c r="B2074" s="16"/>
      <c r="C2074" s="16"/>
      <c r="D2074" s="51" t="str">
        <f aca="false">IF(C2074="","",IFERROR(IF(LEFT(C2074,1)="L",INDEX('Leads Pipeline'!$F$5:$F$1004,MATCH(C2074,'Leads Pipeline'!$A$5:$A$1004,0)),INDEX('Active Clients'!$D$5:$D$504,MATCH(C2074,'Active Clients'!$A$5:$A$504,0)))&amp;"","ID not found"))</f>
        <v/>
      </c>
      <c r="E2074" s="51" t="str">
        <f aca="false">IF(C2074="","",IFERROR(IF(LEFT(C2074,1)="L",INDEX('Leads Pipeline'!$D$5:$D$1004,MATCH(C2074,'Leads Pipeline'!$A$5:$A$1004,0)),INDEX('Active Clients'!$B$5:$B$504,MATCH(C2074,'Active Clients'!$A$5:$A$504,0)))&amp;"","ID not found"))</f>
        <v/>
      </c>
      <c r="F2074" s="51" t="str">
        <f aca="false">IF(C2074="","",IFERROR(IF(LEFT(C2074,1)="L",INDEX('Leads Pipeline'!$E$5:$E$1004,MATCH(C2074,'Leads Pipeline'!$A$5:$A$1004,0)),INDEX('Active Clients'!$C$5:$C$504,MATCH(C2074,'Active Clients'!$A$5:$A$504,0)))&amp;"","ID not found"))</f>
        <v/>
      </c>
      <c r="G2074" s="16"/>
      <c r="H2074" s="16"/>
      <c r="I2074" s="16"/>
      <c r="J2074" s="16"/>
      <c r="K2074" s="16"/>
      <c r="L2074" s="18"/>
    </row>
    <row r="2075" customFormat="false" ht="15" hidden="false" customHeight="false" outlineLevel="0" collapsed="false">
      <c r="A2075" s="18"/>
      <c r="B2075" s="16"/>
      <c r="C2075" s="16"/>
      <c r="D2075" s="51" t="str">
        <f aca="false">IF(C2075="","",IFERROR(IF(LEFT(C2075,1)="L",INDEX('Leads Pipeline'!$F$5:$F$1004,MATCH(C2075,'Leads Pipeline'!$A$5:$A$1004,0)),INDEX('Active Clients'!$D$5:$D$504,MATCH(C2075,'Active Clients'!$A$5:$A$504,0)))&amp;"","ID not found"))</f>
        <v/>
      </c>
      <c r="E2075" s="51" t="str">
        <f aca="false">IF(C2075="","",IFERROR(IF(LEFT(C2075,1)="L",INDEX('Leads Pipeline'!$D$5:$D$1004,MATCH(C2075,'Leads Pipeline'!$A$5:$A$1004,0)),INDEX('Active Clients'!$B$5:$B$504,MATCH(C2075,'Active Clients'!$A$5:$A$504,0)))&amp;"","ID not found"))</f>
        <v/>
      </c>
      <c r="F2075" s="51" t="str">
        <f aca="false">IF(C2075="","",IFERROR(IF(LEFT(C2075,1)="L",INDEX('Leads Pipeline'!$E$5:$E$1004,MATCH(C2075,'Leads Pipeline'!$A$5:$A$1004,0)),INDEX('Active Clients'!$C$5:$C$504,MATCH(C2075,'Active Clients'!$A$5:$A$504,0)))&amp;"","ID not found"))</f>
        <v/>
      </c>
      <c r="G2075" s="16"/>
      <c r="H2075" s="16"/>
      <c r="I2075" s="16"/>
      <c r="J2075" s="16"/>
      <c r="K2075" s="16"/>
      <c r="L2075" s="18"/>
    </row>
    <row r="2076" customFormat="false" ht="15" hidden="false" customHeight="false" outlineLevel="0" collapsed="false">
      <c r="A2076" s="18"/>
      <c r="B2076" s="16"/>
      <c r="C2076" s="16"/>
      <c r="D2076" s="51" t="str">
        <f aca="false">IF(C2076="","",IFERROR(IF(LEFT(C2076,1)="L",INDEX('Leads Pipeline'!$F$5:$F$1004,MATCH(C2076,'Leads Pipeline'!$A$5:$A$1004,0)),INDEX('Active Clients'!$D$5:$D$504,MATCH(C2076,'Active Clients'!$A$5:$A$504,0)))&amp;"","ID not found"))</f>
        <v/>
      </c>
      <c r="E2076" s="51" t="str">
        <f aca="false">IF(C2076="","",IFERROR(IF(LEFT(C2076,1)="L",INDEX('Leads Pipeline'!$D$5:$D$1004,MATCH(C2076,'Leads Pipeline'!$A$5:$A$1004,0)),INDEX('Active Clients'!$B$5:$B$504,MATCH(C2076,'Active Clients'!$A$5:$A$504,0)))&amp;"","ID not found"))</f>
        <v/>
      </c>
      <c r="F2076" s="51" t="str">
        <f aca="false">IF(C2076="","",IFERROR(IF(LEFT(C2076,1)="L",INDEX('Leads Pipeline'!$E$5:$E$1004,MATCH(C2076,'Leads Pipeline'!$A$5:$A$1004,0)),INDEX('Active Clients'!$C$5:$C$504,MATCH(C2076,'Active Clients'!$A$5:$A$504,0)))&amp;"","ID not found"))</f>
        <v/>
      </c>
      <c r="G2076" s="16"/>
      <c r="H2076" s="16"/>
      <c r="I2076" s="16"/>
      <c r="J2076" s="16"/>
      <c r="K2076" s="16"/>
      <c r="L2076" s="18"/>
    </row>
    <row r="2077" customFormat="false" ht="15" hidden="false" customHeight="false" outlineLevel="0" collapsed="false">
      <c r="A2077" s="18"/>
      <c r="B2077" s="16"/>
      <c r="C2077" s="16"/>
      <c r="D2077" s="51" t="str">
        <f aca="false">IF(C2077="","",IFERROR(IF(LEFT(C2077,1)="L",INDEX('Leads Pipeline'!$F$5:$F$1004,MATCH(C2077,'Leads Pipeline'!$A$5:$A$1004,0)),INDEX('Active Clients'!$D$5:$D$504,MATCH(C2077,'Active Clients'!$A$5:$A$504,0)))&amp;"","ID not found"))</f>
        <v/>
      </c>
      <c r="E2077" s="51" t="str">
        <f aca="false">IF(C2077="","",IFERROR(IF(LEFT(C2077,1)="L",INDEX('Leads Pipeline'!$D$5:$D$1004,MATCH(C2077,'Leads Pipeline'!$A$5:$A$1004,0)),INDEX('Active Clients'!$B$5:$B$504,MATCH(C2077,'Active Clients'!$A$5:$A$504,0)))&amp;"","ID not found"))</f>
        <v/>
      </c>
      <c r="F2077" s="51" t="str">
        <f aca="false">IF(C2077="","",IFERROR(IF(LEFT(C2077,1)="L",INDEX('Leads Pipeline'!$E$5:$E$1004,MATCH(C2077,'Leads Pipeline'!$A$5:$A$1004,0)),INDEX('Active Clients'!$C$5:$C$504,MATCH(C2077,'Active Clients'!$A$5:$A$504,0)))&amp;"","ID not found"))</f>
        <v/>
      </c>
      <c r="G2077" s="16"/>
      <c r="H2077" s="16"/>
      <c r="I2077" s="16"/>
      <c r="J2077" s="16"/>
      <c r="K2077" s="16"/>
      <c r="L2077" s="18"/>
    </row>
    <row r="2078" customFormat="false" ht="15" hidden="false" customHeight="false" outlineLevel="0" collapsed="false">
      <c r="A2078" s="18"/>
      <c r="B2078" s="16"/>
      <c r="C2078" s="16"/>
      <c r="D2078" s="51" t="str">
        <f aca="false">IF(C2078="","",IFERROR(IF(LEFT(C2078,1)="L",INDEX('Leads Pipeline'!$F$5:$F$1004,MATCH(C2078,'Leads Pipeline'!$A$5:$A$1004,0)),INDEX('Active Clients'!$D$5:$D$504,MATCH(C2078,'Active Clients'!$A$5:$A$504,0)))&amp;"","ID not found"))</f>
        <v/>
      </c>
      <c r="E2078" s="51" t="str">
        <f aca="false">IF(C2078="","",IFERROR(IF(LEFT(C2078,1)="L",INDEX('Leads Pipeline'!$D$5:$D$1004,MATCH(C2078,'Leads Pipeline'!$A$5:$A$1004,0)),INDEX('Active Clients'!$B$5:$B$504,MATCH(C2078,'Active Clients'!$A$5:$A$504,0)))&amp;"","ID not found"))</f>
        <v/>
      </c>
      <c r="F2078" s="51" t="str">
        <f aca="false">IF(C2078="","",IFERROR(IF(LEFT(C2078,1)="L",INDEX('Leads Pipeline'!$E$5:$E$1004,MATCH(C2078,'Leads Pipeline'!$A$5:$A$1004,0)),INDEX('Active Clients'!$C$5:$C$504,MATCH(C2078,'Active Clients'!$A$5:$A$504,0)))&amp;"","ID not found"))</f>
        <v/>
      </c>
      <c r="G2078" s="16"/>
      <c r="H2078" s="16"/>
      <c r="I2078" s="16"/>
      <c r="J2078" s="16"/>
      <c r="K2078" s="16"/>
      <c r="L2078" s="18"/>
    </row>
    <row r="2079" customFormat="false" ht="15" hidden="false" customHeight="false" outlineLevel="0" collapsed="false">
      <c r="A2079" s="18"/>
      <c r="B2079" s="16"/>
      <c r="C2079" s="16"/>
      <c r="D2079" s="51" t="str">
        <f aca="false">IF(C2079="","",IFERROR(IF(LEFT(C2079,1)="L",INDEX('Leads Pipeline'!$F$5:$F$1004,MATCH(C2079,'Leads Pipeline'!$A$5:$A$1004,0)),INDEX('Active Clients'!$D$5:$D$504,MATCH(C2079,'Active Clients'!$A$5:$A$504,0)))&amp;"","ID not found"))</f>
        <v/>
      </c>
      <c r="E2079" s="51" t="str">
        <f aca="false">IF(C2079="","",IFERROR(IF(LEFT(C2079,1)="L",INDEX('Leads Pipeline'!$D$5:$D$1004,MATCH(C2079,'Leads Pipeline'!$A$5:$A$1004,0)),INDEX('Active Clients'!$B$5:$B$504,MATCH(C2079,'Active Clients'!$A$5:$A$504,0)))&amp;"","ID not found"))</f>
        <v/>
      </c>
      <c r="F2079" s="51" t="str">
        <f aca="false">IF(C2079="","",IFERROR(IF(LEFT(C2079,1)="L",INDEX('Leads Pipeline'!$E$5:$E$1004,MATCH(C2079,'Leads Pipeline'!$A$5:$A$1004,0)),INDEX('Active Clients'!$C$5:$C$504,MATCH(C2079,'Active Clients'!$A$5:$A$504,0)))&amp;"","ID not found"))</f>
        <v/>
      </c>
      <c r="G2079" s="16"/>
      <c r="H2079" s="16"/>
      <c r="I2079" s="16"/>
      <c r="J2079" s="16"/>
      <c r="K2079" s="16"/>
      <c r="L2079" s="18"/>
    </row>
    <row r="2080" customFormat="false" ht="15" hidden="false" customHeight="false" outlineLevel="0" collapsed="false">
      <c r="A2080" s="18"/>
      <c r="B2080" s="16"/>
      <c r="C2080" s="16"/>
      <c r="D2080" s="51" t="str">
        <f aca="false">IF(C2080="","",IFERROR(IF(LEFT(C2080,1)="L",INDEX('Leads Pipeline'!$F$5:$F$1004,MATCH(C2080,'Leads Pipeline'!$A$5:$A$1004,0)),INDEX('Active Clients'!$D$5:$D$504,MATCH(C2080,'Active Clients'!$A$5:$A$504,0)))&amp;"","ID not found"))</f>
        <v/>
      </c>
      <c r="E2080" s="51" t="str">
        <f aca="false">IF(C2080="","",IFERROR(IF(LEFT(C2080,1)="L",INDEX('Leads Pipeline'!$D$5:$D$1004,MATCH(C2080,'Leads Pipeline'!$A$5:$A$1004,0)),INDEX('Active Clients'!$B$5:$B$504,MATCH(C2080,'Active Clients'!$A$5:$A$504,0)))&amp;"","ID not found"))</f>
        <v/>
      </c>
      <c r="F2080" s="51" t="str">
        <f aca="false">IF(C2080="","",IFERROR(IF(LEFT(C2080,1)="L",INDEX('Leads Pipeline'!$E$5:$E$1004,MATCH(C2080,'Leads Pipeline'!$A$5:$A$1004,0)),INDEX('Active Clients'!$C$5:$C$504,MATCH(C2080,'Active Clients'!$A$5:$A$504,0)))&amp;"","ID not found"))</f>
        <v/>
      </c>
      <c r="G2080" s="16"/>
      <c r="H2080" s="16"/>
      <c r="I2080" s="16"/>
      <c r="J2080" s="16"/>
      <c r="K2080" s="16"/>
      <c r="L2080" s="18"/>
    </row>
    <row r="2081" customFormat="false" ht="15" hidden="false" customHeight="false" outlineLevel="0" collapsed="false">
      <c r="A2081" s="18"/>
      <c r="B2081" s="16"/>
      <c r="C2081" s="16"/>
      <c r="D2081" s="51" t="str">
        <f aca="false">IF(C2081="","",IFERROR(IF(LEFT(C2081,1)="L",INDEX('Leads Pipeline'!$F$5:$F$1004,MATCH(C2081,'Leads Pipeline'!$A$5:$A$1004,0)),INDEX('Active Clients'!$D$5:$D$504,MATCH(C2081,'Active Clients'!$A$5:$A$504,0)))&amp;"","ID not found"))</f>
        <v/>
      </c>
      <c r="E2081" s="51" t="str">
        <f aca="false">IF(C2081="","",IFERROR(IF(LEFT(C2081,1)="L",INDEX('Leads Pipeline'!$D$5:$D$1004,MATCH(C2081,'Leads Pipeline'!$A$5:$A$1004,0)),INDEX('Active Clients'!$B$5:$B$504,MATCH(C2081,'Active Clients'!$A$5:$A$504,0)))&amp;"","ID not found"))</f>
        <v/>
      </c>
      <c r="F2081" s="51" t="str">
        <f aca="false">IF(C2081="","",IFERROR(IF(LEFT(C2081,1)="L",INDEX('Leads Pipeline'!$E$5:$E$1004,MATCH(C2081,'Leads Pipeline'!$A$5:$A$1004,0)),INDEX('Active Clients'!$C$5:$C$504,MATCH(C2081,'Active Clients'!$A$5:$A$504,0)))&amp;"","ID not found"))</f>
        <v/>
      </c>
      <c r="G2081" s="16"/>
      <c r="H2081" s="16"/>
      <c r="I2081" s="16"/>
      <c r="J2081" s="16"/>
      <c r="K2081" s="16"/>
      <c r="L2081" s="18"/>
    </row>
    <row r="2082" customFormat="false" ht="15" hidden="false" customHeight="false" outlineLevel="0" collapsed="false">
      <c r="A2082" s="18"/>
      <c r="B2082" s="16"/>
      <c r="C2082" s="16"/>
      <c r="D2082" s="51" t="str">
        <f aca="false">IF(C2082="","",IFERROR(IF(LEFT(C2082,1)="L",INDEX('Leads Pipeline'!$F$5:$F$1004,MATCH(C2082,'Leads Pipeline'!$A$5:$A$1004,0)),INDEX('Active Clients'!$D$5:$D$504,MATCH(C2082,'Active Clients'!$A$5:$A$504,0)))&amp;"","ID not found"))</f>
        <v/>
      </c>
      <c r="E2082" s="51" t="str">
        <f aca="false">IF(C2082="","",IFERROR(IF(LEFT(C2082,1)="L",INDEX('Leads Pipeline'!$D$5:$D$1004,MATCH(C2082,'Leads Pipeline'!$A$5:$A$1004,0)),INDEX('Active Clients'!$B$5:$B$504,MATCH(C2082,'Active Clients'!$A$5:$A$504,0)))&amp;"","ID not found"))</f>
        <v/>
      </c>
      <c r="F2082" s="51" t="str">
        <f aca="false">IF(C2082="","",IFERROR(IF(LEFT(C2082,1)="L",INDEX('Leads Pipeline'!$E$5:$E$1004,MATCH(C2082,'Leads Pipeline'!$A$5:$A$1004,0)),INDEX('Active Clients'!$C$5:$C$504,MATCH(C2082,'Active Clients'!$A$5:$A$504,0)))&amp;"","ID not found"))</f>
        <v/>
      </c>
      <c r="G2082" s="16"/>
      <c r="H2082" s="16"/>
      <c r="I2082" s="16"/>
      <c r="J2082" s="16"/>
      <c r="K2082" s="16"/>
      <c r="L2082" s="18"/>
    </row>
    <row r="2083" customFormat="false" ht="15" hidden="false" customHeight="false" outlineLevel="0" collapsed="false">
      <c r="A2083" s="18"/>
      <c r="B2083" s="16"/>
      <c r="C2083" s="16"/>
      <c r="D2083" s="51" t="str">
        <f aca="false">IF(C2083="","",IFERROR(IF(LEFT(C2083,1)="L",INDEX('Leads Pipeline'!$F$5:$F$1004,MATCH(C2083,'Leads Pipeline'!$A$5:$A$1004,0)),INDEX('Active Clients'!$D$5:$D$504,MATCH(C2083,'Active Clients'!$A$5:$A$504,0)))&amp;"","ID not found"))</f>
        <v/>
      </c>
      <c r="E2083" s="51" t="str">
        <f aca="false">IF(C2083="","",IFERROR(IF(LEFT(C2083,1)="L",INDEX('Leads Pipeline'!$D$5:$D$1004,MATCH(C2083,'Leads Pipeline'!$A$5:$A$1004,0)),INDEX('Active Clients'!$B$5:$B$504,MATCH(C2083,'Active Clients'!$A$5:$A$504,0)))&amp;"","ID not found"))</f>
        <v/>
      </c>
      <c r="F2083" s="51" t="str">
        <f aca="false">IF(C2083="","",IFERROR(IF(LEFT(C2083,1)="L",INDEX('Leads Pipeline'!$E$5:$E$1004,MATCH(C2083,'Leads Pipeline'!$A$5:$A$1004,0)),INDEX('Active Clients'!$C$5:$C$504,MATCH(C2083,'Active Clients'!$A$5:$A$504,0)))&amp;"","ID not found"))</f>
        <v/>
      </c>
      <c r="G2083" s="16"/>
      <c r="H2083" s="16"/>
      <c r="I2083" s="16"/>
      <c r="J2083" s="16"/>
      <c r="K2083" s="16"/>
      <c r="L2083" s="18"/>
    </row>
    <row r="2084" customFormat="false" ht="15" hidden="false" customHeight="false" outlineLevel="0" collapsed="false">
      <c r="A2084" s="18"/>
      <c r="B2084" s="16"/>
      <c r="C2084" s="16"/>
      <c r="D2084" s="51" t="str">
        <f aca="false">IF(C2084="","",IFERROR(IF(LEFT(C2084,1)="L",INDEX('Leads Pipeline'!$F$5:$F$1004,MATCH(C2084,'Leads Pipeline'!$A$5:$A$1004,0)),INDEX('Active Clients'!$D$5:$D$504,MATCH(C2084,'Active Clients'!$A$5:$A$504,0)))&amp;"","ID not found"))</f>
        <v/>
      </c>
      <c r="E2084" s="51" t="str">
        <f aca="false">IF(C2084="","",IFERROR(IF(LEFT(C2084,1)="L",INDEX('Leads Pipeline'!$D$5:$D$1004,MATCH(C2084,'Leads Pipeline'!$A$5:$A$1004,0)),INDEX('Active Clients'!$B$5:$B$504,MATCH(C2084,'Active Clients'!$A$5:$A$504,0)))&amp;"","ID not found"))</f>
        <v/>
      </c>
      <c r="F2084" s="51" t="str">
        <f aca="false">IF(C2084="","",IFERROR(IF(LEFT(C2084,1)="L",INDEX('Leads Pipeline'!$E$5:$E$1004,MATCH(C2084,'Leads Pipeline'!$A$5:$A$1004,0)),INDEX('Active Clients'!$C$5:$C$504,MATCH(C2084,'Active Clients'!$A$5:$A$504,0)))&amp;"","ID not found"))</f>
        <v/>
      </c>
      <c r="G2084" s="16"/>
      <c r="H2084" s="16"/>
      <c r="I2084" s="16"/>
      <c r="J2084" s="16"/>
      <c r="K2084" s="16"/>
      <c r="L2084" s="18"/>
    </row>
    <row r="2085" customFormat="false" ht="15" hidden="false" customHeight="false" outlineLevel="0" collapsed="false">
      <c r="A2085" s="18"/>
      <c r="B2085" s="16"/>
      <c r="C2085" s="16"/>
      <c r="D2085" s="51" t="str">
        <f aca="false">IF(C2085="","",IFERROR(IF(LEFT(C2085,1)="L",INDEX('Leads Pipeline'!$F$5:$F$1004,MATCH(C2085,'Leads Pipeline'!$A$5:$A$1004,0)),INDEX('Active Clients'!$D$5:$D$504,MATCH(C2085,'Active Clients'!$A$5:$A$504,0)))&amp;"","ID not found"))</f>
        <v/>
      </c>
      <c r="E2085" s="51" t="str">
        <f aca="false">IF(C2085="","",IFERROR(IF(LEFT(C2085,1)="L",INDEX('Leads Pipeline'!$D$5:$D$1004,MATCH(C2085,'Leads Pipeline'!$A$5:$A$1004,0)),INDEX('Active Clients'!$B$5:$B$504,MATCH(C2085,'Active Clients'!$A$5:$A$504,0)))&amp;"","ID not found"))</f>
        <v/>
      </c>
      <c r="F2085" s="51" t="str">
        <f aca="false">IF(C2085="","",IFERROR(IF(LEFT(C2085,1)="L",INDEX('Leads Pipeline'!$E$5:$E$1004,MATCH(C2085,'Leads Pipeline'!$A$5:$A$1004,0)),INDEX('Active Clients'!$C$5:$C$504,MATCH(C2085,'Active Clients'!$A$5:$A$504,0)))&amp;"","ID not found"))</f>
        <v/>
      </c>
      <c r="G2085" s="16"/>
      <c r="H2085" s="16"/>
      <c r="I2085" s="16"/>
      <c r="J2085" s="16"/>
      <c r="K2085" s="16"/>
      <c r="L2085" s="18"/>
    </row>
    <row r="2086" customFormat="false" ht="15" hidden="false" customHeight="false" outlineLevel="0" collapsed="false">
      <c r="A2086" s="18"/>
      <c r="B2086" s="16"/>
      <c r="C2086" s="16"/>
      <c r="D2086" s="51" t="str">
        <f aca="false">IF(C2086="","",IFERROR(IF(LEFT(C2086,1)="L",INDEX('Leads Pipeline'!$F$5:$F$1004,MATCH(C2086,'Leads Pipeline'!$A$5:$A$1004,0)),INDEX('Active Clients'!$D$5:$D$504,MATCH(C2086,'Active Clients'!$A$5:$A$504,0)))&amp;"","ID not found"))</f>
        <v/>
      </c>
      <c r="E2086" s="51" t="str">
        <f aca="false">IF(C2086="","",IFERROR(IF(LEFT(C2086,1)="L",INDEX('Leads Pipeline'!$D$5:$D$1004,MATCH(C2086,'Leads Pipeline'!$A$5:$A$1004,0)),INDEX('Active Clients'!$B$5:$B$504,MATCH(C2086,'Active Clients'!$A$5:$A$504,0)))&amp;"","ID not found"))</f>
        <v/>
      </c>
      <c r="F2086" s="51" t="str">
        <f aca="false">IF(C2086="","",IFERROR(IF(LEFT(C2086,1)="L",INDEX('Leads Pipeline'!$E$5:$E$1004,MATCH(C2086,'Leads Pipeline'!$A$5:$A$1004,0)),INDEX('Active Clients'!$C$5:$C$504,MATCH(C2086,'Active Clients'!$A$5:$A$504,0)))&amp;"","ID not found"))</f>
        <v/>
      </c>
      <c r="G2086" s="16"/>
      <c r="H2086" s="16"/>
      <c r="I2086" s="16"/>
      <c r="J2086" s="16"/>
      <c r="K2086" s="16"/>
      <c r="L2086" s="18"/>
    </row>
    <row r="2087" customFormat="false" ht="15" hidden="false" customHeight="false" outlineLevel="0" collapsed="false">
      <c r="A2087" s="18"/>
      <c r="B2087" s="16"/>
      <c r="C2087" s="16"/>
      <c r="D2087" s="51" t="str">
        <f aca="false">IF(C2087="","",IFERROR(IF(LEFT(C2087,1)="L",INDEX('Leads Pipeline'!$F$5:$F$1004,MATCH(C2087,'Leads Pipeline'!$A$5:$A$1004,0)),INDEX('Active Clients'!$D$5:$D$504,MATCH(C2087,'Active Clients'!$A$5:$A$504,0)))&amp;"","ID not found"))</f>
        <v/>
      </c>
      <c r="E2087" s="51" t="str">
        <f aca="false">IF(C2087="","",IFERROR(IF(LEFT(C2087,1)="L",INDEX('Leads Pipeline'!$D$5:$D$1004,MATCH(C2087,'Leads Pipeline'!$A$5:$A$1004,0)),INDEX('Active Clients'!$B$5:$B$504,MATCH(C2087,'Active Clients'!$A$5:$A$504,0)))&amp;"","ID not found"))</f>
        <v/>
      </c>
      <c r="F2087" s="51" t="str">
        <f aca="false">IF(C2087="","",IFERROR(IF(LEFT(C2087,1)="L",INDEX('Leads Pipeline'!$E$5:$E$1004,MATCH(C2087,'Leads Pipeline'!$A$5:$A$1004,0)),INDEX('Active Clients'!$C$5:$C$504,MATCH(C2087,'Active Clients'!$A$5:$A$504,0)))&amp;"","ID not found"))</f>
        <v/>
      </c>
      <c r="G2087" s="16"/>
      <c r="H2087" s="16"/>
      <c r="I2087" s="16"/>
      <c r="J2087" s="16"/>
      <c r="K2087" s="16"/>
      <c r="L2087" s="18"/>
    </row>
    <row r="2088" customFormat="false" ht="15" hidden="false" customHeight="false" outlineLevel="0" collapsed="false">
      <c r="A2088" s="18"/>
      <c r="B2088" s="16"/>
      <c r="C2088" s="16"/>
      <c r="D2088" s="51" t="str">
        <f aca="false">IF(C2088="","",IFERROR(IF(LEFT(C2088,1)="L",INDEX('Leads Pipeline'!$F$5:$F$1004,MATCH(C2088,'Leads Pipeline'!$A$5:$A$1004,0)),INDEX('Active Clients'!$D$5:$D$504,MATCH(C2088,'Active Clients'!$A$5:$A$504,0)))&amp;"","ID not found"))</f>
        <v/>
      </c>
      <c r="E2088" s="51" t="str">
        <f aca="false">IF(C2088="","",IFERROR(IF(LEFT(C2088,1)="L",INDEX('Leads Pipeline'!$D$5:$D$1004,MATCH(C2088,'Leads Pipeline'!$A$5:$A$1004,0)),INDEX('Active Clients'!$B$5:$B$504,MATCH(C2088,'Active Clients'!$A$5:$A$504,0)))&amp;"","ID not found"))</f>
        <v/>
      </c>
      <c r="F2088" s="51" t="str">
        <f aca="false">IF(C2088="","",IFERROR(IF(LEFT(C2088,1)="L",INDEX('Leads Pipeline'!$E$5:$E$1004,MATCH(C2088,'Leads Pipeline'!$A$5:$A$1004,0)),INDEX('Active Clients'!$C$5:$C$504,MATCH(C2088,'Active Clients'!$A$5:$A$504,0)))&amp;"","ID not found"))</f>
        <v/>
      </c>
      <c r="G2088" s="16"/>
      <c r="H2088" s="16"/>
      <c r="I2088" s="16"/>
      <c r="J2088" s="16"/>
      <c r="K2088" s="16"/>
      <c r="L2088" s="18"/>
    </row>
    <row r="2089" customFormat="false" ht="15" hidden="false" customHeight="false" outlineLevel="0" collapsed="false">
      <c r="A2089" s="18"/>
      <c r="B2089" s="16"/>
      <c r="C2089" s="16"/>
      <c r="D2089" s="51" t="str">
        <f aca="false">IF(C2089="","",IFERROR(IF(LEFT(C2089,1)="L",INDEX('Leads Pipeline'!$F$5:$F$1004,MATCH(C2089,'Leads Pipeline'!$A$5:$A$1004,0)),INDEX('Active Clients'!$D$5:$D$504,MATCH(C2089,'Active Clients'!$A$5:$A$504,0)))&amp;"","ID not found"))</f>
        <v/>
      </c>
      <c r="E2089" s="51" t="str">
        <f aca="false">IF(C2089="","",IFERROR(IF(LEFT(C2089,1)="L",INDEX('Leads Pipeline'!$D$5:$D$1004,MATCH(C2089,'Leads Pipeline'!$A$5:$A$1004,0)),INDEX('Active Clients'!$B$5:$B$504,MATCH(C2089,'Active Clients'!$A$5:$A$504,0)))&amp;"","ID not found"))</f>
        <v/>
      </c>
      <c r="F2089" s="51" t="str">
        <f aca="false">IF(C2089="","",IFERROR(IF(LEFT(C2089,1)="L",INDEX('Leads Pipeline'!$E$5:$E$1004,MATCH(C2089,'Leads Pipeline'!$A$5:$A$1004,0)),INDEX('Active Clients'!$C$5:$C$504,MATCH(C2089,'Active Clients'!$A$5:$A$504,0)))&amp;"","ID not found"))</f>
        <v/>
      </c>
      <c r="G2089" s="16"/>
      <c r="H2089" s="16"/>
      <c r="I2089" s="16"/>
      <c r="J2089" s="16"/>
      <c r="K2089" s="16"/>
      <c r="L2089" s="18"/>
    </row>
    <row r="2090" customFormat="false" ht="15" hidden="false" customHeight="false" outlineLevel="0" collapsed="false">
      <c r="A2090" s="18"/>
      <c r="B2090" s="16"/>
      <c r="C2090" s="16"/>
      <c r="D2090" s="51" t="str">
        <f aca="false">IF(C2090="","",IFERROR(IF(LEFT(C2090,1)="L",INDEX('Leads Pipeline'!$F$5:$F$1004,MATCH(C2090,'Leads Pipeline'!$A$5:$A$1004,0)),INDEX('Active Clients'!$D$5:$D$504,MATCH(C2090,'Active Clients'!$A$5:$A$504,0)))&amp;"","ID not found"))</f>
        <v/>
      </c>
      <c r="E2090" s="51" t="str">
        <f aca="false">IF(C2090="","",IFERROR(IF(LEFT(C2090,1)="L",INDEX('Leads Pipeline'!$D$5:$D$1004,MATCH(C2090,'Leads Pipeline'!$A$5:$A$1004,0)),INDEX('Active Clients'!$B$5:$B$504,MATCH(C2090,'Active Clients'!$A$5:$A$504,0)))&amp;"","ID not found"))</f>
        <v/>
      </c>
      <c r="F2090" s="51" t="str">
        <f aca="false">IF(C2090="","",IFERROR(IF(LEFT(C2090,1)="L",INDEX('Leads Pipeline'!$E$5:$E$1004,MATCH(C2090,'Leads Pipeline'!$A$5:$A$1004,0)),INDEX('Active Clients'!$C$5:$C$504,MATCH(C2090,'Active Clients'!$A$5:$A$504,0)))&amp;"","ID not found"))</f>
        <v/>
      </c>
      <c r="G2090" s="16"/>
      <c r="H2090" s="16"/>
      <c r="I2090" s="16"/>
      <c r="J2090" s="16"/>
      <c r="K2090" s="16"/>
      <c r="L2090" s="18"/>
    </row>
    <row r="2091" customFormat="false" ht="15" hidden="false" customHeight="false" outlineLevel="0" collapsed="false">
      <c r="A2091" s="18"/>
      <c r="B2091" s="16"/>
      <c r="C2091" s="16"/>
      <c r="D2091" s="51" t="str">
        <f aca="false">IF(C2091="","",IFERROR(IF(LEFT(C2091,1)="L",INDEX('Leads Pipeline'!$F$5:$F$1004,MATCH(C2091,'Leads Pipeline'!$A$5:$A$1004,0)),INDEX('Active Clients'!$D$5:$D$504,MATCH(C2091,'Active Clients'!$A$5:$A$504,0)))&amp;"","ID not found"))</f>
        <v/>
      </c>
      <c r="E2091" s="51" t="str">
        <f aca="false">IF(C2091="","",IFERROR(IF(LEFT(C2091,1)="L",INDEX('Leads Pipeline'!$D$5:$D$1004,MATCH(C2091,'Leads Pipeline'!$A$5:$A$1004,0)),INDEX('Active Clients'!$B$5:$B$504,MATCH(C2091,'Active Clients'!$A$5:$A$504,0)))&amp;"","ID not found"))</f>
        <v/>
      </c>
      <c r="F2091" s="51" t="str">
        <f aca="false">IF(C2091="","",IFERROR(IF(LEFT(C2091,1)="L",INDEX('Leads Pipeline'!$E$5:$E$1004,MATCH(C2091,'Leads Pipeline'!$A$5:$A$1004,0)),INDEX('Active Clients'!$C$5:$C$504,MATCH(C2091,'Active Clients'!$A$5:$A$504,0)))&amp;"","ID not found"))</f>
        <v/>
      </c>
      <c r="G2091" s="16"/>
      <c r="H2091" s="16"/>
      <c r="I2091" s="16"/>
      <c r="J2091" s="16"/>
      <c r="K2091" s="16"/>
      <c r="L2091" s="18"/>
    </row>
    <row r="2092" customFormat="false" ht="15" hidden="false" customHeight="false" outlineLevel="0" collapsed="false">
      <c r="A2092" s="18"/>
      <c r="B2092" s="16"/>
      <c r="C2092" s="16"/>
      <c r="D2092" s="51" t="str">
        <f aca="false">IF(C2092="","",IFERROR(IF(LEFT(C2092,1)="L",INDEX('Leads Pipeline'!$F$5:$F$1004,MATCH(C2092,'Leads Pipeline'!$A$5:$A$1004,0)),INDEX('Active Clients'!$D$5:$D$504,MATCH(C2092,'Active Clients'!$A$5:$A$504,0)))&amp;"","ID not found"))</f>
        <v/>
      </c>
      <c r="E2092" s="51" t="str">
        <f aca="false">IF(C2092="","",IFERROR(IF(LEFT(C2092,1)="L",INDEX('Leads Pipeline'!$D$5:$D$1004,MATCH(C2092,'Leads Pipeline'!$A$5:$A$1004,0)),INDEX('Active Clients'!$B$5:$B$504,MATCH(C2092,'Active Clients'!$A$5:$A$504,0)))&amp;"","ID not found"))</f>
        <v/>
      </c>
      <c r="F2092" s="51" t="str">
        <f aca="false">IF(C2092="","",IFERROR(IF(LEFT(C2092,1)="L",INDEX('Leads Pipeline'!$E$5:$E$1004,MATCH(C2092,'Leads Pipeline'!$A$5:$A$1004,0)),INDEX('Active Clients'!$C$5:$C$504,MATCH(C2092,'Active Clients'!$A$5:$A$504,0)))&amp;"","ID not found"))</f>
        <v/>
      </c>
      <c r="G2092" s="16"/>
      <c r="H2092" s="16"/>
      <c r="I2092" s="16"/>
      <c r="J2092" s="16"/>
      <c r="K2092" s="16"/>
      <c r="L2092" s="18"/>
    </row>
    <row r="2093" customFormat="false" ht="15" hidden="false" customHeight="false" outlineLevel="0" collapsed="false">
      <c r="A2093" s="18"/>
      <c r="B2093" s="16"/>
      <c r="C2093" s="16"/>
      <c r="D2093" s="51" t="str">
        <f aca="false">IF(C2093="","",IFERROR(IF(LEFT(C2093,1)="L",INDEX('Leads Pipeline'!$F$5:$F$1004,MATCH(C2093,'Leads Pipeline'!$A$5:$A$1004,0)),INDEX('Active Clients'!$D$5:$D$504,MATCH(C2093,'Active Clients'!$A$5:$A$504,0)))&amp;"","ID not found"))</f>
        <v/>
      </c>
      <c r="E2093" s="51" t="str">
        <f aca="false">IF(C2093="","",IFERROR(IF(LEFT(C2093,1)="L",INDEX('Leads Pipeline'!$D$5:$D$1004,MATCH(C2093,'Leads Pipeline'!$A$5:$A$1004,0)),INDEX('Active Clients'!$B$5:$B$504,MATCH(C2093,'Active Clients'!$A$5:$A$504,0)))&amp;"","ID not found"))</f>
        <v/>
      </c>
      <c r="F2093" s="51" t="str">
        <f aca="false">IF(C2093="","",IFERROR(IF(LEFT(C2093,1)="L",INDEX('Leads Pipeline'!$E$5:$E$1004,MATCH(C2093,'Leads Pipeline'!$A$5:$A$1004,0)),INDEX('Active Clients'!$C$5:$C$504,MATCH(C2093,'Active Clients'!$A$5:$A$504,0)))&amp;"","ID not found"))</f>
        <v/>
      </c>
      <c r="G2093" s="16"/>
      <c r="H2093" s="16"/>
      <c r="I2093" s="16"/>
      <c r="J2093" s="16"/>
      <c r="K2093" s="16"/>
      <c r="L2093" s="18"/>
    </row>
    <row r="2094" customFormat="false" ht="15" hidden="false" customHeight="false" outlineLevel="0" collapsed="false">
      <c r="A2094" s="18"/>
      <c r="B2094" s="16"/>
      <c r="C2094" s="16"/>
      <c r="D2094" s="51" t="str">
        <f aca="false">IF(C2094="","",IFERROR(IF(LEFT(C2094,1)="L",INDEX('Leads Pipeline'!$F$5:$F$1004,MATCH(C2094,'Leads Pipeline'!$A$5:$A$1004,0)),INDEX('Active Clients'!$D$5:$D$504,MATCH(C2094,'Active Clients'!$A$5:$A$504,0)))&amp;"","ID not found"))</f>
        <v/>
      </c>
      <c r="E2094" s="51" t="str">
        <f aca="false">IF(C2094="","",IFERROR(IF(LEFT(C2094,1)="L",INDEX('Leads Pipeline'!$D$5:$D$1004,MATCH(C2094,'Leads Pipeline'!$A$5:$A$1004,0)),INDEX('Active Clients'!$B$5:$B$504,MATCH(C2094,'Active Clients'!$A$5:$A$504,0)))&amp;"","ID not found"))</f>
        <v/>
      </c>
      <c r="F2094" s="51" t="str">
        <f aca="false">IF(C2094="","",IFERROR(IF(LEFT(C2094,1)="L",INDEX('Leads Pipeline'!$E$5:$E$1004,MATCH(C2094,'Leads Pipeline'!$A$5:$A$1004,0)),INDEX('Active Clients'!$C$5:$C$504,MATCH(C2094,'Active Clients'!$A$5:$A$504,0)))&amp;"","ID not found"))</f>
        <v/>
      </c>
      <c r="G2094" s="16"/>
      <c r="H2094" s="16"/>
      <c r="I2094" s="16"/>
      <c r="J2094" s="16"/>
      <c r="K2094" s="16"/>
      <c r="L2094" s="18"/>
    </row>
    <row r="2095" customFormat="false" ht="15" hidden="false" customHeight="false" outlineLevel="0" collapsed="false">
      <c r="A2095" s="18"/>
      <c r="B2095" s="16"/>
      <c r="C2095" s="16"/>
      <c r="D2095" s="51" t="str">
        <f aca="false">IF(C2095="","",IFERROR(IF(LEFT(C2095,1)="L",INDEX('Leads Pipeline'!$F$5:$F$1004,MATCH(C2095,'Leads Pipeline'!$A$5:$A$1004,0)),INDEX('Active Clients'!$D$5:$D$504,MATCH(C2095,'Active Clients'!$A$5:$A$504,0)))&amp;"","ID not found"))</f>
        <v/>
      </c>
      <c r="E2095" s="51" t="str">
        <f aca="false">IF(C2095="","",IFERROR(IF(LEFT(C2095,1)="L",INDEX('Leads Pipeline'!$D$5:$D$1004,MATCH(C2095,'Leads Pipeline'!$A$5:$A$1004,0)),INDEX('Active Clients'!$B$5:$B$504,MATCH(C2095,'Active Clients'!$A$5:$A$504,0)))&amp;"","ID not found"))</f>
        <v/>
      </c>
      <c r="F2095" s="51" t="str">
        <f aca="false">IF(C2095="","",IFERROR(IF(LEFT(C2095,1)="L",INDEX('Leads Pipeline'!$E$5:$E$1004,MATCH(C2095,'Leads Pipeline'!$A$5:$A$1004,0)),INDEX('Active Clients'!$C$5:$C$504,MATCH(C2095,'Active Clients'!$A$5:$A$504,0)))&amp;"","ID not found"))</f>
        <v/>
      </c>
      <c r="G2095" s="16"/>
      <c r="H2095" s="16"/>
      <c r="I2095" s="16"/>
      <c r="J2095" s="16"/>
      <c r="K2095" s="16"/>
      <c r="L2095" s="18"/>
    </row>
    <row r="2096" customFormat="false" ht="15" hidden="false" customHeight="false" outlineLevel="0" collapsed="false">
      <c r="A2096" s="18"/>
      <c r="B2096" s="16"/>
      <c r="C2096" s="16"/>
      <c r="D2096" s="51" t="str">
        <f aca="false">IF(C2096="","",IFERROR(IF(LEFT(C2096,1)="L",INDEX('Leads Pipeline'!$F$5:$F$1004,MATCH(C2096,'Leads Pipeline'!$A$5:$A$1004,0)),INDEX('Active Clients'!$D$5:$D$504,MATCH(C2096,'Active Clients'!$A$5:$A$504,0)))&amp;"","ID not found"))</f>
        <v/>
      </c>
      <c r="E2096" s="51" t="str">
        <f aca="false">IF(C2096="","",IFERROR(IF(LEFT(C2096,1)="L",INDEX('Leads Pipeline'!$D$5:$D$1004,MATCH(C2096,'Leads Pipeline'!$A$5:$A$1004,0)),INDEX('Active Clients'!$B$5:$B$504,MATCH(C2096,'Active Clients'!$A$5:$A$504,0)))&amp;"","ID not found"))</f>
        <v/>
      </c>
      <c r="F2096" s="51" t="str">
        <f aca="false">IF(C2096="","",IFERROR(IF(LEFT(C2096,1)="L",INDEX('Leads Pipeline'!$E$5:$E$1004,MATCH(C2096,'Leads Pipeline'!$A$5:$A$1004,0)),INDEX('Active Clients'!$C$5:$C$504,MATCH(C2096,'Active Clients'!$A$5:$A$504,0)))&amp;"","ID not found"))</f>
        <v/>
      </c>
      <c r="G2096" s="16"/>
      <c r="H2096" s="16"/>
      <c r="I2096" s="16"/>
      <c r="J2096" s="16"/>
      <c r="K2096" s="16"/>
      <c r="L2096" s="18"/>
    </row>
    <row r="2097" customFormat="false" ht="15" hidden="false" customHeight="false" outlineLevel="0" collapsed="false">
      <c r="A2097" s="18"/>
      <c r="B2097" s="16"/>
      <c r="C2097" s="16"/>
      <c r="D2097" s="51" t="str">
        <f aca="false">IF(C2097="","",IFERROR(IF(LEFT(C2097,1)="L",INDEX('Leads Pipeline'!$F$5:$F$1004,MATCH(C2097,'Leads Pipeline'!$A$5:$A$1004,0)),INDEX('Active Clients'!$D$5:$D$504,MATCH(C2097,'Active Clients'!$A$5:$A$504,0)))&amp;"","ID not found"))</f>
        <v/>
      </c>
      <c r="E2097" s="51" t="str">
        <f aca="false">IF(C2097="","",IFERROR(IF(LEFT(C2097,1)="L",INDEX('Leads Pipeline'!$D$5:$D$1004,MATCH(C2097,'Leads Pipeline'!$A$5:$A$1004,0)),INDEX('Active Clients'!$B$5:$B$504,MATCH(C2097,'Active Clients'!$A$5:$A$504,0)))&amp;"","ID not found"))</f>
        <v/>
      </c>
      <c r="F2097" s="51" t="str">
        <f aca="false">IF(C2097="","",IFERROR(IF(LEFT(C2097,1)="L",INDEX('Leads Pipeline'!$E$5:$E$1004,MATCH(C2097,'Leads Pipeline'!$A$5:$A$1004,0)),INDEX('Active Clients'!$C$5:$C$504,MATCH(C2097,'Active Clients'!$A$5:$A$504,0)))&amp;"","ID not found"))</f>
        <v/>
      </c>
      <c r="G2097" s="16"/>
      <c r="H2097" s="16"/>
      <c r="I2097" s="16"/>
      <c r="J2097" s="16"/>
      <c r="K2097" s="16"/>
      <c r="L2097" s="18"/>
    </row>
    <row r="2098" customFormat="false" ht="15" hidden="false" customHeight="false" outlineLevel="0" collapsed="false">
      <c r="A2098" s="18"/>
      <c r="B2098" s="16"/>
      <c r="C2098" s="16"/>
      <c r="D2098" s="51" t="str">
        <f aca="false">IF(C2098="","",IFERROR(IF(LEFT(C2098,1)="L",INDEX('Leads Pipeline'!$F$5:$F$1004,MATCH(C2098,'Leads Pipeline'!$A$5:$A$1004,0)),INDEX('Active Clients'!$D$5:$D$504,MATCH(C2098,'Active Clients'!$A$5:$A$504,0)))&amp;"","ID not found"))</f>
        <v/>
      </c>
      <c r="E2098" s="51" t="str">
        <f aca="false">IF(C2098="","",IFERROR(IF(LEFT(C2098,1)="L",INDEX('Leads Pipeline'!$D$5:$D$1004,MATCH(C2098,'Leads Pipeline'!$A$5:$A$1004,0)),INDEX('Active Clients'!$B$5:$B$504,MATCH(C2098,'Active Clients'!$A$5:$A$504,0)))&amp;"","ID not found"))</f>
        <v/>
      </c>
      <c r="F2098" s="51" t="str">
        <f aca="false">IF(C2098="","",IFERROR(IF(LEFT(C2098,1)="L",INDEX('Leads Pipeline'!$E$5:$E$1004,MATCH(C2098,'Leads Pipeline'!$A$5:$A$1004,0)),INDEX('Active Clients'!$C$5:$C$504,MATCH(C2098,'Active Clients'!$A$5:$A$504,0)))&amp;"","ID not found"))</f>
        <v/>
      </c>
      <c r="G2098" s="16"/>
      <c r="H2098" s="16"/>
      <c r="I2098" s="16"/>
      <c r="J2098" s="16"/>
      <c r="K2098" s="16"/>
      <c r="L2098" s="18"/>
    </row>
    <row r="2099" customFormat="false" ht="15" hidden="false" customHeight="false" outlineLevel="0" collapsed="false">
      <c r="A2099" s="18"/>
      <c r="B2099" s="16"/>
      <c r="C2099" s="16"/>
      <c r="D2099" s="51" t="str">
        <f aca="false">IF(C2099="","",IFERROR(IF(LEFT(C2099,1)="L",INDEX('Leads Pipeline'!$F$5:$F$1004,MATCH(C2099,'Leads Pipeline'!$A$5:$A$1004,0)),INDEX('Active Clients'!$D$5:$D$504,MATCH(C2099,'Active Clients'!$A$5:$A$504,0)))&amp;"","ID not found"))</f>
        <v/>
      </c>
      <c r="E2099" s="51" t="str">
        <f aca="false">IF(C2099="","",IFERROR(IF(LEFT(C2099,1)="L",INDEX('Leads Pipeline'!$D$5:$D$1004,MATCH(C2099,'Leads Pipeline'!$A$5:$A$1004,0)),INDEX('Active Clients'!$B$5:$B$504,MATCH(C2099,'Active Clients'!$A$5:$A$504,0)))&amp;"","ID not found"))</f>
        <v/>
      </c>
      <c r="F2099" s="51" t="str">
        <f aca="false">IF(C2099="","",IFERROR(IF(LEFT(C2099,1)="L",INDEX('Leads Pipeline'!$E$5:$E$1004,MATCH(C2099,'Leads Pipeline'!$A$5:$A$1004,0)),INDEX('Active Clients'!$C$5:$C$504,MATCH(C2099,'Active Clients'!$A$5:$A$504,0)))&amp;"","ID not found"))</f>
        <v/>
      </c>
      <c r="G2099" s="16"/>
      <c r="H2099" s="16"/>
      <c r="I2099" s="16"/>
      <c r="J2099" s="16"/>
      <c r="K2099" s="16"/>
      <c r="L2099" s="18"/>
    </row>
    <row r="2100" customFormat="false" ht="15" hidden="false" customHeight="false" outlineLevel="0" collapsed="false">
      <c r="A2100" s="18"/>
      <c r="B2100" s="16"/>
      <c r="C2100" s="16"/>
      <c r="D2100" s="51" t="str">
        <f aca="false">IF(C2100="","",IFERROR(IF(LEFT(C2100,1)="L",INDEX('Leads Pipeline'!$F$5:$F$1004,MATCH(C2100,'Leads Pipeline'!$A$5:$A$1004,0)),INDEX('Active Clients'!$D$5:$D$504,MATCH(C2100,'Active Clients'!$A$5:$A$504,0)))&amp;"","ID not found"))</f>
        <v/>
      </c>
      <c r="E2100" s="51" t="str">
        <f aca="false">IF(C2100="","",IFERROR(IF(LEFT(C2100,1)="L",INDEX('Leads Pipeline'!$D$5:$D$1004,MATCH(C2100,'Leads Pipeline'!$A$5:$A$1004,0)),INDEX('Active Clients'!$B$5:$B$504,MATCH(C2100,'Active Clients'!$A$5:$A$504,0)))&amp;"","ID not found"))</f>
        <v/>
      </c>
      <c r="F2100" s="51" t="str">
        <f aca="false">IF(C2100="","",IFERROR(IF(LEFT(C2100,1)="L",INDEX('Leads Pipeline'!$E$5:$E$1004,MATCH(C2100,'Leads Pipeline'!$A$5:$A$1004,0)),INDEX('Active Clients'!$C$5:$C$504,MATCH(C2100,'Active Clients'!$A$5:$A$504,0)))&amp;"","ID not found"))</f>
        <v/>
      </c>
      <c r="G2100" s="16"/>
      <c r="H2100" s="16"/>
      <c r="I2100" s="16"/>
      <c r="J2100" s="16"/>
      <c r="K2100" s="16"/>
      <c r="L2100" s="18"/>
    </row>
    <row r="2101" customFormat="false" ht="15" hidden="false" customHeight="false" outlineLevel="0" collapsed="false">
      <c r="A2101" s="18"/>
      <c r="B2101" s="16"/>
      <c r="C2101" s="16"/>
      <c r="D2101" s="51" t="str">
        <f aca="false">IF(C2101="","",IFERROR(IF(LEFT(C2101,1)="L",INDEX('Leads Pipeline'!$F$5:$F$1004,MATCH(C2101,'Leads Pipeline'!$A$5:$A$1004,0)),INDEX('Active Clients'!$D$5:$D$504,MATCH(C2101,'Active Clients'!$A$5:$A$504,0)))&amp;"","ID not found"))</f>
        <v/>
      </c>
      <c r="E2101" s="51" t="str">
        <f aca="false">IF(C2101="","",IFERROR(IF(LEFT(C2101,1)="L",INDEX('Leads Pipeline'!$D$5:$D$1004,MATCH(C2101,'Leads Pipeline'!$A$5:$A$1004,0)),INDEX('Active Clients'!$B$5:$B$504,MATCH(C2101,'Active Clients'!$A$5:$A$504,0)))&amp;"","ID not found"))</f>
        <v/>
      </c>
      <c r="F2101" s="51" t="str">
        <f aca="false">IF(C2101="","",IFERROR(IF(LEFT(C2101,1)="L",INDEX('Leads Pipeline'!$E$5:$E$1004,MATCH(C2101,'Leads Pipeline'!$A$5:$A$1004,0)),INDEX('Active Clients'!$C$5:$C$504,MATCH(C2101,'Active Clients'!$A$5:$A$504,0)))&amp;"","ID not found"))</f>
        <v/>
      </c>
      <c r="G2101" s="16"/>
      <c r="H2101" s="16"/>
      <c r="I2101" s="16"/>
      <c r="J2101" s="16"/>
      <c r="K2101" s="16"/>
      <c r="L2101" s="18"/>
    </row>
    <row r="2102" customFormat="false" ht="15" hidden="false" customHeight="false" outlineLevel="0" collapsed="false">
      <c r="A2102" s="18"/>
      <c r="B2102" s="16"/>
      <c r="C2102" s="16"/>
      <c r="D2102" s="51" t="str">
        <f aca="false">IF(C2102="","",IFERROR(IF(LEFT(C2102,1)="L",INDEX('Leads Pipeline'!$F$5:$F$1004,MATCH(C2102,'Leads Pipeline'!$A$5:$A$1004,0)),INDEX('Active Clients'!$D$5:$D$504,MATCH(C2102,'Active Clients'!$A$5:$A$504,0)))&amp;"","ID not found"))</f>
        <v/>
      </c>
      <c r="E2102" s="51" t="str">
        <f aca="false">IF(C2102="","",IFERROR(IF(LEFT(C2102,1)="L",INDEX('Leads Pipeline'!$D$5:$D$1004,MATCH(C2102,'Leads Pipeline'!$A$5:$A$1004,0)),INDEX('Active Clients'!$B$5:$B$504,MATCH(C2102,'Active Clients'!$A$5:$A$504,0)))&amp;"","ID not found"))</f>
        <v/>
      </c>
      <c r="F2102" s="51" t="str">
        <f aca="false">IF(C2102="","",IFERROR(IF(LEFT(C2102,1)="L",INDEX('Leads Pipeline'!$E$5:$E$1004,MATCH(C2102,'Leads Pipeline'!$A$5:$A$1004,0)),INDEX('Active Clients'!$C$5:$C$504,MATCH(C2102,'Active Clients'!$A$5:$A$504,0)))&amp;"","ID not found"))</f>
        <v/>
      </c>
      <c r="G2102" s="16"/>
      <c r="H2102" s="16"/>
      <c r="I2102" s="16"/>
      <c r="J2102" s="16"/>
      <c r="K2102" s="16"/>
      <c r="L2102" s="18"/>
    </row>
    <row r="2103" customFormat="false" ht="15" hidden="false" customHeight="false" outlineLevel="0" collapsed="false">
      <c r="A2103" s="18"/>
      <c r="B2103" s="16"/>
      <c r="C2103" s="16"/>
      <c r="D2103" s="51" t="str">
        <f aca="false">IF(C2103="","",IFERROR(IF(LEFT(C2103,1)="L",INDEX('Leads Pipeline'!$F$5:$F$1004,MATCH(C2103,'Leads Pipeline'!$A$5:$A$1004,0)),INDEX('Active Clients'!$D$5:$D$504,MATCH(C2103,'Active Clients'!$A$5:$A$504,0)))&amp;"","ID not found"))</f>
        <v/>
      </c>
      <c r="E2103" s="51" t="str">
        <f aca="false">IF(C2103="","",IFERROR(IF(LEFT(C2103,1)="L",INDEX('Leads Pipeline'!$D$5:$D$1004,MATCH(C2103,'Leads Pipeline'!$A$5:$A$1004,0)),INDEX('Active Clients'!$B$5:$B$504,MATCH(C2103,'Active Clients'!$A$5:$A$504,0)))&amp;"","ID not found"))</f>
        <v/>
      </c>
      <c r="F2103" s="51" t="str">
        <f aca="false">IF(C2103="","",IFERROR(IF(LEFT(C2103,1)="L",INDEX('Leads Pipeline'!$E$5:$E$1004,MATCH(C2103,'Leads Pipeline'!$A$5:$A$1004,0)),INDEX('Active Clients'!$C$5:$C$504,MATCH(C2103,'Active Clients'!$A$5:$A$504,0)))&amp;"","ID not found"))</f>
        <v/>
      </c>
      <c r="G2103" s="16"/>
      <c r="H2103" s="16"/>
      <c r="I2103" s="16"/>
      <c r="J2103" s="16"/>
      <c r="K2103" s="16"/>
      <c r="L2103" s="18"/>
    </row>
    <row r="2104" customFormat="false" ht="15" hidden="false" customHeight="false" outlineLevel="0" collapsed="false">
      <c r="A2104" s="18"/>
      <c r="B2104" s="16"/>
      <c r="C2104" s="16"/>
      <c r="D2104" s="51" t="str">
        <f aca="false">IF(C2104="","",IFERROR(IF(LEFT(C2104,1)="L",INDEX('Leads Pipeline'!$F$5:$F$1004,MATCH(C2104,'Leads Pipeline'!$A$5:$A$1004,0)),INDEX('Active Clients'!$D$5:$D$504,MATCH(C2104,'Active Clients'!$A$5:$A$504,0)))&amp;"","ID not found"))</f>
        <v/>
      </c>
      <c r="E2104" s="51" t="str">
        <f aca="false">IF(C2104="","",IFERROR(IF(LEFT(C2104,1)="L",INDEX('Leads Pipeline'!$D$5:$D$1004,MATCH(C2104,'Leads Pipeline'!$A$5:$A$1004,0)),INDEX('Active Clients'!$B$5:$B$504,MATCH(C2104,'Active Clients'!$A$5:$A$504,0)))&amp;"","ID not found"))</f>
        <v/>
      </c>
      <c r="F2104" s="51" t="str">
        <f aca="false">IF(C2104="","",IFERROR(IF(LEFT(C2104,1)="L",INDEX('Leads Pipeline'!$E$5:$E$1004,MATCH(C2104,'Leads Pipeline'!$A$5:$A$1004,0)),INDEX('Active Clients'!$C$5:$C$504,MATCH(C2104,'Active Clients'!$A$5:$A$504,0)))&amp;"","ID not found"))</f>
        <v/>
      </c>
      <c r="G2104" s="16"/>
      <c r="H2104" s="16"/>
      <c r="I2104" s="16"/>
      <c r="J2104" s="16"/>
      <c r="K2104" s="16"/>
      <c r="L2104" s="18"/>
    </row>
    <row r="2105" customFormat="false" ht="15" hidden="false" customHeight="false" outlineLevel="0" collapsed="false">
      <c r="A2105" s="18"/>
      <c r="B2105" s="16"/>
      <c r="C2105" s="16"/>
      <c r="D2105" s="51" t="str">
        <f aca="false">IF(C2105="","",IFERROR(IF(LEFT(C2105,1)="L",INDEX('Leads Pipeline'!$F$5:$F$1004,MATCH(C2105,'Leads Pipeline'!$A$5:$A$1004,0)),INDEX('Active Clients'!$D$5:$D$504,MATCH(C2105,'Active Clients'!$A$5:$A$504,0)))&amp;"","ID not found"))</f>
        <v/>
      </c>
      <c r="E2105" s="51" t="str">
        <f aca="false">IF(C2105="","",IFERROR(IF(LEFT(C2105,1)="L",INDEX('Leads Pipeline'!$D$5:$D$1004,MATCH(C2105,'Leads Pipeline'!$A$5:$A$1004,0)),INDEX('Active Clients'!$B$5:$B$504,MATCH(C2105,'Active Clients'!$A$5:$A$504,0)))&amp;"","ID not found"))</f>
        <v/>
      </c>
      <c r="F2105" s="51" t="str">
        <f aca="false">IF(C2105="","",IFERROR(IF(LEFT(C2105,1)="L",INDEX('Leads Pipeline'!$E$5:$E$1004,MATCH(C2105,'Leads Pipeline'!$A$5:$A$1004,0)),INDEX('Active Clients'!$C$5:$C$504,MATCH(C2105,'Active Clients'!$A$5:$A$504,0)))&amp;"","ID not found"))</f>
        <v/>
      </c>
      <c r="G2105" s="16"/>
      <c r="H2105" s="16"/>
      <c r="I2105" s="16"/>
      <c r="J2105" s="16"/>
      <c r="K2105" s="16"/>
      <c r="L2105" s="18"/>
    </row>
    <row r="2106" customFormat="false" ht="15" hidden="false" customHeight="false" outlineLevel="0" collapsed="false">
      <c r="A2106" s="18"/>
      <c r="B2106" s="16"/>
      <c r="C2106" s="16"/>
      <c r="D2106" s="51" t="str">
        <f aca="false">IF(C2106="","",IFERROR(IF(LEFT(C2106,1)="L",INDEX('Leads Pipeline'!$F$5:$F$1004,MATCH(C2106,'Leads Pipeline'!$A$5:$A$1004,0)),INDEX('Active Clients'!$D$5:$D$504,MATCH(C2106,'Active Clients'!$A$5:$A$504,0)))&amp;"","ID not found"))</f>
        <v/>
      </c>
      <c r="E2106" s="51" t="str">
        <f aca="false">IF(C2106="","",IFERROR(IF(LEFT(C2106,1)="L",INDEX('Leads Pipeline'!$D$5:$D$1004,MATCH(C2106,'Leads Pipeline'!$A$5:$A$1004,0)),INDEX('Active Clients'!$B$5:$B$504,MATCH(C2106,'Active Clients'!$A$5:$A$504,0)))&amp;"","ID not found"))</f>
        <v/>
      </c>
      <c r="F2106" s="51" t="str">
        <f aca="false">IF(C2106="","",IFERROR(IF(LEFT(C2106,1)="L",INDEX('Leads Pipeline'!$E$5:$E$1004,MATCH(C2106,'Leads Pipeline'!$A$5:$A$1004,0)),INDEX('Active Clients'!$C$5:$C$504,MATCH(C2106,'Active Clients'!$A$5:$A$504,0)))&amp;"","ID not found"))</f>
        <v/>
      </c>
      <c r="G2106" s="16"/>
      <c r="H2106" s="16"/>
      <c r="I2106" s="16"/>
      <c r="J2106" s="16"/>
      <c r="K2106" s="16"/>
      <c r="L2106" s="18"/>
    </row>
    <row r="2107" customFormat="false" ht="15" hidden="false" customHeight="false" outlineLevel="0" collapsed="false">
      <c r="A2107" s="18"/>
      <c r="B2107" s="16"/>
      <c r="C2107" s="16"/>
      <c r="D2107" s="51" t="str">
        <f aca="false">IF(C2107="","",IFERROR(IF(LEFT(C2107,1)="L",INDEX('Leads Pipeline'!$F$5:$F$1004,MATCH(C2107,'Leads Pipeline'!$A$5:$A$1004,0)),INDEX('Active Clients'!$D$5:$D$504,MATCH(C2107,'Active Clients'!$A$5:$A$504,0)))&amp;"","ID not found"))</f>
        <v/>
      </c>
      <c r="E2107" s="51" t="str">
        <f aca="false">IF(C2107="","",IFERROR(IF(LEFT(C2107,1)="L",INDEX('Leads Pipeline'!$D$5:$D$1004,MATCH(C2107,'Leads Pipeline'!$A$5:$A$1004,0)),INDEX('Active Clients'!$B$5:$B$504,MATCH(C2107,'Active Clients'!$A$5:$A$504,0)))&amp;"","ID not found"))</f>
        <v/>
      </c>
      <c r="F2107" s="51" t="str">
        <f aca="false">IF(C2107="","",IFERROR(IF(LEFT(C2107,1)="L",INDEX('Leads Pipeline'!$E$5:$E$1004,MATCH(C2107,'Leads Pipeline'!$A$5:$A$1004,0)),INDEX('Active Clients'!$C$5:$C$504,MATCH(C2107,'Active Clients'!$A$5:$A$504,0)))&amp;"","ID not found"))</f>
        <v/>
      </c>
      <c r="G2107" s="16"/>
      <c r="H2107" s="16"/>
      <c r="I2107" s="16"/>
      <c r="J2107" s="16"/>
      <c r="K2107" s="16"/>
      <c r="L2107" s="18"/>
    </row>
    <row r="2108" customFormat="false" ht="15" hidden="false" customHeight="false" outlineLevel="0" collapsed="false">
      <c r="A2108" s="18"/>
      <c r="B2108" s="16"/>
      <c r="C2108" s="16"/>
      <c r="D2108" s="51" t="str">
        <f aca="false">IF(C2108="","",IFERROR(IF(LEFT(C2108,1)="L",INDEX('Leads Pipeline'!$F$5:$F$1004,MATCH(C2108,'Leads Pipeline'!$A$5:$A$1004,0)),INDEX('Active Clients'!$D$5:$D$504,MATCH(C2108,'Active Clients'!$A$5:$A$504,0)))&amp;"","ID not found"))</f>
        <v/>
      </c>
      <c r="E2108" s="51" t="str">
        <f aca="false">IF(C2108="","",IFERROR(IF(LEFT(C2108,1)="L",INDEX('Leads Pipeline'!$D$5:$D$1004,MATCH(C2108,'Leads Pipeline'!$A$5:$A$1004,0)),INDEX('Active Clients'!$B$5:$B$504,MATCH(C2108,'Active Clients'!$A$5:$A$504,0)))&amp;"","ID not found"))</f>
        <v/>
      </c>
      <c r="F2108" s="51" t="str">
        <f aca="false">IF(C2108="","",IFERROR(IF(LEFT(C2108,1)="L",INDEX('Leads Pipeline'!$E$5:$E$1004,MATCH(C2108,'Leads Pipeline'!$A$5:$A$1004,0)),INDEX('Active Clients'!$C$5:$C$504,MATCH(C2108,'Active Clients'!$A$5:$A$504,0)))&amp;"","ID not found"))</f>
        <v/>
      </c>
      <c r="G2108" s="16"/>
      <c r="H2108" s="16"/>
      <c r="I2108" s="16"/>
      <c r="J2108" s="16"/>
      <c r="K2108" s="16"/>
      <c r="L2108" s="18"/>
    </row>
    <row r="2109" customFormat="false" ht="15" hidden="false" customHeight="false" outlineLevel="0" collapsed="false">
      <c r="A2109" s="18"/>
      <c r="B2109" s="16"/>
      <c r="C2109" s="16"/>
      <c r="D2109" s="51" t="str">
        <f aca="false">IF(C2109="","",IFERROR(IF(LEFT(C2109,1)="L",INDEX('Leads Pipeline'!$F$5:$F$1004,MATCH(C2109,'Leads Pipeline'!$A$5:$A$1004,0)),INDEX('Active Clients'!$D$5:$D$504,MATCH(C2109,'Active Clients'!$A$5:$A$504,0)))&amp;"","ID not found"))</f>
        <v/>
      </c>
      <c r="E2109" s="51" t="str">
        <f aca="false">IF(C2109="","",IFERROR(IF(LEFT(C2109,1)="L",INDEX('Leads Pipeline'!$D$5:$D$1004,MATCH(C2109,'Leads Pipeline'!$A$5:$A$1004,0)),INDEX('Active Clients'!$B$5:$B$504,MATCH(C2109,'Active Clients'!$A$5:$A$504,0)))&amp;"","ID not found"))</f>
        <v/>
      </c>
      <c r="F2109" s="51" t="str">
        <f aca="false">IF(C2109="","",IFERROR(IF(LEFT(C2109,1)="L",INDEX('Leads Pipeline'!$E$5:$E$1004,MATCH(C2109,'Leads Pipeline'!$A$5:$A$1004,0)),INDEX('Active Clients'!$C$5:$C$504,MATCH(C2109,'Active Clients'!$A$5:$A$504,0)))&amp;"","ID not found"))</f>
        <v/>
      </c>
      <c r="G2109" s="16"/>
      <c r="H2109" s="16"/>
      <c r="I2109" s="16"/>
      <c r="J2109" s="16"/>
      <c r="K2109" s="16"/>
      <c r="L2109" s="18"/>
    </row>
    <row r="2110" customFormat="false" ht="15" hidden="false" customHeight="false" outlineLevel="0" collapsed="false">
      <c r="A2110" s="18"/>
      <c r="B2110" s="16"/>
      <c r="C2110" s="16"/>
      <c r="D2110" s="51" t="str">
        <f aca="false">IF(C2110="","",IFERROR(IF(LEFT(C2110,1)="L",INDEX('Leads Pipeline'!$F$5:$F$1004,MATCH(C2110,'Leads Pipeline'!$A$5:$A$1004,0)),INDEX('Active Clients'!$D$5:$D$504,MATCH(C2110,'Active Clients'!$A$5:$A$504,0)))&amp;"","ID not found"))</f>
        <v/>
      </c>
      <c r="E2110" s="51" t="str">
        <f aca="false">IF(C2110="","",IFERROR(IF(LEFT(C2110,1)="L",INDEX('Leads Pipeline'!$D$5:$D$1004,MATCH(C2110,'Leads Pipeline'!$A$5:$A$1004,0)),INDEX('Active Clients'!$B$5:$B$504,MATCH(C2110,'Active Clients'!$A$5:$A$504,0)))&amp;"","ID not found"))</f>
        <v/>
      </c>
      <c r="F2110" s="51" t="str">
        <f aca="false">IF(C2110="","",IFERROR(IF(LEFT(C2110,1)="L",INDEX('Leads Pipeline'!$E$5:$E$1004,MATCH(C2110,'Leads Pipeline'!$A$5:$A$1004,0)),INDEX('Active Clients'!$C$5:$C$504,MATCH(C2110,'Active Clients'!$A$5:$A$504,0)))&amp;"","ID not found"))</f>
        <v/>
      </c>
      <c r="G2110" s="16"/>
      <c r="H2110" s="16"/>
      <c r="I2110" s="16"/>
      <c r="J2110" s="16"/>
      <c r="K2110" s="16"/>
      <c r="L2110" s="18"/>
    </row>
    <row r="2111" customFormat="false" ht="15" hidden="false" customHeight="false" outlineLevel="0" collapsed="false">
      <c r="A2111" s="18"/>
      <c r="B2111" s="16"/>
      <c r="C2111" s="16"/>
      <c r="D2111" s="51" t="str">
        <f aca="false">IF(C2111="","",IFERROR(IF(LEFT(C2111,1)="L",INDEX('Leads Pipeline'!$F$5:$F$1004,MATCH(C2111,'Leads Pipeline'!$A$5:$A$1004,0)),INDEX('Active Clients'!$D$5:$D$504,MATCH(C2111,'Active Clients'!$A$5:$A$504,0)))&amp;"","ID not found"))</f>
        <v/>
      </c>
      <c r="E2111" s="51" t="str">
        <f aca="false">IF(C2111="","",IFERROR(IF(LEFT(C2111,1)="L",INDEX('Leads Pipeline'!$D$5:$D$1004,MATCH(C2111,'Leads Pipeline'!$A$5:$A$1004,0)),INDEX('Active Clients'!$B$5:$B$504,MATCH(C2111,'Active Clients'!$A$5:$A$504,0)))&amp;"","ID not found"))</f>
        <v/>
      </c>
      <c r="F2111" s="51" t="str">
        <f aca="false">IF(C2111="","",IFERROR(IF(LEFT(C2111,1)="L",INDEX('Leads Pipeline'!$E$5:$E$1004,MATCH(C2111,'Leads Pipeline'!$A$5:$A$1004,0)),INDEX('Active Clients'!$C$5:$C$504,MATCH(C2111,'Active Clients'!$A$5:$A$504,0)))&amp;"","ID not found"))</f>
        <v/>
      </c>
      <c r="G2111" s="16"/>
      <c r="H2111" s="16"/>
      <c r="I2111" s="16"/>
      <c r="J2111" s="16"/>
      <c r="K2111" s="16"/>
      <c r="L2111" s="18"/>
    </row>
    <row r="2112" customFormat="false" ht="15" hidden="false" customHeight="false" outlineLevel="0" collapsed="false">
      <c r="A2112" s="18"/>
      <c r="B2112" s="16"/>
      <c r="C2112" s="16"/>
      <c r="D2112" s="51" t="str">
        <f aca="false">IF(C2112="","",IFERROR(IF(LEFT(C2112,1)="L",INDEX('Leads Pipeline'!$F$5:$F$1004,MATCH(C2112,'Leads Pipeline'!$A$5:$A$1004,0)),INDEX('Active Clients'!$D$5:$D$504,MATCH(C2112,'Active Clients'!$A$5:$A$504,0)))&amp;"","ID not found"))</f>
        <v/>
      </c>
      <c r="E2112" s="51" t="str">
        <f aca="false">IF(C2112="","",IFERROR(IF(LEFT(C2112,1)="L",INDEX('Leads Pipeline'!$D$5:$D$1004,MATCH(C2112,'Leads Pipeline'!$A$5:$A$1004,0)),INDEX('Active Clients'!$B$5:$B$504,MATCH(C2112,'Active Clients'!$A$5:$A$504,0)))&amp;"","ID not found"))</f>
        <v/>
      </c>
      <c r="F2112" s="51" t="str">
        <f aca="false">IF(C2112="","",IFERROR(IF(LEFT(C2112,1)="L",INDEX('Leads Pipeline'!$E$5:$E$1004,MATCH(C2112,'Leads Pipeline'!$A$5:$A$1004,0)),INDEX('Active Clients'!$C$5:$C$504,MATCH(C2112,'Active Clients'!$A$5:$A$504,0)))&amp;"","ID not found"))</f>
        <v/>
      </c>
      <c r="G2112" s="16"/>
      <c r="H2112" s="16"/>
      <c r="I2112" s="16"/>
      <c r="J2112" s="16"/>
      <c r="K2112" s="16"/>
      <c r="L2112" s="18"/>
    </row>
    <row r="2113" customFormat="false" ht="15" hidden="false" customHeight="false" outlineLevel="0" collapsed="false">
      <c r="A2113" s="18"/>
      <c r="B2113" s="16"/>
      <c r="C2113" s="16"/>
      <c r="D2113" s="51" t="str">
        <f aca="false">IF(C2113="","",IFERROR(IF(LEFT(C2113,1)="L",INDEX('Leads Pipeline'!$F$5:$F$1004,MATCH(C2113,'Leads Pipeline'!$A$5:$A$1004,0)),INDEX('Active Clients'!$D$5:$D$504,MATCH(C2113,'Active Clients'!$A$5:$A$504,0)))&amp;"","ID not found"))</f>
        <v/>
      </c>
      <c r="E2113" s="51" t="str">
        <f aca="false">IF(C2113="","",IFERROR(IF(LEFT(C2113,1)="L",INDEX('Leads Pipeline'!$D$5:$D$1004,MATCH(C2113,'Leads Pipeline'!$A$5:$A$1004,0)),INDEX('Active Clients'!$B$5:$B$504,MATCH(C2113,'Active Clients'!$A$5:$A$504,0)))&amp;"","ID not found"))</f>
        <v/>
      </c>
      <c r="F2113" s="51" t="str">
        <f aca="false">IF(C2113="","",IFERROR(IF(LEFT(C2113,1)="L",INDEX('Leads Pipeline'!$E$5:$E$1004,MATCH(C2113,'Leads Pipeline'!$A$5:$A$1004,0)),INDEX('Active Clients'!$C$5:$C$504,MATCH(C2113,'Active Clients'!$A$5:$A$504,0)))&amp;"","ID not found"))</f>
        <v/>
      </c>
      <c r="G2113" s="16"/>
      <c r="H2113" s="16"/>
      <c r="I2113" s="16"/>
      <c r="J2113" s="16"/>
      <c r="K2113" s="16"/>
      <c r="L2113" s="18"/>
    </row>
    <row r="2114" customFormat="false" ht="15" hidden="false" customHeight="false" outlineLevel="0" collapsed="false">
      <c r="A2114" s="18"/>
      <c r="B2114" s="16"/>
      <c r="C2114" s="16"/>
      <c r="D2114" s="51" t="str">
        <f aca="false">IF(C2114="","",IFERROR(IF(LEFT(C2114,1)="L",INDEX('Leads Pipeline'!$F$5:$F$1004,MATCH(C2114,'Leads Pipeline'!$A$5:$A$1004,0)),INDEX('Active Clients'!$D$5:$D$504,MATCH(C2114,'Active Clients'!$A$5:$A$504,0)))&amp;"","ID not found"))</f>
        <v/>
      </c>
      <c r="E2114" s="51" t="str">
        <f aca="false">IF(C2114="","",IFERROR(IF(LEFT(C2114,1)="L",INDEX('Leads Pipeline'!$D$5:$D$1004,MATCH(C2114,'Leads Pipeline'!$A$5:$A$1004,0)),INDEX('Active Clients'!$B$5:$B$504,MATCH(C2114,'Active Clients'!$A$5:$A$504,0)))&amp;"","ID not found"))</f>
        <v/>
      </c>
      <c r="F2114" s="51" t="str">
        <f aca="false">IF(C2114="","",IFERROR(IF(LEFT(C2114,1)="L",INDEX('Leads Pipeline'!$E$5:$E$1004,MATCH(C2114,'Leads Pipeline'!$A$5:$A$1004,0)),INDEX('Active Clients'!$C$5:$C$504,MATCH(C2114,'Active Clients'!$A$5:$A$504,0)))&amp;"","ID not found"))</f>
        <v/>
      </c>
      <c r="G2114" s="16"/>
      <c r="H2114" s="16"/>
      <c r="I2114" s="16"/>
      <c r="J2114" s="16"/>
      <c r="K2114" s="16"/>
      <c r="L2114" s="18"/>
    </row>
    <row r="2115" customFormat="false" ht="15" hidden="false" customHeight="false" outlineLevel="0" collapsed="false">
      <c r="A2115" s="18"/>
      <c r="B2115" s="16"/>
      <c r="C2115" s="16"/>
      <c r="D2115" s="51" t="str">
        <f aca="false">IF(C2115="","",IFERROR(IF(LEFT(C2115,1)="L",INDEX('Leads Pipeline'!$F$5:$F$1004,MATCH(C2115,'Leads Pipeline'!$A$5:$A$1004,0)),INDEX('Active Clients'!$D$5:$D$504,MATCH(C2115,'Active Clients'!$A$5:$A$504,0)))&amp;"","ID not found"))</f>
        <v/>
      </c>
      <c r="E2115" s="51" t="str">
        <f aca="false">IF(C2115="","",IFERROR(IF(LEFT(C2115,1)="L",INDEX('Leads Pipeline'!$D$5:$D$1004,MATCH(C2115,'Leads Pipeline'!$A$5:$A$1004,0)),INDEX('Active Clients'!$B$5:$B$504,MATCH(C2115,'Active Clients'!$A$5:$A$504,0)))&amp;"","ID not found"))</f>
        <v/>
      </c>
      <c r="F2115" s="51" t="str">
        <f aca="false">IF(C2115="","",IFERROR(IF(LEFT(C2115,1)="L",INDEX('Leads Pipeline'!$E$5:$E$1004,MATCH(C2115,'Leads Pipeline'!$A$5:$A$1004,0)),INDEX('Active Clients'!$C$5:$C$504,MATCH(C2115,'Active Clients'!$A$5:$A$504,0)))&amp;"","ID not found"))</f>
        <v/>
      </c>
      <c r="G2115" s="16"/>
      <c r="H2115" s="16"/>
      <c r="I2115" s="16"/>
      <c r="J2115" s="16"/>
      <c r="K2115" s="16"/>
      <c r="L2115" s="18"/>
    </row>
    <row r="2116" customFormat="false" ht="15" hidden="false" customHeight="false" outlineLevel="0" collapsed="false">
      <c r="A2116" s="18"/>
      <c r="B2116" s="16"/>
      <c r="C2116" s="16"/>
      <c r="D2116" s="51" t="str">
        <f aca="false">IF(C2116="","",IFERROR(IF(LEFT(C2116,1)="L",INDEX('Leads Pipeline'!$F$5:$F$1004,MATCH(C2116,'Leads Pipeline'!$A$5:$A$1004,0)),INDEX('Active Clients'!$D$5:$D$504,MATCH(C2116,'Active Clients'!$A$5:$A$504,0)))&amp;"","ID not found"))</f>
        <v/>
      </c>
      <c r="E2116" s="51" t="str">
        <f aca="false">IF(C2116="","",IFERROR(IF(LEFT(C2116,1)="L",INDEX('Leads Pipeline'!$D$5:$D$1004,MATCH(C2116,'Leads Pipeline'!$A$5:$A$1004,0)),INDEX('Active Clients'!$B$5:$B$504,MATCH(C2116,'Active Clients'!$A$5:$A$504,0)))&amp;"","ID not found"))</f>
        <v/>
      </c>
      <c r="F2116" s="51" t="str">
        <f aca="false">IF(C2116="","",IFERROR(IF(LEFT(C2116,1)="L",INDEX('Leads Pipeline'!$E$5:$E$1004,MATCH(C2116,'Leads Pipeline'!$A$5:$A$1004,0)),INDEX('Active Clients'!$C$5:$C$504,MATCH(C2116,'Active Clients'!$A$5:$A$504,0)))&amp;"","ID not found"))</f>
        <v/>
      </c>
      <c r="G2116" s="16"/>
      <c r="H2116" s="16"/>
      <c r="I2116" s="16"/>
      <c r="J2116" s="16"/>
      <c r="K2116" s="16"/>
      <c r="L2116" s="18"/>
    </row>
    <row r="2117" customFormat="false" ht="15" hidden="false" customHeight="false" outlineLevel="0" collapsed="false">
      <c r="A2117" s="18"/>
      <c r="B2117" s="16"/>
      <c r="C2117" s="16"/>
      <c r="D2117" s="51" t="str">
        <f aca="false">IF(C2117="","",IFERROR(IF(LEFT(C2117,1)="L",INDEX('Leads Pipeline'!$F$5:$F$1004,MATCH(C2117,'Leads Pipeline'!$A$5:$A$1004,0)),INDEX('Active Clients'!$D$5:$D$504,MATCH(C2117,'Active Clients'!$A$5:$A$504,0)))&amp;"","ID not found"))</f>
        <v/>
      </c>
      <c r="E2117" s="51" t="str">
        <f aca="false">IF(C2117="","",IFERROR(IF(LEFT(C2117,1)="L",INDEX('Leads Pipeline'!$D$5:$D$1004,MATCH(C2117,'Leads Pipeline'!$A$5:$A$1004,0)),INDEX('Active Clients'!$B$5:$B$504,MATCH(C2117,'Active Clients'!$A$5:$A$504,0)))&amp;"","ID not found"))</f>
        <v/>
      </c>
      <c r="F2117" s="51" t="str">
        <f aca="false">IF(C2117="","",IFERROR(IF(LEFT(C2117,1)="L",INDEX('Leads Pipeline'!$E$5:$E$1004,MATCH(C2117,'Leads Pipeline'!$A$5:$A$1004,0)),INDEX('Active Clients'!$C$5:$C$504,MATCH(C2117,'Active Clients'!$A$5:$A$504,0)))&amp;"","ID not found"))</f>
        <v/>
      </c>
      <c r="G2117" s="16"/>
      <c r="H2117" s="16"/>
      <c r="I2117" s="16"/>
      <c r="J2117" s="16"/>
      <c r="K2117" s="16"/>
      <c r="L2117" s="18"/>
    </row>
    <row r="2118" customFormat="false" ht="15" hidden="false" customHeight="false" outlineLevel="0" collapsed="false">
      <c r="A2118" s="18"/>
      <c r="B2118" s="16"/>
      <c r="C2118" s="16"/>
      <c r="D2118" s="51" t="str">
        <f aca="false">IF(C2118="","",IFERROR(IF(LEFT(C2118,1)="L",INDEX('Leads Pipeline'!$F$5:$F$1004,MATCH(C2118,'Leads Pipeline'!$A$5:$A$1004,0)),INDEX('Active Clients'!$D$5:$D$504,MATCH(C2118,'Active Clients'!$A$5:$A$504,0)))&amp;"","ID not found"))</f>
        <v/>
      </c>
      <c r="E2118" s="51" t="str">
        <f aca="false">IF(C2118="","",IFERROR(IF(LEFT(C2118,1)="L",INDEX('Leads Pipeline'!$D$5:$D$1004,MATCH(C2118,'Leads Pipeline'!$A$5:$A$1004,0)),INDEX('Active Clients'!$B$5:$B$504,MATCH(C2118,'Active Clients'!$A$5:$A$504,0)))&amp;"","ID not found"))</f>
        <v/>
      </c>
      <c r="F2118" s="51" t="str">
        <f aca="false">IF(C2118="","",IFERROR(IF(LEFT(C2118,1)="L",INDEX('Leads Pipeline'!$E$5:$E$1004,MATCH(C2118,'Leads Pipeline'!$A$5:$A$1004,0)),INDEX('Active Clients'!$C$5:$C$504,MATCH(C2118,'Active Clients'!$A$5:$A$504,0)))&amp;"","ID not found"))</f>
        <v/>
      </c>
      <c r="G2118" s="16"/>
      <c r="H2118" s="16"/>
      <c r="I2118" s="16"/>
      <c r="J2118" s="16"/>
      <c r="K2118" s="16"/>
      <c r="L2118" s="18"/>
    </row>
    <row r="2119" customFormat="false" ht="15" hidden="false" customHeight="false" outlineLevel="0" collapsed="false">
      <c r="A2119" s="18"/>
      <c r="B2119" s="16"/>
      <c r="C2119" s="16"/>
      <c r="D2119" s="51" t="str">
        <f aca="false">IF(C2119="","",IFERROR(IF(LEFT(C2119,1)="L",INDEX('Leads Pipeline'!$F$5:$F$1004,MATCH(C2119,'Leads Pipeline'!$A$5:$A$1004,0)),INDEX('Active Clients'!$D$5:$D$504,MATCH(C2119,'Active Clients'!$A$5:$A$504,0)))&amp;"","ID not found"))</f>
        <v/>
      </c>
      <c r="E2119" s="51" t="str">
        <f aca="false">IF(C2119="","",IFERROR(IF(LEFT(C2119,1)="L",INDEX('Leads Pipeline'!$D$5:$D$1004,MATCH(C2119,'Leads Pipeline'!$A$5:$A$1004,0)),INDEX('Active Clients'!$B$5:$B$504,MATCH(C2119,'Active Clients'!$A$5:$A$504,0)))&amp;"","ID not found"))</f>
        <v/>
      </c>
      <c r="F2119" s="51" t="str">
        <f aca="false">IF(C2119="","",IFERROR(IF(LEFT(C2119,1)="L",INDEX('Leads Pipeline'!$E$5:$E$1004,MATCH(C2119,'Leads Pipeline'!$A$5:$A$1004,0)),INDEX('Active Clients'!$C$5:$C$504,MATCH(C2119,'Active Clients'!$A$5:$A$504,0)))&amp;"","ID not found"))</f>
        <v/>
      </c>
      <c r="G2119" s="16"/>
      <c r="H2119" s="16"/>
      <c r="I2119" s="16"/>
      <c r="J2119" s="16"/>
      <c r="K2119" s="16"/>
      <c r="L2119" s="18"/>
    </row>
    <row r="2120" customFormat="false" ht="15" hidden="false" customHeight="false" outlineLevel="0" collapsed="false">
      <c r="A2120" s="18"/>
      <c r="B2120" s="16"/>
      <c r="C2120" s="16"/>
      <c r="D2120" s="51" t="str">
        <f aca="false">IF(C2120="","",IFERROR(IF(LEFT(C2120,1)="L",INDEX('Leads Pipeline'!$F$5:$F$1004,MATCH(C2120,'Leads Pipeline'!$A$5:$A$1004,0)),INDEX('Active Clients'!$D$5:$D$504,MATCH(C2120,'Active Clients'!$A$5:$A$504,0)))&amp;"","ID not found"))</f>
        <v/>
      </c>
      <c r="E2120" s="51" t="str">
        <f aca="false">IF(C2120="","",IFERROR(IF(LEFT(C2120,1)="L",INDEX('Leads Pipeline'!$D$5:$D$1004,MATCH(C2120,'Leads Pipeline'!$A$5:$A$1004,0)),INDEX('Active Clients'!$B$5:$B$504,MATCH(C2120,'Active Clients'!$A$5:$A$504,0)))&amp;"","ID not found"))</f>
        <v/>
      </c>
      <c r="F2120" s="51" t="str">
        <f aca="false">IF(C2120="","",IFERROR(IF(LEFT(C2120,1)="L",INDEX('Leads Pipeline'!$E$5:$E$1004,MATCH(C2120,'Leads Pipeline'!$A$5:$A$1004,0)),INDEX('Active Clients'!$C$5:$C$504,MATCH(C2120,'Active Clients'!$A$5:$A$504,0)))&amp;"","ID not found"))</f>
        <v/>
      </c>
      <c r="G2120" s="16"/>
      <c r="H2120" s="16"/>
      <c r="I2120" s="16"/>
      <c r="J2120" s="16"/>
      <c r="K2120" s="16"/>
      <c r="L2120" s="18"/>
    </row>
    <row r="2121" customFormat="false" ht="15" hidden="false" customHeight="false" outlineLevel="0" collapsed="false">
      <c r="A2121" s="18"/>
      <c r="B2121" s="16"/>
      <c r="C2121" s="16"/>
      <c r="D2121" s="51" t="str">
        <f aca="false">IF(C2121="","",IFERROR(IF(LEFT(C2121,1)="L",INDEX('Leads Pipeline'!$F$5:$F$1004,MATCH(C2121,'Leads Pipeline'!$A$5:$A$1004,0)),INDEX('Active Clients'!$D$5:$D$504,MATCH(C2121,'Active Clients'!$A$5:$A$504,0)))&amp;"","ID not found"))</f>
        <v/>
      </c>
      <c r="E2121" s="51" t="str">
        <f aca="false">IF(C2121="","",IFERROR(IF(LEFT(C2121,1)="L",INDEX('Leads Pipeline'!$D$5:$D$1004,MATCH(C2121,'Leads Pipeline'!$A$5:$A$1004,0)),INDEX('Active Clients'!$B$5:$B$504,MATCH(C2121,'Active Clients'!$A$5:$A$504,0)))&amp;"","ID not found"))</f>
        <v/>
      </c>
      <c r="F2121" s="51" t="str">
        <f aca="false">IF(C2121="","",IFERROR(IF(LEFT(C2121,1)="L",INDEX('Leads Pipeline'!$E$5:$E$1004,MATCH(C2121,'Leads Pipeline'!$A$5:$A$1004,0)),INDEX('Active Clients'!$C$5:$C$504,MATCH(C2121,'Active Clients'!$A$5:$A$504,0)))&amp;"","ID not found"))</f>
        <v/>
      </c>
      <c r="G2121" s="16"/>
      <c r="H2121" s="16"/>
      <c r="I2121" s="16"/>
      <c r="J2121" s="16"/>
      <c r="K2121" s="16"/>
      <c r="L2121" s="18"/>
    </row>
    <row r="2122" customFormat="false" ht="15" hidden="false" customHeight="false" outlineLevel="0" collapsed="false">
      <c r="A2122" s="18"/>
      <c r="B2122" s="16"/>
      <c r="C2122" s="16"/>
      <c r="D2122" s="51" t="str">
        <f aca="false">IF(C2122="","",IFERROR(IF(LEFT(C2122,1)="L",INDEX('Leads Pipeline'!$F$5:$F$1004,MATCH(C2122,'Leads Pipeline'!$A$5:$A$1004,0)),INDEX('Active Clients'!$D$5:$D$504,MATCH(C2122,'Active Clients'!$A$5:$A$504,0)))&amp;"","ID not found"))</f>
        <v/>
      </c>
      <c r="E2122" s="51" t="str">
        <f aca="false">IF(C2122="","",IFERROR(IF(LEFT(C2122,1)="L",INDEX('Leads Pipeline'!$D$5:$D$1004,MATCH(C2122,'Leads Pipeline'!$A$5:$A$1004,0)),INDEX('Active Clients'!$B$5:$B$504,MATCH(C2122,'Active Clients'!$A$5:$A$504,0)))&amp;"","ID not found"))</f>
        <v/>
      </c>
      <c r="F2122" s="51" t="str">
        <f aca="false">IF(C2122="","",IFERROR(IF(LEFT(C2122,1)="L",INDEX('Leads Pipeline'!$E$5:$E$1004,MATCH(C2122,'Leads Pipeline'!$A$5:$A$1004,0)),INDEX('Active Clients'!$C$5:$C$504,MATCH(C2122,'Active Clients'!$A$5:$A$504,0)))&amp;"","ID not found"))</f>
        <v/>
      </c>
      <c r="G2122" s="16"/>
      <c r="H2122" s="16"/>
      <c r="I2122" s="16"/>
      <c r="J2122" s="16"/>
      <c r="K2122" s="16"/>
      <c r="L2122" s="18"/>
    </row>
    <row r="2123" customFormat="false" ht="15" hidden="false" customHeight="false" outlineLevel="0" collapsed="false">
      <c r="A2123" s="18"/>
      <c r="B2123" s="16"/>
      <c r="C2123" s="16"/>
      <c r="D2123" s="51" t="str">
        <f aca="false">IF(C2123="","",IFERROR(IF(LEFT(C2123,1)="L",INDEX('Leads Pipeline'!$F$5:$F$1004,MATCH(C2123,'Leads Pipeline'!$A$5:$A$1004,0)),INDEX('Active Clients'!$D$5:$D$504,MATCH(C2123,'Active Clients'!$A$5:$A$504,0)))&amp;"","ID not found"))</f>
        <v/>
      </c>
      <c r="E2123" s="51" t="str">
        <f aca="false">IF(C2123="","",IFERROR(IF(LEFT(C2123,1)="L",INDEX('Leads Pipeline'!$D$5:$D$1004,MATCH(C2123,'Leads Pipeline'!$A$5:$A$1004,0)),INDEX('Active Clients'!$B$5:$B$504,MATCH(C2123,'Active Clients'!$A$5:$A$504,0)))&amp;"","ID not found"))</f>
        <v/>
      </c>
      <c r="F2123" s="51" t="str">
        <f aca="false">IF(C2123="","",IFERROR(IF(LEFT(C2123,1)="L",INDEX('Leads Pipeline'!$E$5:$E$1004,MATCH(C2123,'Leads Pipeline'!$A$5:$A$1004,0)),INDEX('Active Clients'!$C$5:$C$504,MATCH(C2123,'Active Clients'!$A$5:$A$504,0)))&amp;"","ID not found"))</f>
        <v/>
      </c>
      <c r="G2123" s="16"/>
      <c r="H2123" s="16"/>
      <c r="I2123" s="16"/>
      <c r="J2123" s="16"/>
      <c r="K2123" s="16"/>
      <c r="L2123" s="18"/>
    </row>
    <row r="2124" customFormat="false" ht="15" hidden="false" customHeight="false" outlineLevel="0" collapsed="false">
      <c r="A2124" s="18"/>
      <c r="B2124" s="16"/>
      <c r="C2124" s="16"/>
      <c r="D2124" s="51" t="str">
        <f aca="false">IF(C2124="","",IFERROR(IF(LEFT(C2124,1)="L",INDEX('Leads Pipeline'!$F$5:$F$1004,MATCH(C2124,'Leads Pipeline'!$A$5:$A$1004,0)),INDEX('Active Clients'!$D$5:$D$504,MATCH(C2124,'Active Clients'!$A$5:$A$504,0)))&amp;"","ID not found"))</f>
        <v/>
      </c>
      <c r="E2124" s="51" t="str">
        <f aca="false">IF(C2124="","",IFERROR(IF(LEFT(C2124,1)="L",INDEX('Leads Pipeline'!$D$5:$D$1004,MATCH(C2124,'Leads Pipeline'!$A$5:$A$1004,0)),INDEX('Active Clients'!$B$5:$B$504,MATCH(C2124,'Active Clients'!$A$5:$A$504,0)))&amp;"","ID not found"))</f>
        <v/>
      </c>
      <c r="F2124" s="51" t="str">
        <f aca="false">IF(C2124="","",IFERROR(IF(LEFT(C2124,1)="L",INDEX('Leads Pipeline'!$E$5:$E$1004,MATCH(C2124,'Leads Pipeline'!$A$5:$A$1004,0)),INDEX('Active Clients'!$C$5:$C$504,MATCH(C2124,'Active Clients'!$A$5:$A$504,0)))&amp;"","ID not found"))</f>
        <v/>
      </c>
      <c r="G2124" s="16"/>
      <c r="H2124" s="16"/>
      <c r="I2124" s="16"/>
      <c r="J2124" s="16"/>
      <c r="K2124" s="16"/>
      <c r="L2124" s="18"/>
    </row>
    <row r="2125" customFormat="false" ht="15" hidden="false" customHeight="false" outlineLevel="0" collapsed="false">
      <c r="A2125" s="18"/>
      <c r="B2125" s="16"/>
      <c r="C2125" s="16"/>
      <c r="D2125" s="51" t="str">
        <f aca="false">IF(C2125="","",IFERROR(IF(LEFT(C2125,1)="L",INDEX('Leads Pipeline'!$F$5:$F$1004,MATCH(C2125,'Leads Pipeline'!$A$5:$A$1004,0)),INDEX('Active Clients'!$D$5:$D$504,MATCH(C2125,'Active Clients'!$A$5:$A$504,0)))&amp;"","ID not found"))</f>
        <v/>
      </c>
      <c r="E2125" s="51" t="str">
        <f aca="false">IF(C2125="","",IFERROR(IF(LEFT(C2125,1)="L",INDEX('Leads Pipeline'!$D$5:$D$1004,MATCH(C2125,'Leads Pipeline'!$A$5:$A$1004,0)),INDEX('Active Clients'!$B$5:$B$504,MATCH(C2125,'Active Clients'!$A$5:$A$504,0)))&amp;"","ID not found"))</f>
        <v/>
      </c>
      <c r="F2125" s="51" t="str">
        <f aca="false">IF(C2125="","",IFERROR(IF(LEFT(C2125,1)="L",INDEX('Leads Pipeline'!$E$5:$E$1004,MATCH(C2125,'Leads Pipeline'!$A$5:$A$1004,0)),INDEX('Active Clients'!$C$5:$C$504,MATCH(C2125,'Active Clients'!$A$5:$A$504,0)))&amp;"","ID not found"))</f>
        <v/>
      </c>
      <c r="G2125" s="16"/>
      <c r="H2125" s="16"/>
      <c r="I2125" s="16"/>
      <c r="J2125" s="16"/>
      <c r="K2125" s="16"/>
      <c r="L2125" s="18"/>
    </row>
    <row r="2126" customFormat="false" ht="15" hidden="false" customHeight="false" outlineLevel="0" collapsed="false">
      <c r="A2126" s="18"/>
      <c r="B2126" s="16"/>
      <c r="C2126" s="16"/>
      <c r="D2126" s="51" t="str">
        <f aca="false">IF(C2126="","",IFERROR(IF(LEFT(C2126,1)="L",INDEX('Leads Pipeline'!$F$5:$F$1004,MATCH(C2126,'Leads Pipeline'!$A$5:$A$1004,0)),INDEX('Active Clients'!$D$5:$D$504,MATCH(C2126,'Active Clients'!$A$5:$A$504,0)))&amp;"","ID not found"))</f>
        <v/>
      </c>
      <c r="E2126" s="51" t="str">
        <f aca="false">IF(C2126="","",IFERROR(IF(LEFT(C2126,1)="L",INDEX('Leads Pipeline'!$D$5:$D$1004,MATCH(C2126,'Leads Pipeline'!$A$5:$A$1004,0)),INDEX('Active Clients'!$B$5:$B$504,MATCH(C2126,'Active Clients'!$A$5:$A$504,0)))&amp;"","ID not found"))</f>
        <v/>
      </c>
      <c r="F2126" s="51" t="str">
        <f aca="false">IF(C2126="","",IFERROR(IF(LEFT(C2126,1)="L",INDEX('Leads Pipeline'!$E$5:$E$1004,MATCH(C2126,'Leads Pipeline'!$A$5:$A$1004,0)),INDEX('Active Clients'!$C$5:$C$504,MATCH(C2126,'Active Clients'!$A$5:$A$504,0)))&amp;"","ID not found"))</f>
        <v/>
      </c>
      <c r="G2126" s="16"/>
      <c r="H2126" s="16"/>
      <c r="I2126" s="16"/>
      <c r="J2126" s="16"/>
      <c r="K2126" s="16"/>
      <c r="L2126" s="18"/>
    </row>
    <row r="2127" customFormat="false" ht="15" hidden="false" customHeight="false" outlineLevel="0" collapsed="false">
      <c r="A2127" s="18"/>
      <c r="B2127" s="16"/>
      <c r="C2127" s="16"/>
      <c r="D2127" s="51" t="str">
        <f aca="false">IF(C2127="","",IFERROR(IF(LEFT(C2127,1)="L",INDEX('Leads Pipeline'!$F$5:$F$1004,MATCH(C2127,'Leads Pipeline'!$A$5:$A$1004,0)),INDEX('Active Clients'!$D$5:$D$504,MATCH(C2127,'Active Clients'!$A$5:$A$504,0)))&amp;"","ID not found"))</f>
        <v/>
      </c>
      <c r="E2127" s="51" t="str">
        <f aca="false">IF(C2127="","",IFERROR(IF(LEFT(C2127,1)="L",INDEX('Leads Pipeline'!$D$5:$D$1004,MATCH(C2127,'Leads Pipeline'!$A$5:$A$1004,0)),INDEX('Active Clients'!$B$5:$B$504,MATCH(C2127,'Active Clients'!$A$5:$A$504,0)))&amp;"","ID not found"))</f>
        <v/>
      </c>
      <c r="F2127" s="51" t="str">
        <f aca="false">IF(C2127="","",IFERROR(IF(LEFT(C2127,1)="L",INDEX('Leads Pipeline'!$E$5:$E$1004,MATCH(C2127,'Leads Pipeline'!$A$5:$A$1004,0)),INDEX('Active Clients'!$C$5:$C$504,MATCH(C2127,'Active Clients'!$A$5:$A$504,0)))&amp;"","ID not found"))</f>
        <v/>
      </c>
      <c r="G2127" s="16"/>
      <c r="H2127" s="16"/>
      <c r="I2127" s="16"/>
      <c r="J2127" s="16"/>
      <c r="K2127" s="16"/>
      <c r="L2127" s="18"/>
    </row>
    <row r="2128" customFormat="false" ht="15" hidden="false" customHeight="false" outlineLevel="0" collapsed="false">
      <c r="A2128" s="18"/>
      <c r="B2128" s="16"/>
      <c r="C2128" s="16"/>
      <c r="D2128" s="51" t="str">
        <f aca="false">IF(C2128="","",IFERROR(IF(LEFT(C2128,1)="L",INDEX('Leads Pipeline'!$F$5:$F$1004,MATCH(C2128,'Leads Pipeline'!$A$5:$A$1004,0)),INDEX('Active Clients'!$D$5:$D$504,MATCH(C2128,'Active Clients'!$A$5:$A$504,0)))&amp;"","ID not found"))</f>
        <v/>
      </c>
      <c r="E2128" s="51" t="str">
        <f aca="false">IF(C2128="","",IFERROR(IF(LEFT(C2128,1)="L",INDEX('Leads Pipeline'!$D$5:$D$1004,MATCH(C2128,'Leads Pipeline'!$A$5:$A$1004,0)),INDEX('Active Clients'!$B$5:$B$504,MATCH(C2128,'Active Clients'!$A$5:$A$504,0)))&amp;"","ID not found"))</f>
        <v/>
      </c>
      <c r="F2128" s="51" t="str">
        <f aca="false">IF(C2128="","",IFERROR(IF(LEFT(C2128,1)="L",INDEX('Leads Pipeline'!$E$5:$E$1004,MATCH(C2128,'Leads Pipeline'!$A$5:$A$1004,0)),INDEX('Active Clients'!$C$5:$C$504,MATCH(C2128,'Active Clients'!$A$5:$A$504,0)))&amp;"","ID not found"))</f>
        <v/>
      </c>
      <c r="G2128" s="16"/>
      <c r="H2128" s="16"/>
      <c r="I2128" s="16"/>
      <c r="J2128" s="16"/>
      <c r="K2128" s="16"/>
      <c r="L2128" s="18"/>
    </row>
    <row r="2129" customFormat="false" ht="15" hidden="false" customHeight="false" outlineLevel="0" collapsed="false">
      <c r="A2129" s="18"/>
      <c r="B2129" s="16"/>
      <c r="C2129" s="16"/>
      <c r="D2129" s="51" t="str">
        <f aca="false">IF(C2129="","",IFERROR(IF(LEFT(C2129,1)="L",INDEX('Leads Pipeline'!$F$5:$F$1004,MATCH(C2129,'Leads Pipeline'!$A$5:$A$1004,0)),INDEX('Active Clients'!$D$5:$D$504,MATCH(C2129,'Active Clients'!$A$5:$A$504,0)))&amp;"","ID not found"))</f>
        <v/>
      </c>
      <c r="E2129" s="51" t="str">
        <f aca="false">IF(C2129="","",IFERROR(IF(LEFT(C2129,1)="L",INDEX('Leads Pipeline'!$D$5:$D$1004,MATCH(C2129,'Leads Pipeline'!$A$5:$A$1004,0)),INDEX('Active Clients'!$B$5:$B$504,MATCH(C2129,'Active Clients'!$A$5:$A$504,0)))&amp;"","ID not found"))</f>
        <v/>
      </c>
      <c r="F2129" s="51" t="str">
        <f aca="false">IF(C2129="","",IFERROR(IF(LEFT(C2129,1)="L",INDEX('Leads Pipeline'!$E$5:$E$1004,MATCH(C2129,'Leads Pipeline'!$A$5:$A$1004,0)),INDEX('Active Clients'!$C$5:$C$504,MATCH(C2129,'Active Clients'!$A$5:$A$504,0)))&amp;"","ID not found"))</f>
        <v/>
      </c>
      <c r="G2129" s="16"/>
      <c r="H2129" s="16"/>
      <c r="I2129" s="16"/>
      <c r="J2129" s="16"/>
      <c r="K2129" s="16"/>
      <c r="L2129" s="18"/>
    </row>
    <row r="2130" customFormat="false" ht="15" hidden="false" customHeight="false" outlineLevel="0" collapsed="false">
      <c r="A2130" s="18"/>
      <c r="B2130" s="16"/>
      <c r="C2130" s="16"/>
      <c r="D2130" s="51" t="str">
        <f aca="false">IF(C2130="","",IFERROR(IF(LEFT(C2130,1)="L",INDEX('Leads Pipeline'!$F$5:$F$1004,MATCH(C2130,'Leads Pipeline'!$A$5:$A$1004,0)),INDEX('Active Clients'!$D$5:$D$504,MATCH(C2130,'Active Clients'!$A$5:$A$504,0)))&amp;"","ID not found"))</f>
        <v/>
      </c>
      <c r="E2130" s="51" t="str">
        <f aca="false">IF(C2130="","",IFERROR(IF(LEFT(C2130,1)="L",INDEX('Leads Pipeline'!$D$5:$D$1004,MATCH(C2130,'Leads Pipeline'!$A$5:$A$1004,0)),INDEX('Active Clients'!$B$5:$B$504,MATCH(C2130,'Active Clients'!$A$5:$A$504,0)))&amp;"","ID not found"))</f>
        <v/>
      </c>
      <c r="F2130" s="51" t="str">
        <f aca="false">IF(C2130="","",IFERROR(IF(LEFT(C2130,1)="L",INDEX('Leads Pipeline'!$E$5:$E$1004,MATCH(C2130,'Leads Pipeline'!$A$5:$A$1004,0)),INDEX('Active Clients'!$C$5:$C$504,MATCH(C2130,'Active Clients'!$A$5:$A$504,0)))&amp;"","ID not found"))</f>
        <v/>
      </c>
      <c r="G2130" s="16"/>
      <c r="H2130" s="16"/>
      <c r="I2130" s="16"/>
      <c r="J2130" s="16"/>
      <c r="K2130" s="16"/>
      <c r="L2130" s="18"/>
    </row>
    <row r="2131" customFormat="false" ht="15" hidden="false" customHeight="false" outlineLevel="0" collapsed="false">
      <c r="A2131" s="18"/>
      <c r="B2131" s="16"/>
      <c r="C2131" s="16"/>
      <c r="D2131" s="51" t="str">
        <f aca="false">IF(C2131="","",IFERROR(IF(LEFT(C2131,1)="L",INDEX('Leads Pipeline'!$F$5:$F$1004,MATCH(C2131,'Leads Pipeline'!$A$5:$A$1004,0)),INDEX('Active Clients'!$D$5:$D$504,MATCH(C2131,'Active Clients'!$A$5:$A$504,0)))&amp;"","ID not found"))</f>
        <v/>
      </c>
      <c r="E2131" s="51" t="str">
        <f aca="false">IF(C2131="","",IFERROR(IF(LEFT(C2131,1)="L",INDEX('Leads Pipeline'!$D$5:$D$1004,MATCH(C2131,'Leads Pipeline'!$A$5:$A$1004,0)),INDEX('Active Clients'!$B$5:$B$504,MATCH(C2131,'Active Clients'!$A$5:$A$504,0)))&amp;"","ID not found"))</f>
        <v/>
      </c>
      <c r="F2131" s="51" t="str">
        <f aca="false">IF(C2131="","",IFERROR(IF(LEFT(C2131,1)="L",INDEX('Leads Pipeline'!$E$5:$E$1004,MATCH(C2131,'Leads Pipeline'!$A$5:$A$1004,0)),INDEX('Active Clients'!$C$5:$C$504,MATCH(C2131,'Active Clients'!$A$5:$A$504,0)))&amp;"","ID not found"))</f>
        <v/>
      </c>
      <c r="G2131" s="16"/>
      <c r="H2131" s="16"/>
      <c r="I2131" s="16"/>
      <c r="J2131" s="16"/>
      <c r="K2131" s="16"/>
      <c r="L2131" s="18"/>
    </row>
    <row r="2132" customFormat="false" ht="15" hidden="false" customHeight="false" outlineLevel="0" collapsed="false">
      <c r="A2132" s="18"/>
      <c r="B2132" s="16"/>
      <c r="C2132" s="16"/>
      <c r="D2132" s="51" t="str">
        <f aca="false">IF(C2132="","",IFERROR(IF(LEFT(C2132,1)="L",INDEX('Leads Pipeline'!$F$5:$F$1004,MATCH(C2132,'Leads Pipeline'!$A$5:$A$1004,0)),INDEX('Active Clients'!$D$5:$D$504,MATCH(C2132,'Active Clients'!$A$5:$A$504,0)))&amp;"","ID not found"))</f>
        <v/>
      </c>
      <c r="E2132" s="51" t="str">
        <f aca="false">IF(C2132="","",IFERROR(IF(LEFT(C2132,1)="L",INDEX('Leads Pipeline'!$D$5:$D$1004,MATCH(C2132,'Leads Pipeline'!$A$5:$A$1004,0)),INDEX('Active Clients'!$B$5:$B$504,MATCH(C2132,'Active Clients'!$A$5:$A$504,0)))&amp;"","ID not found"))</f>
        <v/>
      </c>
      <c r="F2132" s="51" t="str">
        <f aca="false">IF(C2132="","",IFERROR(IF(LEFT(C2132,1)="L",INDEX('Leads Pipeline'!$E$5:$E$1004,MATCH(C2132,'Leads Pipeline'!$A$5:$A$1004,0)),INDEX('Active Clients'!$C$5:$C$504,MATCH(C2132,'Active Clients'!$A$5:$A$504,0)))&amp;"","ID not found"))</f>
        <v/>
      </c>
      <c r="G2132" s="16"/>
      <c r="H2132" s="16"/>
      <c r="I2132" s="16"/>
      <c r="J2132" s="16"/>
      <c r="K2132" s="16"/>
      <c r="L2132" s="18"/>
    </row>
    <row r="2133" customFormat="false" ht="15" hidden="false" customHeight="false" outlineLevel="0" collapsed="false">
      <c r="A2133" s="18"/>
      <c r="B2133" s="16"/>
      <c r="C2133" s="16"/>
      <c r="D2133" s="51" t="str">
        <f aca="false">IF(C2133="","",IFERROR(IF(LEFT(C2133,1)="L",INDEX('Leads Pipeline'!$F$5:$F$1004,MATCH(C2133,'Leads Pipeline'!$A$5:$A$1004,0)),INDEX('Active Clients'!$D$5:$D$504,MATCH(C2133,'Active Clients'!$A$5:$A$504,0)))&amp;"","ID not found"))</f>
        <v/>
      </c>
      <c r="E2133" s="51" t="str">
        <f aca="false">IF(C2133="","",IFERROR(IF(LEFT(C2133,1)="L",INDEX('Leads Pipeline'!$D$5:$D$1004,MATCH(C2133,'Leads Pipeline'!$A$5:$A$1004,0)),INDEX('Active Clients'!$B$5:$B$504,MATCH(C2133,'Active Clients'!$A$5:$A$504,0)))&amp;"","ID not found"))</f>
        <v/>
      </c>
      <c r="F2133" s="51" t="str">
        <f aca="false">IF(C2133="","",IFERROR(IF(LEFT(C2133,1)="L",INDEX('Leads Pipeline'!$E$5:$E$1004,MATCH(C2133,'Leads Pipeline'!$A$5:$A$1004,0)),INDEX('Active Clients'!$C$5:$C$504,MATCH(C2133,'Active Clients'!$A$5:$A$504,0)))&amp;"","ID not found"))</f>
        <v/>
      </c>
      <c r="G2133" s="16"/>
      <c r="H2133" s="16"/>
      <c r="I2133" s="16"/>
      <c r="J2133" s="16"/>
      <c r="K2133" s="16"/>
      <c r="L2133" s="18"/>
    </row>
    <row r="2134" customFormat="false" ht="15" hidden="false" customHeight="false" outlineLevel="0" collapsed="false">
      <c r="A2134" s="18"/>
      <c r="B2134" s="16"/>
      <c r="C2134" s="16"/>
      <c r="D2134" s="51" t="str">
        <f aca="false">IF(C2134="","",IFERROR(IF(LEFT(C2134,1)="L",INDEX('Leads Pipeline'!$F$5:$F$1004,MATCH(C2134,'Leads Pipeline'!$A$5:$A$1004,0)),INDEX('Active Clients'!$D$5:$D$504,MATCH(C2134,'Active Clients'!$A$5:$A$504,0)))&amp;"","ID not found"))</f>
        <v/>
      </c>
      <c r="E2134" s="51" t="str">
        <f aca="false">IF(C2134="","",IFERROR(IF(LEFT(C2134,1)="L",INDEX('Leads Pipeline'!$D$5:$D$1004,MATCH(C2134,'Leads Pipeline'!$A$5:$A$1004,0)),INDEX('Active Clients'!$B$5:$B$504,MATCH(C2134,'Active Clients'!$A$5:$A$504,0)))&amp;"","ID not found"))</f>
        <v/>
      </c>
      <c r="F2134" s="51" t="str">
        <f aca="false">IF(C2134="","",IFERROR(IF(LEFT(C2134,1)="L",INDEX('Leads Pipeline'!$E$5:$E$1004,MATCH(C2134,'Leads Pipeline'!$A$5:$A$1004,0)),INDEX('Active Clients'!$C$5:$C$504,MATCH(C2134,'Active Clients'!$A$5:$A$504,0)))&amp;"","ID not found"))</f>
        <v/>
      </c>
      <c r="G2134" s="16"/>
      <c r="H2134" s="16"/>
      <c r="I2134" s="16"/>
      <c r="J2134" s="16"/>
      <c r="K2134" s="16"/>
      <c r="L2134" s="18"/>
    </row>
    <row r="2135" customFormat="false" ht="15" hidden="false" customHeight="false" outlineLevel="0" collapsed="false">
      <c r="A2135" s="18"/>
      <c r="B2135" s="16"/>
      <c r="C2135" s="16"/>
      <c r="D2135" s="51" t="str">
        <f aca="false">IF(C2135="","",IFERROR(IF(LEFT(C2135,1)="L",INDEX('Leads Pipeline'!$F$5:$F$1004,MATCH(C2135,'Leads Pipeline'!$A$5:$A$1004,0)),INDEX('Active Clients'!$D$5:$D$504,MATCH(C2135,'Active Clients'!$A$5:$A$504,0)))&amp;"","ID not found"))</f>
        <v/>
      </c>
      <c r="E2135" s="51" t="str">
        <f aca="false">IF(C2135="","",IFERROR(IF(LEFT(C2135,1)="L",INDEX('Leads Pipeline'!$D$5:$D$1004,MATCH(C2135,'Leads Pipeline'!$A$5:$A$1004,0)),INDEX('Active Clients'!$B$5:$B$504,MATCH(C2135,'Active Clients'!$A$5:$A$504,0)))&amp;"","ID not found"))</f>
        <v/>
      </c>
      <c r="F2135" s="51" t="str">
        <f aca="false">IF(C2135="","",IFERROR(IF(LEFT(C2135,1)="L",INDEX('Leads Pipeline'!$E$5:$E$1004,MATCH(C2135,'Leads Pipeline'!$A$5:$A$1004,0)),INDEX('Active Clients'!$C$5:$C$504,MATCH(C2135,'Active Clients'!$A$5:$A$504,0)))&amp;"","ID not found"))</f>
        <v/>
      </c>
      <c r="G2135" s="16"/>
      <c r="H2135" s="16"/>
      <c r="I2135" s="16"/>
      <c r="J2135" s="16"/>
      <c r="K2135" s="16"/>
      <c r="L2135" s="18"/>
    </row>
    <row r="2136" customFormat="false" ht="15" hidden="false" customHeight="false" outlineLevel="0" collapsed="false">
      <c r="A2136" s="18"/>
      <c r="B2136" s="16"/>
      <c r="C2136" s="16"/>
      <c r="D2136" s="51" t="str">
        <f aca="false">IF(C2136="","",IFERROR(IF(LEFT(C2136,1)="L",INDEX('Leads Pipeline'!$F$5:$F$1004,MATCH(C2136,'Leads Pipeline'!$A$5:$A$1004,0)),INDEX('Active Clients'!$D$5:$D$504,MATCH(C2136,'Active Clients'!$A$5:$A$504,0)))&amp;"","ID not found"))</f>
        <v/>
      </c>
      <c r="E2136" s="51" t="str">
        <f aca="false">IF(C2136="","",IFERROR(IF(LEFT(C2136,1)="L",INDEX('Leads Pipeline'!$D$5:$D$1004,MATCH(C2136,'Leads Pipeline'!$A$5:$A$1004,0)),INDEX('Active Clients'!$B$5:$B$504,MATCH(C2136,'Active Clients'!$A$5:$A$504,0)))&amp;"","ID not found"))</f>
        <v/>
      </c>
      <c r="F2136" s="51" t="str">
        <f aca="false">IF(C2136="","",IFERROR(IF(LEFT(C2136,1)="L",INDEX('Leads Pipeline'!$E$5:$E$1004,MATCH(C2136,'Leads Pipeline'!$A$5:$A$1004,0)),INDEX('Active Clients'!$C$5:$C$504,MATCH(C2136,'Active Clients'!$A$5:$A$504,0)))&amp;"","ID not found"))</f>
        <v/>
      </c>
      <c r="G2136" s="16"/>
      <c r="H2136" s="16"/>
      <c r="I2136" s="16"/>
      <c r="J2136" s="16"/>
      <c r="K2136" s="16"/>
      <c r="L2136" s="18"/>
    </row>
    <row r="2137" customFormat="false" ht="15" hidden="false" customHeight="false" outlineLevel="0" collapsed="false">
      <c r="A2137" s="18"/>
      <c r="B2137" s="16"/>
      <c r="C2137" s="16"/>
      <c r="D2137" s="51" t="str">
        <f aca="false">IF(C2137="","",IFERROR(IF(LEFT(C2137,1)="L",INDEX('Leads Pipeline'!$F$5:$F$1004,MATCH(C2137,'Leads Pipeline'!$A$5:$A$1004,0)),INDEX('Active Clients'!$D$5:$D$504,MATCH(C2137,'Active Clients'!$A$5:$A$504,0)))&amp;"","ID not found"))</f>
        <v/>
      </c>
      <c r="E2137" s="51" t="str">
        <f aca="false">IF(C2137="","",IFERROR(IF(LEFT(C2137,1)="L",INDEX('Leads Pipeline'!$D$5:$D$1004,MATCH(C2137,'Leads Pipeline'!$A$5:$A$1004,0)),INDEX('Active Clients'!$B$5:$B$504,MATCH(C2137,'Active Clients'!$A$5:$A$504,0)))&amp;"","ID not found"))</f>
        <v/>
      </c>
      <c r="F2137" s="51" t="str">
        <f aca="false">IF(C2137="","",IFERROR(IF(LEFT(C2137,1)="L",INDEX('Leads Pipeline'!$E$5:$E$1004,MATCH(C2137,'Leads Pipeline'!$A$5:$A$1004,0)),INDEX('Active Clients'!$C$5:$C$504,MATCH(C2137,'Active Clients'!$A$5:$A$504,0)))&amp;"","ID not found"))</f>
        <v/>
      </c>
      <c r="G2137" s="16"/>
      <c r="H2137" s="16"/>
      <c r="I2137" s="16"/>
      <c r="J2137" s="16"/>
      <c r="K2137" s="16"/>
      <c r="L2137" s="18"/>
    </row>
    <row r="2138" customFormat="false" ht="15" hidden="false" customHeight="false" outlineLevel="0" collapsed="false">
      <c r="A2138" s="18"/>
      <c r="B2138" s="16"/>
      <c r="C2138" s="16"/>
      <c r="D2138" s="51" t="str">
        <f aca="false">IF(C2138="","",IFERROR(IF(LEFT(C2138,1)="L",INDEX('Leads Pipeline'!$F$5:$F$1004,MATCH(C2138,'Leads Pipeline'!$A$5:$A$1004,0)),INDEX('Active Clients'!$D$5:$D$504,MATCH(C2138,'Active Clients'!$A$5:$A$504,0)))&amp;"","ID not found"))</f>
        <v/>
      </c>
      <c r="E2138" s="51" t="str">
        <f aca="false">IF(C2138="","",IFERROR(IF(LEFT(C2138,1)="L",INDEX('Leads Pipeline'!$D$5:$D$1004,MATCH(C2138,'Leads Pipeline'!$A$5:$A$1004,0)),INDEX('Active Clients'!$B$5:$B$504,MATCH(C2138,'Active Clients'!$A$5:$A$504,0)))&amp;"","ID not found"))</f>
        <v/>
      </c>
      <c r="F2138" s="51" t="str">
        <f aca="false">IF(C2138="","",IFERROR(IF(LEFT(C2138,1)="L",INDEX('Leads Pipeline'!$E$5:$E$1004,MATCH(C2138,'Leads Pipeline'!$A$5:$A$1004,0)),INDEX('Active Clients'!$C$5:$C$504,MATCH(C2138,'Active Clients'!$A$5:$A$504,0)))&amp;"","ID not found"))</f>
        <v/>
      </c>
      <c r="G2138" s="16"/>
      <c r="H2138" s="16"/>
      <c r="I2138" s="16"/>
      <c r="J2138" s="16"/>
      <c r="K2138" s="16"/>
      <c r="L2138" s="18"/>
    </row>
    <row r="2139" customFormat="false" ht="15" hidden="false" customHeight="false" outlineLevel="0" collapsed="false">
      <c r="A2139" s="18"/>
      <c r="B2139" s="16"/>
      <c r="C2139" s="16"/>
      <c r="D2139" s="51" t="str">
        <f aca="false">IF(C2139="","",IFERROR(IF(LEFT(C2139,1)="L",INDEX('Leads Pipeline'!$F$5:$F$1004,MATCH(C2139,'Leads Pipeline'!$A$5:$A$1004,0)),INDEX('Active Clients'!$D$5:$D$504,MATCH(C2139,'Active Clients'!$A$5:$A$504,0)))&amp;"","ID not found"))</f>
        <v/>
      </c>
      <c r="E2139" s="51" t="str">
        <f aca="false">IF(C2139="","",IFERROR(IF(LEFT(C2139,1)="L",INDEX('Leads Pipeline'!$D$5:$D$1004,MATCH(C2139,'Leads Pipeline'!$A$5:$A$1004,0)),INDEX('Active Clients'!$B$5:$B$504,MATCH(C2139,'Active Clients'!$A$5:$A$504,0)))&amp;"","ID not found"))</f>
        <v/>
      </c>
      <c r="F2139" s="51" t="str">
        <f aca="false">IF(C2139="","",IFERROR(IF(LEFT(C2139,1)="L",INDEX('Leads Pipeline'!$E$5:$E$1004,MATCH(C2139,'Leads Pipeline'!$A$5:$A$1004,0)),INDEX('Active Clients'!$C$5:$C$504,MATCH(C2139,'Active Clients'!$A$5:$A$504,0)))&amp;"","ID not found"))</f>
        <v/>
      </c>
      <c r="G2139" s="16"/>
      <c r="H2139" s="16"/>
      <c r="I2139" s="16"/>
      <c r="J2139" s="16"/>
      <c r="K2139" s="16"/>
      <c r="L2139" s="18"/>
    </row>
    <row r="2140" customFormat="false" ht="15" hidden="false" customHeight="false" outlineLevel="0" collapsed="false">
      <c r="A2140" s="18"/>
      <c r="B2140" s="16"/>
      <c r="C2140" s="16"/>
      <c r="D2140" s="51" t="str">
        <f aca="false">IF(C2140="","",IFERROR(IF(LEFT(C2140,1)="L",INDEX('Leads Pipeline'!$F$5:$F$1004,MATCH(C2140,'Leads Pipeline'!$A$5:$A$1004,0)),INDEX('Active Clients'!$D$5:$D$504,MATCH(C2140,'Active Clients'!$A$5:$A$504,0)))&amp;"","ID not found"))</f>
        <v/>
      </c>
      <c r="E2140" s="51" t="str">
        <f aca="false">IF(C2140="","",IFERROR(IF(LEFT(C2140,1)="L",INDEX('Leads Pipeline'!$D$5:$D$1004,MATCH(C2140,'Leads Pipeline'!$A$5:$A$1004,0)),INDEX('Active Clients'!$B$5:$B$504,MATCH(C2140,'Active Clients'!$A$5:$A$504,0)))&amp;"","ID not found"))</f>
        <v/>
      </c>
      <c r="F2140" s="51" t="str">
        <f aca="false">IF(C2140="","",IFERROR(IF(LEFT(C2140,1)="L",INDEX('Leads Pipeline'!$E$5:$E$1004,MATCH(C2140,'Leads Pipeline'!$A$5:$A$1004,0)),INDEX('Active Clients'!$C$5:$C$504,MATCH(C2140,'Active Clients'!$A$5:$A$504,0)))&amp;"","ID not found"))</f>
        <v/>
      </c>
      <c r="G2140" s="16"/>
      <c r="H2140" s="16"/>
      <c r="I2140" s="16"/>
      <c r="J2140" s="16"/>
      <c r="K2140" s="16"/>
      <c r="L2140" s="18"/>
    </row>
    <row r="2141" customFormat="false" ht="15" hidden="false" customHeight="false" outlineLevel="0" collapsed="false">
      <c r="A2141" s="18"/>
      <c r="B2141" s="16"/>
      <c r="C2141" s="16"/>
      <c r="D2141" s="51" t="str">
        <f aca="false">IF(C2141="","",IFERROR(IF(LEFT(C2141,1)="L",INDEX('Leads Pipeline'!$F$5:$F$1004,MATCH(C2141,'Leads Pipeline'!$A$5:$A$1004,0)),INDEX('Active Clients'!$D$5:$D$504,MATCH(C2141,'Active Clients'!$A$5:$A$504,0)))&amp;"","ID not found"))</f>
        <v/>
      </c>
      <c r="E2141" s="51" t="str">
        <f aca="false">IF(C2141="","",IFERROR(IF(LEFT(C2141,1)="L",INDEX('Leads Pipeline'!$D$5:$D$1004,MATCH(C2141,'Leads Pipeline'!$A$5:$A$1004,0)),INDEX('Active Clients'!$B$5:$B$504,MATCH(C2141,'Active Clients'!$A$5:$A$504,0)))&amp;"","ID not found"))</f>
        <v/>
      </c>
      <c r="F2141" s="51" t="str">
        <f aca="false">IF(C2141="","",IFERROR(IF(LEFT(C2141,1)="L",INDEX('Leads Pipeline'!$E$5:$E$1004,MATCH(C2141,'Leads Pipeline'!$A$5:$A$1004,0)),INDEX('Active Clients'!$C$5:$C$504,MATCH(C2141,'Active Clients'!$A$5:$A$504,0)))&amp;"","ID not found"))</f>
        <v/>
      </c>
      <c r="G2141" s="16"/>
      <c r="H2141" s="16"/>
      <c r="I2141" s="16"/>
      <c r="J2141" s="16"/>
      <c r="K2141" s="16"/>
      <c r="L2141" s="18"/>
    </row>
    <row r="2142" customFormat="false" ht="15" hidden="false" customHeight="false" outlineLevel="0" collapsed="false">
      <c r="A2142" s="18"/>
      <c r="B2142" s="16"/>
      <c r="C2142" s="16"/>
      <c r="D2142" s="51" t="str">
        <f aca="false">IF(C2142="","",IFERROR(IF(LEFT(C2142,1)="L",INDEX('Leads Pipeline'!$F$5:$F$1004,MATCH(C2142,'Leads Pipeline'!$A$5:$A$1004,0)),INDEX('Active Clients'!$D$5:$D$504,MATCH(C2142,'Active Clients'!$A$5:$A$504,0)))&amp;"","ID not found"))</f>
        <v/>
      </c>
      <c r="E2142" s="51" t="str">
        <f aca="false">IF(C2142="","",IFERROR(IF(LEFT(C2142,1)="L",INDEX('Leads Pipeline'!$D$5:$D$1004,MATCH(C2142,'Leads Pipeline'!$A$5:$A$1004,0)),INDEX('Active Clients'!$B$5:$B$504,MATCH(C2142,'Active Clients'!$A$5:$A$504,0)))&amp;"","ID not found"))</f>
        <v/>
      </c>
      <c r="F2142" s="51" t="str">
        <f aca="false">IF(C2142="","",IFERROR(IF(LEFT(C2142,1)="L",INDEX('Leads Pipeline'!$E$5:$E$1004,MATCH(C2142,'Leads Pipeline'!$A$5:$A$1004,0)),INDEX('Active Clients'!$C$5:$C$504,MATCH(C2142,'Active Clients'!$A$5:$A$504,0)))&amp;"","ID not found"))</f>
        <v/>
      </c>
      <c r="G2142" s="16"/>
      <c r="H2142" s="16"/>
      <c r="I2142" s="16"/>
      <c r="J2142" s="16"/>
      <c r="K2142" s="16"/>
      <c r="L2142" s="18"/>
    </row>
    <row r="2143" customFormat="false" ht="15" hidden="false" customHeight="false" outlineLevel="0" collapsed="false">
      <c r="A2143" s="18"/>
      <c r="B2143" s="16"/>
      <c r="C2143" s="16"/>
      <c r="D2143" s="51" t="str">
        <f aca="false">IF(C2143="","",IFERROR(IF(LEFT(C2143,1)="L",INDEX('Leads Pipeline'!$F$5:$F$1004,MATCH(C2143,'Leads Pipeline'!$A$5:$A$1004,0)),INDEX('Active Clients'!$D$5:$D$504,MATCH(C2143,'Active Clients'!$A$5:$A$504,0)))&amp;"","ID not found"))</f>
        <v/>
      </c>
      <c r="E2143" s="51" t="str">
        <f aca="false">IF(C2143="","",IFERROR(IF(LEFT(C2143,1)="L",INDEX('Leads Pipeline'!$D$5:$D$1004,MATCH(C2143,'Leads Pipeline'!$A$5:$A$1004,0)),INDEX('Active Clients'!$B$5:$B$504,MATCH(C2143,'Active Clients'!$A$5:$A$504,0)))&amp;"","ID not found"))</f>
        <v/>
      </c>
      <c r="F2143" s="51" t="str">
        <f aca="false">IF(C2143="","",IFERROR(IF(LEFT(C2143,1)="L",INDEX('Leads Pipeline'!$E$5:$E$1004,MATCH(C2143,'Leads Pipeline'!$A$5:$A$1004,0)),INDEX('Active Clients'!$C$5:$C$504,MATCH(C2143,'Active Clients'!$A$5:$A$504,0)))&amp;"","ID not found"))</f>
        <v/>
      </c>
      <c r="G2143" s="16"/>
      <c r="H2143" s="16"/>
      <c r="I2143" s="16"/>
      <c r="J2143" s="16"/>
      <c r="K2143" s="16"/>
      <c r="L2143" s="18"/>
    </row>
    <row r="2144" customFormat="false" ht="15" hidden="false" customHeight="false" outlineLevel="0" collapsed="false">
      <c r="A2144" s="18"/>
      <c r="B2144" s="16"/>
      <c r="C2144" s="16"/>
      <c r="D2144" s="51" t="str">
        <f aca="false">IF(C2144="","",IFERROR(IF(LEFT(C2144,1)="L",INDEX('Leads Pipeline'!$F$5:$F$1004,MATCH(C2144,'Leads Pipeline'!$A$5:$A$1004,0)),INDEX('Active Clients'!$D$5:$D$504,MATCH(C2144,'Active Clients'!$A$5:$A$504,0)))&amp;"","ID not found"))</f>
        <v/>
      </c>
      <c r="E2144" s="51" t="str">
        <f aca="false">IF(C2144="","",IFERROR(IF(LEFT(C2144,1)="L",INDEX('Leads Pipeline'!$D$5:$D$1004,MATCH(C2144,'Leads Pipeline'!$A$5:$A$1004,0)),INDEX('Active Clients'!$B$5:$B$504,MATCH(C2144,'Active Clients'!$A$5:$A$504,0)))&amp;"","ID not found"))</f>
        <v/>
      </c>
      <c r="F2144" s="51" t="str">
        <f aca="false">IF(C2144="","",IFERROR(IF(LEFT(C2144,1)="L",INDEX('Leads Pipeline'!$E$5:$E$1004,MATCH(C2144,'Leads Pipeline'!$A$5:$A$1004,0)),INDEX('Active Clients'!$C$5:$C$504,MATCH(C2144,'Active Clients'!$A$5:$A$504,0)))&amp;"","ID not found"))</f>
        <v/>
      </c>
      <c r="G2144" s="16"/>
      <c r="H2144" s="16"/>
      <c r="I2144" s="16"/>
      <c r="J2144" s="16"/>
      <c r="K2144" s="16"/>
      <c r="L2144" s="18"/>
    </row>
    <row r="2145" customFormat="false" ht="15" hidden="false" customHeight="false" outlineLevel="0" collapsed="false">
      <c r="A2145" s="18"/>
      <c r="B2145" s="16"/>
      <c r="C2145" s="16"/>
      <c r="D2145" s="51" t="str">
        <f aca="false">IF(C2145="","",IFERROR(IF(LEFT(C2145,1)="L",INDEX('Leads Pipeline'!$F$5:$F$1004,MATCH(C2145,'Leads Pipeline'!$A$5:$A$1004,0)),INDEX('Active Clients'!$D$5:$D$504,MATCH(C2145,'Active Clients'!$A$5:$A$504,0)))&amp;"","ID not found"))</f>
        <v/>
      </c>
      <c r="E2145" s="51" t="str">
        <f aca="false">IF(C2145="","",IFERROR(IF(LEFT(C2145,1)="L",INDEX('Leads Pipeline'!$D$5:$D$1004,MATCH(C2145,'Leads Pipeline'!$A$5:$A$1004,0)),INDEX('Active Clients'!$B$5:$B$504,MATCH(C2145,'Active Clients'!$A$5:$A$504,0)))&amp;"","ID not found"))</f>
        <v/>
      </c>
      <c r="F2145" s="51" t="str">
        <f aca="false">IF(C2145="","",IFERROR(IF(LEFT(C2145,1)="L",INDEX('Leads Pipeline'!$E$5:$E$1004,MATCH(C2145,'Leads Pipeline'!$A$5:$A$1004,0)),INDEX('Active Clients'!$C$5:$C$504,MATCH(C2145,'Active Clients'!$A$5:$A$504,0)))&amp;"","ID not found"))</f>
        <v/>
      </c>
      <c r="G2145" s="16"/>
      <c r="H2145" s="16"/>
      <c r="I2145" s="16"/>
      <c r="J2145" s="16"/>
      <c r="K2145" s="16"/>
      <c r="L2145" s="18"/>
    </row>
    <row r="2146" customFormat="false" ht="15" hidden="false" customHeight="false" outlineLevel="0" collapsed="false">
      <c r="A2146" s="18"/>
      <c r="B2146" s="16"/>
      <c r="C2146" s="16"/>
      <c r="D2146" s="51" t="str">
        <f aca="false">IF(C2146="","",IFERROR(IF(LEFT(C2146,1)="L",INDEX('Leads Pipeline'!$F$5:$F$1004,MATCH(C2146,'Leads Pipeline'!$A$5:$A$1004,0)),INDEX('Active Clients'!$D$5:$D$504,MATCH(C2146,'Active Clients'!$A$5:$A$504,0)))&amp;"","ID not found"))</f>
        <v/>
      </c>
      <c r="E2146" s="51" t="str">
        <f aca="false">IF(C2146="","",IFERROR(IF(LEFT(C2146,1)="L",INDEX('Leads Pipeline'!$D$5:$D$1004,MATCH(C2146,'Leads Pipeline'!$A$5:$A$1004,0)),INDEX('Active Clients'!$B$5:$B$504,MATCH(C2146,'Active Clients'!$A$5:$A$504,0)))&amp;"","ID not found"))</f>
        <v/>
      </c>
      <c r="F2146" s="51" t="str">
        <f aca="false">IF(C2146="","",IFERROR(IF(LEFT(C2146,1)="L",INDEX('Leads Pipeline'!$E$5:$E$1004,MATCH(C2146,'Leads Pipeline'!$A$5:$A$1004,0)),INDEX('Active Clients'!$C$5:$C$504,MATCH(C2146,'Active Clients'!$A$5:$A$504,0)))&amp;"","ID not found"))</f>
        <v/>
      </c>
      <c r="G2146" s="16"/>
      <c r="H2146" s="16"/>
      <c r="I2146" s="16"/>
      <c r="J2146" s="16"/>
      <c r="K2146" s="16"/>
      <c r="L2146" s="18"/>
    </row>
    <row r="2147" customFormat="false" ht="15" hidden="false" customHeight="false" outlineLevel="0" collapsed="false">
      <c r="A2147" s="18"/>
      <c r="B2147" s="16"/>
      <c r="C2147" s="16"/>
      <c r="D2147" s="51" t="str">
        <f aca="false">IF(C2147="","",IFERROR(IF(LEFT(C2147,1)="L",INDEX('Leads Pipeline'!$F$5:$F$1004,MATCH(C2147,'Leads Pipeline'!$A$5:$A$1004,0)),INDEX('Active Clients'!$D$5:$D$504,MATCH(C2147,'Active Clients'!$A$5:$A$504,0)))&amp;"","ID not found"))</f>
        <v/>
      </c>
      <c r="E2147" s="51" t="str">
        <f aca="false">IF(C2147="","",IFERROR(IF(LEFT(C2147,1)="L",INDEX('Leads Pipeline'!$D$5:$D$1004,MATCH(C2147,'Leads Pipeline'!$A$5:$A$1004,0)),INDEX('Active Clients'!$B$5:$B$504,MATCH(C2147,'Active Clients'!$A$5:$A$504,0)))&amp;"","ID not found"))</f>
        <v/>
      </c>
      <c r="F2147" s="51" t="str">
        <f aca="false">IF(C2147="","",IFERROR(IF(LEFT(C2147,1)="L",INDEX('Leads Pipeline'!$E$5:$E$1004,MATCH(C2147,'Leads Pipeline'!$A$5:$A$1004,0)),INDEX('Active Clients'!$C$5:$C$504,MATCH(C2147,'Active Clients'!$A$5:$A$504,0)))&amp;"","ID not found"))</f>
        <v/>
      </c>
      <c r="G2147" s="16"/>
      <c r="H2147" s="16"/>
      <c r="I2147" s="16"/>
      <c r="J2147" s="16"/>
      <c r="K2147" s="16"/>
      <c r="L2147" s="18"/>
    </row>
    <row r="2148" customFormat="false" ht="15" hidden="false" customHeight="false" outlineLevel="0" collapsed="false">
      <c r="A2148" s="18"/>
      <c r="B2148" s="16"/>
      <c r="C2148" s="16"/>
      <c r="D2148" s="51" t="str">
        <f aca="false">IF(C2148="","",IFERROR(IF(LEFT(C2148,1)="L",INDEX('Leads Pipeline'!$F$5:$F$1004,MATCH(C2148,'Leads Pipeline'!$A$5:$A$1004,0)),INDEX('Active Clients'!$D$5:$D$504,MATCH(C2148,'Active Clients'!$A$5:$A$504,0)))&amp;"","ID not found"))</f>
        <v/>
      </c>
      <c r="E2148" s="51" t="str">
        <f aca="false">IF(C2148="","",IFERROR(IF(LEFT(C2148,1)="L",INDEX('Leads Pipeline'!$D$5:$D$1004,MATCH(C2148,'Leads Pipeline'!$A$5:$A$1004,0)),INDEX('Active Clients'!$B$5:$B$504,MATCH(C2148,'Active Clients'!$A$5:$A$504,0)))&amp;"","ID not found"))</f>
        <v/>
      </c>
      <c r="F2148" s="51" t="str">
        <f aca="false">IF(C2148="","",IFERROR(IF(LEFT(C2148,1)="L",INDEX('Leads Pipeline'!$E$5:$E$1004,MATCH(C2148,'Leads Pipeline'!$A$5:$A$1004,0)),INDEX('Active Clients'!$C$5:$C$504,MATCH(C2148,'Active Clients'!$A$5:$A$504,0)))&amp;"","ID not found"))</f>
        <v/>
      </c>
      <c r="G2148" s="16"/>
      <c r="H2148" s="16"/>
      <c r="I2148" s="16"/>
      <c r="J2148" s="16"/>
      <c r="K2148" s="16"/>
      <c r="L2148" s="18"/>
    </row>
    <row r="2149" customFormat="false" ht="15" hidden="false" customHeight="false" outlineLevel="0" collapsed="false">
      <c r="A2149" s="18"/>
      <c r="B2149" s="16"/>
      <c r="C2149" s="16"/>
      <c r="D2149" s="51" t="str">
        <f aca="false">IF(C2149="","",IFERROR(IF(LEFT(C2149,1)="L",INDEX('Leads Pipeline'!$F$5:$F$1004,MATCH(C2149,'Leads Pipeline'!$A$5:$A$1004,0)),INDEX('Active Clients'!$D$5:$D$504,MATCH(C2149,'Active Clients'!$A$5:$A$504,0)))&amp;"","ID not found"))</f>
        <v/>
      </c>
      <c r="E2149" s="51" t="str">
        <f aca="false">IF(C2149="","",IFERROR(IF(LEFT(C2149,1)="L",INDEX('Leads Pipeline'!$D$5:$D$1004,MATCH(C2149,'Leads Pipeline'!$A$5:$A$1004,0)),INDEX('Active Clients'!$B$5:$B$504,MATCH(C2149,'Active Clients'!$A$5:$A$504,0)))&amp;"","ID not found"))</f>
        <v/>
      </c>
      <c r="F2149" s="51" t="str">
        <f aca="false">IF(C2149="","",IFERROR(IF(LEFT(C2149,1)="L",INDEX('Leads Pipeline'!$E$5:$E$1004,MATCH(C2149,'Leads Pipeline'!$A$5:$A$1004,0)),INDEX('Active Clients'!$C$5:$C$504,MATCH(C2149,'Active Clients'!$A$5:$A$504,0)))&amp;"","ID not found"))</f>
        <v/>
      </c>
      <c r="G2149" s="16"/>
      <c r="H2149" s="16"/>
      <c r="I2149" s="16"/>
      <c r="J2149" s="16"/>
      <c r="K2149" s="16"/>
      <c r="L2149" s="18"/>
    </row>
    <row r="2150" customFormat="false" ht="15" hidden="false" customHeight="false" outlineLevel="0" collapsed="false">
      <c r="A2150" s="18"/>
      <c r="B2150" s="16"/>
      <c r="C2150" s="16"/>
      <c r="D2150" s="51" t="str">
        <f aca="false">IF(C2150="","",IFERROR(IF(LEFT(C2150,1)="L",INDEX('Leads Pipeline'!$F$5:$F$1004,MATCH(C2150,'Leads Pipeline'!$A$5:$A$1004,0)),INDEX('Active Clients'!$D$5:$D$504,MATCH(C2150,'Active Clients'!$A$5:$A$504,0)))&amp;"","ID not found"))</f>
        <v/>
      </c>
      <c r="E2150" s="51" t="str">
        <f aca="false">IF(C2150="","",IFERROR(IF(LEFT(C2150,1)="L",INDEX('Leads Pipeline'!$D$5:$D$1004,MATCH(C2150,'Leads Pipeline'!$A$5:$A$1004,0)),INDEX('Active Clients'!$B$5:$B$504,MATCH(C2150,'Active Clients'!$A$5:$A$504,0)))&amp;"","ID not found"))</f>
        <v/>
      </c>
      <c r="F2150" s="51" t="str">
        <f aca="false">IF(C2150="","",IFERROR(IF(LEFT(C2150,1)="L",INDEX('Leads Pipeline'!$E$5:$E$1004,MATCH(C2150,'Leads Pipeline'!$A$5:$A$1004,0)),INDEX('Active Clients'!$C$5:$C$504,MATCH(C2150,'Active Clients'!$A$5:$A$504,0)))&amp;"","ID not found"))</f>
        <v/>
      </c>
      <c r="G2150" s="16"/>
      <c r="H2150" s="16"/>
      <c r="I2150" s="16"/>
      <c r="J2150" s="16"/>
      <c r="K2150" s="16"/>
      <c r="L2150" s="18"/>
    </row>
    <row r="2151" customFormat="false" ht="15" hidden="false" customHeight="false" outlineLevel="0" collapsed="false">
      <c r="A2151" s="18"/>
      <c r="B2151" s="16"/>
      <c r="C2151" s="16"/>
      <c r="D2151" s="51" t="str">
        <f aca="false">IF(C2151="","",IFERROR(IF(LEFT(C2151,1)="L",INDEX('Leads Pipeline'!$F$5:$F$1004,MATCH(C2151,'Leads Pipeline'!$A$5:$A$1004,0)),INDEX('Active Clients'!$D$5:$D$504,MATCH(C2151,'Active Clients'!$A$5:$A$504,0)))&amp;"","ID not found"))</f>
        <v/>
      </c>
      <c r="E2151" s="51" t="str">
        <f aca="false">IF(C2151="","",IFERROR(IF(LEFT(C2151,1)="L",INDEX('Leads Pipeline'!$D$5:$D$1004,MATCH(C2151,'Leads Pipeline'!$A$5:$A$1004,0)),INDEX('Active Clients'!$B$5:$B$504,MATCH(C2151,'Active Clients'!$A$5:$A$504,0)))&amp;"","ID not found"))</f>
        <v/>
      </c>
      <c r="F2151" s="51" t="str">
        <f aca="false">IF(C2151="","",IFERROR(IF(LEFT(C2151,1)="L",INDEX('Leads Pipeline'!$E$5:$E$1004,MATCH(C2151,'Leads Pipeline'!$A$5:$A$1004,0)),INDEX('Active Clients'!$C$5:$C$504,MATCH(C2151,'Active Clients'!$A$5:$A$504,0)))&amp;"","ID not found"))</f>
        <v/>
      </c>
      <c r="G2151" s="16"/>
      <c r="H2151" s="16"/>
      <c r="I2151" s="16"/>
      <c r="J2151" s="16"/>
      <c r="K2151" s="16"/>
      <c r="L2151" s="18"/>
    </row>
    <row r="2152" customFormat="false" ht="15" hidden="false" customHeight="false" outlineLevel="0" collapsed="false">
      <c r="A2152" s="18"/>
      <c r="B2152" s="16"/>
      <c r="C2152" s="16"/>
      <c r="D2152" s="51" t="str">
        <f aca="false">IF(C2152="","",IFERROR(IF(LEFT(C2152,1)="L",INDEX('Leads Pipeline'!$F$5:$F$1004,MATCH(C2152,'Leads Pipeline'!$A$5:$A$1004,0)),INDEX('Active Clients'!$D$5:$D$504,MATCH(C2152,'Active Clients'!$A$5:$A$504,0)))&amp;"","ID not found"))</f>
        <v/>
      </c>
      <c r="E2152" s="51" t="str">
        <f aca="false">IF(C2152="","",IFERROR(IF(LEFT(C2152,1)="L",INDEX('Leads Pipeline'!$D$5:$D$1004,MATCH(C2152,'Leads Pipeline'!$A$5:$A$1004,0)),INDEX('Active Clients'!$B$5:$B$504,MATCH(C2152,'Active Clients'!$A$5:$A$504,0)))&amp;"","ID not found"))</f>
        <v/>
      </c>
      <c r="F2152" s="51" t="str">
        <f aca="false">IF(C2152="","",IFERROR(IF(LEFT(C2152,1)="L",INDEX('Leads Pipeline'!$E$5:$E$1004,MATCH(C2152,'Leads Pipeline'!$A$5:$A$1004,0)),INDEX('Active Clients'!$C$5:$C$504,MATCH(C2152,'Active Clients'!$A$5:$A$504,0)))&amp;"","ID not found"))</f>
        <v/>
      </c>
      <c r="G2152" s="16"/>
      <c r="H2152" s="16"/>
      <c r="I2152" s="16"/>
      <c r="J2152" s="16"/>
      <c r="K2152" s="16"/>
      <c r="L2152" s="18"/>
    </row>
    <row r="2153" customFormat="false" ht="15" hidden="false" customHeight="false" outlineLevel="0" collapsed="false">
      <c r="A2153" s="18"/>
      <c r="B2153" s="16"/>
      <c r="C2153" s="16"/>
      <c r="D2153" s="51" t="str">
        <f aca="false">IF(C2153="","",IFERROR(IF(LEFT(C2153,1)="L",INDEX('Leads Pipeline'!$F$5:$F$1004,MATCH(C2153,'Leads Pipeline'!$A$5:$A$1004,0)),INDEX('Active Clients'!$D$5:$D$504,MATCH(C2153,'Active Clients'!$A$5:$A$504,0)))&amp;"","ID not found"))</f>
        <v/>
      </c>
      <c r="E2153" s="51" t="str">
        <f aca="false">IF(C2153="","",IFERROR(IF(LEFT(C2153,1)="L",INDEX('Leads Pipeline'!$D$5:$D$1004,MATCH(C2153,'Leads Pipeline'!$A$5:$A$1004,0)),INDEX('Active Clients'!$B$5:$B$504,MATCH(C2153,'Active Clients'!$A$5:$A$504,0)))&amp;"","ID not found"))</f>
        <v/>
      </c>
      <c r="F2153" s="51" t="str">
        <f aca="false">IF(C2153="","",IFERROR(IF(LEFT(C2153,1)="L",INDEX('Leads Pipeline'!$E$5:$E$1004,MATCH(C2153,'Leads Pipeline'!$A$5:$A$1004,0)),INDEX('Active Clients'!$C$5:$C$504,MATCH(C2153,'Active Clients'!$A$5:$A$504,0)))&amp;"","ID not found"))</f>
        <v/>
      </c>
      <c r="G2153" s="16"/>
      <c r="H2153" s="16"/>
      <c r="I2153" s="16"/>
      <c r="J2153" s="16"/>
      <c r="K2153" s="16"/>
      <c r="L2153" s="18"/>
    </row>
    <row r="2154" customFormat="false" ht="15" hidden="false" customHeight="false" outlineLevel="0" collapsed="false">
      <c r="A2154" s="18"/>
      <c r="B2154" s="16"/>
      <c r="C2154" s="16"/>
      <c r="D2154" s="51" t="str">
        <f aca="false">IF(C2154="","",IFERROR(IF(LEFT(C2154,1)="L",INDEX('Leads Pipeline'!$F$5:$F$1004,MATCH(C2154,'Leads Pipeline'!$A$5:$A$1004,0)),INDEX('Active Clients'!$D$5:$D$504,MATCH(C2154,'Active Clients'!$A$5:$A$504,0)))&amp;"","ID not found"))</f>
        <v/>
      </c>
      <c r="E2154" s="51" t="str">
        <f aca="false">IF(C2154="","",IFERROR(IF(LEFT(C2154,1)="L",INDEX('Leads Pipeline'!$D$5:$D$1004,MATCH(C2154,'Leads Pipeline'!$A$5:$A$1004,0)),INDEX('Active Clients'!$B$5:$B$504,MATCH(C2154,'Active Clients'!$A$5:$A$504,0)))&amp;"","ID not found"))</f>
        <v/>
      </c>
      <c r="F2154" s="51" t="str">
        <f aca="false">IF(C2154="","",IFERROR(IF(LEFT(C2154,1)="L",INDEX('Leads Pipeline'!$E$5:$E$1004,MATCH(C2154,'Leads Pipeline'!$A$5:$A$1004,0)),INDEX('Active Clients'!$C$5:$C$504,MATCH(C2154,'Active Clients'!$A$5:$A$504,0)))&amp;"","ID not found"))</f>
        <v/>
      </c>
      <c r="G2154" s="16"/>
      <c r="H2154" s="16"/>
      <c r="I2154" s="16"/>
      <c r="J2154" s="16"/>
      <c r="K2154" s="16"/>
      <c r="L2154" s="18"/>
    </row>
    <row r="2155" customFormat="false" ht="15" hidden="false" customHeight="false" outlineLevel="0" collapsed="false">
      <c r="A2155" s="18"/>
      <c r="B2155" s="16"/>
      <c r="C2155" s="16"/>
      <c r="D2155" s="51" t="str">
        <f aca="false">IF(C2155="","",IFERROR(IF(LEFT(C2155,1)="L",INDEX('Leads Pipeline'!$F$5:$F$1004,MATCH(C2155,'Leads Pipeline'!$A$5:$A$1004,0)),INDEX('Active Clients'!$D$5:$D$504,MATCH(C2155,'Active Clients'!$A$5:$A$504,0)))&amp;"","ID not found"))</f>
        <v/>
      </c>
      <c r="E2155" s="51" t="str">
        <f aca="false">IF(C2155="","",IFERROR(IF(LEFT(C2155,1)="L",INDEX('Leads Pipeline'!$D$5:$D$1004,MATCH(C2155,'Leads Pipeline'!$A$5:$A$1004,0)),INDEX('Active Clients'!$B$5:$B$504,MATCH(C2155,'Active Clients'!$A$5:$A$504,0)))&amp;"","ID not found"))</f>
        <v/>
      </c>
      <c r="F2155" s="51" t="str">
        <f aca="false">IF(C2155="","",IFERROR(IF(LEFT(C2155,1)="L",INDEX('Leads Pipeline'!$E$5:$E$1004,MATCH(C2155,'Leads Pipeline'!$A$5:$A$1004,0)),INDEX('Active Clients'!$C$5:$C$504,MATCH(C2155,'Active Clients'!$A$5:$A$504,0)))&amp;"","ID not found"))</f>
        <v/>
      </c>
      <c r="G2155" s="16"/>
      <c r="H2155" s="16"/>
      <c r="I2155" s="16"/>
      <c r="J2155" s="16"/>
      <c r="K2155" s="16"/>
      <c r="L2155" s="18"/>
    </row>
    <row r="2156" customFormat="false" ht="15" hidden="false" customHeight="false" outlineLevel="0" collapsed="false">
      <c r="A2156" s="18"/>
      <c r="B2156" s="16"/>
      <c r="C2156" s="16"/>
      <c r="D2156" s="51" t="str">
        <f aca="false">IF(C2156="","",IFERROR(IF(LEFT(C2156,1)="L",INDEX('Leads Pipeline'!$F$5:$F$1004,MATCH(C2156,'Leads Pipeline'!$A$5:$A$1004,0)),INDEX('Active Clients'!$D$5:$D$504,MATCH(C2156,'Active Clients'!$A$5:$A$504,0)))&amp;"","ID not found"))</f>
        <v/>
      </c>
      <c r="E2156" s="51" t="str">
        <f aca="false">IF(C2156="","",IFERROR(IF(LEFT(C2156,1)="L",INDEX('Leads Pipeline'!$D$5:$D$1004,MATCH(C2156,'Leads Pipeline'!$A$5:$A$1004,0)),INDEX('Active Clients'!$B$5:$B$504,MATCH(C2156,'Active Clients'!$A$5:$A$504,0)))&amp;"","ID not found"))</f>
        <v/>
      </c>
      <c r="F2156" s="51" t="str">
        <f aca="false">IF(C2156="","",IFERROR(IF(LEFT(C2156,1)="L",INDEX('Leads Pipeline'!$E$5:$E$1004,MATCH(C2156,'Leads Pipeline'!$A$5:$A$1004,0)),INDEX('Active Clients'!$C$5:$C$504,MATCH(C2156,'Active Clients'!$A$5:$A$504,0)))&amp;"","ID not found"))</f>
        <v/>
      </c>
      <c r="G2156" s="16"/>
      <c r="H2156" s="16"/>
      <c r="I2156" s="16"/>
      <c r="J2156" s="16"/>
      <c r="K2156" s="16"/>
      <c r="L2156" s="18"/>
    </row>
    <row r="2157" customFormat="false" ht="15" hidden="false" customHeight="false" outlineLevel="0" collapsed="false">
      <c r="A2157" s="18"/>
      <c r="B2157" s="16"/>
      <c r="C2157" s="16"/>
      <c r="D2157" s="51" t="str">
        <f aca="false">IF(C2157="","",IFERROR(IF(LEFT(C2157,1)="L",INDEX('Leads Pipeline'!$F$5:$F$1004,MATCH(C2157,'Leads Pipeline'!$A$5:$A$1004,0)),INDEX('Active Clients'!$D$5:$D$504,MATCH(C2157,'Active Clients'!$A$5:$A$504,0)))&amp;"","ID not found"))</f>
        <v/>
      </c>
      <c r="E2157" s="51" t="str">
        <f aca="false">IF(C2157="","",IFERROR(IF(LEFT(C2157,1)="L",INDEX('Leads Pipeline'!$D$5:$D$1004,MATCH(C2157,'Leads Pipeline'!$A$5:$A$1004,0)),INDEX('Active Clients'!$B$5:$B$504,MATCH(C2157,'Active Clients'!$A$5:$A$504,0)))&amp;"","ID not found"))</f>
        <v/>
      </c>
      <c r="F2157" s="51" t="str">
        <f aca="false">IF(C2157="","",IFERROR(IF(LEFT(C2157,1)="L",INDEX('Leads Pipeline'!$E$5:$E$1004,MATCH(C2157,'Leads Pipeline'!$A$5:$A$1004,0)),INDEX('Active Clients'!$C$5:$C$504,MATCH(C2157,'Active Clients'!$A$5:$A$504,0)))&amp;"","ID not found"))</f>
        <v/>
      </c>
      <c r="G2157" s="16"/>
      <c r="H2157" s="16"/>
      <c r="I2157" s="16"/>
      <c r="J2157" s="16"/>
      <c r="K2157" s="16"/>
      <c r="L2157" s="18"/>
    </row>
    <row r="2158" customFormat="false" ht="15" hidden="false" customHeight="false" outlineLevel="0" collapsed="false">
      <c r="A2158" s="18"/>
      <c r="B2158" s="16"/>
      <c r="C2158" s="16"/>
      <c r="D2158" s="51" t="str">
        <f aca="false">IF(C2158="","",IFERROR(IF(LEFT(C2158,1)="L",INDEX('Leads Pipeline'!$F$5:$F$1004,MATCH(C2158,'Leads Pipeline'!$A$5:$A$1004,0)),INDEX('Active Clients'!$D$5:$D$504,MATCH(C2158,'Active Clients'!$A$5:$A$504,0)))&amp;"","ID not found"))</f>
        <v/>
      </c>
      <c r="E2158" s="51" t="str">
        <f aca="false">IF(C2158="","",IFERROR(IF(LEFT(C2158,1)="L",INDEX('Leads Pipeline'!$D$5:$D$1004,MATCH(C2158,'Leads Pipeline'!$A$5:$A$1004,0)),INDEX('Active Clients'!$B$5:$B$504,MATCH(C2158,'Active Clients'!$A$5:$A$504,0)))&amp;"","ID not found"))</f>
        <v/>
      </c>
      <c r="F2158" s="51" t="str">
        <f aca="false">IF(C2158="","",IFERROR(IF(LEFT(C2158,1)="L",INDEX('Leads Pipeline'!$E$5:$E$1004,MATCH(C2158,'Leads Pipeline'!$A$5:$A$1004,0)),INDEX('Active Clients'!$C$5:$C$504,MATCH(C2158,'Active Clients'!$A$5:$A$504,0)))&amp;"","ID not found"))</f>
        <v/>
      </c>
      <c r="G2158" s="16"/>
      <c r="H2158" s="16"/>
      <c r="I2158" s="16"/>
      <c r="J2158" s="16"/>
      <c r="K2158" s="16"/>
      <c r="L2158" s="18"/>
    </row>
    <row r="2159" customFormat="false" ht="15" hidden="false" customHeight="false" outlineLevel="0" collapsed="false">
      <c r="A2159" s="18"/>
      <c r="B2159" s="16"/>
      <c r="C2159" s="16"/>
      <c r="D2159" s="51" t="str">
        <f aca="false">IF(C2159="","",IFERROR(IF(LEFT(C2159,1)="L",INDEX('Leads Pipeline'!$F$5:$F$1004,MATCH(C2159,'Leads Pipeline'!$A$5:$A$1004,0)),INDEX('Active Clients'!$D$5:$D$504,MATCH(C2159,'Active Clients'!$A$5:$A$504,0)))&amp;"","ID not found"))</f>
        <v/>
      </c>
      <c r="E2159" s="51" t="str">
        <f aca="false">IF(C2159="","",IFERROR(IF(LEFT(C2159,1)="L",INDEX('Leads Pipeline'!$D$5:$D$1004,MATCH(C2159,'Leads Pipeline'!$A$5:$A$1004,0)),INDEX('Active Clients'!$B$5:$B$504,MATCH(C2159,'Active Clients'!$A$5:$A$504,0)))&amp;"","ID not found"))</f>
        <v/>
      </c>
      <c r="F2159" s="51" t="str">
        <f aca="false">IF(C2159="","",IFERROR(IF(LEFT(C2159,1)="L",INDEX('Leads Pipeline'!$E$5:$E$1004,MATCH(C2159,'Leads Pipeline'!$A$5:$A$1004,0)),INDEX('Active Clients'!$C$5:$C$504,MATCH(C2159,'Active Clients'!$A$5:$A$504,0)))&amp;"","ID not found"))</f>
        <v/>
      </c>
      <c r="G2159" s="16"/>
      <c r="H2159" s="16"/>
      <c r="I2159" s="16"/>
      <c r="J2159" s="16"/>
      <c r="K2159" s="16"/>
      <c r="L2159" s="18"/>
    </row>
    <row r="2160" customFormat="false" ht="15" hidden="false" customHeight="false" outlineLevel="0" collapsed="false">
      <c r="A2160" s="18"/>
      <c r="B2160" s="16"/>
      <c r="C2160" s="16"/>
      <c r="D2160" s="51" t="str">
        <f aca="false">IF(C2160="","",IFERROR(IF(LEFT(C2160,1)="L",INDEX('Leads Pipeline'!$F$5:$F$1004,MATCH(C2160,'Leads Pipeline'!$A$5:$A$1004,0)),INDEX('Active Clients'!$D$5:$D$504,MATCH(C2160,'Active Clients'!$A$5:$A$504,0)))&amp;"","ID not found"))</f>
        <v/>
      </c>
      <c r="E2160" s="51" t="str">
        <f aca="false">IF(C2160="","",IFERROR(IF(LEFT(C2160,1)="L",INDEX('Leads Pipeline'!$D$5:$D$1004,MATCH(C2160,'Leads Pipeline'!$A$5:$A$1004,0)),INDEX('Active Clients'!$B$5:$B$504,MATCH(C2160,'Active Clients'!$A$5:$A$504,0)))&amp;"","ID not found"))</f>
        <v/>
      </c>
      <c r="F2160" s="51" t="str">
        <f aca="false">IF(C2160="","",IFERROR(IF(LEFT(C2160,1)="L",INDEX('Leads Pipeline'!$E$5:$E$1004,MATCH(C2160,'Leads Pipeline'!$A$5:$A$1004,0)),INDEX('Active Clients'!$C$5:$C$504,MATCH(C2160,'Active Clients'!$A$5:$A$504,0)))&amp;"","ID not found"))</f>
        <v/>
      </c>
      <c r="G2160" s="16"/>
      <c r="H2160" s="16"/>
      <c r="I2160" s="16"/>
      <c r="J2160" s="16"/>
      <c r="K2160" s="16"/>
      <c r="L2160" s="18"/>
    </row>
    <row r="2161" customFormat="false" ht="15" hidden="false" customHeight="false" outlineLevel="0" collapsed="false">
      <c r="A2161" s="18"/>
      <c r="B2161" s="16"/>
      <c r="C2161" s="16"/>
      <c r="D2161" s="51" t="str">
        <f aca="false">IF(C2161="","",IFERROR(IF(LEFT(C2161,1)="L",INDEX('Leads Pipeline'!$F$5:$F$1004,MATCH(C2161,'Leads Pipeline'!$A$5:$A$1004,0)),INDEX('Active Clients'!$D$5:$D$504,MATCH(C2161,'Active Clients'!$A$5:$A$504,0)))&amp;"","ID not found"))</f>
        <v/>
      </c>
      <c r="E2161" s="51" t="str">
        <f aca="false">IF(C2161="","",IFERROR(IF(LEFT(C2161,1)="L",INDEX('Leads Pipeline'!$D$5:$D$1004,MATCH(C2161,'Leads Pipeline'!$A$5:$A$1004,0)),INDEX('Active Clients'!$B$5:$B$504,MATCH(C2161,'Active Clients'!$A$5:$A$504,0)))&amp;"","ID not found"))</f>
        <v/>
      </c>
      <c r="F2161" s="51" t="str">
        <f aca="false">IF(C2161="","",IFERROR(IF(LEFT(C2161,1)="L",INDEX('Leads Pipeline'!$E$5:$E$1004,MATCH(C2161,'Leads Pipeline'!$A$5:$A$1004,0)),INDEX('Active Clients'!$C$5:$C$504,MATCH(C2161,'Active Clients'!$A$5:$A$504,0)))&amp;"","ID not found"))</f>
        <v/>
      </c>
      <c r="G2161" s="16"/>
      <c r="H2161" s="16"/>
      <c r="I2161" s="16"/>
      <c r="J2161" s="16"/>
      <c r="K2161" s="16"/>
      <c r="L2161" s="18"/>
    </row>
    <row r="2162" customFormat="false" ht="15" hidden="false" customHeight="false" outlineLevel="0" collapsed="false">
      <c r="A2162" s="18"/>
      <c r="B2162" s="16"/>
      <c r="C2162" s="16"/>
      <c r="D2162" s="51" t="str">
        <f aca="false">IF(C2162="","",IFERROR(IF(LEFT(C2162,1)="L",INDEX('Leads Pipeline'!$F$5:$F$1004,MATCH(C2162,'Leads Pipeline'!$A$5:$A$1004,0)),INDEX('Active Clients'!$D$5:$D$504,MATCH(C2162,'Active Clients'!$A$5:$A$504,0)))&amp;"","ID not found"))</f>
        <v/>
      </c>
      <c r="E2162" s="51" t="str">
        <f aca="false">IF(C2162="","",IFERROR(IF(LEFT(C2162,1)="L",INDEX('Leads Pipeline'!$D$5:$D$1004,MATCH(C2162,'Leads Pipeline'!$A$5:$A$1004,0)),INDEX('Active Clients'!$B$5:$B$504,MATCH(C2162,'Active Clients'!$A$5:$A$504,0)))&amp;"","ID not found"))</f>
        <v/>
      </c>
      <c r="F2162" s="51" t="str">
        <f aca="false">IF(C2162="","",IFERROR(IF(LEFT(C2162,1)="L",INDEX('Leads Pipeline'!$E$5:$E$1004,MATCH(C2162,'Leads Pipeline'!$A$5:$A$1004,0)),INDEX('Active Clients'!$C$5:$C$504,MATCH(C2162,'Active Clients'!$A$5:$A$504,0)))&amp;"","ID not found"))</f>
        <v/>
      </c>
      <c r="G2162" s="16"/>
      <c r="H2162" s="16"/>
      <c r="I2162" s="16"/>
      <c r="J2162" s="16"/>
      <c r="K2162" s="16"/>
      <c r="L2162" s="18"/>
    </row>
    <row r="2163" customFormat="false" ht="15" hidden="false" customHeight="false" outlineLevel="0" collapsed="false">
      <c r="A2163" s="18"/>
      <c r="B2163" s="16"/>
      <c r="C2163" s="16"/>
      <c r="D2163" s="51" t="str">
        <f aca="false">IF(C2163="","",IFERROR(IF(LEFT(C2163,1)="L",INDEX('Leads Pipeline'!$F$5:$F$1004,MATCH(C2163,'Leads Pipeline'!$A$5:$A$1004,0)),INDEX('Active Clients'!$D$5:$D$504,MATCH(C2163,'Active Clients'!$A$5:$A$504,0)))&amp;"","ID not found"))</f>
        <v/>
      </c>
      <c r="E2163" s="51" t="str">
        <f aca="false">IF(C2163="","",IFERROR(IF(LEFT(C2163,1)="L",INDEX('Leads Pipeline'!$D$5:$D$1004,MATCH(C2163,'Leads Pipeline'!$A$5:$A$1004,0)),INDEX('Active Clients'!$B$5:$B$504,MATCH(C2163,'Active Clients'!$A$5:$A$504,0)))&amp;"","ID not found"))</f>
        <v/>
      </c>
      <c r="F2163" s="51" t="str">
        <f aca="false">IF(C2163="","",IFERROR(IF(LEFT(C2163,1)="L",INDEX('Leads Pipeline'!$E$5:$E$1004,MATCH(C2163,'Leads Pipeline'!$A$5:$A$1004,0)),INDEX('Active Clients'!$C$5:$C$504,MATCH(C2163,'Active Clients'!$A$5:$A$504,0)))&amp;"","ID not found"))</f>
        <v/>
      </c>
      <c r="G2163" s="16"/>
      <c r="H2163" s="16"/>
      <c r="I2163" s="16"/>
      <c r="J2163" s="16"/>
      <c r="K2163" s="16"/>
      <c r="L2163" s="18"/>
    </row>
    <row r="2164" customFormat="false" ht="15" hidden="false" customHeight="false" outlineLevel="0" collapsed="false">
      <c r="A2164" s="18"/>
      <c r="B2164" s="16"/>
      <c r="C2164" s="16"/>
      <c r="D2164" s="51" t="str">
        <f aca="false">IF(C2164="","",IFERROR(IF(LEFT(C2164,1)="L",INDEX('Leads Pipeline'!$F$5:$F$1004,MATCH(C2164,'Leads Pipeline'!$A$5:$A$1004,0)),INDEX('Active Clients'!$D$5:$D$504,MATCH(C2164,'Active Clients'!$A$5:$A$504,0)))&amp;"","ID not found"))</f>
        <v/>
      </c>
      <c r="E2164" s="51" t="str">
        <f aca="false">IF(C2164="","",IFERROR(IF(LEFT(C2164,1)="L",INDEX('Leads Pipeline'!$D$5:$D$1004,MATCH(C2164,'Leads Pipeline'!$A$5:$A$1004,0)),INDEX('Active Clients'!$B$5:$B$504,MATCH(C2164,'Active Clients'!$A$5:$A$504,0)))&amp;"","ID not found"))</f>
        <v/>
      </c>
      <c r="F2164" s="51" t="str">
        <f aca="false">IF(C2164="","",IFERROR(IF(LEFT(C2164,1)="L",INDEX('Leads Pipeline'!$E$5:$E$1004,MATCH(C2164,'Leads Pipeline'!$A$5:$A$1004,0)),INDEX('Active Clients'!$C$5:$C$504,MATCH(C2164,'Active Clients'!$A$5:$A$504,0)))&amp;"","ID not found"))</f>
        <v/>
      </c>
      <c r="G2164" s="16"/>
      <c r="H2164" s="16"/>
      <c r="I2164" s="16"/>
      <c r="J2164" s="16"/>
      <c r="K2164" s="16"/>
      <c r="L2164" s="18"/>
    </row>
    <row r="2165" customFormat="false" ht="15" hidden="false" customHeight="false" outlineLevel="0" collapsed="false">
      <c r="A2165" s="18"/>
      <c r="B2165" s="16"/>
      <c r="C2165" s="16"/>
      <c r="D2165" s="51" t="str">
        <f aca="false">IF(C2165="","",IFERROR(IF(LEFT(C2165,1)="L",INDEX('Leads Pipeline'!$F$5:$F$1004,MATCH(C2165,'Leads Pipeline'!$A$5:$A$1004,0)),INDEX('Active Clients'!$D$5:$D$504,MATCH(C2165,'Active Clients'!$A$5:$A$504,0)))&amp;"","ID not found"))</f>
        <v/>
      </c>
      <c r="E2165" s="51" t="str">
        <f aca="false">IF(C2165="","",IFERROR(IF(LEFT(C2165,1)="L",INDEX('Leads Pipeline'!$D$5:$D$1004,MATCH(C2165,'Leads Pipeline'!$A$5:$A$1004,0)),INDEX('Active Clients'!$B$5:$B$504,MATCH(C2165,'Active Clients'!$A$5:$A$504,0)))&amp;"","ID not found"))</f>
        <v/>
      </c>
      <c r="F2165" s="51" t="str">
        <f aca="false">IF(C2165="","",IFERROR(IF(LEFT(C2165,1)="L",INDEX('Leads Pipeline'!$E$5:$E$1004,MATCH(C2165,'Leads Pipeline'!$A$5:$A$1004,0)),INDEX('Active Clients'!$C$5:$C$504,MATCH(C2165,'Active Clients'!$A$5:$A$504,0)))&amp;"","ID not found"))</f>
        <v/>
      </c>
      <c r="G2165" s="16"/>
      <c r="H2165" s="16"/>
      <c r="I2165" s="16"/>
      <c r="J2165" s="16"/>
      <c r="K2165" s="16"/>
      <c r="L2165" s="18"/>
    </row>
    <row r="2166" customFormat="false" ht="15" hidden="false" customHeight="false" outlineLevel="0" collapsed="false">
      <c r="A2166" s="18"/>
      <c r="B2166" s="16"/>
      <c r="C2166" s="16"/>
      <c r="D2166" s="51" t="str">
        <f aca="false">IF(C2166="","",IFERROR(IF(LEFT(C2166,1)="L",INDEX('Leads Pipeline'!$F$5:$F$1004,MATCH(C2166,'Leads Pipeline'!$A$5:$A$1004,0)),INDEX('Active Clients'!$D$5:$D$504,MATCH(C2166,'Active Clients'!$A$5:$A$504,0)))&amp;"","ID not found"))</f>
        <v/>
      </c>
      <c r="E2166" s="51" t="str">
        <f aca="false">IF(C2166="","",IFERROR(IF(LEFT(C2166,1)="L",INDEX('Leads Pipeline'!$D$5:$D$1004,MATCH(C2166,'Leads Pipeline'!$A$5:$A$1004,0)),INDEX('Active Clients'!$B$5:$B$504,MATCH(C2166,'Active Clients'!$A$5:$A$504,0)))&amp;"","ID not found"))</f>
        <v/>
      </c>
      <c r="F2166" s="51" t="str">
        <f aca="false">IF(C2166="","",IFERROR(IF(LEFT(C2166,1)="L",INDEX('Leads Pipeline'!$E$5:$E$1004,MATCH(C2166,'Leads Pipeline'!$A$5:$A$1004,0)),INDEX('Active Clients'!$C$5:$C$504,MATCH(C2166,'Active Clients'!$A$5:$A$504,0)))&amp;"","ID not found"))</f>
        <v/>
      </c>
      <c r="G2166" s="16"/>
      <c r="H2166" s="16"/>
      <c r="I2166" s="16"/>
      <c r="J2166" s="16"/>
      <c r="K2166" s="16"/>
      <c r="L2166" s="18"/>
    </row>
    <row r="2167" customFormat="false" ht="15" hidden="false" customHeight="false" outlineLevel="0" collapsed="false">
      <c r="A2167" s="18"/>
      <c r="B2167" s="16"/>
      <c r="C2167" s="16"/>
      <c r="D2167" s="51" t="str">
        <f aca="false">IF(C2167="","",IFERROR(IF(LEFT(C2167,1)="L",INDEX('Leads Pipeline'!$F$5:$F$1004,MATCH(C2167,'Leads Pipeline'!$A$5:$A$1004,0)),INDEX('Active Clients'!$D$5:$D$504,MATCH(C2167,'Active Clients'!$A$5:$A$504,0)))&amp;"","ID not found"))</f>
        <v/>
      </c>
      <c r="E2167" s="51" t="str">
        <f aca="false">IF(C2167="","",IFERROR(IF(LEFT(C2167,1)="L",INDEX('Leads Pipeline'!$D$5:$D$1004,MATCH(C2167,'Leads Pipeline'!$A$5:$A$1004,0)),INDEX('Active Clients'!$B$5:$B$504,MATCH(C2167,'Active Clients'!$A$5:$A$504,0)))&amp;"","ID not found"))</f>
        <v/>
      </c>
      <c r="F2167" s="51" t="str">
        <f aca="false">IF(C2167="","",IFERROR(IF(LEFT(C2167,1)="L",INDEX('Leads Pipeline'!$E$5:$E$1004,MATCH(C2167,'Leads Pipeline'!$A$5:$A$1004,0)),INDEX('Active Clients'!$C$5:$C$504,MATCH(C2167,'Active Clients'!$A$5:$A$504,0)))&amp;"","ID not found"))</f>
        <v/>
      </c>
      <c r="G2167" s="16"/>
      <c r="H2167" s="16"/>
      <c r="I2167" s="16"/>
      <c r="J2167" s="16"/>
      <c r="K2167" s="16"/>
      <c r="L2167" s="18"/>
    </row>
    <row r="2168" customFormat="false" ht="15" hidden="false" customHeight="false" outlineLevel="0" collapsed="false">
      <c r="A2168" s="18"/>
      <c r="B2168" s="16"/>
      <c r="C2168" s="16"/>
      <c r="D2168" s="51" t="str">
        <f aca="false">IF(C2168="","",IFERROR(IF(LEFT(C2168,1)="L",INDEX('Leads Pipeline'!$F$5:$F$1004,MATCH(C2168,'Leads Pipeline'!$A$5:$A$1004,0)),INDEX('Active Clients'!$D$5:$D$504,MATCH(C2168,'Active Clients'!$A$5:$A$504,0)))&amp;"","ID not found"))</f>
        <v/>
      </c>
      <c r="E2168" s="51" t="str">
        <f aca="false">IF(C2168="","",IFERROR(IF(LEFT(C2168,1)="L",INDEX('Leads Pipeline'!$D$5:$D$1004,MATCH(C2168,'Leads Pipeline'!$A$5:$A$1004,0)),INDEX('Active Clients'!$B$5:$B$504,MATCH(C2168,'Active Clients'!$A$5:$A$504,0)))&amp;"","ID not found"))</f>
        <v/>
      </c>
      <c r="F2168" s="51" t="str">
        <f aca="false">IF(C2168="","",IFERROR(IF(LEFT(C2168,1)="L",INDEX('Leads Pipeline'!$E$5:$E$1004,MATCH(C2168,'Leads Pipeline'!$A$5:$A$1004,0)),INDEX('Active Clients'!$C$5:$C$504,MATCH(C2168,'Active Clients'!$A$5:$A$504,0)))&amp;"","ID not found"))</f>
        <v/>
      </c>
      <c r="G2168" s="16"/>
      <c r="H2168" s="16"/>
      <c r="I2168" s="16"/>
      <c r="J2168" s="16"/>
      <c r="K2168" s="16"/>
      <c r="L2168" s="18"/>
    </row>
    <row r="2169" customFormat="false" ht="15" hidden="false" customHeight="false" outlineLevel="0" collapsed="false">
      <c r="A2169" s="18"/>
      <c r="B2169" s="16"/>
      <c r="C2169" s="16"/>
      <c r="D2169" s="51" t="str">
        <f aca="false">IF(C2169="","",IFERROR(IF(LEFT(C2169,1)="L",INDEX('Leads Pipeline'!$F$5:$F$1004,MATCH(C2169,'Leads Pipeline'!$A$5:$A$1004,0)),INDEX('Active Clients'!$D$5:$D$504,MATCH(C2169,'Active Clients'!$A$5:$A$504,0)))&amp;"","ID not found"))</f>
        <v/>
      </c>
      <c r="E2169" s="51" t="str">
        <f aca="false">IF(C2169="","",IFERROR(IF(LEFT(C2169,1)="L",INDEX('Leads Pipeline'!$D$5:$D$1004,MATCH(C2169,'Leads Pipeline'!$A$5:$A$1004,0)),INDEX('Active Clients'!$B$5:$B$504,MATCH(C2169,'Active Clients'!$A$5:$A$504,0)))&amp;"","ID not found"))</f>
        <v/>
      </c>
      <c r="F2169" s="51" t="str">
        <f aca="false">IF(C2169="","",IFERROR(IF(LEFT(C2169,1)="L",INDEX('Leads Pipeline'!$E$5:$E$1004,MATCH(C2169,'Leads Pipeline'!$A$5:$A$1004,0)),INDEX('Active Clients'!$C$5:$C$504,MATCH(C2169,'Active Clients'!$A$5:$A$504,0)))&amp;"","ID not found"))</f>
        <v/>
      </c>
      <c r="G2169" s="16"/>
      <c r="H2169" s="16"/>
      <c r="I2169" s="16"/>
      <c r="J2169" s="16"/>
      <c r="K2169" s="16"/>
      <c r="L2169" s="18"/>
    </row>
    <row r="2170" customFormat="false" ht="15" hidden="false" customHeight="false" outlineLevel="0" collapsed="false">
      <c r="A2170" s="18"/>
      <c r="B2170" s="16"/>
      <c r="C2170" s="16"/>
      <c r="D2170" s="51" t="str">
        <f aca="false">IF(C2170="","",IFERROR(IF(LEFT(C2170,1)="L",INDEX('Leads Pipeline'!$F$5:$F$1004,MATCH(C2170,'Leads Pipeline'!$A$5:$A$1004,0)),INDEX('Active Clients'!$D$5:$D$504,MATCH(C2170,'Active Clients'!$A$5:$A$504,0)))&amp;"","ID not found"))</f>
        <v/>
      </c>
      <c r="E2170" s="51" t="str">
        <f aca="false">IF(C2170="","",IFERROR(IF(LEFT(C2170,1)="L",INDEX('Leads Pipeline'!$D$5:$D$1004,MATCH(C2170,'Leads Pipeline'!$A$5:$A$1004,0)),INDEX('Active Clients'!$B$5:$B$504,MATCH(C2170,'Active Clients'!$A$5:$A$504,0)))&amp;"","ID not found"))</f>
        <v/>
      </c>
      <c r="F2170" s="51" t="str">
        <f aca="false">IF(C2170="","",IFERROR(IF(LEFT(C2170,1)="L",INDEX('Leads Pipeline'!$E$5:$E$1004,MATCH(C2170,'Leads Pipeline'!$A$5:$A$1004,0)),INDEX('Active Clients'!$C$5:$C$504,MATCH(C2170,'Active Clients'!$A$5:$A$504,0)))&amp;"","ID not found"))</f>
        <v/>
      </c>
      <c r="G2170" s="16"/>
      <c r="H2170" s="16"/>
      <c r="I2170" s="16"/>
      <c r="J2170" s="16"/>
      <c r="K2170" s="16"/>
      <c r="L2170" s="18"/>
    </row>
    <row r="2171" customFormat="false" ht="15" hidden="false" customHeight="false" outlineLevel="0" collapsed="false">
      <c r="A2171" s="18"/>
      <c r="B2171" s="16"/>
      <c r="C2171" s="16"/>
      <c r="D2171" s="51" t="str">
        <f aca="false">IF(C2171="","",IFERROR(IF(LEFT(C2171,1)="L",INDEX('Leads Pipeline'!$F$5:$F$1004,MATCH(C2171,'Leads Pipeline'!$A$5:$A$1004,0)),INDEX('Active Clients'!$D$5:$D$504,MATCH(C2171,'Active Clients'!$A$5:$A$504,0)))&amp;"","ID not found"))</f>
        <v/>
      </c>
      <c r="E2171" s="51" t="str">
        <f aca="false">IF(C2171="","",IFERROR(IF(LEFT(C2171,1)="L",INDEX('Leads Pipeline'!$D$5:$D$1004,MATCH(C2171,'Leads Pipeline'!$A$5:$A$1004,0)),INDEX('Active Clients'!$B$5:$B$504,MATCH(C2171,'Active Clients'!$A$5:$A$504,0)))&amp;"","ID not found"))</f>
        <v/>
      </c>
      <c r="F2171" s="51" t="str">
        <f aca="false">IF(C2171="","",IFERROR(IF(LEFT(C2171,1)="L",INDEX('Leads Pipeline'!$E$5:$E$1004,MATCH(C2171,'Leads Pipeline'!$A$5:$A$1004,0)),INDEX('Active Clients'!$C$5:$C$504,MATCH(C2171,'Active Clients'!$A$5:$A$504,0)))&amp;"","ID not found"))</f>
        <v/>
      </c>
      <c r="G2171" s="16"/>
      <c r="H2171" s="16"/>
      <c r="I2171" s="16"/>
      <c r="J2171" s="16"/>
      <c r="K2171" s="16"/>
      <c r="L2171" s="18"/>
    </row>
    <row r="2172" customFormat="false" ht="15" hidden="false" customHeight="false" outlineLevel="0" collapsed="false">
      <c r="A2172" s="18"/>
      <c r="B2172" s="16"/>
      <c r="C2172" s="16"/>
      <c r="D2172" s="51" t="str">
        <f aca="false">IF(C2172="","",IFERROR(IF(LEFT(C2172,1)="L",INDEX('Leads Pipeline'!$F$5:$F$1004,MATCH(C2172,'Leads Pipeline'!$A$5:$A$1004,0)),INDEX('Active Clients'!$D$5:$D$504,MATCH(C2172,'Active Clients'!$A$5:$A$504,0)))&amp;"","ID not found"))</f>
        <v/>
      </c>
      <c r="E2172" s="51" t="str">
        <f aca="false">IF(C2172="","",IFERROR(IF(LEFT(C2172,1)="L",INDEX('Leads Pipeline'!$D$5:$D$1004,MATCH(C2172,'Leads Pipeline'!$A$5:$A$1004,0)),INDEX('Active Clients'!$B$5:$B$504,MATCH(C2172,'Active Clients'!$A$5:$A$504,0)))&amp;"","ID not found"))</f>
        <v/>
      </c>
      <c r="F2172" s="51" t="str">
        <f aca="false">IF(C2172="","",IFERROR(IF(LEFT(C2172,1)="L",INDEX('Leads Pipeline'!$E$5:$E$1004,MATCH(C2172,'Leads Pipeline'!$A$5:$A$1004,0)),INDEX('Active Clients'!$C$5:$C$504,MATCH(C2172,'Active Clients'!$A$5:$A$504,0)))&amp;"","ID not found"))</f>
        <v/>
      </c>
      <c r="G2172" s="16"/>
      <c r="H2172" s="16"/>
      <c r="I2172" s="16"/>
      <c r="J2172" s="16"/>
      <c r="K2172" s="16"/>
      <c r="L2172" s="18"/>
    </row>
    <row r="2173" customFormat="false" ht="15" hidden="false" customHeight="false" outlineLevel="0" collapsed="false">
      <c r="A2173" s="18"/>
      <c r="B2173" s="16"/>
      <c r="C2173" s="16"/>
      <c r="D2173" s="51" t="str">
        <f aca="false">IF(C2173="","",IFERROR(IF(LEFT(C2173,1)="L",INDEX('Leads Pipeline'!$F$5:$F$1004,MATCH(C2173,'Leads Pipeline'!$A$5:$A$1004,0)),INDEX('Active Clients'!$D$5:$D$504,MATCH(C2173,'Active Clients'!$A$5:$A$504,0)))&amp;"","ID not found"))</f>
        <v/>
      </c>
      <c r="E2173" s="51" t="str">
        <f aca="false">IF(C2173="","",IFERROR(IF(LEFT(C2173,1)="L",INDEX('Leads Pipeline'!$D$5:$D$1004,MATCH(C2173,'Leads Pipeline'!$A$5:$A$1004,0)),INDEX('Active Clients'!$B$5:$B$504,MATCH(C2173,'Active Clients'!$A$5:$A$504,0)))&amp;"","ID not found"))</f>
        <v/>
      </c>
      <c r="F2173" s="51" t="str">
        <f aca="false">IF(C2173="","",IFERROR(IF(LEFT(C2173,1)="L",INDEX('Leads Pipeline'!$E$5:$E$1004,MATCH(C2173,'Leads Pipeline'!$A$5:$A$1004,0)),INDEX('Active Clients'!$C$5:$C$504,MATCH(C2173,'Active Clients'!$A$5:$A$504,0)))&amp;"","ID not found"))</f>
        <v/>
      </c>
      <c r="G2173" s="16"/>
      <c r="H2173" s="16"/>
      <c r="I2173" s="16"/>
      <c r="J2173" s="16"/>
      <c r="K2173" s="16"/>
      <c r="L2173" s="18"/>
    </row>
    <row r="2174" customFormat="false" ht="15" hidden="false" customHeight="false" outlineLevel="0" collapsed="false">
      <c r="A2174" s="18"/>
      <c r="B2174" s="16"/>
      <c r="C2174" s="16"/>
      <c r="D2174" s="51" t="str">
        <f aca="false">IF(C2174="","",IFERROR(IF(LEFT(C2174,1)="L",INDEX('Leads Pipeline'!$F$5:$F$1004,MATCH(C2174,'Leads Pipeline'!$A$5:$A$1004,0)),INDEX('Active Clients'!$D$5:$D$504,MATCH(C2174,'Active Clients'!$A$5:$A$504,0)))&amp;"","ID not found"))</f>
        <v/>
      </c>
      <c r="E2174" s="51" t="str">
        <f aca="false">IF(C2174="","",IFERROR(IF(LEFT(C2174,1)="L",INDEX('Leads Pipeline'!$D$5:$D$1004,MATCH(C2174,'Leads Pipeline'!$A$5:$A$1004,0)),INDEX('Active Clients'!$B$5:$B$504,MATCH(C2174,'Active Clients'!$A$5:$A$504,0)))&amp;"","ID not found"))</f>
        <v/>
      </c>
      <c r="F2174" s="51" t="str">
        <f aca="false">IF(C2174="","",IFERROR(IF(LEFT(C2174,1)="L",INDEX('Leads Pipeline'!$E$5:$E$1004,MATCH(C2174,'Leads Pipeline'!$A$5:$A$1004,0)),INDEX('Active Clients'!$C$5:$C$504,MATCH(C2174,'Active Clients'!$A$5:$A$504,0)))&amp;"","ID not found"))</f>
        <v/>
      </c>
      <c r="G2174" s="16"/>
      <c r="H2174" s="16"/>
      <c r="I2174" s="16"/>
      <c r="J2174" s="16"/>
      <c r="K2174" s="16"/>
      <c r="L2174" s="18"/>
    </row>
    <row r="2175" customFormat="false" ht="15" hidden="false" customHeight="false" outlineLevel="0" collapsed="false">
      <c r="A2175" s="18"/>
      <c r="B2175" s="16"/>
      <c r="C2175" s="16"/>
      <c r="D2175" s="51" t="str">
        <f aca="false">IF(C2175="","",IFERROR(IF(LEFT(C2175,1)="L",INDEX('Leads Pipeline'!$F$5:$F$1004,MATCH(C2175,'Leads Pipeline'!$A$5:$A$1004,0)),INDEX('Active Clients'!$D$5:$D$504,MATCH(C2175,'Active Clients'!$A$5:$A$504,0)))&amp;"","ID not found"))</f>
        <v/>
      </c>
      <c r="E2175" s="51" t="str">
        <f aca="false">IF(C2175="","",IFERROR(IF(LEFT(C2175,1)="L",INDEX('Leads Pipeline'!$D$5:$D$1004,MATCH(C2175,'Leads Pipeline'!$A$5:$A$1004,0)),INDEX('Active Clients'!$B$5:$B$504,MATCH(C2175,'Active Clients'!$A$5:$A$504,0)))&amp;"","ID not found"))</f>
        <v/>
      </c>
      <c r="F2175" s="51" t="str">
        <f aca="false">IF(C2175="","",IFERROR(IF(LEFT(C2175,1)="L",INDEX('Leads Pipeline'!$E$5:$E$1004,MATCH(C2175,'Leads Pipeline'!$A$5:$A$1004,0)),INDEX('Active Clients'!$C$5:$C$504,MATCH(C2175,'Active Clients'!$A$5:$A$504,0)))&amp;"","ID not found"))</f>
        <v/>
      </c>
      <c r="G2175" s="16"/>
      <c r="H2175" s="16"/>
      <c r="I2175" s="16"/>
      <c r="J2175" s="16"/>
      <c r="K2175" s="16"/>
      <c r="L2175" s="18"/>
    </row>
    <row r="2176" customFormat="false" ht="15" hidden="false" customHeight="false" outlineLevel="0" collapsed="false">
      <c r="A2176" s="18"/>
      <c r="B2176" s="16"/>
      <c r="C2176" s="16"/>
      <c r="D2176" s="51" t="str">
        <f aca="false">IF(C2176="","",IFERROR(IF(LEFT(C2176,1)="L",INDEX('Leads Pipeline'!$F$5:$F$1004,MATCH(C2176,'Leads Pipeline'!$A$5:$A$1004,0)),INDEX('Active Clients'!$D$5:$D$504,MATCH(C2176,'Active Clients'!$A$5:$A$504,0)))&amp;"","ID not found"))</f>
        <v/>
      </c>
      <c r="E2176" s="51" t="str">
        <f aca="false">IF(C2176="","",IFERROR(IF(LEFT(C2176,1)="L",INDEX('Leads Pipeline'!$D$5:$D$1004,MATCH(C2176,'Leads Pipeline'!$A$5:$A$1004,0)),INDEX('Active Clients'!$B$5:$B$504,MATCH(C2176,'Active Clients'!$A$5:$A$504,0)))&amp;"","ID not found"))</f>
        <v/>
      </c>
      <c r="F2176" s="51" t="str">
        <f aca="false">IF(C2176="","",IFERROR(IF(LEFT(C2176,1)="L",INDEX('Leads Pipeline'!$E$5:$E$1004,MATCH(C2176,'Leads Pipeline'!$A$5:$A$1004,0)),INDEX('Active Clients'!$C$5:$C$504,MATCH(C2176,'Active Clients'!$A$5:$A$504,0)))&amp;"","ID not found"))</f>
        <v/>
      </c>
      <c r="G2176" s="16"/>
      <c r="H2176" s="16"/>
      <c r="I2176" s="16"/>
      <c r="J2176" s="16"/>
      <c r="K2176" s="16"/>
      <c r="L2176" s="18"/>
    </row>
    <row r="2177" customFormat="false" ht="15" hidden="false" customHeight="false" outlineLevel="0" collapsed="false">
      <c r="A2177" s="18"/>
      <c r="B2177" s="16"/>
      <c r="C2177" s="16"/>
      <c r="D2177" s="51" t="str">
        <f aca="false">IF(C2177="","",IFERROR(IF(LEFT(C2177,1)="L",INDEX('Leads Pipeline'!$F$5:$F$1004,MATCH(C2177,'Leads Pipeline'!$A$5:$A$1004,0)),INDEX('Active Clients'!$D$5:$D$504,MATCH(C2177,'Active Clients'!$A$5:$A$504,0)))&amp;"","ID not found"))</f>
        <v/>
      </c>
      <c r="E2177" s="51" t="str">
        <f aca="false">IF(C2177="","",IFERROR(IF(LEFT(C2177,1)="L",INDEX('Leads Pipeline'!$D$5:$D$1004,MATCH(C2177,'Leads Pipeline'!$A$5:$A$1004,0)),INDEX('Active Clients'!$B$5:$B$504,MATCH(C2177,'Active Clients'!$A$5:$A$504,0)))&amp;"","ID not found"))</f>
        <v/>
      </c>
      <c r="F2177" s="51" t="str">
        <f aca="false">IF(C2177="","",IFERROR(IF(LEFT(C2177,1)="L",INDEX('Leads Pipeline'!$E$5:$E$1004,MATCH(C2177,'Leads Pipeline'!$A$5:$A$1004,0)),INDEX('Active Clients'!$C$5:$C$504,MATCH(C2177,'Active Clients'!$A$5:$A$504,0)))&amp;"","ID not found"))</f>
        <v/>
      </c>
      <c r="G2177" s="16"/>
      <c r="H2177" s="16"/>
      <c r="I2177" s="16"/>
      <c r="J2177" s="16"/>
      <c r="K2177" s="16"/>
      <c r="L2177" s="18"/>
    </row>
    <row r="2178" customFormat="false" ht="15" hidden="false" customHeight="false" outlineLevel="0" collapsed="false">
      <c r="A2178" s="18"/>
      <c r="B2178" s="16"/>
      <c r="C2178" s="16"/>
      <c r="D2178" s="51" t="str">
        <f aca="false">IF(C2178="","",IFERROR(IF(LEFT(C2178,1)="L",INDEX('Leads Pipeline'!$F$5:$F$1004,MATCH(C2178,'Leads Pipeline'!$A$5:$A$1004,0)),INDEX('Active Clients'!$D$5:$D$504,MATCH(C2178,'Active Clients'!$A$5:$A$504,0)))&amp;"","ID not found"))</f>
        <v/>
      </c>
      <c r="E2178" s="51" t="str">
        <f aca="false">IF(C2178="","",IFERROR(IF(LEFT(C2178,1)="L",INDEX('Leads Pipeline'!$D$5:$D$1004,MATCH(C2178,'Leads Pipeline'!$A$5:$A$1004,0)),INDEX('Active Clients'!$B$5:$B$504,MATCH(C2178,'Active Clients'!$A$5:$A$504,0)))&amp;"","ID not found"))</f>
        <v/>
      </c>
      <c r="F2178" s="51" t="str">
        <f aca="false">IF(C2178="","",IFERROR(IF(LEFT(C2178,1)="L",INDEX('Leads Pipeline'!$E$5:$E$1004,MATCH(C2178,'Leads Pipeline'!$A$5:$A$1004,0)),INDEX('Active Clients'!$C$5:$C$504,MATCH(C2178,'Active Clients'!$A$5:$A$504,0)))&amp;"","ID not found"))</f>
        <v/>
      </c>
      <c r="G2178" s="16"/>
      <c r="H2178" s="16"/>
      <c r="I2178" s="16"/>
      <c r="J2178" s="16"/>
      <c r="K2178" s="16"/>
      <c r="L2178" s="18"/>
    </row>
    <row r="2179" customFormat="false" ht="15" hidden="false" customHeight="false" outlineLevel="0" collapsed="false">
      <c r="A2179" s="18"/>
      <c r="B2179" s="16"/>
      <c r="C2179" s="16"/>
      <c r="D2179" s="51" t="str">
        <f aca="false">IF(C2179="","",IFERROR(IF(LEFT(C2179,1)="L",INDEX('Leads Pipeline'!$F$5:$F$1004,MATCH(C2179,'Leads Pipeline'!$A$5:$A$1004,0)),INDEX('Active Clients'!$D$5:$D$504,MATCH(C2179,'Active Clients'!$A$5:$A$504,0)))&amp;"","ID not found"))</f>
        <v/>
      </c>
      <c r="E2179" s="51" t="str">
        <f aca="false">IF(C2179="","",IFERROR(IF(LEFT(C2179,1)="L",INDEX('Leads Pipeline'!$D$5:$D$1004,MATCH(C2179,'Leads Pipeline'!$A$5:$A$1004,0)),INDEX('Active Clients'!$B$5:$B$504,MATCH(C2179,'Active Clients'!$A$5:$A$504,0)))&amp;"","ID not found"))</f>
        <v/>
      </c>
      <c r="F2179" s="51" t="str">
        <f aca="false">IF(C2179="","",IFERROR(IF(LEFT(C2179,1)="L",INDEX('Leads Pipeline'!$E$5:$E$1004,MATCH(C2179,'Leads Pipeline'!$A$5:$A$1004,0)),INDEX('Active Clients'!$C$5:$C$504,MATCH(C2179,'Active Clients'!$A$5:$A$504,0)))&amp;"","ID not found"))</f>
        <v/>
      </c>
      <c r="G2179" s="16"/>
      <c r="H2179" s="16"/>
      <c r="I2179" s="16"/>
      <c r="J2179" s="16"/>
      <c r="K2179" s="16"/>
      <c r="L2179" s="18"/>
    </row>
    <row r="2180" customFormat="false" ht="15" hidden="false" customHeight="false" outlineLevel="0" collapsed="false">
      <c r="A2180" s="18"/>
      <c r="B2180" s="16"/>
      <c r="C2180" s="16"/>
      <c r="D2180" s="51" t="str">
        <f aca="false">IF(C2180="","",IFERROR(IF(LEFT(C2180,1)="L",INDEX('Leads Pipeline'!$F$5:$F$1004,MATCH(C2180,'Leads Pipeline'!$A$5:$A$1004,0)),INDEX('Active Clients'!$D$5:$D$504,MATCH(C2180,'Active Clients'!$A$5:$A$504,0)))&amp;"","ID not found"))</f>
        <v/>
      </c>
      <c r="E2180" s="51" t="str">
        <f aca="false">IF(C2180="","",IFERROR(IF(LEFT(C2180,1)="L",INDEX('Leads Pipeline'!$D$5:$D$1004,MATCH(C2180,'Leads Pipeline'!$A$5:$A$1004,0)),INDEX('Active Clients'!$B$5:$B$504,MATCH(C2180,'Active Clients'!$A$5:$A$504,0)))&amp;"","ID not found"))</f>
        <v/>
      </c>
      <c r="F2180" s="51" t="str">
        <f aca="false">IF(C2180="","",IFERROR(IF(LEFT(C2180,1)="L",INDEX('Leads Pipeline'!$E$5:$E$1004,MATCH(C2180,'Leads Pipeline'!$A$5:$A$1004,0)),INDEX('Active Clients'!$C$5:$C$504,MATCH(C2180,'Active Clients'!$A$5:$A$504,0)))&amp;"","ID not found"))</f>
        <v/>
      </c>
      <c r="G2180" s="16"/>
      <c r="H2180" s="16"/>
      <c r="I2180" s="16"/>
      <c r="J2180" s="16"/>
      <c r="K2180" s="16"/>
      <c r="L2180" s="18"/>
    </row>
    <row r="2181" customFormat="false" ht="15" hidden="false" customHeight="false" outlineLevel="0" collapsed="false">
      <c r="A2181" s="18"/>
      <c r="B2181" s="16"/>
      <c r="C2181" s="16"/>
      <c r="D2181" s="51" t="str">
        <f aca="false">IF(C2181="","",IFERROR(IF(LEFT(C2181,1)="L",INDEX('Leads Pipeline'!$F$5:$F$1004,MATCH(C2181,'Leads Pipeline'!$A$5:$A$1004,0)),INDEX('Active Clients'!$D$5:$D$504,MATCH(C2181,'Active Clients'!$A$5:$A$504,0)))&amp;"","ID not found"))</f>
        <v/>
      </c>
      <c r="E2181" s="51" t="str">
        <f aca="false">IF(C2181="","",IFERROR(IF(LEFT(C2181,1)="L",INDEX('Leads Pipeline'!$D$5:$D$1004,MATCH(C2181,'Leads Pipeline'!$A$5:$A$1004,0)),INDEX('Active Clients'!$B$5:$B$504,MATCH(C2181,'Active Clients'!$A$5:$A$504,0)))&amp;"","ID not found"))</f>
        <v/>
      </c>
      <c r="F2181" s="51" t="str">
        <f aca="false">IF(C2181="","",IFERROR(IF(LEFT(C2181,1)="L",INDEX('Leads Pipeline'!$E$5:$E$1004,MATCH(C2181,'Leads Pipeline'!$A$5:$A$1004,0)),INDEX('Active Clients'!$C$5:$C$504,MATCH(C2181,'Active Clients'!$A$5:$A$504,0)))&amp;"","ID not found"))</f>
        <v/>
      </c>
      <c r="G2181" s="16"/>
      <c r="H2181" s="16"/>
      <c r="I2181" s="16"/>
      <c r="J2181" s="16"/>
      <c r="K2181" s="16"/>
      <c r="L2181" s="18"/>
    </row>
    <row r="2182" customFormat="false" ht="15" hidden="false" customHeight="false" outlineLevel="0" collapsed="false">
      <c r="A2182" s="18"/>
      <c r="B2182" s="16"/>
      <c r="C2182" s="16"/>
      <c r="D2182" s="51" t="str">
        <f aca="false">IF(C2182="","",IFERROR(IF(LEFT(C2182,1)="L",INDEX('Leads Pipeline'!$F$5:$F$1004,MATCH(C2182,'Leads Pipeline'!$A$5:$A$1004,0)),INDEX('Active Clients'!$D$5:$D$504,MATCH(C2182,'Active Clients'!$A$5:$A$504,0)))&amp;"","ID not found"))</f>
        <v/>
      </c>
      <c r="E2182" s="51" t="str">
        <f aca="false">IF(C2182="","",IFERROR(IF(LEFT(C2182,1)="L",INDEX('Leads Pipeline'!$D$5:$D$1004,MATCH(C2182,'Leads Pipeline'!$A$5:$A$1004,0)),INDEX('Active Clients'!$B$5:$B$504,MATCH(C2182,'Active Clients'!$A$5:$A$504,0)))&amp;"","ID not found"))</f>
        <v/>
      </c>
      <c r="F2182" s="51" t="str">
        <f aca="false">IF(C2182="","",IFERROR(IF(LEFT(C2182,1)="L",INDEX('Leads Pipeline'!$E$5:$E$1004,MATCH(C2182,'Leads Pipeline'!$A$5:$A$1004,0)),INDEX('Active Clients'!$C$5:$C$504,MATCH(C2182,'Active Clients'!$A$5:$A$504,0)))&amp;"","ID not found"))</f>
        <v/>
      </c>
      <c r="G2182" s="16"/>
      <c r="H2182" s="16"/>
      <c r="I2182" s="16"/>
      <c r="J2182" s="16"/>
      <c r="K2182" s="16"/>
      <c r="L2182" s="18"/>
    </row>
    <row r="2183" customFormat="false" ht="15" hidden="false" customHeight="false" outlineLevel="0" collapsed="false">
      <c r="A2183" s="18"/>
      <c r="B2183" s="16"/>
      <c r="C2183" s="16"/>
      <c r="D2183" s="51" t="str">
        <f aca="false">IF(C2183="","",IFERROR(IF(LEFT(C2183,1)="L",INDEX('Leads Pipeline'!$F$5:$F$1004,MATCH(C2183,'Leads Pipeline'!$A$5:$A$1004,0)),INDEX('Active Clients'!$D$5:$D$504,MATCH(C2183,'Active Clients'!$A$5:$A$504,0)))&amp;"","ID not found"))</f>
        <v/>
      </c>
      <c r="E2183" s="51" t="str">
        <f aca="false">IF(C2183="","",IFERROR(IF(LEFT(C2183,1)="L",INDEX('Leads Pipeline'!$D$5:$D$1004,MATCH(C2183,'Leads Pipeline'!$A$5:$A$1004,0)),INDEX('Active Clients'!$B$5:$B$504,MATCH(C2183,'Active Clients'!$A$5:$A$504,0)))&amp;"","ID not found"))</f>
        <v/>
      </c>
      <c r="F2183" s="51" t="str">
        <f aca="false">IF(C2183="","",IFERROR(IF(LEFT(C2183,1)="L",INDEX('Leads Pipeline'!$E$5:$E$1004,MATCH(C2183,'Leads Pipeline'!$A$5:$A$1004,0)),INDEX('Active Clients'!$C$5:$C$504,MATCH(C2183,'Active Clients'!$A$5:$A$504,0)))&amp;"","ID not found"))</f>
        <v/>
      </c>
      <c r="G2183" s="16"/>
      <c r="H2183" s="16"/>
      <c r="I2183" s="16"/>
      <c r="J2183" s="16"/>
      <c r="K2183" s="16"/>
      <c r="L2183" s="18"/>
    </row>
    <row r="2184" customFormat="false" ht="15" hidden="false" customHeight="false" outlineLevel="0" collapsed="false">
      <c r="A2184" s="18"/>
      <c r="B2184" s="16"/>
      <c r="C2184" s="16"/>
      <c r="D2184" s="51" t="str">
        <f aca="false">IF(C2184="","",IFERROR(IF(LEFT(C2184,1)="L",INDEX('Leads Pipeline'!$F$5:$F$1004,MATCH(C2184,'Leads Pipeline'!$A$5:$A$1004,0)),INDEX('Active Clients'!$D$5:$D$504,MATCH(C2184,'Active Clients'!$A$5:$A$504,0)))&amp;"","ID not found"))</f>
        <v/>
      </c>
      <c r="E2184" s="51" t="str">
        <f aca="false">IF(C2184="","",IFERROR(IF(LEFT(C2184,1)="L",INDEX('Leads Pipeline'!$D$5:$D$1004,MATCH(C2184,'Leads Pipeline'!$A$5:$A$1004,0)),INDEX('Active Clients'!$B$5:$B$504,MATCH(C2184,'Active Clients'!$A$5:$A$504,0)))&amp;"","ID not found"))</f>
        <v/>
      </c>
      <c r="F2184" s="51" t="str">
        <f aca="false">IF(C2184="","",IFERROR(IF(LEFT(C2184,1)="L",INDEX('Leads Pipeline'!$E$5:$E$1004,MATCH(C2184,'Leads Pipeline'!$A$5:$A$1004,0)),INDEX('Active Clients'!$C$5:$C$504,MATCH(C2184,'Active Clients'!$A$5:$A$504,0)))&amp;"","ID not found"))</f>
        <v/>
      </c>
      <c r="G2184" s="16"/>
      <c r="H2184" s="16"/>
      <c r="I2184" s="16"/>
      <c r="J2184" s="16"/>
      <c r="K2184" s="16"/>
      <c r="L2184" s="18"/>
    </row>
    <row r="2185" customFormat="false" ht="15" hidden="false" customHeight="false" outlineLevel="0" collapsed="false">
      <c r="A2185" s="18"/>
      <c r="B2185" s="16"/>
      <c r="C2185" s="16"/>
      <c r="D2185" s="51" t="str">
        <f aca="false">IF(C2185="","",IFERROR(IF(LEFT(C2185,1)="L",INDEX('Leads Pipeline'!$F$5:$F$1004,MATCH(C2185,'Leads Pipeline'!$A$5:$A$1004,0)),INDEX('Active Clients'!$D$5:$D$504,MATCH(C2185,'Active Clients'!$A$5:$A$504,0)))&amp;"","ID not found"))</f>
        <v/>
      </c>
      <c r="E2185" s="51" t="str">
        <f aca="false">IF(C2185="","",IFERROR(IF(LEFT(C2185,1)="L",INDEX('Leads Pipeline'!$D$5:$D$1004,MATCH(C2185,'Leads Pipeline'!$A$5:$A$1004,0)),INDEX('Active Clients'!$B$5:$B$504,MATCH(C2185,'Active Clients'!$A$5:$A$504,0)))&amp;"","ID not found"))</f>
        <v/>
      </c>
      <c r="F2185" s="51" t="str">
        <f aca="false">IF(C2185="","",IFERROR(IF(LEFT(C2185,1)="L",INDEX('Leads Pipeline'!$E$5:$E$1004,MATCH(C2185,'Leads Pipeline'!$A$5:$A$1004,0)),INDEX('Active Clients'!$C$5:$C$504,MATCH(C2185,'Active Clients'!$A$5:$A$504,0)))&amp;"","ID not found"))</f>
        <v/>
      </c>
      <c r="G2185" s="16"/>
      <c r="H2185" s="16"/>
      <c r="I2185" s="16"/>
      <c r="J2185" s="16"/>
      <c r="K2185" s="16"/>
      <c r="L2185" s="18"/>
    </row>
    <row r="2186" customFormat="false" ht="15" hidden="false" customHeight="false" outlineLevel="0" collapsed="false">
      <c r="A2186" s="18"/>
      <c r="B2186" s="16"/>
      <c r="C2186" s="16"/>
      <c r="D2186" s="51" t="str">
        <f aca="false">IF(C2186="","",IFERROR(IF(LEFT(C2186,1)="L",INDEX('Leads Pipeline'!$F$5:$F$1004,MATCH(C2186,'Leads Pipeline'!$A$5:$A$1004,0)),INDEX('Active Clients'!$D$5:$D$504,MATCH(C2186,'Active Clients'!$A$5:$A$504,0)))&amp;"","ID not found"))</f>
        <v/>
      </c>
      <c r="E2186" s="51" t="str">
        <f aca="false">IF(C2186="","",IFERROR(IF(LEFT(C2186,1)="L",INDEX('Leads Pipeline'!$D$5:$D$1004,MATCH(C2186,'Leads Pipeline'!$A$5:$A$1004,0)),INDEX('Active Clients'!$B$5:$B$504,MATCH(C2186,'Active Clients'!$A$5:$A$504,0)))&amp;"","ID not found"))</f>
        <v/>
      </c>
      <c r="F2186" s="51" t="str">
        <f aca="false">IF(C2186="","",IFERROR(IF(LEFT(C2186,1)="L",INDEX('Leads Pipeline'!$E$5:$E$1004,MATCH(C2186,'Leads Pipeline'!$A$5:$A$1004,0)),INDEX('Active Clients'!$C$5:$C$504,MATCH(C2186,'Active Clients'!$A$5:$A$504,0)))&amp;"","ID not found"))</f>
        <v/>
      </c>
      <c r="G2186" s="16"/>
      <c r="H2186" s="16"/>
      <c r="I2186" s="16"/>
      <c r="J2186" s="16"/>
      <c r="K2186" s="16"/>
      <c r="L2186" s="18"/>
    </row>
    <row r="2187" customFormat="false" ht="15" hidden="false" customHeight="false" outlineLevel="0" collapsed="false">
      <c r="A2187" s="18"/>
      <c r="B2187" s="16"/>
      <c r="C2187" s="16"/>
      <c r="D2187" s="51" t="str">
        <f aca="false">IF(C2187="","",IFERROR(IF(LEFT(C2187,1)="L",INDEX('Leads Pipeline'!$F$5:$F$1004,MATCH(C2187,'Leads Pipeline'!$A$5:$A$1004,0)),INDEX('Active Clients'!$D$5:$D$504,MATCH(C2187,'Active Clients'!$A$5:$A$504,0)))&amp;"","ID not found"))</f>
        <v/>
      </c>
      <c r="E2187" s="51" t="str">
        <f aca="false">IF(C2187="","",IFERROR(IF(LEFT(C2187,1)="L",INDEX('Leads Pipeline'!$D$5:$D$1004,MATCH(C2187,'Leads Pipeline'!$A$5:$A$1004,0)),INDEX('Active Clients'!$B$5:$B$504,MATCH(C2187,'Active Clients'!$A$5:$A$504,0)))&amp;"","ID not found"))</f>
        <v/>
      </c>
      <c r="F2187" s="51" t="str">
        <f aca="false">IF(C2187="","",IFERROR(IF(LEFT(C2187,1)="L",INDEX('Leads Pipeline'!$E$5:$E$1004,MATCH(C2187,'Leads Pipeline'!$A$5:$A$1004,0)),INDEX('Active Clients'!$C$5:$C$504,MATCH(C2187,'Active Clients'!$A$5:$A$504,0)))&amp;"","ID not found"))</f>
        <v/>
      </c>
      <c r="G2187" s="16"/>
      <c r="H2187" s="16"/>
      <c r="I2187" s="16"/>
      <c r="J2187" s="16"/>
      <c r="K2187" s="16"/>
      <c r="L2187" s="18"/>
    </row>
    <row r="2188" customFormat="false" ht="15" hidden="false" customHeight="false" outlineLevel="0" collapsed="false">
      <c r="A2188" s="18"/>
      <c r="B2188" s="16"/>
      <c r="C2188" s="16"/>
      <c r="D2188" s="51" t="str">
        <f aca="false">IF(C2188="","",IFERROR(IF(LEFT(C2188,1)="L",INDEX('Leads Pipeline'!$F$5:$F$1004,MATCH(C2188,'Leads Pipeline'!$A$5:$A$1004,0)),INDEX('Active Clients'!$D$5:$D$504,MATCH(C2188,'Active Clients'!$A$5:$A$504,0)))&amp;"","ID not found"))</f>
        <v/>
      </c>
      <c r="E2188" s="51" t="str">
        <f aca="false">IF(C2188="","",IFERROR(IF(LEFT(C2188,1)="L",INDEX('Leads Pipeline'!$D$5:$D$1004,MATCH(C2188,'Leads Pipeline'!$A$5:$A$1004,0)),INDEX('Active Clients'!$B$5:$B$504,MATCH(C2188,'Active Clients'!$A$5:$A$504,0)))&amp;"","ID not found"))</f>
        <v/>
      </c>
      <c r="F2188" s="51" t="str">
        <f aca="false">IF(C2188="","",IFERROR(IF(LEFT(C2188,1)="L",INDEX('Leads Pipeline'!$E$5:$E$1004,MATCH(C2188,'Leads Pipeline'!$A$5:$A$1004,0)),INDEX('Active Clients'!$C$5:$C$504,MATCH(C2188,'Active Clients'!$A$5:$A$504,0)))&amp;"","ID not found"))</f>
        <v/>
      </c>
      <c r="G2188" s="16"/>
      <c r="H2188" s="16"/>
      <c r="I2188" s="16"/>
      <c r="J2188" s="16"/>
      <c r="K2188" s="16"/>
      <c r="L2188" s="18"/>
    </row>
    <row r="2189" customFormat="false" ht="15" hidden="false" customHeight="false" outlineLevel="0" collapsed="false">
      <c r="A2189" s="18"/>
      <c r="B2189" s="16"/>
      <c r="C2189" s="16"/>
      <c r="D2189" s="51" t="str">
        <f aca="false">IF(C2189="","",IFERROR(IF(LEFT(C2189,1)="L",INDEX('Leads Pipeline'!$F$5:$F$1004,MATCH(C2189,'Leads Pipeline'!$A$5:$A$1004,0)),INDEX('Active Clients'!$D$5:$D$504,MATCH(C2189,'Active Clients'!$A$5:$A$504,0)))&amp;"","ID not found"))</f>
        <v/>
      </c>
      <c r="E2189" s="51" t="str">
        <f aca="false">IF(C2189="","",IFERROR(IF(LEFT(C2189,1)="L",INDEX('Leads Pipeline'!$D$5:$D$1004,MATCH(C2189,'Leads Pipeline'!$A$5:$A$1004,0)),INDEX('Active Clients'!$B$5:$B$504,MATCH(C2189,'Active Clients'!$A$5:$A$504,0)))&amp;"","ID not found"))</f>
        <v/>
      </c>
      <c r="F2189" s="51" t="str">
        <f aca="false">IF(C2189="","",IFERROR(IF(LEFT(C2189,1)="L",INDEX('Leads Pipeline'!$E$5:$E$1004,MATCH(C2189,'Leads Pipeline'!$A$5:$A$1004,0)),INDEX('Active Clients'!$C$5:$C$504,MATCH(C2189,'Active Clients'!$A$5:$A$504,0)))&amp;"","ID not found"))</f>
        <v/>
      </c>
      <c r="G2189" s="16"/>
      <c r="H2189" s="16"/>
      <c r="I2189" s="16"/>
      <c r="J2189" s="16"/>
      <c r="K2189" s="16"/>
      <c r="L2189" s="18"/>
    </row>
    <row r="2190" customFormat="false" ht="15" hidden="false" customHeight="false" outlineLevel="0" collapsed="false">
      <c r="A2190" s="18"/>
      <c r="B2190" s="16"/>
      <c r="C2190" s="16"/>
      <c r="D2190" s="51" t="str">
        <f aca="false">IF(C2190="","",IFERROR(IF(LEFT(C2190,1)="L",INDEX('Leads Pipeline'!$F$5:$F$1004,MATCH(C2190,'Leads Pipeline'!$A$5:$A$1004,0)),INDEX('Active Clients'!$D$5:$D$504,MATCH(C2190,'Active Clients'!$A$5:$A$504,0)))&amp;"","ID not found"))</f>
        <v/>
      </c>
      <c r="E2190" s="51" t="str">
        <f aca="false">IF(C2190="","",IFERROR(IF(LEFT(C2190,1)="L",INDEX('Leads Pipeline'!$D$5:$D$1004,MATCH(C2190,'Leads Pipeline'!$A$5:$A$1004,0)),INDEX('Active Clients'!$B$5:$B$504,MATCH(C2190,'Active Clients'!$A$5:$A$504,0)))&amp;"","ID not found"))</f>
        <v/>
      </c>
      <c r="F2190" s="51" t="str">
        <f aca="false">IF(C2190="","",IFERROR(IF(LEFT(C2190,1)="L",INDEX('Leads Pipeline'!$E$5:$E$1004,MATCH(C2190,'Leads Pipeline'!$A$5:$A$1004,0)),INDEX('Active Clients'!$C$5:$C$504,MATCH(C2190,'Active Clients'!$A$5:$A$504,0)))&amp;"","ID not found"))</f>
        <v/>
      </c>
      <c r="G2190" s="16"/>
      <c r="H2190" s="16"/>
      <c r="I2190" s="16"/>
      <c r="J2190" s="16"/>
      <c r="K2190" s="16"/>
      <c r="L2190" s="18"/>
    </row>
    <row r="2191" customFormat="false" ht="15" hidden="false" customHeight="false" outlineLevel="0" collapsed="false">
      <c r="A2191" s="18"/>
      <c r="B2191" s="16"/>
      <c r="C2191" s="16"/>
      <c r="D2191" s="51" t="str">
        <f aca="false">IF(C2191="","",IFERROR(IF(LEFT(C2191,1)="L",INDEX('Leads Pipeline'!$F$5:$F$1004,MATCH(C2191,'Leads Pipeline'!$A$5:$A$1004,0)),INDEX('Active Clients'!$D$5:$D$504,MATCH(C2191,'Active Clients'!$A$5:$A$504,0)))&amp;"","ID not found"))</f>
        <v/>
      </c>
      <c r="E2191" s="51" t="str">
        <f aca="false">IF(C2191="","",IFERROR(IF(LEFT(C2191,1)="L",INDEX('Leads Pipeline'!$D$5:$D$1004,MATCH(C2191,'Leads Pipeline'!$A$5:$A$1004,0)),INDEX('Active Clients'!$B$5:$B$504,MATCH(C2191,'Active Clients'!$A$5:$A$504,0)))&amp;"","ID not found"))</f>
        <v/>
      </c>
      <c r="F2191" s="51" t="str">
        <f aca="false">IF(C2191="","",IFERROR(IF(LEFT(C2191,1)="L",INDEX('Leads Pipeline'!$E$5:$E$1004,MATCH(C2191,'Leads Pipeline'!$A$5:$A$1004,0)),INDEX('Active Clients'!$C$5:$C$504,MATCH(C2191,'Active Clients'!$A$5:$A$504,0)))&amp;"","ID not found"))</f>
        <v/>
      </c>
      <c r="G2191" s="16"/>
      <c r="H2191" s="16"/>
      <c r="I2191" s="16"/>
      <c r="J2191" s="16"/>
      <c r="K2191" s="16"/>
      <c r="L2191" s="18"/>
    </row>
    <row r="2192" customFormat="false" ht="15" hidden="false" customHeight="false" outlineLevel="0" collapsed="false">
      <c r="A2192" s="18"/>
      <c r="B2192" s="16"/>
      <c r="C2192" s="16"/>
      <c r="D2192" s="51" t="str">
        <f aca="false">IF(C2192="","",IFERROR(IF(LEFT(C2192,1)="L",INDEX('Leads Pipeline'!$F$5:$F$1004,MATCH(C2192,'Leads Pipeline'!$A$5:$A$1004,0)),INDEX('Active Clients'!$D$5:$D$504,MATCH(C2192,'Active Clients'!$A$5:$A$504,0)))&amp;"","ID not found"))</f>
        <v/>
      </c>
      <c r="E2192" s="51" t="str">
        <f aca="false">IF(C2192="","",IFERROR(IF(LEFT(C2192,1)="L",INDEX('Leads Pipeline'!$D$5:$D$1004,MATCH(C2192,'Leads Pipeline'!$A$5:$A$1004,0)),INDEX('Active Clients'!$B$5:$B$504,MATCH(C2192,'Active Clients'!$A$5:$A$504,0)))&amp;"","ID not found"))</f>
        <v/>
      </c>
      <c r="F2192" s="51" t="str">
        <f aca="false">IF(C2192="","",IFERROR(IF(LEFT(C2192,1)="L",INDEX('Leads Pipeline'!$E$5:$E$1004,MATCH(C2192,'Leads Pipeline'!$A$5:$A$1004,0)),INDEX('Active Clients'!$C$5:$C$504,MATCH(C2192,'Active Clients'!$A$5:$A$504,0)))&amp;"","ID not found"))</f>
        <v/>
      </c>
      <c r="G2192" s="16"/>
      <c r="H2192" s="16"/>
      <c r="I2192" s="16"/>
      <c r="J2192" s="16"/>
      <c r="K2192" s="16"/>
      <c r="L2192" s="18"/>
    </row>
    <row r="2193" customFormat="false" ht="15" hidden="false" customHeight="false" outlineLevel="0" collapsed="false">
      <c r="A2193" s="18"/>
      <c r="B2193" s="16"/>
      <c r="C2193" s="16"/>
      <c r="D2193" s="51" t="str">
        <f aca="false">IF(C2193="","",IFERROR(IF(LEFT(C2193,1)="L",INDEX('Leads Pipeline'!$F$5:$F$1004,MATCH(C2193,'Leads Pipeline'!$A$5:$A$1004,0)),INDEX('Active Clients'!$D$5:$D$504,MATCH(C2193,'Active Clients'!$A$5:$A$504,0)))&amp;"","ID not found"))</f>
        <v/>
      </c>
      <c r="E2193" s="51" t="str">
        <f aca="false">IF(C2193="","",IFERROR(IF(LEFT(C2193,1)="L",INDEX('Leads Pipeline'!$D$5:$D$1004,MATCH(C2193,'Leads Pipeline'!$A$5:$A$1004,0)),INDEX('Active Clients'!$B$5:$B$504,MATCH(C2193,'Active Clients'!$A$5:$A$504,0)))&amp;"","ID not found"))</f>
        <v/>
      </c>
      <c r="F2193" s="51" t="str">
        <f aca="false">IF(C2193="","",IFERROR(IF(LEFT(C2193,1)="L",INDEX('Leads Pipeline'!$E$5:$E$1004,MATCH(C2193,'Leads Pipeline'!$A$5:$A$1004,0)),INDEX('Active Clients'!$C$5:$C$504,MATCH(C2193,'Active Clients'!$A$5:$A$504,0)))&amp;"","ID not found"))</f>
        <v/>
      </c>
      <c r="G2193" s="16"/>
      <c r="H2193" s="16"/>
      <c r="I2193" s="16"/>
      <c r="J2193" s="16"/>
      <c r="K2193" s="16"/>
      <c r="L2193" s="18"/>
    </row>
    <row r="2194" customFormat="false" ht="15" hidden="false" customHeight="false" outlineLevel="0" collapsed="false">
      <c r="A2194" s="18"/>
      <c r="B2194" s="16"/>
      <c r="C2194" s="16"/>
      <c r="D2194" s="51" t="str">
        <f aca="false">IF(C2194="","",IFERROR(IF(LEFT(C2194,1)="L",INDEX('Leads Pipeline'!$F$5:$F$1004,MATCH(C2194,'Leads Pipeline'!$A$5:$A$1004,0)),INDEX('Active Clients'!$D$5:$D$504,MATCH(C2194,'Active Clients'!$A$5:$A$504,0)))&amp;"","ID not found"))</f>
        <v/>
      </c>
      <c r="E2194" s="51" t="str">
        <f aca="false">IF(C2194="","",IFERROR(IF(LEFT(C2194,1)="L",INDEX('Leads Pipeline'!$D$5:$D$1004,MATCH(C2194,'Leads Pipeline'!$A$5:$A$1004,0)),INDEX('Active Clients'!$B$5:$B$504,MATCH(C2194,'Active Clients'!$A$5:$A$504,0)))&amp;"","ID not found"))</f>
        <v/>
      </c>
      <c r="F2194" s="51" t="str">
        <f aca="false">IF(C2194="","",IFERROR(IF(LEFT(C2194,1)="L",INDEX('Leads Pipeline'!$E$5:$E$1004,MATCH(C2194,'Leads Pipeline'!$A$5:$A$1004,0)),INDEX('Active Clients'!$C$5:$C$504,MATCH(C2194,'Active Clients'!$A$5:$A$504,0)))&amp;"","ID not found"))</f>
        <v/>
      </c>
      <c r="G2194" s="16"/>
      <c r="H2194" s="16"/>
      <c r="I2194" s="16"/>
      <c r="J2194" s="16"/>
      <c r="K2194" s="16"/>
      <c r="L2194" s="18"/>
    </row>
    <row r="2195" customFormat="false" ht="15" hidden="false" customHeight="false" outlineLevel="0" collapsed="false">
      <c r="A2195" s="18"/>
      <c r="B2195" s="16"/>
      <c r="C2195" s="16"/>
      <c r="D2195" s="51" t="str">
        <f aca="false">IF(C2195="","",IFERROR(IF(LEFT(C2195,1)="L",INDEX('Leads Pipeline'!$F$5:$F$1004,MATCH(C2195,'Leads Pipeline'!$A$5:$A$1004,0)),INDEX('Active Clients'!$D$5:$D$504,MATCH(C2195,'Active Clients'!$A$5:$A$504,0)))&amp;"","ID not found"))</f>
        <v/>
      </c>
      <c r="E2195" s="51" t="str">
        <f aca="false">IF(C2195="","",IFERROR(IF(LEFT(C2195,1)="L",INDEX('Leads Pipeline'!$D$5:$D$1004,MATCH(C2195,'Leads Pipeline'!$A$5:$A$1004,0)),INDEX('Active Clients'!$B$5:$B$504,MATCH(C2195,'Active Clients'!$A$5:$A$504,0)))&amp;"","ID not found"))</f>
        <v/>
      </c>
      <c r="F2195" s="51" t="str">
        <f aca="false">IF(C2195="","",IFERROR(IF(LEFT(C2195,1)="L",INDEX('Leads Pipeline'!$E$5:$E$1004,MATCH(C2195,'Leads Pipeline'!$A$5:$A$1004,0)),INDEX('Active Clients'!$C$5:$C$504,MATCH(C2195,'Active Clients'!$A$5:$A$504,0)))&amp;"","ID not found"))</f>
        <v/>
      </c>
      <c r="G2195" s="16"/>
      <c r="H2195" s="16"/>
      <c r="I2195" s="16"/>
      <c r="J2195" s="16"/>
      <c r="K2195" s="16"/>
      <c r="L2195" s="18"/>
    </row>
    <row r="2196" customFormat="false" ht="15" hidden="false" customHeight="false" outlineLevel="0" collapsed="false">
      <c r="A2196" s="18"/>
      <c r="B2196" s="16"/>
      <c r="C2196" s="16"/>
      <c r="D2196" s="51" t="str">
        <f aca="false">IF(C2196="","",IFERROR(IF(LEFT(C2196,1)="L",INDEX('Leads Pipeline'!$F$5:$F$1004,MATCH(C2196,'Leads Pipeline'!$A$5:$A$1004,0)),INDEX('Active Clients'!$D$5:$D$504,MATCH(C2196,'Active Clients'!$A$5:$A$504,0)))&amp;"","ID not found"))</f>
        <v/>
      </c>
      <c r="E2196" s="51" t="str">
        <f aca="false">IF(C2196="","",IFERROR(IF(LEFT(C2196,1)="L",INDEX('Leads Pipeline'!$D$5:$D$1004,MATCH(C2196,'Leads Pipeline'!$A$5:$A$1004,0)),INDEX('Active Clients'!$B$5:$B$504,MATCH(C2196,'Active Clients'!$A$5:$A$504,0)))&amp;"","ID not found"))</f>
        <v/>
      </c>
      <c r="F2196" s="51" t="str">
        <f aca="false">IF(C2196="","",IFERROR(IF(LEFT(C2196,1)="L",INDEX('Leads Pipeline'!$E$5:$E$1004,MATCH(C2196,'Leads Pipeline'!$A$5:$A$1004,0)),INDEX('Active Clients'!$C$5:$C$504,MATCH(C2196,'Active Clients'!$A$5:$A$504,0)))&amp;"","ID not found"))</f>
        <v/>
      </c>
      <c r="G2196" s="16"/>
      <c r="H2196" s="16"/>
      <c r="I2196" s="16"/>
      <c r="J2196" s="16"/>
      <c r="K2196" s="16"/>
      <c r="L2196" s="18"/>
    </row>
    <row r="2197" customFormat="false" ht="15" hidden="false" customHeight="false" outlineLevel="0" collapsed="false">
      <c r="A2197" s="18"/>
      <c r="B2197" s="16"/>
      <c r="C2197" s="16"/>
      <c r="D2197" s="51" t="str">
        <f aca="false">IF(C2197="","",IFERROR(IF(LEFT(C2197,1)="L",INDEX('Leads Pipeline'!$F$5:$F$1004,MATCH(C2197,'Leads Pipeline'!$A$5:$A$1004,0)),INDEX('Active Clients'!$D$5:$D$504,MATCH(C2197,'Active Clients'!$A$5:$A$504,0)))&amp;"","ID not found"))</f>
        <v/>
      </c>
      <c r="E2197" s="51" t="str">
        <f aca="false">IF(C2197="","",IFERROR(IF(LEFT(C2197,1)="L",INDEX('Leads Pipeline'!$D$5:$D$1004,MATCH(C2197,'Leads Pipeline'!$A$5:$A$1004,0)),INDEX('Active Clients'!$B$5:$B$504,MATCH(C2197,'Active Clients'!$A$5:$A$504,0)))&amp;"","ID not found"))</f>
        <v/>
      </c>
      <c r="F2197" s="51" t="str">
        <f aca="false">IF(C2197="","",IFERROR(IF(LEFT(C2197,1)="L",INDEX('Leads Pipeline'!$E$5:$E$1004,MATCH(C2197,'Leads Pipeline'!$A$5:$A$1004,0)),INDEX('Active Clients'!$C$5:$C$504,MATCH(C2197,'Active Clients'!$A$5:$A$504,0)))&amp;"","ID not found"))</f>
        <v/>
      </c>
      <c r="G2197" s="16"/>
      <c r="H2197" s="16"/>
      <c r="I2197" s="16"/>
      <c r="J2197" s="16"/>
      <c r="K2197" s="16"/>
      <c r="L2197" s="18"/>
    </row>
    <row r="2198" customFormat="false" ht="15" hidden="false" customHeight="false" outlineLevel="0" collapsed="false">
      <c r="A2198" s="18"/>
      <c r="B2198" s="16"/>
      <c r="C2198" s="16"/>
      <c r="D2198" s="51" t="str">
        <f aca="false">IF(C2198="","",IFERROR(IF(LEFT(C2198,1)="L",INDEX('Leads Pipeline'!$F$5:$F$1004,MATCH(C2198,'Leads Pipeline'!$A$5:$A$1004,0)),INDEX('Active Clients'!$D$5:$D$504,MATCH(C2198,'Active Clients'!$A$5:$A$504,0)))&amp;"","ID not found"))</f>
        <v/>
      </c>
      <c r="E2198" s="51" t="str">
        <f aca="false">IF(C2198="","",IFERROR(IF(LEFT(C2198,1)="L",INDEX('Leads Pipeline'!$D$5:$D$1004,MATCH(C2198,'Leads Pipeline'!$A$5:$A$1004,0)),INDEX('Active Clients'!$B$5:$B$504,MATCH(C2198,'Active Clients'!$A$5:$A$504,0)))&amp;"","ID not found"))</f>
        <v/>
      </c>
      <c r="F2198" s="51" t="str">
        <f aca="false">IF(C2198="","",IFERROR(IF(LEFT(C2198,1)="L",INDEX('Leads Pipeline'!$E$5:$E$1004,MATCH(C2198,'Leads Pipeline'!$A$5:$A$1004,0)),INDEX('Active Clients'!$C$5:$C$504,MATCH(C2198,'Active Clients'!$A$5:$A$504,0)))&amp;"","ID not found"))</f>
        <v/>
      </c>
      <c r="G2198" s="16"/>
      <c r="H2198" s="16"/>
      <c r="I2198" s="16"/>
      <c r="J2198" s="16"/>
      <c r="K2198" s="16"/>
      <c r="L2198" s="18"/>
    </row>
    <row r="2199" customFormat="false" ht="15" hidden="false" customHeight="false" outlineLevel="0" collapsed="false">
      <c r="A2199" s="18"/>
      <c r="B2199" s="16"/>
      <c r="C2199" s="16"/>
      <c r="D2199" s="51" t="str">
        <f aca="false">IF(C2199="","",IFERROR(IF(LEFT(C2199,1)="L",INDEX('Leads Pipeline'!$F$5:$F$1004,MATCH(C2199,'Leads Pipeline'!$A$5:$A$1004,0)),INDEX('Active Clients'!$D$5:$D$504,MATCH(C2199,'Active Clients'!$A$5:$A$504,0)))&amp;"","ID not found"))</f>
        <v/>
      </c>
      <c r="E2199" s="51" t="str">
        <f aca="false">IF(C2199="","",IFERROR(IF(LEFT(C2199,1)="L",INDEX('Leads Pipeline'!$D$5:$D$1004,MATCH(C2199,'Leads Pipeline'!$A$5:$A$1004,0)),INDEX('Active Clients'!$B$5:$B$504,MATCH(C2199,'Active Clients'!$A$5:$A$504,0)))&amp;"","ID not found"))</f>
        <v/>
      </c>
      <c r="F2199" s="51" t="str">
        <f aca="false">IF(C2199="","",IFERROR(IF(LEFT(C2199,1)="L",INDEX('Leads Pipeline'!$E$5:$E$1004,MATCH(C2199,'Leads Pipeline'!$A$5:$A$1004,0)),INDEX('Active Clients'!$C$5:$C$504,MATCH(C2199,'Active Clients'!$A$5:$A$504,0)))&amp;"","ID not found"))</f>
        <v/>
      </c>
      <c r="G2199" s="16"/>
      <c r="H2199" s="16"/>
      <c r="I2199" s="16"/>
      <c r="J2199" s="16"/>
      <c r="K2199" s="16"/>
      <c r="L2199" s="18"/>
    </row>
    <row r="2200" customFormat="false" ht="15" hidden="false" customHeight="false" outlineLevel="0" collapsed="false">
      <c r="A2200" s="18"/>
      <c r="B2200" s="16"/>
      <c r="C2200" s="16"/>
      <c r="D2200" s="51" t="str">
        <f aca="false">IF(C2200="","",IFERROR(IF(LEFT(C2200,1)="L",INDEX('Leads Pipeline'!$F$5:$F$1004,MATCH(C2200,'Leads Pipeline'!$A$5:$A$1004,0)),INDEX('Active Clients'!$D$5:$D$504,MATCH(C2200,'Active Clients'!$A$5:$A$504,0)))&amp;"","ID not found"))</f>
        <v/>
      </c>
      <c r="E2200" s="51" t="str">
        <f aca="false">IF(C2200="","",IFERROR(IF(LEFT(C2200,1)="L",INDEX('Leads Pipeline'!$D$5:$D$1004,MATCH(C2200,'Leads Pipeline'!$A$5:$A$1004,0)),INDEX('Active Clients'!$B$5:$B$504,MATCH(C2200,'Active Clients'!$A$5:$A$504,0)))&amp;"","ID not found"))</f>
        <v/>
      </c>
      <c r="F2200" s="51" t="str">
        <f aca="false">IF(C2200="","",IFERROR(IF(LEFT(C2200,1)="L",INDEX('Leads Pipeline'!$E$5:$E$1004,MATCH(C2200,'Leads Pipeline'!$A$5:$A$1004,0)),INDEX('Active Clients'!$C$5:$C$504,MATCH(C2200,'Active Clients'!$A$5:$A$504,0)))&amp;"","ID not found"))</f>
        <v/>
      </c>
      <c r="G2200" s="16"/>
      <c r="H2200" s="16"/>
      <c r="I2200" s="16"/>
      <c r="J2200" s="16"/>
      <c r="K2200" s="16"/>
      <c r="L2200" s="18"/>
    </row>
    <row r="2201" customFormat="false" ht="15" hidden="false" customHeight="false" outlineLevel="0" collapsed="false">
      <c r="A2201" s="18"/>
      <c r="B2201" s="16"/>
      <c r="C2201" s="16"/>
      <c r="D2201" s="51" t="str">
        <f aca="false">IF(C2201="","",IFERROR(IF(LEFT(C2201,1)="L",INDEX('Leads Pipeline'!$F$5:$F$1004,MATCH(C2201,'Leads Pipeline'!$A$5:$A$1004,0)),INDEX('Active Clients'!$D$5:$D$504,MATCH(C2201,'Active Clients'!$A$5:$A$504,0)))&amp;"","ID not found"))</f>
        <v/>
      </c>
      <c r="E2201" s="51" t="str">
        <f aca="false">IF(C2201="","",IFERROR(IF(LEFT(C2201,1)="L",INDEX('Leads Pipeline'!$D$5:$D$1004,MATCH(C2201,'Leads Pipeline'!$A$5:$A$1004,0)),INDEX('Active Clients'!$B$5:$B$504,MATCH(C2201,'Active Clients'!$A$5:$A$504,0)))&amp;"","ID not found"))</f>
        <v/>
      </c>
      <c r="F2201" s="51" t="str">
        <f aca="false">IF(C2201="","",IFERROR(IF(LEFT(C2201,1)="L",INDEX('Leads Pipeline'!$E$5:$E$1004,MATCH(C2201,'Leads Pipeline'!$A$5:$A$1004,0)),INDEX('Active Clients'!$C$5:$C$504,MATCH(C2201,'Active Clients'!$A$5:$A$504,0)))&amp;"","ID not found"))</f>
        <v/>
      </c>
      <c r="G2201" s="16"/>
      <c r="H2201" s="16"/>
      <c r="I2201" s="16"/>
      <c r="J2201" s="16"/>
      <c r="K2201" s="16"/>
      <c r="L2201" s="18"/>
    </row>
    <row r="2202" customFormat="false" ht="15" hidden="false" customHeight="false" outlineLevel="0" collapsed="false">
      <c r="A2202" s="18"/>
      <c r="B2202" s="16"/>
      <c r="C2202" s="16"/>
      <c r="D2202" s="51" t="str">
        <f aca="false">IF(C2202="","",IFERROR(IF(LEFT(C2202,1)="L",INDEX('Leads Pipeline'!$F$5:$F$1004,MATCH(C2202,'Leads Pipeline'!$A$5:$A$1004,0)),INDEX('Active Clients'!$D$5:$D$504,MATCH(C2202,'Active Clients'!$A$5:$A$504,0)))&amp;"","ID not found"))</f>
        <v/>
      </c>
      <c r="E2202" s="51" t="str">
        <f aca="false">IF(C2202="","",IFERROR(IF(LEFT(C2202,1)="L",INDEX('Leads Pipeline'!$D$5:$D$1004,MATCH(C2202,'Leads Pipeline'!$A$5:$A$1004,0)),INDEX('Active Clients'!$B$5:$B$504,MATCH(C2202,'Active Clients'!$A$5:$A$504,0)))&amp;"","ID not found"))</f>
        <v/>
      </c>
      <c r="F2202" s="51" t="str">
        <f aca="false">IF(C2202="","",IFERROR(IF(LEFT(C2202,1)="L",INDEX('Leads Pipeline'!$E$5:$E$1004,MATCH(C2202,'Leads Pipeline'!$A$5:$A$1004,0)),INDEX('Active Clients'!$C$5:$C$504,MATCH(C2202,'Active Clients'!$A$5:$A$504,0)))&amp;"","ID not found"))</f>
        <v/>
      </c>
      <c r="G2202" s="16"/>
      <c r="H2202" s="16"/>
      <c r="I2202" s="16"/>
      <c r="J2202" s="16"/>
      <c r="K2202" s="16"/>
      <c r="L2202" s="18"/>
    </row>
    <row r="2203" customFormat="false" ht="15" hidden="false" customHeight="false" outlineLevel="0" collapsed="false">
      <c r="A2203" s="18"/>
      <c r="B2203" s="16"/>
      <c r="C2203" s="16"/>
      <c r="D2203" s="51" t="str">
        <f aca="false">IF(C2203="","",IFERROR(IF(LEFT(C2203,1)="L",INDEX('Leads Pipeline'!$F$5:$F$1004,MATCH(C2203,'Leads Pipeline'!$A$5:$A$1004,0)),INDEX('Active Clients'!$D$5:$D$504,MATCH(C2203,'Active Clients'!$A$5:$A$504,0)))&amp;"","ID not found"))</f>
        <v/>
      </c>
      <c r="E2203" s="51" t="str">
        <f aca="false">IF(C2203="","",IFERROR(IF(LEFT(C2203,1)="L",INDEX('Leads Pipeline'!$D$5:$D$1004,MATCH(C2203,'Leads Pipeline'!$A$5:$A$1004,0)),INDEX('Active Clients'!$B$5:$B$504,MATCH(C2203,'Active Clients'!$A$5:$A$504,0)))&amp;"","ID not found"))</f>
        <v/>
      </c>
      <c r="F2203" s="51" t="str">
        <f aca="false">IF(C2203="","",IFERROR(IF(LEFT(C2203,1)="L",INDEX('Leads Pipeline'!$E$5:$E$1004,MATCH(C2203,'Leads Pipeline'!$A$5:$A$1004,0)),INDEX('Active Clients'!$C$5:$C$504,MATCH(C2203,'Active Clients'!$A$5:$A$504,0)))&amp;"","ID not found"))</f>
        <v/>
      </c>
      <c r="G2203" s="16"/>
      <c r="H2203" s="16"/>
      <c r="I2203" s="16"/>
      <c r="J2203" s="16"/>
      <c r="K2203" s="16"/>
      <c r="L2203" s="18"/>
    </row>
    <row r="2204" customFormat="false" ht="15" hidden="false" customHeight="false" outlineLevel="0" collapsed="false">
      <c r="A2204" s="18"/>
      <c r="B2204" s="16"/>
      <c r="C2204" s="16"/>
      <c r="D2204" s="51" t="str">
        <f aca="false">IF(C2204="","",IFERROR(IF(LEFT(C2204,1)="L",INDEX('Leads Pipeline'!$F$5:$F$1004,MATCH(C2204,'Leads Pipeline'!$A$5:$A$1004,0)),INDEX('Active Clients'!$D$5:$D$504,MATCH(C2204,'Active Clients'!$A$5:$A$504,0)))&amp;"","ID not found"))</f>
        <v/>
      </c>
      <c r="E2204" s="51" t="str">
        <f aca="false">IF(C2204="","",IFERROR(IF(LEFT(C2204,1)="L",INDEX('Leads Pipeline'!$D$5:$D$1004,MATCH(C2204,'Leads Pipeline'!$A$5:$A$1004,0)),INDEX('Active Clients'!$B$5:$B$504,MATCH(C2204,'Active Clients'!$A$5:$A$504,0)))&amp;"","ID not found"))</f>
        <v/>
      </c>
      <c r="F2204" s="51" t="str">
        <f aca="false">IF(C2204="","",IFERROR(IF(LEFT(C2204,1)="L",INDEX('Leads Pipeline'!$E$5:$E$1004,MATCH(C2204,'Leads Pipeline'!$A$5:$A$1004,0)),INDEX('Active Clients'!$C$5:$C$504,MATCH(C2204,'Active Clients'!$A$5:$A$504,0)))&amp;"","ID not found"))</f>
        <v/>
      </c>
      <c r="G2204" s="16"/>
      <c r="H2204" s="16"/>
      <c r="I2204" s="16"/>
      <c r="J2204" s="16"/>
      <c r="K2204" s="16"/>
      <c r="L2204" s="18"/>
    </row>
    <row r="2205" customFormat="false" ht="15" hidden="false" customHeight="false" outlineLevel="0" collapsed="false">
      <c r="A2205" s="18"/>
      <c r="B2205" s="16"/>
      <c r="C2205" s="16"/>
      <c r="D2205" s="51" t="str">
        <f aca="false">IF(C2205="","",IFERROR(IF(LEFT(C2205,1)="L",INDEX('Leads Pipeline'!$F$5:$F$1004,MATCH(C2205,'Leads Pipeline'!$A$5:$A$1004,0)),INDEX('Active Clients'!$D$5:$D$504,MATCH(C2205,'Active Clients'!$A$5:$A$504,0)))&amp;"","ID not found"))</f>
        <v/>
      </c>
      <c r="E2205" s="51" t="str">
        <f aca="false">IF(C2205="","",IFERROR(IF(LEFT(C2205,1)="L",INDEX('Leads Pipeline'!$D$5:$D$1004,MATCH(C2205,'Leads Pipeline'!$A$5:$A$1004,0)),INDEX('Active Clients'!$B$5:$B$504,MATCH(C2205,'Active Clients'!$A$5:$A$504,0)))&amp;"","ID not found"))</f>
        <v/>
      </c>
      <c r="F2205" s="51" t="str">
        <f aca="false">IF(C2205="","",IFERROR(IF(LEFT(C2205,1)="L",INDEX('Leads Pipeline'!$E$5:$E$1004,MATCH(C2205,'Leads Pipeline'!$A$5:$A$1004,0)),INDEX('Active Clients'!$C$5:$C$504,MATCH(C2205,'Active Clients'!$A$5:$A$504,0)))&amp;"","ID not found"))</f>
        <v/>
      </c>
      <c r="G2205" s="16"/>
      <c r="H2205" s="16"/>
      <c r="I2205" s="16"/>
      <c r="J2205" s="16"/>
      <c r="K2205" s="16"/>
      <c r="L2205" s="18"/>
    </row>
    <row r="2206" customFormat="false" ht="15" hidden="false" customHeight="false" outlineLevel="0" collapsed="false">
      <c r="A2206" s="18"/>
      <c r="B2206" s="16"/>
      <c r="C2206" s="16"/>
      <c r="D2206" s="51" t="str">
        <f aca="false">IF(C2206="","",IFERROR(IF(LEFT(C2206,1)="L",INDEX('Leads Pipeline'!$F$5:$F$1004,MATCH(C2206,'Leads Pipeline'!$A$5:$A$1004,0)),INDEX('Active Clients'!$D$5:$D$504,MATCH(C2206,'Active Clients'!$A$5:$A$504,0)))&amp;"","ID not found"))</f>
        <v/>
      </c>
      <c r="E2206" s="51" t="str">
        <f aca="false">IF(C2206="","",IFERROR(IF(LEFT(C2206,1)="L",INDEX('Leads Pipeline'!$D$5:$D$1004,MATCH(C2206,'Leads Pipeline'!$A$5:$A$1004,0)),INDEX('Active Clients'!$B$5:$B$504,MATCH(C2206,'Active Clients'!$A$5:$A$504,0)))&amp;"","ID not found"))</f>
        <v/>
      </c>
      <c r="F2206" s="51" t="str">
        <f aca="false">IF(C2206="","",IFERROR(IF(LEFT(C2206,1)="L",INDEX('Leads Pipeline'!$E$5:$E$1004,MATCH(C2206,'Leads Pipeline'!$A$5:$A$1004,0)),INDEX('Active Clients'!$C$5:$C$504,MATCH(C2206,'Active Clients'!$A$5:$A$504,0)))&amp;"","ID not found"))</f>
        <v/>
      </c>
      <c r="G2206" s="16"/>
      <c r="H2206" s="16"/>
      <c r="I2206" s="16"/>
      <c r="J2206" s="16"/>
      <c r="K2206" s="16"/>
      <c r="L2206" s="18"/>
    </row>
    <row r="2207" customFormat="false" ht="15" hidden="false" customHeight="false" outlineLevel="0" collapsed="false">
      <c r="A2207" s="18"/>
      <c r="B2207" s="16"/>
      <c r="C2207" s="16"/>
      <c r="D2207" s="51" t="str">
        <f aca="false">IF(C2207="","",IFERROR(IF(LEFT(C2207,1)="L",INDEX('Leads Pipeline'!$F$5:$F$1004,MATCH(C2207,'Leads Pipeline'!$A$5:$A$1004,0)),INDEX('Active Clients'!$D$5:$D$504,MATCH(C2207,'Active Clients'!$A$5:$A$504,0)))&amp;"","ID not found"))</f>
        <v/>
      </c>
      <c r="E2207" s="51" t="str">
        <f aca="false">IF(C2207="","",IFERROR(IF(LEFT(C2207,1)="L",INDEX('Leads Pipeline'!$D$5:$D$1004,MATCH(C2207,'Leads Pipeline'!$A$5:$A$1004,0)),INDEX('Active Clients'!$B$5:$B$504,MATCH(C2207,'Active Clients'!$A$5:$A$504,0)))&amp;"","ID not found"))</f>
        <v/>
      </c>
      <c r="F2207" s="51" t="str">
        <f aca="false">IF(C2207="","",IFERROR(IF(LEFT(C2207,1)="L",INDEX('Leads Pipeline'!$E$5:$E$1004,MATCH(C2207,'Leads Pipeline'!$A$5:$A$1004,0)),INDEX('Active Clients'!$C$5:$C$504,MATCH(C2207,'Active Clients'!$A$5:$A$504,0)))&amp;"","ID not found"))</f>
        <v/>
      </c>
      <c r="G2207" s="16"/>
      <c r="H2207" s="16"/>
      <c r="I2207" s="16"/>
      <c r="J2207" s="16"/>
      <c r="K2207" s="16"/>
      <c r="L2207" s="18"/>
    </row>
    <row r="2208" customFormat="false" ht="15" hidden="false" customHeight="false" outlineLevel="0" collapsed="false">
      <c r="A2208" s="18"/>
      <c r="B2208" s="16"/>
      <c r="C2208" s="16"/>
      <c r="D2208" s="51" t="str">
        <f aca="false">IF(C2208="","",IFERROR(IF(LEFT(C2208,1)="L",INDEX('Leads Pipeline'!$F$5:$F$1004,MATCH(C2208,'Leads Pipeline'!$A$5:$A$1004,0)),INDEX('Active Clients'!$D$5:$D$504,MATCH(C2208,'Active Clients'!$A$5:$A$504,0)))&amp;"","ID not found"))</f>
        <v/>
      </c>
      <c r="E2208" s="51" t="str">
        <f aca="false">IF(C2208="","",IFERROR(IF(LEFT(C2208,1)="L",INDEX('Leads Pipeline'!$D$5:$D$1004,MATCH(C2208,'Leads Pipeline'!$A$5:$A$1004,0)),INDEX('Active Clients'!$B$5:$B$504,MATCH(C2208,'Active Clients'!$A$5:$A$504,0)))&amp;"","ID not found"))</f>
        <v/>
      </c>
      <c r="F2208" s="51" t="str">
        <f aca="false">IF(C2208="","",IFERROR(IF(LEFT(C2208,1)="L",INDEX('Leads Pipeline'!$E$5:$E$1004,MATCH(C2208,'Leads Pipeline'!$A$5:$A$1004,0)),INDEX('Active Clients'!$C$5:$C$504,MATCH(C2208,'Active Clients'!$A$5:$A$504,0)))&amp;"","ID not found"))</f>
        <v/>
      </c>
      <c r="G2208" s="16"/>
      <c r="H2208" s="16"/>
      <c r="I2208" s="16"/>
      <c r="J2208" s="16"/>
      <c r="K2208" s="16"/>
      <c r="L2208" s="18"/>
    </row>
    <row r="2209" customFormat="false" ht="15" hidden="false" customHeight="false" outlineLevel="0" collapsed="false">
      <c r="A2209" s="18"/>
      <c r="B2209" s="16"/>
      <c r="C2209" s="16"/>
      <c r="D2209" s="51" t="str">
        <f aca="false">IF(C2209="","",IFERROR(IF(LEFT(C2209,1)="L",INDEX('Leads Pipeline'!$F$5:$F$1004,MATCH(C2209,'Leads Pipeline'!$A$5:$A$1004,0)),INDEX('Active Clients'!$D$5:$D$504,MATCH(C2209,'Active Clients'!$A$5:$A$504,0)))&amp;"","ID not found"))</f>
        <v/>
      </c>
      <c r="E2209" s="51" t="str">
        <f aca="false">IF(C2209="","",IFERROR(IF(LEFT(C2209,1)="L",INDEX('Leads Pipeline'!$D$5:$D$1004,MATCH(C2209,'Leads Pipeline'!$A$5:$A$1004,0)),INDEX('Active Clients'!$B$5:$B$504,MATCH(C2209,'Active Clients'!$A$5:$A$504,0)))&amp;"","ID not found"))</f>
        <v/>
      </c>
      <c r="F2209" s="51" t="str">
        <f aca="false">IF(C2209="","",IFERROR(IF(LEFT(C2209,1)="L",INDEX('Leads Pipeline'!$E$5:$E$1004,MATCH(C2209,'Leads Pipeline'!$A$5:$A$1004,0)),INDEX('Active Clients'!$C$5:$C$504,MATCH(C2209,'Active Clients'!$A$5:$A$504,0)))&amp;"","ID not found"))</f>
        <v/>
      </c>
      <c r="G2209" s="16"/>
      <c r="H2209" s="16"/>
      <c r="I2209" s="16"/>
      <c r="J2209" s="16"/>
      <c r="K2209" s="16"/>
      <c r="L2209" s="18"/>
    </row>
    <row r="2210" customFormat="false" ht="15" hidden="false" customHeight="false" outlineLevel="0" collapsed="false">
      <c r="A2210" s="18"/>
      <c r="B2210" s="16"/>
      <c r="C2210" s="16"/>
      <c r="D2210" s="51" t="str">
        <f aca="false">IF(C2210="","",IFERROR(IF(LEFT(C2210,1)="L",INDEX('Leads Pipeline'!$F$5:$F$1004,MATCH(C2210,'Leads Pipeline'!$A$5:$A$1004,0)),INDEX('Active Clients'!$D$5:$D$504,MATCH(C2210,'Active Clients'!$A$5:$A$504,0)))&amp;"","ID not found"))</f>
        <v/>
      </c>
      <c r="E2210" s="51" t="str">
        <f aca="false">IF(C2210="","",IFERROR(IF(LEFT(C2210,1)="L",INDEX('Leads Pipeline'!$D$5:$D$1004,MATCH(C2210,'Leads Pipeline'!$A$5:$A$1004,0)),INDEX('Active Clients'!$B$5:$B$504,MATCH(C2210,'Active Clients'!$A$5:$A$504,0)))&amp;"","ID not found"))</f>
        <v/>
      </c>
      <c r="F2210" s="51" t="str">
        <f aca="false">IF(C2210="","",IFERROR(IF(LEFT(C2210,1)="L",INDEX('Leads Pipeline'!$E$5:$E$1004,MATCH(C2210,'Leads Pipeline'!$A$5:$A$1004,0)),INDEX('Active Clients'!$C$5:$C$504,MATCH(C2210,'Active Clients'!$A$5:$A$504,0)))&amp;"","ID not found"))</f>
        <v/>
      </c>
      <c r="G2210" s="16"/>
      <c r="H2210" s="16"/>
      <c r="I2210" s="16"/>
      <c r="J2210" s="16"/>
      <c r="K2210" s="16"/>
      <c r="L2210" s="18"/>
    </row>
    <row r="2211" customFormat="false" ht="15" hidden="false" customHeight="false" outlineLevel="0" collapsed="false">
      <c r="A2211" s="18"/>
      <c r="B2211" s="16"/>
      <c r="C2211" s="16"/>
      <c r="D2211" s="51" t="str">
        <f aca="false">IF(C2211="","",IFERROR(IF(LEFT(C2211,1)="L",INDEX('Leads Pipeline'!$F$5:$F$1004,MATCH(C2211,'Leads Pipeline'!$A$5:$A$1004,0)),INDEX('Active Clients'!$D$5:$D$504,MATCH(C2211,'Active Clients'!$A$5:$A$504,0)))&amp;"","ID not found"))</f>
        <v/>
      </c>
      <c r="E2211" s="51" t="str">
        <f aca="false">IF(C2211="","",IFERROR(IF(LEFT(C2211,1)="L",INDEX('Leads Pipeline'!$D$5:$D$1004,MATCH(C2211,'Leads Pipeline'!$A$5:$A$1004,0)),INDEX('Active Clients'!$B$5:$B$504,MATCH(C2211,'Active Clients'!$A$5:$A$504,0)))&amp;"","ID not found"))</f>
        <v/>
      </c>
      <c r="F2211" s="51" t="str">
        <f aca="false">IF(C2211="","",IFERROR(IF(LEFT(C2211,1)="L",INDEX('Leads Pipeline'!$E$5:$E$1004,MATCH(C2211,'Leads Pipeline'!$A$5:$A$1004,0)),INDEX('Active Clients'!$C$5:$C$504,MATCH(C2211,'Active Clients'!$A$5:$A$504,0)))&amp;"","ID not found"))</f>
        <v/>
      </c>
      <c r="G2211" s="16"/>
      <c r="H2211" s="16"/>
      <c r="I2211" s="16"/>
      <c r="J2211" s="16"/>
      <c r="K2211" s="16"/>
      <c r="L2211" s="18"/>
    </row>
    <row r="2212" customFormat="false" ht="15" hidden="false" customHeight="false" outlineLevel="0" collapsed="false">
      <c r="A2212" s="18"/>
      <c r="B2212" s="16"/>
      <c r="C2212" s="16"/>
      <c r="D2212" s="51" t="str">
        <f aca="false">IF(C2212="","",IFERROR(IF(LEFT(C2212,1)="L",INDEX('Leads Pipeline'!$F$5:$F$1004,MATCH(C2212,'Leads Pipeline'!$A$5:$A$1004,0)),INDEX('Active Clients'!$D$5:$D$504,MATCH(C2212,'Active Clients'!$A$5:$A$504,0)))&amp;"","ID not found"))</f>
        <v/>
      </c>
      <c r="E2212" s="51" t="str">
        <f aca="false">IF(C2212="","",IFERROR(IF(LEFT(C2212,1)="L",INDEX('Leads Pipeline'!$D$5:$D$1004,MATCH(C2212,'Leads Pipeline'!$A$5:$A$1004,0)),INDEX('Active Clients'!$B$5:$B$504,MATCH(C2212,'Active Clients'!$A$5:$A$504,0)))&amp;"","ID not found"))</f>
        <v/>
      </c>
      <c r="F2212" s="51" t="str">
        <f aca="false">IF(C2212="","",IFERROR(IF(LEFT(C2212,1)="L",INDEX('Leads Pipeline'!$E$5:$E$1004,MATCH(C2212,'Leads Pipeline'!$A$5:$A$1004,0)),INDEX('Active Clients'!$C$5:$C$504,MATCH(C2212,'Active Clients'!$A$5:$A$504,0)))&amp;"","ID not found"))</f>
        <v/>
      </c>
      <c r="G2212" s="16"/>
      <c r="H2212" s="16"/>
      <c r="I2212" s="16"/>
      <c r="J2212" s="16"/>
      <c r="K2212" s="16"/>
      <c r="L2212" s="18"/>
    </row>
    <row r="2213" customFormat="false" ht="15" hidden="false" customHeight="false" outlineLevel="0" collapsed="false">
      <c r="A2213" s="18"/>
      <c r="B2213" s="16"/>
      <c r="C2213" s="16"/>
      <c r="D2213" s="51" t="str">
        <f aca="false">IF(C2213="","",IFERROR(IF(LEFT(C2213,1)="L",INDEX('Leads Pipeline'!$F$5:$F$1004,MATCH(C2213,'Leads Pipeline'!$A$5:$A$1004,0)),INDEX('Active Clients'!$D$5:$D$504,MATCH(C2213,'Active Clients'!$A$5:$A$504,0)))&amp;"","ID not found"))</f>
        <v/>
      </c>
      <c r="E2213" s="51" t="str">
        <f aca="false">IF(C2213="","",IFERROR(IF(LEFT(C2213,1)="L",INDEX('Leads Pipeline'!$D$5:$D$1004,MATCH(C2213,'Leads Pipeline'!$A$5:$A$1004,0)),INDEX('Active Clients'!$B$5:$B$504,MATCH(C2213,'Active Clients'!$A$5:$A$504,0)))&amp;"","ID not found"))</f>
        <v/>
      </c>
      <c r="F2213" s="51" t="str">
        <f aca="false">IF(C2213="","",IFERROR(IF(LEFT(C2213,1)="L",INDEX('Leads Pipeline'!$E$5:$E$1004,MATCH(C2213,'Leads Pipeline'!$A$5:$A$1004,0)),INDEX('Active Clients'!$C$5:$C$504,MATCH(C2213,'Active Clients'!$A$5:$A$504,0)))&amp;"","ID not found"))</f>
        <v/>
      </c>
      <c r="G2213" s="16"/>
      <c r="H2213" s="16"/>
      <c r="I2213" s="16"/>
      <c r="J2213" s="16"/>
      <c r="K2213" s="16"/>
      <c r="L2213" s="18"/>
    </row>
    <row r="2214" customFormat="false" ht="15" hidden="false" customHeight="false" outlineLevel="0" collapsed="false">
      <c r="A2214" s="18"/>
      <c r="B2214" s="16"/>
      <c r="C2214" s="16"/>
      <c r="D2214" s="51" t="str">
        <f aca="false">IF(C2214="","",IFERROR(IF(LEFT(C2214,1)="L",INDEX('Leads Pipeline'!$F$5:$F$1004,MATCH(C2214,'Leads Pipeline'!$A$5:$A$1004,0)),INDEX('Active Clients'!$D$5:$D$504,MATCH(C2214,'Active Clients'!$A$5:$A$504,0)))&amp;"","ID not found"))</f>
        <v/>
      </c>
      <c r="E2214" s="51" t="str">
        <f aca="false">IF(C2214="","",IFERROR(IF(LEFT(C2214,1)="L",INDEX('Leads Pipeline'!$D$5:$D$1004,MATCH(C2214,'Leads Pipeline'!$A$5:$A$1004,0)),INDEX('Active Clients'!$B$5:$B$504,MATCH(C2214,'Active Clients'!$A$5:$A$504,0)))&amp;"","ID not found"))</f>
        <v/>
      </c>
      <c r="F2214" s="51" t="str">
        <f aca="false">IF(C2214="","",IFERROR(IF(LEFT(C2214,1)="L",INDEX('Leads Pipeline'!$E$5:$E$1004,MATCH(C2214,'Leads Pipeline'!$A$5:$A$1004,0)),INDEX('Active Clients'!$C$5:$C$504,MATCH(C2214,'Active Clients'!$A$5:$A$504,0)))&amp;"","ID not found"))</f>
        <v/>
      </c>
      <c r="G2214" s="16"/>
      <c r="H2214" s="16"/>
      <c r="I2214" s="16"/>
      <c r="J2214" s="16"/>
      <c r="K2214" s="16"/>
      <c r="L2214" s="18"/>
    </row>
    <row r="2215" customFormat="false" ht="15" hidden="false" customHeight="false" outlineLevel="0" collapsed="false">
      <c r="A2215" s="18"/>
      <c r="B2215" s="16"/>
      <c r="C2215" s="16"/>
      <c r="D2215" s="51" t="str">
        <f aca="false">IF(C2215="","",IFERROR(IF(LEFT(C2215,1)="L",INDEX('Leads Pipeline'!$F$5:$F$1004,MATCH(C2215,'Leads Pipeline'!$A$5:$A$1004,0)),INDEX('Active Clients'!$D$5:$D$504,MATCH(C2215,'Active Clients'!$A$5:$A$504,0)))&amp;"","ID not found"))</f>
        <v/>
      </c>
      <c r="E2215" s="51" t="str">
        <f aca="false">IF(C2215="","",IFERROR(IF(LEFT(C2215,1)="L",INDEX('Leads Pipeline'!$D$5:$D$1004,MATCH(C2215,'Leads Pipeline'!$A$5:$A$1004,0)),INDEX('Active Clients'!$B$5:$B$504,MATCH(C2215,'Active Clients'!$A$5:$A$504,0)))&amp;"","ID not found"))</f>
        <v/>
      </c>
      <c r="F2215" s="51" t="str">
        <f aca="false">IF(C2215="","",IFERROR(IF(LEFT(C2215,1)="L",INDEX('Leads Pipeline'!$E$5:$E$1004,MATCH(C2215,'Leads Pipeline'!$A$5:$A$1004,0)),INDEX('Active Clients'!$C$5:$C$504,MATCH(C2215,'Active Clients'!$A$5:$A$504,0)))&amp;"","ID not found"))</f>
        <v/>
      </c>
      <c r="G2215" s="16"/>
      <c r="H2215" s="16"/>
      <c r="I2215" s="16"/>
      <c r="J2215" s="16"/>
      <c r="K2215" s="16"/>
      <c r="L2215" s="18"/>
    </row>
    <row r="2216" customFormat="false" ht="15" hidden="false" customHeight="false" outlineLevel="0" collapsed="false">
      <c r="A2216" s="18"/>
      <c r="B2216" s="16"/>
      <c r="C2216" s="16"/>
      <c r="D2216" s="51" t="str">
        <f aca="false">IF(C2216="","",IFERROR(IF(LEFT(C2216,1)="L",INDEX('Leads Pipeline'!$F$5:$F$1004,MATCH(C2216,'Leads Pipeline'!$A$5:$A$1004,0)),INDEX('Active Clients'!$D$5:$D$504,MATCH(C2216,'Active Clients'!$A$5:$A$504,0)))&amp;"","ID not found"))</f>
        <v/>
      </c>
      <c r="E2216" s="51" t="str">
        <f aca="false">IF(C2216="","",IFERROR(IF(LEFT(C2216,1)="L",INDEX('Leads Pipeline'!$D$5:$D$1004,MATCH(C2216,'Leads Pipeline'!$A$5:$A$1004,0)),INDEX('Active Clients'!$B$5:$B$504,MATCH(C2216,'Active Clients'!$A$5:$A$504,0)))&amp;"","ID not found"))</f>
        <v/>
      </c>
      <c r="F2216" s="51" t="str">
        <f aca="false">IF(C2216="","",IFERROR(IF(LEFT(C2216,1)="L",INDEX('Leads Pipeline'!$E$5:$E$1004,MATCH(C2216,'Leads Pipeline'!$A$5:$A$1004,0)),INDEX('Active Clients'!$C$5:$C$504,MATCH(C2216,'Active Clients'!$A$5:$A$504,0)))&amp;"","ID not found"))</f>
        <v/>
      </c>
      <c r="G2216" s="16"/>
      <c r="H2216" s="16"/>
      <c r="I2216" s="16"/>
      <c r="J2216" s="16"/>
      <c r="K2216" s="16"/>
      <c r="L2216" s="18"/>
    </row>
    <row r="2217" customFormat="false" ht="15" hidden="false" customHeight="false" outlineLevel="0" collapsed="false">
      <c r="A2217" s="18"/>
      <c r="B2217" s="16"/>
      <c r="C2217" s="16"/>
      <c r="D2217" s="51" t="str">
        <f aca="false">IF(C2217="","",IFERROR(IF(LEFT(C2217,1)="L",INDEX('Leads Pipeline'!$F$5:$F$1004,MATCH(C2217,'Leads Pipeline'!$A$5:$A$1004,0)),INDEX('Active Clients'!$D$5:$D$504,MATCH(C2217,'Active Clients'!$A$5:$A$504,0)))&amp;"","ID not found"))</f>
        <v/>
      </c>
      <c r="E2217" s="51" t="str">
        <f aca="false">IF(C2217="","",IFERROR(IF(LEFT(C2217,1)="L",INDEX('Leads Pipeline'!$D$5:$D$1004,MATCH(C2217,'Leads Pipeline'!$A$5:$A$1004,0)),INDEX('Active Clients'!$B$5:$B$504,MATCH(C2217,'Active Clients'!$A$5:$A$504,0)))&amp;"","ID not found"))</f>
        <v/>
      </c>
      <c r="F2217" s="51" t="str">
        <f aca="false">IF(C2217="","",IFERROR(IF(LEFT(C2217,1)="L",INDEX('Leads Pipeline'!$E$5:$E$1004,MATCH(C2217,'Leads Pipeline'!$A$5:$A$1004,0)),INDEX('Active Clients'!$C$5:$C$504,MATCH(C2217,'Active Clients'!$A$5:$A$504,0)))&amp;"","ID not found"))</f>
        <v/>
      </c>
      <c r="G2217" s="16"/>
      <c r="H2217" s="16"/>
      <c r="I2217" s="16"/>
      <c r="J2217" s="16"/>
      <c r="K2217" s="16"/>
      <c r="L2217" s="18"/>
    </row>
    <row r="2218" customFormat="false" ht="15" hidden="false" customHeight="false" outlineLevel="0" collapsed="false">
      <c r="A2218" s="18"/>
      <c r="B2218" s="16"/>
      <c r="C2218" s="16"/>
      <c r="D2218" s="51" t="str">
        <f aca="false">IF(C2218="","",IFERROR(IF(LEFT(C2218,1)="L",INDEX('Leads Pipeline'!$F$5:$F$1004,MATCH(C2218,'Leads Pipeline'!$A$5:$A$1004,0)),INDEX('Active Clients'!$D$5:$D$504,MATCH(C2218,'Active Clients'!$A$5:$A$504,0)))&amp;"","ID not found"))</f>
        <v/>
      </c>
      <c r="E2218" s="51" t="str">
        <f aca="false">IF(C2218="","",IFERROR(IF(LEFT(C2218,1)="L",INDEX('Leads Pipeline'!$D$5:$D$1004,MATCH(C2218,'Leads Pipeline'!$A$5:$A$1004,0)),INDEX('Active Clients'!$B$5:$B$504,MATCH(C2218,'Active Clients'!$A$5:$A$504,0)))&amp;"","ID not found"))</f>
        <v/>
      </c>
      <c r="F2218" s="51" t="str">
        <f aca="false">IF(C2218="","",IFERROR(IF(LEFT(C2218,1)="L",INDEX('Leads Pipeline'!$E$5:$E$1004,MATCH(C2218,'Leads Pipeline'!$A$5:$A$1004,0)),INDEX('Active Clients'!$C$5:$C$504,MATCH(C2218,'Active Clients'!$A$5:$A$504,0)))&amp;"","ID not found"))</f>
        <v/>
      </c>
      <c r="G2218" s="16"/>
      <c r="H2218" s="16"/>
      <c r="I2218" s="16"/>
      <c r="J2218" s="16"/>
      <c r="K2218" s="16"/>
      <c r="L2218" s="18"/>
    </row>
    <row r="2219" customFormat="false" ht="15" hidden="false" customHeight="false" outlineLevel="0" collapsed="false">
      <c r="A2219" s="18"/>
      <c r="B2219" s="16"/>
      <c r="C2219" s="16"/>
      <c r="D2219" s="51" t="str">
        <f aca="false">IF(C2219="","",IFERROR(IF(LEFT(C2219,1)="L",INDEX('Leads Pipeline'!$F$5:$F$1004,MATCH(C2219,'Leads Pipeline'!$A$5:$A$1004,0)),INDEX('Active Clients'!$D$5:$D$504,MATCH(C2219,'Active Clients'!$A$5:$A$504,0)))&amp;"","ID not found"))</f>
        <v/>
      </c>
      <c r="E2219" s="51" t="str">
        <f aca="false">IF(C2219="","",IFERROR(IF(LEFT(C2219,1)="L",INDEX('Leads Pipeline'!$D$5:$D$1004,MATCH(C2219,'Leads Pipeline'!$A$5:$A$1004,0)),INDEX('Active Clients'!$B$5:$B$504,MATCH(C2219,'Active Clients'!$A$5:$A$504,0)))&amp;"","ID not found"))</f>
        <v/>
      </c>
      <c r="F2219" s="51" t="str">
        <f aca="false">IF(C2219="","",IFERROR(IF(LEFT(C2219,1)="L",INDEX('Leads Pipeline'!$E$5:$E$1004,MATCH(C2219,'Leads Pipeline'!$A$5:$A$1004,0)),INDEX('Active Clients'!$C$5:$C$504,MATCH(C2219,'Active Clients'!$A$5:$A$504,0)))&amp;"","ID not found"))</f>
        <v/>
      </c>
      <c r="G2219" s="16"/>
      <c r="H2219" s="16"/>
      <c r="I2219" s="16"/>
      <c r="J2219" s="16"/>
      <c r="K2219" s="16"/>
      <c r="L2219" s="18"/>
    </row>
    <row r="2220" customFormat="false" ht="15" hidden="false" customHeight="false" outlineLevel="0" collapsed="false">
      <c r="A2220" s="18"/>
      <c r="B2220" s="16"/>
      <c r="C2220" s="16"/>
      <c r="D2220" s="51" t="str">
        <f aca="false">IF(C2220="","",IFERROR(IF(LEFT(C2220,1)="L",INDEX('Leads Pipeline'!$F$5:$F$1004,MATCH(C2220,'Leads Pipeline'!$A$5:$A$1004,0)),INDEX('Active Clients'!$D$5:$D$504,MATCH(C2220,'Active Clients'!$A$5:$A$504,0)))&amp;"","ID not found"))</f>
        <v/>
      </c>
      <c r="E2220" s="51" t="str">
        <f aca="false">IF(C2220="","",IFERROR(IF(LEFT(C2220,1)="L",INDEX('Leads Pipeline'!$D$5:$D$1004,MATCH(C2220,'Leads Pipeline'!$A$5:$A$1004,0)),INDEX('Active Clients'!$B$5:$B$504,MATCH(C2220,'Active Clients'!$A$5:$A$504,0)))&amp;"","ID not found"))</f>
        <v/>
      </c>
      <c r="F2220" s="51" t="str">
        <f aca="false">IF(C2220="","",IFERROR(IF(LEFT(C2220,1)="L",INDEX('Leads Pipeline'!$E$5:$E$1004,MATCH(C2220,'Leads Pipeline'!$A$5:$A$1004,0)),INDEX('Active Clients'!$C$5:$C$504,MATCH(C2220,'Active Clients'!$A$5:$A$504,0)))&amp;"","ID not found"))</f>
        <v/>
      </c>
      <c r="G2220" s="16"/>
      <c r="H2220" s="16"/>
      <c r="I2220" s="16"/>
      <c r="J2220" s="16"/>
      <c r="K2220" s="16"/>
      <c r="L2220" s="18"/>
    </row>
    <row r="2221" customFormat="false" ht="15" hidden="false" customHeight="false" outlineLevel="0" collapsed="false">
      <c r="A2221" s="18"/>
      <c r="B2221" s="16"/>
      <c r="C2221" s="16"/>
      <c r="D2221" s="51" t="str">
        <f aca="false">IF(C2221="","",IFERROR(IF(LEFT(C2221,1)="L",INDEX('Leads Pipeline'!$F$5:$F$1004,MATCH(C2221,'Leads Pipeline'!$A$5:$A$1004,0)),INDEX('Active Clients'!$D$5:$D$504,MATCH(C2221,'Active Clients'!$A$5:$A$504,0)))&amp;"","ID not found"))</f>
        <v/>
      </c>
      <c r="E2221" s="51" t="str">
        <f aca="false">IF(C2221="","",IFERROR(IF(LEFT(C2221,1)="L",INDEX('Leads Pipeline'!$D$5:$D$1004,MATCH(C2221,'Leads Pipeline'!$A$5:$A$1004,0)),INDEX('Active Clients'!$B$5:$B$504,MATCH(C2221,'Active Clients'!$A$5:$A$504,0)))&amp;"","ID not found"))</f>
        <v/>
      </c>
      <c r="F2221" s="51" t="str">
        <f aca="false">IF(C2221="","",IFERROR(IF(LEFT(C2221,1)="L",INDEX('Leads Pipeline'!$E$5:$E$1004,MATCH(C2221,'Leads Pipeline'!$A$5:$A$1004,0)),INDEX('Active Clients'!$C$5:$C$504,MATCH(C2221,'Active Clients'!$A$5:$A$504,0)))&amp;"","ID not found"))</f>
        <v/>
      </c>
      <c r="G2221" s="16"/>
      <c r="H2221" s="16"/>
      <c r="I2221" s="16"/>
      <c r="J2221" s="16"/>
      <c r="K2221" s="16"/>
      <c r="L2221" s="18"/>
    </row>
    <row r="2222" customFormat="false" ht="15" hidden="false" customHeight="false" outlineLevel="0" collapsed="false">
      <c r="A2222" s="18"/>
      <c r="B2222" s="16"/>
      <c r="C2222" s="16"/>
      <c r="D2222" s="51" t="str">
        <f aca="false">IF(C2222="","",IFERROR(IF(LEFT(C2222,1)="L",INDEX('Leads Pipeline'!$F$5:$F$1004,MATCH(C2222,'Leads Pipeline'!$A$5:$A$1004,0)),INDEX('Active Clients'!$D$5:$D$504,MATCH(C2222,'Active Clients'!$A$5:$A$504,0)))&amp;"","ID not found"))</f>
        <v/>
      </c>
      <c r="E2222" s="51" t="str">
        <f aca="false">IF(C2222="","",IFERROR(IF(LEFT(C2222,1)="L",INDEX('Leads Pipeline'!$D$5:$D$1004,MATCH(C2222,'Leads Pipeline'!$A$5:$A$1004,0)),INDEX('Active Clients'!$B$5:$B$504,MATCH(C2222,'Active Clients'!$A$5:$A$504,0)))&amp;"","ID not found"))</f>
        <v/>
      </c>
      <c r="F2222" s="51" t="str">
        <f aca="false">IF(C2222="","",IFERROR(IF(LEFT(C2222,1)="L",INDEX('Leads Pipeline'!$E$5:$E$1004,MATCH(C2222,'Leads Pipeline'!$A$5:$A$1004,0)),INDEX('Active Clients'!$C$5:$C$504,MATCH(C2222,'Active Clients'!$A$5:$A$504,0)))&amp;"","ID not found"))</f>
        <v/>
      </c>
      <c r="G2222" s="16"/>
      <c r="H2222" s="16"/>
      <c r="I2222" s="16"/>
      <c r="J2222" s="16"/>
      <c r="K2222" s="16"/>
      <c r="L2222" s="18"/>
    </row>
    <row r="2223" customFormat="false" ht="15" hidden="false" customHeight="false" outlineLevel="0" collapsed="false">
      <c r="A2223" s="18"/>
      <c r="B2223" s="16"/>
      <c r="C2223" s="16"/>
      <c r="D2223" s="51" t="str">
        <f aca="false">IF(C2223="","",IFERROR(IF(LEFT(C2223,1)="L",INDEX('Leads Pipeline'!$F$5:$F$1004,MATCH(C2223,'Leads Pipeline'!$A$5:$A$1004,0)),INDEX('Active Clients'!$D$5:$D$504,MATCH(C2223,'Active Clients'!$A$5:$A$504,0)))&amp;"","ID not found"))</f>
        <v/>
      </c>
      <c r="E2223" s="51" t="str">
        <f aca="false">IF(C2223="","",IFERROR(IF(LEFT(C2223,1)="L",INDEX('Leads Pipeline'!$D$5:$D$1004,MATCH(C2223,'Leads Pipeline'!$A$5:$A$1004,0)),INDEX('Active Clients'!$B$5:$B$504,MATCH(C2223,'Active Clients'!$A$5:$A$504,0)))&amp;"","ID not found"))</f>
        <v/>
      </c>
      <c r="F2223" s="51" t="str">
        <f aca="false">IF(C2223="","",IFERROR(IF(LEFT(C2223,1)="L",INDEX('Leads Pipeline'!$E$5:$E$1004,MATCH(C2223,'Leads Pipeline'!$A$5:$A$1004,0)),INDEX('Active Clients'!$C$5:$C$504,MATCH(C2223,'Active Clients'!$A$5:$A$504,0)))&amp;"","ID not found"))</f>
        <v/>
      </c>
      <c r="G2223" s="16"/>
      <c r="H2223" s="16"/>
      <c r="I2223" s="16"/>
      <c r="J2223" s="16"/>
      <c r="K2223" s="16"/>
      <c r="L2223" s="18"/>
    </row>
    <row r="2224" customFormat="false" ht="15" hidden="false" customHeight="false" outlineLevel="0" collapsed="false">
      <c r="A2224" s="18"/>
      <c r="B2224" s="16"/>
      <c r="C2224" s="16"/>
      <c r="D2224" s="51" t="str">
        <f aca="false">IF(C2224="","",IFERROR(IF(LEFT(C2224,1)="L",INDEX('Leads Pipeline'!$F$5:$F$1004,MATCH(C2224,'Leads Pipeline'!$A$5:$A$1004,0)),INDEX('Active Clients'!$D$5:$D$504,MATCH(C2224,'Active Clients'!$A$5:$A$504,0)))&amp;"","ID not found"))</f>
        <v/>
      </c>
      <c r="E2224" s="51" t="str">
        <f aca="false">IF(C2224="","",IFERROR(IF(LEFT(C2224,1)="L",INDEX('Leads Pipeline'!$D$5:$D$1004,MATCH(C2224,'Leads Pipeline'!$A$5:$A$1004,0)),INDEX('Active Clients'!$B$5:$B$504,MATCH(C2224,'Active Clients'!$A$5:$A$504,0)))&amp;"","ID not found"))</f>
        <v/>
      </c>
      <c r="F2224" s="51" t="str">
        <f aca="false">IF(C2224="","",IFERROR(IF(LEFT(C2224,1)="L",INDEX('Leads Pipeline'!$E$5:$E$1004,MATCH(C2224,'Leads Pipeline'!$A$5:$A$1004,0)),INDEX('Active Clients'!$C$5:$C$504,MATCH(C2224,'Active Clients'!$A$5:$A$504,0)))&amp;"","ID not found"))</f>
        <v/>
      </c>
      <c r="G2224" s="16"/>
      <c r="H2224" s="16"/>
      <c r="I2224" s="16"/>
      <c r="J2224" s="16"/>
      <c r="K2224" s="16"/>
      <c r="L2224" s="18"/>
    </row>
    <row r="2225" customFormat="false" ht="15" hidden="false" customHeight="false" outlineLevel="0" collapsed="false">
      <c r="A2225" s="18"/>
      <c r="B2225" s="16"/>
      <c r="C2225" s="16"/>
      <c r="D2225" s="51" t="str">
        <f aca="false">IF(C2225="","",IFERROR(IF(LEFT(C2225,1)="L",INDEX('Leads Pipeline'!$F$5:$F$1004,MATCH(C2225,'Leads Pipeline'!$A$5:$A$1004,0)),INDEX('Active Clients'!$D$5:$D$504,MATCH(C2225,'Active Clients'!$A$5:$A$504,0)))&amp;"","ID not found"))</f>
        <v/>
      </c>
      <c r="E2225" s="51" t="str">
        <f aca="false">IF(C2225="","",IFERROR(IF(LEFT(C2225,1)="L",INDEX('Leads Pipeline'!$D$5:$D$1004,MATCH(C2225,'Leads Pipeline'!$A$5:$A$1004,0)),INDEX('Active Clients'!$B$5:$B$504,MATCH(C2225,'Active Clients'!$A$5:$A$504,0)))&amp;"","ID not found"))</f>
        <v/>
      </c>
      <c r="F2225" s="51" t="str">
        <f aca="false">IF(C2225="","",IFERROR(IF(LEFT(C2225,1)="L",INDEX('Leads Pipeline'!$E$5:$E$1004,MATCH(C2225,'Leads Pipeline'!$A$5:$A$1004,0)),INDEX('Active Clients'!$C$5:$C$504,MATCH(C2225,'Active Clients'!$A$5:$A$504,0)))&amp;"","ID not found"))</f>
        <v/>
      </c>
      <c r="G2225" s="16"/>
      <c r="H2225" s="16"/>
      <c r="I2225" s="16"/>
      <c r="J2225" s="16"/>
      <c r="K2225" s="16"/>
      <c r="L2225" s="18"/>
    </row>
    <row r="2226" customFormat="false" ht="15" hidden="false" customHeight="false" outlineLevel="0" collapsed="false">
      <c r="A2226" s="18"/>
      <c r="B2226" s="16"/>
      <c r="C2226" s="16"/>
      <c r="D2226" s="51" t="str">
        <f aca="false">IF(C2226="","",IFERROR(IF(LEFT(C2226,1)="L",INDEX('Leads Pipeline'!$F$5:$F$1004,MATCH(C2226,'Leads Pipeline'!$A$5:$A$1004,0)),INDEX('Active Clients'!$D$5:$D$504,MATCH(C2226,'Active Clients'!$A$5:$A$504,0)))&amp;"","ID not found"))</f>
        <v/>
      </c>
      <c r="E2226" s="51" t="str">
        <f aca="false">IF(C2226="","",IFERROR(IF(LEFT(C2226,1)="L",INDEX('Leads Pipeline'!$D$5:$D$1004,MATCH(C2226,'Leads Pipeline'!$A$5:$A$1004,0)),INDEX('Active Clients'!$B$5:$B$504,MATCH(C2226,'Active Clients'!$A$5:$A$504,0)))&amp;"","ID not found"))</f>
        <v/>
      </c>
      <c r="F2226" s="51" t="str">
        <f aca="false">IF(C2226="","",IFERROR(IF(LEFT(C2226,1)="L",INDEX('Leads Pipeline'!$E$5:$E$1004,MATCH(C2226,'Leads Pipeline'!$A$5:$A$1004,0)),INDEX('Active Clients'!$C$5:$C$504,MATCH(C2226,'Active Clients'!$A$5:$A$504,0)))&amp;"","ID not found"))</f>
        <v/>
      </c>
      <c r="G2226" s="16"/>
      <c r="H2226" s="16"/>
      <c r="I2226" s="16"/>
      <c r="J2226" s="16"/>
      <c r="K2226" s="16"/>
      <c r="L2226" s="18"/>
    </row>
    <row r="2227" customFormat="false" ht="15" hidden="false" customHeight="false" outlineLevel="0" collapsed="false">
      <c r="A2227" s="18"/>
      <c r="B2227" s="16"/>
      <c r="C2227" s="16"/>
      <c r="D2227" s="51" t="str">
        <f aca="false">IF(C2227="","",IFERROR(IF(LEFT(C2227,1)="L",INDEX('Leads Pipeline'!$F$5:$F$1004,MATCH(C2227,'Leads Pipeline'!$A$5:$A$1004,0)),INDEX('Active Clients'!$D$5:$D$504,MATCH(C2227,'Active Clients'!$A$5:$A$504,0)))&amp;"","ID not found"))</f>
        <v/>
      </c>
      <c r="E2227" s="51" t="str">
        <f aca="false">IF(C2227="","",IFERROR(IF(LEFT(C2227,1)="L",INDEX('Leads Pipeline'!$D$5:$D$1004,MATCH(C2227,'Leads Pipeline'!$A$5:$A$1004,0)),INDEX('Active Clients'!$B$5:$B$504,MATCH(C2227,'Active Clients'!$A$5:$A$504,0)))&amp;"","ID not found"))</f>
        <v/>
      </c>
      <c r="F2227" s="51" t="str">
        <f aca="false">IF(C2227="","",IFERROR(IF(LEFT(C2227,1)="L",INDEX('Leads Pipeline'!$E$5:$E$1004,MATCH(C2227,'Leads Pipeline'!$A$5:$A$1004,0)),INDEX('Active Clients'!$C$5:$C$504,MATCH(C2227,'Active Clients'!$A$5:$A$504,0)))&amp;"","ID not found"))</f>
        <v/>
      </c>
      <c r="G2227" s="16"/>
      <c r="H2227" s="16"/>
      <c r="I2227" s="16"/>
      <c r="J2227" s="16"/>
      <c r="K2227" s="16"/>
      <c r="L2227" s="18"/>
    </row>
    <row r="2228" customFormat="false" ht="15" hidden="false" customHeight="false" outlineLevel="0" collapsed="false">
      <c r="A2228" s="18"/>
      <c r="B2228" s="16"/>
      <c r="C2228" s="16"/>
      <c r="D2228" s="51" t="str">
        <f aca="false">IF(C2228="","",IFERROR(IF(LEFT(C2228,1)="L",INDEX('Leads Pipeline'!$F$5:$F$1004,MATCH(C2228,'Leads Pipeline'!$A$5:$A$1004,0)),INDEX('Active Clients'!$D$5:$D$504,MATCH(C2228,'Active Clients'!$A$5:$A$504,0)))&amp;"","ID not found"))</f>
        <v/>
      </c>
      <c r="E2228" s="51" t="str">
        <f aca="false">IF(C2228="","",IFERROR(IF(LEFT(C2228,1)="L",INDEX('Leads Pipeline'!$D$5:$D$1004,MATCH(C2228,'Leads Pipeline'!$A$5:$A$1004,0)),INDEX('Active Clients'!$B$5:$B$504,MATCH(C2228,'Active Clients'!$A$5:$A$504,0)))&amp;"","ID not found"))</f>
        <v/>
      </c>
      <c r="F2228" s="51" t="str">
        <f aca="false">IF(C2228="","",IFERROR(IF(LEFT(C2228,1)="L",INDEX('Leads Pipeline'!$E$5:$E$1004,MATCH(C2228,'Leads Pipeline'!$A$5:$A$1004,0)),INDEX('Active Clients'!$C$5:$C$504,MATCH(C2228,'Active Clients'!$A$5:$A$504,0)))&amp;"","ID not found"))</f>
        <v/>
      </c>
      <c r="G2228" s="16"/>
      <c r="H2228" s="16"/>
      <c r="I2228" s="16"/>
      <c r="J2228" s="16"/>
      <c r="K2228" s="16"/>
      <c r="L2228" s="18"/>
    </row>
    <row r="2229" customFormat="false" ht="15" hidden="false" customHeight="false" outlineLevel="0" collapsed="false">
      <c r="A2229" s="18"/>
      <c r="B2229" s="16"/>
      <c r="C2229" s="16"/>
      <c r="D2229" s="51" t="str">
        <f aca="false">IF(C2229="","",IFERROR(IF(LEFT(C2229,1)="L",INDEX('Leads Pipeline'!$F$5:$F$1004,MATCH(C2229,'Leads Pipeline'!$A$5:$A$1004,0)),INDEX('Active Clients'!$D$5:$D$504,MATCH(C2229,'Active Clients'!$A$5:$A$504,0)))&amp;"","ID not found"))</f>
        <v/>
      </c>
      <c r="E2229" s="51" t="str">
        <f aca="false">IF(C2229="","",IFERROR(IF(LEFT(C2229,1)="L",INDEX('Leads Pipeline'!$D$5:$D$1004,MATCH(C2229,'Leads Pipeline'!$A$5:$A$1004,0)),INDEX('Active Clients'!$B$5:$B$504,MATCH(C2229,'Active Clients'!$A$5:$A$504,0)))&amp;"","ID not found"))</f>
        <v/>
      </c>
      <c r="F2229" s="51" t="str">
        <f aca="false">IF(C2229="","",IFERROR(IF(LEFT(C2229,1)="L",INDEX('Leads Pipeline'!$E$5:$E$1004,MATCH(C2229,'Leads Pipeline'!$A$5:$A$1004,0)),INDEX('Active Clients'!$C$5:$C$504,MATCH(C2229,'Active Clients'!$A$5:$A$504,0)))&amp;"","ID not found"))</f>
        <v/>
      </c>
      <c r="G2229" s="16"/>
      <c r="H2229" s="16"/>
      <c r="I2229" s="16"/>
      <c r="J2229" s="16"/>
      <c r="K2229" s="16"/>
      <c r="L2229" s="18"/>
    </row>
    <row r="2230" customFormat="false" ht="15" hidden="false" customHeight="false" outlineLevel="0" collapsed="false">
      <c r="A2230" s="18"/>
      <c r="B2230" s="16"/>
      <c r="C2230" s="16"/>
      <c r="D2230" s="51" t="str">
        <f aca="false">IF(C2230="","",IFERROR(IF(LEFT(C2230,1)="L",INDEX('Leads Pipeline'!$F$5:$F$1004,MATCH(C2230,'Leads Pipeline'!$A$5:$A$1004,0)),INDEX('Active Clients'!$D$5:$D$504,MATCH(C2230,'Active Clients'!$A$5:$A$504,0)))&amp;"","ID not found"))</f>
        <v/>
      </c>
      <c r="E2230" s="51" t="str">
        <f aca="false">IF(C2230="","",IFERROR(IF(LEFT(C2230,1)="L",INDEX('Leads Pipeline'!$D$5:$D$1004,MATCH(C2230,'Leads Pipeline'!$A$5:$A$1004,0)),INDEX('Active Clients'!$B$5:$B$504,MATCH(C2230,'Active Clients'!$A$5:$A$504,0)))&amp;"","ID not found"))</f>
        <v/>
      </c>
      <c r="F2230" s="51" t="str">
        <f aca="false">IF(C2230="","",IFERROR(IF(LEFT(C2230,1)="L",INDEX('Leads Pipeline'!$E$5:$E$1004,MATCH(C2230,'Leads Pipeline'!$A$5:$A$1004,0)),INDEX('Active Clients'!$C$5:$C$504,MATCH(C2230,'Active Clients'!$A$5:$A$504,0)))&amp;"","ID not found"))</f>
        <v/>
      </c>
      <c r="G2230" s="16"/>
      <c r="H2230" s="16"/>
      <c r="I2230" s="16"/>
      <c r="J2230" s="16"/>
      <c r="K2230" s="16"/>
      <c r="L2230" s="18"/>
    </row>
    <row r="2231" customFormat="false" ht="15" hidden="false" customHeight="false" outlineLevel="0" collapsed="false">
      <c r="A2231" s="18"/>
      <c r="B2231" s="16"/>
      <c r="C2231" s="16"/>
      <c r="D2231" s="51" t="str">
        <f aca="false">IF(C2231="","",IFERROR(IF(LEFT(C2231,1)="L",INDEX('Leads Pipeline'!$F$5:$F$1004,MATCH(C2231,'Leads Pipeline'!$A$5:$A$1004,0)),INDEX('Active Clients'!$D$5:$D$504,MATCH(C2231,'Active Clients'!$A$5:$A$504,0)))&amp;"","ID not found"))</f>
        <v/>
      </c>
      <c r="E2231" s="51" t="str">
        <f aca="false">IF(C2231="","",IFERROR(IF(LEFT(C2231,1)="L",INDEX('Leads Pipeline'!$D$5:$D$1004,MATCH(C2231,'Leads Pipeline'!$A$5:$A$1004,0)),INDEX('Active Clients'!$B$5:$B$504,MATCH(C2231,'Active Clients'!$A$5:$A$504,0)))&amp;"","ID not found"))</f>
        <v/>
      </c>
      <c r="F2231" s="51" t="str">
        <f aca="false">IF(C2231="","",IFERROR(IF(LEFT(C2231,1)="L",INDEX('Leads Pipeline'!$E$5:$E$1004,MATCH(C2231,'Leads Pipeline'!$A$5:$A$1004,0)),INDEX('Active Clients'!$C$5:$C$504,MATCH(C2231,'Active Clients'!$A$5:$A$504,0)))&amp;"","ID not found"))</f>
        <v/>
      </c>
      <c r="G2231" s="16"/>
      <c r="H2231" s="16"/>
      <c r="I2231" s="16"/>
      <c r="J2231" s="16"/>
      <c r="K2231" s="16"/>
      <c r="L2231" s="18"/>
    </row>
    <row r="2232" customFormat="false" ht="15" hidden="false" customHeight="false" outlineLevel="0" collapsed="false">
      <c r="A2232" s="18"/>
      <c r="B2232" s="16"/>
      <c r="C2232" s="16"/>
      <c r="D2232" s="51" t="str">
        <f aca="false">IF(C2232="","",IFERROR(IF(LEFT(C2232,1)="L",INDEX('Leads Pipeline'!$F$5:$F$1004,MATCH(C2232,'Leads Pipeline'!$A$5:$A$1004,0)),INDEX('Active Clients'!$D$5:$D$504,MATCH(C2232,'Active Clients'!$A$5:$A$504,0)))&amp;"","ID not found"))</f>
        <v/>
      </c>
      <c r="E2232" s="51" t="str">
        <f aca="false">IF(C2232="","",IFERROR(IF(LEFT(C2232,1)="L",INDEX('Leads Pipeline'!$D$5:$D$1004,MATCH(C2232,'Leads Pipeline'!$A$5:$A$1004,0)),INDEX('Active Clients'!$B$5:$B$504,MATCH(C2232,'Active Clients'!$A$5:$A$504,0)))&amp;"","ID not found"))</f>
        <v/>
      </c>
      <c r="F2232" s="51" t="str">
        <f aca="false">IF(C2232="","",IFERROR(IF(LEFT(C2232,1)="L",INDEX('Leads Pipeline'!$E$5:$E$1004,MATCH(C2232,'Leads Pipeline'!$A$5:$A$1004,0)),INDEX('Active Clients'!$C$5:$C$504,MATCH(C2232,'Active Clients'!$A$5:$A$504,0)))&amp;"","ID not found"))</f>
        <v/>
      </c>
      <c r="G2232" s="16"/>
      <c r="H2232" s="16"/>
      <c r="I2232" s="16"/>
      <c r="J2232" s="16"/>
      <c r="K2232" s="16"/>
      <c r="L2232" s="18"/>
    </row>
    <row r="2233" customFormat="false" ht="15" hidden="false" customHeight="false" outlineLevel="0" collapsed="false">
      <c r="A2233" s="18"/>
      <c r="B2233" s="16"/>
      <c r="C2233" s="16"/>
      <c r="D2233" s="51" t="str">
        <f aca="false">IF(C2233="","",IFERROR(IF(LEFT(C2233,1)="L",INDEX('Leads Pipeline'!$F$5:$F$1004,MATCH(C2233,'Leads Pipeline'!$A$5:$A$1004,0)),INDEX('Active Clients'!$D$5:$D$504,MATCH(C2233,'Active Clients'!$A$5:$A$504,0)))&amp;"","ID not found"))</f>
        <v/>
      </c>
      <c r="E2233" s="51" t="str">
        <f aca="false">IF(C2233="","",IFERROR(IF(LEFT(C2233,1)="L",INDEX('Leads Pipeline'!$D$5:$D$1004,MATCH(C2233,'Leads Pipeline'!$A$5:$A$1004,0)),INDEX('Active Clients'!$B$5:$B$504,MATCH(C2233,'Active Clients'!$A$5:$A$504,0)))&amp;"","ID not found"))</f>
        <v/>
      </c>
      <c r="F2233" s="51" t="str">
        <f aca="false">IF(C2233="","",IFERROR(IF(LEFT(C2233,1)="L",INDEX('Leads Pipeline'!$E$5:$E$1004,MATCH(C2233,'Leads Pipeline'!$A$5:$A$1004,0)),INDEX('Active Clients'!$C$5:$C$504,MATCH(C2233,'Active Clients'!$A$5:$A$504,0)))&amp;"","ID not found"))</f>
        <v/>
      </c>
      <c r="G2233" s="16"/>
      <c r="H2233" s="16"/>
      <c r="I2233" s="16"/>
      <c r="J2233" s="16"/>
      <c r="K2233" s="16"/>
      <c r="L2233" s="18"/>
    </row>
    <row r="2234" customFormat="false" ht="15" hidden="false" customHeight="false" outlineLevel="0" collapsed="false">
      <c r="A2234" s="18"/>
      <c r="B2234" s="16"/>
      <c r="C2234" s="16"/>
      <c r="D2234" s="51" t="str">
        <f aca="false">IF(C2234="","",IFERROR(IF(LEFT(C2234,1)="L",INDEX('Leads Pipeline'!$F$5:$F$1004,MATCH(C2234,'Leads Pipeline'!$A$5:$A$1004,0)),INDEX('Active Clients'!$D$5:$D$504,MATCH(C2234,'Active Clients'!$A$5:$A$504,0)))&amp;"","ID not found"))</f>
        <v/>
      </c>
      <c r="E2234" s="51" t="str">
        <f aca="false">IF(C2234="","",IFERROR(IF(LEFT(C2234,1)="L",INDEX('Leads Pipeline'!$D$5:$D$1004,MATCH(C2234,'Leads Pipeline'!$A$5:$A$1004,0)),INDEX('Active Clients'!$B$5:$B$504,MATCH(C2234,'Active Clients'!$A$5:$A$504,0)))&amp;"","ID not found"))</f>
        <v/>
      </c>
      <c r="F2234" s="51" t="str">
        <f aca="false">IF(C2234="","",IFERROR(IF(LEFT(C2234,1)="L",INDEX('Leads Pipeline'!$E$5:$E$1004,MATCH(C2234,'Leads Pipeline'!$A$5:$A$1004,0)),INDEX('Active Clients'!$C$5:$C$504,MATCH(C2234,'Active Clients'!$A$5:$A$504,0)))&amp;"","ID not found"))</f>
        <v/>
      </c>
      <c r="G2234" s="16"/>
      <c r="H2234" s="16"/>
      <c r="I2234" s="16"/>
      <c r="J2234" s="16"/>
      <c r="K2234" s="16"/>
      <c r="L2234" s="18"/>
    </row>
    <row r="2235" customFormat="false" ht="15" hidden="false" customHeight="false" outlineLevel="0" collapsed="false">
      <c r="A2235" s="18"/>
      <c r="B2235" s="16"/>
      <c r="C2235" s="16"/>
      <c r="D2235" s="51" t="str">
        <f aca="false">IF(C2235="","",IFERROR(IF(LEFT(C2235,1)="L",INDEX('Leads Pipeline'!$F$5:$F$1004,MATCH(C2235,'Leads Pipeline'!$A$5:$A$1004,0)),INDEX('Active Clients'!$D$5:$D$504,MATCH(C2235,'Active Clients'!$A$5:$A$504,0)))&amp;"","ID not found"))</f>
        <v/>
      </c>
      <c r="E2235" s="51" t="str">
        <f aca="false">IF(C2235="","",IFERROR(IF(LEFT(C2235,1)="L",INDEX('Leads Pipeline'!$D$5:$D$1004,MATCH(C2235,'Leads Pipeline'!$A$5:$A$1004,0)),INDEX('Active Clients'!$B$5:$B$504,MATCH(C2235,'Active Clients'!$A$5:$A$504,0)))&amp;"","ID not found"))</f>
        <v/>
      </c>
      <c r="F2235" s="51" t="str">
        <f aca="false">IF(C2235="","",IFERROR(IF(LEFT(C2235,1)="L",INDEX('Leads Pipeline'!$E$5:$E$1004,MATCH(C2235,'Leads Pipeline'!$A$5:$A$1004,0)),INDEX('Active Clients'!$C$5:$C$504,MATCH(C2235,'Active Clients'!$A$5:$A$504,0)))&amp;"","ID not found"))</f>
        <v/>
      </c>
      <c r="G2235" s="16"/>
      <c r="H2235" s="16"/>
      <c r="I2235" s="16"/>
      <c r="J2235" s="16"/>
      <c r="K2235" s="16"/>
      <c r="L2235" s="18"/>
    </row>
    <row r="2236" customFormat="false" ht="15" hidden="false" customHeight="false" outlineLevel="0" collapsed="false">
      <c r="A2236" s="18"/>
      <c r="B2236" s="16"/>
      <c r="C2236" s="16"/>
      <c r="D2236" s="51" t="str">
        <f aca="false">IF(C2236="","",IFERROR(IF(LEFT(C2236,1)="L",INDEX('Leads Pipeline'!$F$5:$F$1004,MATCH(C2236,'Leads Pipeline'!$A$5:$A$1004,0)),INDEX('Active Clients'!$D$5:$D$504,MATCH(C2236,'Active Clients'!$A$5:$A$504,0)))&amp;"","ID not found"))</f>
        <v/>
      </c>
      <c r="E2236" s="51" t="str">
        <f aca="false">IF(C2236="","",IFERROR(IF(LEFT(C2236,1)="L",INDEX('Leads Pipeline'!$D$5:$D$1004,MATCH(C2236,'Leads Pipeline'!$A$5:$A$1004,0)),INDEX('Active Clients'!$B$5:$B$504,MATCH(C2236,'Active Clients'!$A$5:$A$504,0)))&amp;"","ID not found"))</f>
        <v/>
      </c>
      <c r="F2236" s="51" t="str">
        <f aca="false">IF(C2236="","",IFERROR(IF(LEFT(C2236,1)="L",INDEX('Leads Pipeline'!$E$5:$E$1004,MATCH(C2236,'Leads Pipeline'!$A$5:$A$1004,0)),INDEX('Active Clients'!$C$5:$C$504,MATCH(C2236,'Active Clients'!$A$5:$A$504,0)))&amp;"","ID not found"))</f>
        <v/>
      </c>
      <c r="G2236" s="16"/>
      <c r="H2236" s="16"/>
      <c r="I2236" s="16"/>
      <c r="J2236" s="16"/>
      <c r="K2236" s="16"/>
      <c r="L2236" s="18"/>
    </row>
    <row r="2237" customFormat="false" ht="15" hidden="false" customHeight="false" outlineLevel="0" collapsed="false">
      <c r="A2237" s="18"/>
      <c r="B2237" s="16"/>
      <c r="C2237" s="16"/>
      <c r="D2237" s="51" t="str">
        <f aca="false">IF(C2237="","",IFERROR(IF(LEFT(C2237,1)="L",INDEX('Leads Pipeline'!$F$5:$F$1004,MATCH(C2237,'Leads Pipeline'!$A$5:$A$1004,0)),INDEX('Active Clients'!$D$5:$D$504,MATCH(C2237,'Active Clients'!$A$5:$A$504,0)))&amp;"","ID not found"))</f>
        <v/>
      </c>
      <c r="E2237" s="51" t="str">
        <f aca="false">IF(C2237="","",IFERROR(IF(LEFT(C2237,1)="L",INDEX('Leads Pipeline'!$D$5:$D$1004,MATCH(C2237,'Leads Pipeline'!$A$5:$A$1004,0)),INDEX('Active Clients'!$B$5:$B$504,MATCH(C2237,'Active Clients'!$A$5:$A$504,0)))&amp;"","ID not found"))</f>
        <v/>
      </c>
      <c r="F2237" s="51" t="str">
        <f aca="false">IF(C2237="","",IFERROR(IF(LEFT(C2237,1)="L",INDEX('Leads Pipeline'!$E$5:$E$1004,MATCH(C2237,'Leads Pipeline'!$A$5:$A$1004,0)),INDEX('Active Clients'!$C$5:$C$504,MATCH(C2237,'Active Clients'!$A$5:$A$504,0)))&amp;"","ID not found"))</f>
        <v/>
      </c>
      <c r="G2237" s="16"/>
      <c r="H2237" s="16"/>
      <c r="I2237" s="16"/>
      <c r="J2237" s="16"/>
      <c r="K2237" s="16"/>
      <c r="L2237" s="18"/>
    </row>
    <row r="2238" customFormat="false" ht="15" hidden="false" customHeight="false" outlineLevel="0" collapsed="false">
      <c r="A2238" s="18"/>
      <c r="B2238" s="16"/>
      <c r="C2238" s="16"/>
      <c r="D2238" s="51" t="str">
        <f aca="false">IF(C2238="","",IFERROR(IF(LEFT(C2238,1)="L",INDEX('Leads Pipeline'!$F$5:$F$1004,MATCH(C2238,'Leads Pipeline'!$A$5:$A$1004,0)),INDEX('Active Clients'!$D$5:$D$504,MATCH(C2238,'Active Clients'!$A$5:$A$504,0)))&amp;"","ID not found"))</f>
        <v/>
      </c>
      <c r="E2238" s="51" t="str">
        <f aca="false">IF(C2238="","",IFERROR(IF(LEFT(C2238,1)="L",INDEX('Leads Pipeline'!$D$5:$D$1004,MATCH(C2238,'Leads Pipeline'!$A$5:$A$1004,0)),INDEX('Active Clients'!$B$5:$B$504,MATCH(C2238,'Active Clients'!$A$5:$A$504,0)))&amp;"","ID not found"))</f>
        <v/>
      </c>
      <c r="F2238" s="51" t="str">
        <f aca="false">IF(C2238="","",IFERROR(IF(LEFT(C2238,1)="L",INDEX('Leads Pipeline'!$E$5:$E$1004,MATCH(C2238,'Leads Pipeline'!$A$5:$A$1004,0)),INDEX('Active Clients'!$C$5:$C$504,MATCH(C2238,'Active Clients'!$A$5:$A$504,0)))&amp;"","ID not found"))</f>
        <v/>
      </c>
      <c r="G2238" s="16"/>
      <c r="H2238" s="16"/>
      <c r="I2238" s="16"/>
      <c r="J2238" s="16"/>
      <c r="K2238" s="16"/>
      <c r="L2238" s="18"/>
    </row>
    <row r="2239" customFormat="false" ht="15" hidden="false" customHeight="false" outlineLevel="0" collapsed="false">
      <c r="A2239" s="18"/>
      <c r="B2239" s="16"/>
      <c r="C2239" s="16"/>
      <c r="D2239" s="51" t="str">
        <f aca="false">IF(C2239="","",IFERROR(IF(LEFT(C2239,1)="L",INDEX('Leads Pipeline'!$F$5:$F$1004,MATCH(C2239,'Leads Pipeline'!$A$5:$A$1004,0)),INDEX('Active Clients'!$D$5:$D$504,MATCH(C2239,'Active Clients'!$A$5:$A$504,0)))&amp;"","ID not found"))</f>
        <v/>
      </c>
      <c r="E2239" s="51" t="str">
        <f aca="false">IF(C2239="","",IFERROR(IF(LEFT(C2239,1)="L",INDEX('Leads Pipeline'!$D$5:$D$1004,MATCH(C2239,'Leads Pipeline'!$A$5:$A$1004,0)),INDEX('Active Clients'!$B$5:$B$504,MATCH(C2239,'Active Clients'!$A$5:$A$504,0)))&amp;"","ID not found"))</f>
        <v/>
      </c>
      <c r="F2239" s="51" t="str">
        <f aca="false">IF(C2239="","",IFERROR(IF(LEFT(C2239,1)="L",INDEX('Leads Pipeline'!$E$5:$E$1004,MATCH(C2239,'Leads Pipeline'!$A$5:$A$1004,0)),INDEX('Active Clients'!$C$5:$C$504,MATCH(C2239,'Active Clients'!$A$5:$A$504,0)))&amp;"","ID not found"))</f>
        <v/>
      </c>
      <c r="G2239" s="16"/>
      <c r="H2239" s="16"/>
      <c r="I2239" s="16"/>
      <c r="J2239" s="16"/>
      <c r="K2239" s="16"/>
      <c r="L2239" s="18"/>
    </row>
    <row r="2240" customFormat="false" ht="15" hidden="false" customHeight="false" outlineLevel="0" collapsed="false">
      <c r="A2240" s="18"/>
      <c r="B2240" s="16"/>
      <c r="C2240" s="16"/>
      <c r="D2240" s="51" t="str">
        <f aca="false">IF(C2240="","",IFERROR(IF(LEFT(C2240,1)="L",INDEX('Leads Pipeline'!$F$5:$F$1004,MATCH(C2240,'Leads Pipeline'!$A$5:$A$1004,0)),INDEX('Active Clients'!$D$5:$D$504,MATCH(C2240,'Active Clients'!$A$5:$A$504,0)))&amp;"","ID not found"))</f>
        <v/>
      </c>
      <c r="E2240" s="51" t="str">
        <f aca="false">IF(C2240="","",IFERROR(IF(LEFT(C2240,1)="L",INDEX('Leads Pipeline'!$D$5:$D$1004,MATCH(C2240,'Leads Pipeline'!$A$5:$A$1004,0)),INDEX('Active Clients'!$B$5:$B$504,MATCH(C2240,'Active Clients'!$A$5:$A$504,0)))&amp;"","ID not found"))</f>
        <v/>
      </c>
      <c r="F2240" s="51" t="str">
        <f aca="false">IF(C2240="","",IFERROR(IF(LEFT(C2240,1)="L",INDEX('Leads Pipeline'!$E$5:$E$1004,MATCH(C2240,'Leads Pipeline'!$A$5:$A$1004,0)),INDEX('Active Clients'!$C$5:$C$504,MATCH(C2240,'Active Clients'!$A$5:$A$504,0)))&amp;"","ID not found"))</f>
        <v/>
      </c>
      <c r="G2240" s="16"/>
      <c r="H2240" s="16"/>
      <c r="I2240" s="16"/>
      <c r="J2240" s="16"/>
      <c r="K2240" s="16"/>
      <c r="L2240" s="18"/>
    </row>
    <row r="2241" customFormat="false" ht="15" hidden="false" customHeight="false" outlineLevel="0" collapsed="false">
      <c r="A2241" s="18"/>
      <c r="B2241" s="16"/>
      <c r="C2241" s="16"/>
      <c r="D2241" s="51" t="str">
        <f aca="false">IF(C2241="","",IFERROR(IF(LEFT(C2241,1)="L",INDEX('Leads Pipeline'!$F$5:$F$1004,MATCH(C2241,'Leads Pipeline'!$A$5:$A$1004,0)),INDEX('Active Clients'!$D$5:$D$504,MATCH(C2241,'Active Clients'!$A$5:$A$504,0)))&amp;"","ID not found"))</f>
        <v/>
      </c>
      <c r="E2241" s="51" t="str">
        <f aca="false">IF(C2241="","",IFERROR(IF(LEFT(C2241,1)="L",INDEX('Leads Pipeline'!$D$5:$D$1004,MATCH(C2241,'Leads Pipeline'!$A$5:$A$1004,0)),INDEX('Active Clients'!$B$5:$B$504,MATCH(C2241,'Active Clients'!$A$5:$A$504,0)))&amp;"","ID not found"))</f>
        <v/>
      </c>
      <c r="F2241" s="51" t="str">
        <f aca="false">IF(C2241="","",IFERROR(IF(LEFT(C2241,1)="L",INDEX('Leads Pipeline'!$E$5:$E$1004,MATCH(C2241,'Leads Pipeline'!$A$5:$A$1004,0)),INDEX('Active Clients'!$C$5:$C$504,MATCH(C2241,'Active Clients'!$A$5:$A$504,0)))&amp;"","ID not found"))</f>
        <v/>
      </c>
      <c r="G2241" s="16"/>
      <c r="H2241" s="16"/>
      <c r="I2241" s="16"/>
      <c r="J2241" s="16"/>
      <c r="K2241" s="16"/>
      <c r="L2241" s="18"/>
    </row>
    <row r="2242" customFormat="false" ht="15" hidden="false" customHeight="false" outlineLevel="0" collapsed="false">
      <c r="A2242" s="18"/>
      <c r="B2242" s="16"/>
      <c r="C2242" s="16"/>
      <c r="D2242" s="51" t="str">
        <f aca="false">IF(C2242="","",IFERROR(IF(LEFT(C2242,1)="L",INDEX('Leads Pipeline'!$F$5:$F$1004,MATCH(C2242,'Leads Pipeline'!$A$5:$A$1004,0)),INDEX('Active Clients'!$D$5:$D$504,MATCH(C2242,'Active Clients'!$A$5:$A$504,0)))&amp;"","ID not found"))</f>
        <v/>
      </c>
      <c r="E2242" s="51" t="str">
        <f aca="false">IF(C2242="","",IFERROR(IF(LEFT(C2242,1)="L",INDEX('Leads Pipeline'!$D$5:$D$1004,MATCH(C2242,'Leads Pipeline'!$A$5:$A$1004,0)),INDEX('Active Clients'!$B$5:$B$504,MATCH(C2242,'Active Clients'!$A$5:$A$504,0)))&amp;"","ID not found"))</f>
        <v/>
      </c>
      <c r="F2242" s="51" t="str">
        <f aca="false">IF(C2242="","",IFERROR(IF(LEFT(C2242,1)="L",INDEX('Leads Pipeline'!$E$5:$E$1004,MATCH(C2242,'Leads Pipeline'!$A$5:$A$1004,0)),INDEX('Active Clients'!$C$5:$C$504,MATCH(C2242,'Active Clients'!$A$5:$A$504,0)))&amp;"","ID not found"))</f>
        <v/>
      </c>
      <c r="G2242" s="16"/>
      <c r="H2242" s="16"/>
      <c r="I2242" s="16"/>
      <c r="J2242" s="16"/>
      <c r="K2242" s="16"/>
      <c r="L2242" s="18"/>
    </row>
    <row r="2243" customFormat="false" ht="15" hidden="false" customHeight="false" outlineLevel="0" collapsed="false">
      <c r="A2243" s="18"/>
      <c r="B2243" s="16"/>
      <c r="C2243" s="16"/>
      <c r="D2243" s="51" t="str">
        <f aca="false">IF(C2243="","",IFERROR(IF(LEFT(C2243,1)="L",INDEX('Leads Pipeline'!$F$5:$F$1004,MATCH(C2243,'Leads Pipeline'!$A$5:$A$1004,0)),INDEX('Active Clients'!$D$5:$D$504,MATCH(C2243,'Active Clients'!$A$5:$A$504,0)))&amp;"","ID not found"))</f>
        <v/>
      </c>
      <c r="E2243" s="51" t="str">
        <f aca="false">IF(C2243="","",IFERROR(IF(LEFT(C2243,1)="L",INDEX('Leads Pipeline'!$D$5:$D$1004,MATCH(C2243,'Leads Pipeline'!$A$5:$A$1004,0)),INDEX('Active Clients'!$B$5:$B$504,MATCH(C2243,'Active Clients'!$A$5:$A$504,0)))&amp;"","ID not found"))</f>
        <v/>
      </c>
      <c r="F2243" s="51" t="str">
        <f aca="false">IF(C2243="","",IFERROR(IF(LEFT(C2243,1)="L",INDEX('Leads Pipeline'!$E$5:$E$1004,MATCH(C2243,'Leads Pipeline'!$A$5:$A$1004,0)),INDEX('Active Clients'!$C$5:$C$504,MATCH(C2243,'Active Clients'!$A$5:$A$504,0)))&amp;"","ID not found"))</f>
        <v/>
      </c>
      <c r="G2243" s="16"/>
      <c r="H2243" s="16"/>
      <c r="I2243" s="16"/>
      <c r="J2243" s="16"/>
      <c r="K2243" s="16"/>
      <c r="L2243" s="18"/>
    </row>
    <row r="2244" customFormat="false" ht="15" hidden="false" customHeight="false" outlineLevel="0" collapsed="false">
      <c r="A2244" s="18"/>
      <c r="B2244" s="16"/>
      <c r="C2244" s="16"/>
      <c r="D2244" s="51" t="str">
        <f aca="false">IF(C2244="","",IFERROR(IF(LEFT(C2244,1)="L",INDEX('Leads Pipeline'!$F$5:$F$1004,MATCH(C2244,'Leads Pipeline'!$A$5:$A$1004,0)),INDEX('Active Clients'!$D$5:$D$504,MATCH(C2244,'Active Clients'!$A$5:$A$504,0)))&amp;"","ID not found"))</f>
        <v/>
      </c>
      <c r="E2244" s="51" t="str">
        <f aca="false">IF(C2244="","",IFERROR(IF(LEFT(C2244,1)="L",INDEX('Leads Pipeline'!$D$5:$D$1004,MATCH(C2244,'Leads Pipeline'!$A$5:$A$1004,0)),INDEX('Active Clients'!$B$5:$B$504,MATCH(C2244,'Active Clients'!$A$5:$A$504,0)))&amp;"","ID not found"))</f>
        <v/>
      </c>
      <c r="F2244" s="51" t="str">
        <f aca="false">IF(C2244="","",IFERROR(IF(LEFT(C2244,1)="L",INDEX('Leads Pipeline'!$E$5:$E$1004,MATCH(C2244,'Leads Pipeline'!$A$5:$A$1004,0)),INDEX('Active Clients'!$C$5:$C$504,MATCH(C2244,'Active Clients'!$A$5:$A$504,0)))&amp;"","ID not found"))</f>
        <v/>
      </c>
      <c r="G2244" s="16"/>
      <c r="H2244" s="16"/>
      <c r="I2244" s="16"/>
      <c r="J2244" s="16"/>
      <c r="K2244" s="16"/>
      <c r="L2244" s="18"/>
    </row>
    <row r="2245" customFormat="false" ht="15" hidden="false" customHeight="false" outlineLevel="0" collapsed="false">
      <c r="A2245" s="18"/>
      <c r="B2245" s="16"/>
      <c r="C2245" s="16"/>
      <c r="D2245" s="51" t="str">
        <f aca="false">IF(C2245="","",IFERROR(IF(LEFT(C2245,1)="L",INDEX('Leads Pipeline'!$F$5:$F$1004,MATCH(C2245,'Leads Pipeline'!$A$5:$A$1004,0)),INDEX('Active Clients'!$D$5:$D$504,MATCH(C2245,'Active Clients'!$A$5:$A$504,0)))&amp;"","ID not found"))</f>
        <v/>
      </c>
      <c r="E2245" s="51" t="str">
        <f aca="false">IF(C2245="","",IFERROR(IF(LEFT(C2245,1)="L",INDEX('Leads Pipeline'!$D$5:$D$1004,MATCH(C2245,'Leads Pipeline'!$A$5:$A$1004,0)),INDEX('Active Clients'!$B$5:$B$504,MATCH(C2245,'Active Clients'!$A$5:$A$504,0)))&amp;"","ID not found"))</f>
        <v/>
      </c>
      <c r="F2245" s="51" t="str">
        <f aca="false">IF(C2245="","",IFERROR(IF(LEFT(C2245,1)="L",INDEX('Leads Pipeline'!$E$5:$E$1004,MATCH(C2245,'Leads Pipeline'!$A$5:$A$1004,0)),INDEX('Active Clients'!$C$5:$C$504,MATCH(C2245,'Active Clients'!$A$5:$A$504,0)))&amp;"","ID not found"))</f>
        <v/>
      </c>
      <c r="G2245" s="16"/>
      <c r="H2245" s="16"/>
      <c r="I2245" s="16"/>
      <c r="J2245" s="16"/>
      <c r="K2245" s="16"/>
      <c r="L2245" s="18"/>
    </row>
    <row r="2246" customFormat="false" ht="15" hidden="false" customHeight="false" outlineLevel="0" collapsed="false">
      <c r="A2246" s="18"/>
      <c r="B2246" s="16"/>
      <c r="C2246" s="16"/>
      <c r="D2246" s="51" t="str">
        <f aca="false">IF(C2246="","",IFERROR(IF(LEFT(C2246,1)="L",INDEX('Leads Pipeline'!$F$5:$F$1004,MATCH(C2246,'Leads Pipeline'!$A$5:$A$1004,0)),INDEX('Active Clients'!$D$5:$D$504,MATCH(C2246,'Active Clients'!$A$5:$A$504,0)))&amp;"","ID not found"))</f>
        <v/>
      </c>
      <c r="E2246" s="51" t="str">
        <f aca="false">IF(C2246="","",IFERROR(IF(LEFT(C2246,1)="L",INDEX('Leads Pipeline'!$D$5:$D$1004,MATCH(C2246,'Leads Pipeline'!$A$5:$A$1004,0)),INDEX('Active Clients'!$B$5:$B$504,MATCH(C2246,'Active Clients'!$A$5:$A$504,0)))&amp;"","ID not found"))</f>
        <v/>
      </c>
      <c r="F2246" s="51" t="str">
        <f aca="false">IF(C2246="","",IFERROR(IF(LEFT(C2246,1)="L",INDEX('Leads Pipeline'!$E$5:$E$1004,MATCH(C2246,'Leads Pipeline'!$A$5:$A$1004,0)),INDEX('Active Clients'!$C$5:$C$504,MATCH(C2246,'Active Clients'!$A$5:$A$504,0)))&amp;"","ID not found"))</f>
        <v/>
      </c>
      <c r="G2246" s="16"/>
      <c r="H2246" s="16"/>
      <c r="I2246" s="16"/>
      <c r="J2246" s="16"/>
      <c r="K2246" s="16"/>
      <c r="L2246" s="18"/>
    </row>
    <row r="2247" customFormat="false" ht="15" hidden="false" customHeight="false" outlineLevel="0" collapsed="false">
      <c r="A2247" s="18"/>
      <c r="B2247" s="16"/>
      <c r="C2247" s="16"/>
      <c r="D2247" s="51" t="str">
        <f aca="false">IF(C2247="","",IFERROR(IF(LEFT(C2247,1)="L",INDEX('Leads Pipeline'!$F$5:$F$1004,MATCH(C2247,'Leads Pipeline'!$A$5:$A$1004,0)),INDEX('Active Clients'!$D$5:$D$504,MATCH(C2247,'Active Clients'!$A$5:$A$504,0)))&amp;"","ID not found"))</f>
        <v/>
      </c>
      <c r="E2247" s="51" t="str">
        <f aca="false">IF(C2247="","",IFERROR(IF(LEFT(C2247,1)="L",INDEX('Leads Pipeline'!$D$5:$D$1004,MATCH(C2247,'Leads Pipeline'!$A$5:$A$1004,0)),INDEX('Active Clients'!$B$5:$B$504,MATCH(C2247,'Active Clients'!$A$5:$A$504,0)))&amp;"","ID not found"))</f>
        <v/>
      </c>
      <c r="F2247" s="51" t="str">
        <f aca="false">IF(C2247="","",IFERROR(IF(LEFT(C2247,1)="L",INDEX('Leads Pipeline'!$E$5:$E$1004,MATCH(C2247,'Leads Pipeline'!$A$5:$A$1004,0)),INDEX('Active Clients'!$C$5:$C$504,MATCH(C2247,'Active Clients'!$A$5:$A$504,0)))&amp;"","ID not found"))</f>
        <v/>
      </c>
      <c r="G2247" s="16"/>
      <c r="H2247" s="16"/>
      <c r="I2247" s="16"/>
      <c r="J2247" s="16"/>
      <c r="K2247" s="16"/>
      <c r="L2247" s="18"/>
    </row>
    <row r="2248" customFormat="false" ht="15" hidden="false" customHeight="false" outlineLevel="0" collapsed="false">
      <c r="A2248" s="18"/>
      <c r="B2248" s="16"/>
      <c r="C2248" s="16"/>
      <c r="D2248" s="51" t="str">
        <f aca="false">IF(C2248="","",IFERROR(IF(LEFT(C2248,1)="L",INDEX('Leads Pipeline'!$F$5:$F$1004,MATCH(C2248,'Leads Pipeline'!$A$5:$A$1004,0)),INDEX('Active Clients'!$D$5:$D$504,MATCH(C2248,'Active Clients'!$A$5:$A$504,0)))&amp;"","ID not found"))</f>
        <v/>
      </c>
      <c r="E2248" s="51" t="str">
        <f aca="false">IF(C2248="","",IFERROR(IF(LEFT(C2248,1)="L",INDEX('Leads Pipeline'!$D$5:$D$1004,MATCH(C2248,'Leads Pipeline'!$A$5:$A$1004,0)),INDEX('Active Clients'!$B$5:$B$504,MATCH(C2248,'Active Clients'!$A$5:$A$504,0)))&amp;"","ID not found"))</f>
        <v/>
      </c>
      <c r="F2248" s="51" t="str">
        <f aca="false">IF(C2248="","",IFERROR(IF(LEFT(C2248,1)="L",INDEX('Leads Pipeline'!$E$5:$E$1004,MATCH(C2248,'Leads Pipeline'!$A$5:$A$1004,0)),INDEX('Active Clients'!$C$5:$C$504,MATCH(C2248,'Active Clients'!$A$5:$A$504,0)))&amp;"","ID not found"))</f>
        <v/>
      </c>
      <c r="G2248" s="16"/>
      <c r="H2248" s="16"/>
      <c r="I2248" s="16"/>
      <c r="J2248" s="16"/>
      <c r="K2248" s="16"/>
      <c r="L2248" s="18"/>
    </row>
    <row r="2249" customFormat="false" ht="15" hidden="false" customHeight="false" outlineLevel="0" collapsed="false">
      <c r="A2249" s="18"/>
      <c r="B2249" s="16"/>
      <c r="C2249" s="16"/>
      <c r="D2249" s="51" t="str">
        <f aca="false">IF(C2249="","",IFERROR(IF(LEFT(C2249,1)="L",INDEX('Leads Pipeline'!$F$5:$F$1004,MATCH(C2249,'Leads Pipeline'!$A$5:$A$1004,0)),INDEX('Active Clients'!$D$5:$D$504,MATCH(C2249,'Active Clients'!$A$5:$A$504,0)))&amp;"","ID not found"))</f>
        <v/>
      </c>
      <c r="E2249" s="51" t="str">
        <f aca="false">IF(C2249="","",IFERROR(IF(LEFT(C2249,1)="L",INDEX('Leads Pipeline'!$D$5:$D$1004,MATCH(C2249,'Leads Pipeline'!$A$5:$A$1004,0)),INDEX('Active Clients'!$B$5:$B$504,MATCH(C2249,'Active Clients'!$A$5:$A$504,0)))&amp;"","ID not found"))</f>
        <v/>
      </c>
      <c r="F2249" s="51" t="str">
        <f aca="false">IF(C2249="","",IFERROR(IF(LEFT(C2249,1)="L",INDEX('Leads Pipeline'!$E$5:$E$1004,MATCH(C2249,'Leads Pipeline'!$A$5:$A$1004,0)),INDEX('Active Clients'!$C$5:$C$504,MATCH(C2249,'Active Clients'!$A$5:$A$504,0)))&amp;"","ID not found"))</f>
        <v/>
      </c>
      <c r="G2249" s="16"/>
      <c r="H2249" s="16"/>
      <c r="I2249" s="16"/>
      <c r="J2249" s="16"/>
      <c r="K2249" s="16"/>
      <c r="L2249" s="18"/>
    </row>
    <row r="2250" customFormat="false" ht="15" hidden="false" customHeight="false" outlineLevel="0" collapsed="false">
      <c r="A2250" s="18"/>
      <c r="B2250" s="16"/>
      <c r="C2250" s="16"/>
      <c r="D2250" s="51" t="str">
        <f aca="false">IF(C2250="","",IFERROR(IF(LEFT(C2250,1)="L",INDEX('Leads Pipeline'!$F$5:$F$1004,MATCH(C2250,'Leads Pipeline'!$A$5:$A$1004,0)),INDEX('Active Clients'!$D$5:$D$504,MATCH(C2250,'Active Clients'!$A$5:$A$504,0)))&amp;"","ID not found"))</f>
        <v/>
      </c>
      <c r="E2250" s="51" t="str">
        <f aca="false">IF(C2250="","",IFERROR(IF(LEFT(C2250,1)="L",INDEX('Leads Pipeline'!$D$5:$D$1004,MATCH(C2250,'Leads Pipeline'!$A$5:$A$1004,0)),INDEX('Active Clients'!$B$5:$B$504,MATCH(C2250,'Active Clients'!$A$5:$A$504,0)))&amp;"","ID not found"))</f>
        <v/>
      </c>
      <c r="F2250" s="51" t="str">
        <f aca="false">IF(C2250="","",IFERROR(IF(LEFT(C2250,1)="L",INDEX('Leads Pipeline'!$E$5:$E$1004,MATCH(C2250,'Leads Pipeline'!$A$5:$A$1004,0)),INDEX('Active Clients'!$C$5:$C$504,MATCH(C2250,'Active Clients'!$A$5:$A$504,0)))&amp;"","ID not found"))</f>
        <v/>
      </c>
      <c r="G2250" s="16"/>
      <c r="H2250" s="16"/>
      <c r="I2250" s="16"/>
      <c r="J2250" s="16"/>
      <c r="K2250" s="16"/>
      <c r="L2250" s="18"/>
    </row>
    <row r="2251" customFormat="false" ht="15" hidden="false" customHeight="false" outlineLevel="0" collapsed="false">
      <c r="A2251" s="18"/>
      <c r="B2251" s="16"/>
      <c r="C2251" s="16"/>
      <c r="D2251" s="51" t="str">
        <f aca="false">IF(C2251="","",IFERROR(IF(LEFT(C2251,1)="L",INDEX('Leads Pipeline'!$F$5:$F$1004,MATCH(C2251,'Leads Pipeline'!$A$5:$A$1004,0)),INDEX('Active Clients'!$D$5:$D$504,MATCH(C2251,'Active Clients'!$A$5:$A$504,0)))&amp;"","ID not found"))</f>
        <v/>
      </c>
      <c r="E2251" s="51" t="str">
        <f aca="false">IF(C2251="","",IFERROR(IF(LEFT(C2251,1)="L",INDEX('Leads Pipeline'!$D$5:$D$1004,MATCH(C2251,'Leads Pipeline'!$A$5:$A$1004,0)),INDEX('Active Clients'!$B$5:$B$504,MATCH(C2251,'Active Clients'!$A$5:$A$504,0)))&amp;"","ID not found"))</f>
        <v/>
      </c>
      <c r="F2251" s="51" t="str">
        <f aca="false">IF(C2251="","",IFERROR(IF(LEFT(C2251,1)="L",INDEX('Leads Pipeline'!$E$5:$E$1004,MATCH(C2251,'Leads Pipeline'!$A$5:$A$1004,0)),INDEX('Active Clients'!$C$5:$C$504,MATCH(C2251,'Active Clients'!$A$5:$A$504,0)))&amp;"","ID not found"))</f>
        <v/>
      </c>
      <c r="G2251" s="16"/>
      <c r="H2251" s="16"/>
      <c r="I2251" s="16"/>
      <c r="J2251" s="16"/>
      <c r="K2251" s="16"/>
      <c r="L2251" s="18"/>
    </row>
    <row r="2252" customFormat="false" ht="15" hidden="false" customHeight="false" outlineLevel="0" collapsed="false">
      <c r="A2252" s="18"/>
      <c r="B2252" s="16"/>
      <c r="C2252" s="16"/>
      <c r="D2252" s="51" t="str">
        <f aca="false">IF(C2252="","",IFERROR(IF(LEFT(C2252,1)="L",INDEX('Leads Pipeline'!$F$5:$F$1004,MATCH(C2252,'Leads Pipeline'!$A$5:$A$1004,0)),INDEX('Active Clients'!$D$5:$D$504,MATCH(C2252,'Active Clients'!$A$5:$A$504,0)))&amp;"","ID not found"))</f>
        <v/>
      </c>
      <c r="E2252" s="51" t="str">
        <f aca="false">IF(C2252="","",IFERROR(IF(LEFT(C2252,1)="L",INDEX('Leads Pipeline'!$D$5:$D$1004,MATCH(C2252,'Leads Pipeline'!$A$5:$A$1004,0)),INDEX('Active Clients'!$B$5:$B$504,MATCH(C2252,'Active Clients'!$A$5:$A$504,0)))&amp;"","ID not found"))</f>
        <v/>
      </c>
      <c r="F2252" s="51" t="str">
        <f aca="false">IF(C2252="","",IFERROR(IF(LEFT(C2252,1)="L",INDEX('Leads Pipeline'!$E$5:$E$1004,MATCH(C2252,'Leads Pipeline'!$A$5:$A$1004,0)),INDEX('Active Clients'!$C$5:$C$504,MATCH(C2252,'Active Clients'!$A$5:$A$504,0)))&amp;"","ID not found"))</f>
        <v/>
      </c>
      <c r="G2252" s="16"/>
      <c r="H2252" s="16"/>
      <c r="I2252" s="16"/>
      <c r="J2252" s="16"/>
      <c r="K2252" s="16"/>
      <c r="L2252" s="18"/>
    </row>
    <row r="2253" customFormat="false" ht="15" hidden="false" customHeight="false" outlineLevel="0" collapsed="false">
      <c r="A2253" s="18"/>
      <c r="B2253" s="16"/>
      <c r="C2253" s="16"/>
      <c r="D2253" s="51" t="str">
        <f aca="false">IF(C2253="","",IFERROR(IF(LEFT(C2253,1)="L",INDEX('Leads Pipeline'!$F$5:$F$1004,MATCH(C2253,'Leads Pipeline'!$A$5:$A$1004,0)),INDEX('Active Clients'!$D$5:$D$504,MATCH(C2253,'Active Clients'!$A$5:$A$504,0)))&amp;"","ID not found"))</f>
        <v/>
      </c>
      <c r="E2253" s="51" t="str">
        <f aca="false">IF(C2253="","",IFERROR(IF(LEFT(C2253,1)="L",INDEX('Leads Pipeline'!$D$5:$D$1004,MATCH(C2253,'Leads Pipeline'!$A$5:$A$1004,0)),INDEX('Active Clients'!$B$5:$B$504,MATCH(C2253,'Active Clients'!$A$5:$A$504,0)))&amp;"","ID not found"))</f>
        <v/>
      </c>
      <c r="F2253" s="51" t="str">
        <f aca="false">IF(C2253="","",IFERROR(IF(LEFT(C2253,1)="L",INDEX('Leads Pipeline'!$E$5:$E$1004,MATCH(C2253,'Leads Pipeline'!$A$5:$A$1004,0)),INDEX('Active Clients'!$C$5:$C$504,MATCH(C2253,'Active Clients'!$A$5:$A$504,0)))&amp;"","ID not found"))</f>
        <v/>
      </c>
      <c r="G2253" s="16"/>
      <c r="H2253" s="16"/>
      <c r="I2253" s="16"/>
      <c r="J2253" s="16"/>
      <c r="K2253" s="16"/>
      <c r="L2253" s="18"/>
    </row>
    <row r="2254" customFormat="false" ht="15" hidden="false" customHeight="false" outlineLevel="0" collapsed="false">
      <c r="A2254" s="18"/>
      <c r="B2254" s="16"/>
      <c r="C2254" s="16"/>
      <c r="D2254" s="51" t="str">
        <f aca="false">IF(C2254="","",IFERROR(IF(LEFT(C2254,1)="L",INDEX('Leads Pipeline'!$F$5:$F$1004,MATCH(C2254,'Leads Pipeline'!$A$5:$A$1004,0)),INDEX('Active Clients'!$D$5:$D$504,MATCH(C2254,'Active Clients'!$A$5:$A$504,0)))&amp;"","ID not found"))</f>
        <v/>
      </c>
      <c r="E2254" s="51" t="str">
        <f aca="false">IF(C2254="","",IFERROR(IF(LEFT(C2254,1)="L",INDEX('Leads Pipeline'!$D$5:$D$1004,MATCH(C2254,'Leads Pipeline'!$A$5:$A$1004,0)),INDEX('Active Clients'!$B$5:$B$504,MATCH(C2254,'Active Clients'!$A$5:$A$504,0)))&amp;"","ID not found"))</f>
        <v/>
      </c>
      <c r="F2254" s="51" t="str">
        <f aca="false">IF(C2254="","",IFERROR(IF(LEFT(C2254,1)="L",INDEX('Leads Pipeline'!$E$5:$E$1004,MATCH(C2254,'Leads Pipeline'!$A$5:$A$1004,0)),INDEX('Active Clients'!$C$5:$C$504,MATCH(C2254,'Active Clients'!$A$5:$A$504,0)))&amp;"","ID not found"))</f>
        <v/>
      </c>
      <c r="G2254" s="16"/>
      <c r="H2254" s="16"/>
      <c r="I2254" s="16"/>
      <c r="J2254" s="16"/>
      <c r="K2254" s="16"/>
      <c r="L2254" s="18"/>
    </row>
    <row r="2255" customFormat="false" ht="15" hidden="false" customHeight="false" outlineLevel="0" collapsed="false">
      <c r="A2255" s="18"/>
      <c r="B2255" s="16"/>
      <c r="C2255" s="16"/>
      <c r="D2255" s="51" t="str">
        <f aca="false">IF(C2255="","",IFERROR(IF(LEFT(C2255,1)="L",INDEX('Leads Pipeline'!$F$5:$F$1004,MATCH(C2255,'Leads Pipeline'!$A$5:$A$1004,0)),INDEX('Active Clients'!$D$5:$D$504,MATCH(C2255,'Active Clients'!$A$5:$A$504,0)))&amp;"","ID not found"))</f>
        <v/>
      </c>
      <c r="E2255" s="51" t="str">
        <f aca="false">IF(C2255="","",IFERROR(IF(LEFT(C2255,1)="L",INDEX('Leads Pipeline'!$D$5:$D$1004,MATCH(C2255,'Leads Pipeline'!$A$5:$A$1004,0)),INDEX('Active Clients'!$B$5:$B$504,MATCH(C2255,'Active Clients'!$A$5:$A$504,0)))&amp;"","ID not found"))</f>
        <v/>
      </c>
      <c r="F2255" s="51" t="str">
        <f aca="false">IF(C2255="","",IFERROR(IF(LEFT(C2255,1)="L",INDEX('Leads Pipeline'!$E$5:$E$1004,MATCH(C2255,'Leads Pipeline'!$A$5:$A$1004,0)),INDEX('Active Clients'!$C$5:$C$504,MATCH(C2255,'Active Clients'!$A$5:$A$504,0)))&amp;"","ID not found"))</f>
        <v/>
      </c>
      <c r="G2255" s="16"/>
      <c r="H2255" s="16"/>
      <c r="I2255" s="16"/>
      <c r="J2255" s="16"/>
      <c r="K2255" s="16"/>
      <c r="L2255" s="18"/>
    </row>
    <row r="2256" customFormat="false" ht="15" hidden="false" customHeight="false" outlineLevel="0" collapsed="false">
      <c r="A2256" s="18"/>
      <c r="B2256" s="16"/>
      <c r="C2256" s="16"/>
      <c r="D2256" s="51" t="str">
        <f aca="false">IF(C2256="","",IFERROR(IF(LEFT(C2256,1)="L",INDEX('Leads Pipeline'!$F$5:$F$1004,MATCH(C2256,'Leads Pipeline'!$A$5:$A$1004,0)),INDEX('Active Clients'!$D$5:$D$504,MATCH(C2256,'Active Clients'!$A$5:$A$504,0)))&amp;"","ID not found"))</f>
        <v/>
      </c>
      <c r="E2256" s="51" t="str">
        <f aca="false">IF(C2256="","",IFERROR(IF(LEFT(C2256,1)="L",INDEX('Leads Pipeline'!$D$5:$D$1004,MATCH(C2256,'Leads Pipeline'!$A$5:$A$1004,0)),INDEX('Active Clients'!$B$5:$B$504,MATCH(C2256,'Active Clients'!$A$5:$A$504,0)))&amp;"","ID not found"))</f>
        <v/>
      </c>
      <c r="F2256" s="51" t="str">
        <f aca="false">IF(C2256="","",IFERROR(IF(LEFT(C2256,1)="L",INDEX('Leads Pipeline'!$E$5:$E$1004,MATCH(C2256,'Leads Pipeline'!$A$5:$A$1004,0)),INDEX('Active Clients'!$C$5:$C$504,MATCH(C2256,'Active Clients'!$A$5:$A$504,0)))&amp;"","ID not found"))</f>
        <v/>
      </c>
      <c r="G2256" s="16"/>
      <c r="H2256" s="16"/>
      <c r="I2256" s="16"/>
      <c r="J2256" s="16"/>
      <c r="K2256" s="16"/>
      <c r="L2256" s="18"/>
    </row>
    <row r="2257" customFormat="false" ht="15" hidden="false" customHeight="false" outlineLevel="0" collapsed="false">
      <c r="A2257" s="18"/>
      <c r="B2257" s="16"/>
      <c r="C2257" s="16"/>
      <c r="D2257" s="51" t="str">
        <f aca="false">IF(C2257="","",IFERROR(IF(LEFT(C2257,1)="L",INDEX('Leads Pipeline'!$F$5:$F$1004,MATCH(C2257,'Leads Pipeline'!$A$5:$A$1004,0)),INDEX('Active Clients'!$D$5:$D$504,MATCH(C2257,'Active Clients'!$A$5:$A$504,0)))&amp;"","ID not found"))</f>
        <v/>
      </c>
      <c r="E2257" s="51" t="str">
        <f aca="false">IF(C2257="","",IFERROR(IF(LEFT(C2257,1)="L",INDEX('Leads Pipeline'!$D$5:$D$1004,MATCH(C2257,'Leads Pipeline'!$A$5:$A$1004,0)),INDEX('Active Clients'!$B$5:$B$504,MATCH(C2257,'Active Clients'!$A$5:$A$504,0)))&amp;"","ID not found"))</f>
        <v/>
      </c>
      <c r="F2257" s="51" t="str">
        <f aca="false">IF(C2257="","",IFERROR(IF(LEFT(C2257,1)="L",INDEX('Leads Pipeline'!$E$5:$E$1004,MATCH(C2257,'Leads Pipeline'!$A$5:$A$1004,0)),INDEX('Active Clients'!$C$5:$C$504,MATCH(C2257,'Active Clients'!$A$5:$A$504,0)))&amp;"","ID not found"))</f>
        <v/>
      </c>
      <c r="G2257" s="16"/>
      <c r="H2257" s="16"/>
      <c r="I2257" s="16"/>
      <c r="J2257" s="16"/>
      <c r="K2257" s="16"/>
      <c r="L2257" s="18"/>
    </row>
    <row r="2258" customFormat="false" ht="15" hidden="false" customHeight="false" outlineLevel="0" collapsed="false">
      <c r="A2258" s="18"/>
      <c r="B2258" s="16"/>
      <c r="C2258" s="16"/>
      <c r="D2258" s="51" t="str">
        <f aca="false">IF(C2258="","",IFERROR(IF(LEFT(C2258,1)="L",INDEX('Leads Pipeline'!$F$5:$F$1004,MATCH(C2258,'Leads Pipeline'!$A$5:$A$1004,0)),INDEX('Active Clients'!$D$5:$D$504,MATCH(C2258,'Active Clients'!$A$5:$A$504,0)))&amp;"","ID not found"))</f>
        <v/>
      </c>
      <c r="E2258" s="51" t="str">
        <f aca="false">IF(C2258="","",IFERROR(IF(LEFT(C2258,1)="L",INDEX('Leads Pipeline'!$D$5:$D$1004,MATCH(C2258,'Leads Pipeline'!$A$5:$A$1004,0)),INDEX('Active Clients'!$B$5:$B$504,MATCH(C2258,'Active Clients'!$A$5:$A$504,0)))&amp;"","ID not found"))</f>
        <v/>
      </c>
      <c r="F2258" s="51" t="str">
        <f aca="false">IF(C2258="","",IFERROR(IF(LEFT(C2258,1)="L",INDEX('Leads Pipeline'!$E$5:$E$1004,MATCH(C2258,'Leads Pipeline'!$A$5:$A$1004,0)),INDEX('Active Clients'!$C$5:$C$504,MATCH(C2258,'Active Clients'!$A$5:$A$504,0)))&amp;"","ID not found"))</f>
        <v/>
      </c>
      <c r="G2258" s="16"/>
      <c r="H2258" s="16"/>
      <c r="I2258" s="16"/>
      <c r="J2258" s="16"/>
      <c r="K2258" s="16"/>
      <c r="L2258" s="18"/>
    </row>
    <row r="2259" customFormat="false" ht="15" hidden="false" customHeight="false" outlineLevel="0" collapsed="false">
      <c r="A2259" s="18"/>
      <c r="B2259" s="16"/>
      <c r="C2259" s="16"/>
      <c r="D2259" s="51" t="str">
        <f aca="false">IF(C2259="","",IFERROR(IF(LEFT(C2259,1)="L",INDEX('Leads Pipeline'!$F$5:$F$1004,MATCH(C2259,'Leads Pipeline'!$A$5:$A$1004,0)),INDEX('Active Clients'!$D$5:$D$504,MATCH(C2259,'Active Clients'!$A$5:$A$504,0)))&amp;"","ID not found"))</f>
        <v/>
      </c>
      <c r="E2259" s="51" t="str">
        <f aca="false">IF(C2259="","",IFERROR(IF(LEFT(C2259,1)="L",INDEX('Leads Pipeline'!$D$5:$D$1004,MATCH(C2259,'Leads Pipeline'!$A$5:$A$1004,0)),INDEX('Active Clients'!$B$5:$B$504,MATCH(C2259,'Active Clients'!$A$5:$A$504,0)))&amp;"","ID not found"))</f>
        <v/>
      </c>
      <c r="F2259" s="51" t="str">
        <f aca="false">IF(C2259="","",IFERROR(IF(LEFT(C2259,1)="L",INDEX('Leads Pipeline'!$E$5:$E$1004,MATCH(C2259,'Leads Pipeline'!$A$5:$A$1004,0)),INDEX('Active Clients'!$C$5:$C$504,MATCH(C2259,'Active Clients'!$A$5:$A$504,0)))&amp;"","ID not found"))</f>
        <v/>
      </c>
      <c r="G2259" s="16"/>
      <c r="H2259" s="16"/>
      <c r="I2259" s="16"/>
      <c r="J2259" s="16"/>
      <c r="K2259" s="16"/>
      <c r="L2259" s="18"/>
    </row>
    <row r="2260" customFormat="false" ht="15" hidden="false" customHeight="false" outlineLevel="0" collapsed="false">
      <c r="A2260" s="18"/>
      <c r="B2260" s="16"/>
      <c r="C2260" s="16"/>
      <c r="D2260" s="51" t="str">
        <f aca="false">IF(C2260="","",IFERROR(IF(LEFT(C2260,1)="L",INDEX('Leads Pipeline'!$F$5:$F$1004,MATCH(C2260,'Leads Pipeline'!$A$5:$A$1004,0)),INDEX('Active Clients'!$D$5:$D$504,MATCH(C2260,'Active Clients'!$A$5:$A$504,0)))&amp;"","ID not found"))</f>
        <v/>
      </c>
      <c r="E2260" s="51" t="str">
        <f aca="false">IF(C2260="","",IFERROR(IF(LEFT(C2260,1)="L",INDEX('Leads Pipeline'!$D$5:$D$1004,MATCH(C2260,'Leads Pipeline'!$A$5:$A$1004,0)),INDEX('Active Clients'!$B$5:$B$504,MATCH(C2260,'Active Clients'!$A$5:$A$504,0)))&amp;"","ID not found"))</f>
        <v/>
      </c>
      <c r="F2260" s="51" t="str">
        <f aca="false">IF(C2260="","",IFERROR(IF(LEFT(C2260,1)="L",INDEX('Leads Pipeline'!$E$5:$E$1004,MATCH(C2260,'Leads Pipeline'!$A$5:$A$1004,0)),INDEX('Active Clients'!$C$5:$C$504,MATCH(C2260,'Active Clients'!$A$5:$A$504,0)))&amp;"","ID not found"))</f>
        <v/>
      </c>
      <c r="G2260" s="16"/>
      <c r="H2260" s="16"/>
      <c r="I2260" s="16"/>
      <c r="J2260" s="16"/>
      <c r="K2260" s="16"/>
      <c r="L2260" s="18"/>
    </row>
    <row r="2261" customFormat="false" ht="15" hidden="false" customHeight="false" outlineLevel="0" collapsed="false">
      <c r="A2261" s="18"/>
      <c r="B2261" s="16"/>
      <c r="C2261" s="16"/>
      <c r="D2261" s="51" t="str">
        <f aca="false">IF(C2261="","",IFERROR(IF(LEFT(C2261,1)="L",INDEX('Leads Pipeline'!$F$5:$F$1004,MATCH(C2261,'Leads Pipeline'!$A$5:$A$1004,0)),INDEX('Active Clients'!$D$5:$D$504,MATCH(C2261,'Active Clients'!$A$5:$A$504,0)))&amp;"","ID not found"))</f>
        <v/>
      </c>
      <c r="E2261" s="51" t="str">
        <f aca="false">IF(C2261="","",IFERROR(IF(LEFT(C2261,1)="L",INDEX('Leads Pipeline'!$D$5:$D$1004,MATCH(C2261,'Leads Pipeline'!$A$5:$A$1004,0)),INDEX('Active Clients'!$B$5:$B$504,MATCH(C2261,'Active Clients'!$A$5:$A$504,0)))&amp;"","ID not found"))</f>
        <v/>
      </c>
      <c r="F2261" s="51" t="str">
        <f aca="false">IF(C2261="","",IFERROR(IF(LEFT(C2261,1)="L",INDEX('Leads Pipeline'!$E$5:$E$1004,MATCH(C2261,'Leads Pipeline'!$A$5:$A$1004,0)),INDEX('Active Clients'!$C$5:$C$504,MATCH(C2261,'Active Clients'!$A$5:$A$504,0)))&amp;"","ID not found"))</f>
        <v/>
      </c>
      <c r="G2261" s="16"/>
      <c r="H2261" s="16"/>
      <c r="I2261" s="16"/>
      <c r="J2261" s="16"/>
      <c r="K2261" s="16"/>
      <c r="L2261" s="18"/>
    </row>
    <row r="2262" customFormat="false" ht="15" hidden="false" customHeight="false" outlineLevel="0" collapsed="false">
      <c r="A2262" s="18"/>
      <c r="B2262" s="16"/>
      <c r="C2262" s="16"/>
      <c r="D2262" s="51" t="str">
        <f aca="false">IF(C2262="","",IFERROR(IF(LEFT(C2262,1)="L",INDEX('Leads Pipeline'!$F$5:$F$1004,MATCH(C2262,'Leads Pipeline'!$A$5:$A$1004,0)),INDEX('Active Clients'!$D$5:$D$504,MATCH(C2262,'Active Clients'!$A$5:$A$504,0)))&amp;"","ID not found"))</f>
        <v/>
      </c>
      <c r="E2262" s="51" t="str">
        <f aca="false">IF(C2262="","",IFERROR(IF(LEFT(C2262,1)="L",INDEX('Leads Pipeline'!$D$5:$D$1004,MATCH(C2262,'Leads Pipeline'!$A$5:$A$1004,0)),INDEX('Active Clients'!$B$5:$B$504,MATCH(C2262,'Active Clients'!$A$5:$A$504,0)))&amp;"","ID not found"))</f>
        <v/>
      </c>
      <c r="F2262" s="51" t="str">
        <f aca="false">IF(C2262="","",IFERROR(IF(LEFT(C2262,1)="L",INDEX('Leads Pipeline'!$E$5:$E$1004,MATCH(C2262,'Leads Pipeline'!$A$5:$A$1004,0)),INDEX('Active Clients'!$C$5:$C$504,MATCH(C2262,'Active Clients'!$A$5:$A$504,0)))&amp;"","ID not found"))</f>
        <v/>
      </c>
      <c r="G2262" s="16"/>
      <c r="H2262" s="16"/>
      <c r="I2262" s="16"/>
      <c r="J2262" s="16"/>
      <c r="K2262" s="16"/>
      <c r="L2262" s="18"/>
    </row>
    <row r="2263" customFormat="false" ht="15" hidden="false" customHeight="false" outlineLevel="0" collapsed="false">
      <c r="A2263" s="18"/>
      <c r="B2263" s="16"/>
      <c r="C2263" s="16"/>
      <c r="D2263" s="51" t="str">
        <f aca="false">IF(C2263="","",IFERROR(IF(LEFT(C2263,1)="L",INDEX('Leads Pipeline'!$F$5:$F$1004,MATCH(C2263,'Leads Pipeline'!$A$5:$A$1004,0)),INDEX('Active Clients'!$D$5:$D$504,MATCH(C2263,'Active Clients'!$A$5:$A$504,0)))&amp;"","ID not found"))</f>
        <v/>
      </c>
      <c r="E2263" s="51" t="str">
        <f aca="false">IF(C2263="","",IFERROR(IF(LEFT(C2263,1)="L",INDEX('Leads Pipeline'!$D$5:$D$1004,MATCH(C2263,'Leads Pipeline'!$A$5:$A$1004,0)),INDEX('Active Clients'!$B$5:$B$504,MATCH(C2263,'Active Clients'!$A$5:$A$504,0)))&amp;"","ID not found"))</f>
        <v/>
      </c>
      <c r="F2263" s="51" t="str">
        <f aca="false">IF(C2263="","",IFERROR(IF(LEFT(C2263,1)="L",INDEX('Leads Pipeline'!$E$5:$E$1004,MATCH(C2263,'Leads Pipeline'!$A$5:$A$1004,0)),INDEX('Active Clients'!$C$5:$C$504,MATCH(C2263,'Active Clients'!$A$5:$A$504,0)))&amp;"","ID not found"))</f>
        <v/>
      </c>
      <c r="G2263" s="16"/>
      <c r="H2263" s="16"/>
      <c r="I2263" s="16"/>
      <c r="J2263" s="16"/>
      <c r="K2263" s="16"/>
      <c r="L2263" s="18"/>
    </row>
    <row r="2264" customFormat="false" ht="15" hidden="false" customHeight="false" outlineLevel="0" collapsed="false">
      <c r="A2264" s="18"/>
      <c r="B2264" s="16"/>
      <c r="C2264" s="16"/>
      <c r="D2264" s="51" t="str">
        <f aca="false">IF(C2264="","",IFERROR(IF(LEFT(C2264,1)="L",INDEX('Leads Pipeline'!$F$5:$F$1004,MATCH(C2264,'Leads Pipeline'!$A$5:$A$1004,0)),INDEX('Active Clients'!$D$5:$D$504,MATCH(C2264,'Active Clients'!$A$5:$A$504,0)))&amp;"","ID not found"))</f>
        <v/>
      </c>
      <c r="E2264" s="51" t="str">
        <f aca="false">IF(C2264="","",IFERROR(IF(LEFT(C2264,1)="L",INDEX('Leads Pipeline'!$D$5:$D$1004,MATCH(C2264,'Leads Pipeline'!$A$5:$A$1004,0)),INDEX('Active Clients'!$B$5:$B$504,MATCH(C2264,'Active Clients'!$A$5:$A$504,0)))&amp;"","ID not found"))</f>
        <v/>
      </c>
      <c r="F2264" s="51" t="str">
        <f aca="false">IF(C2264="","",IFERROR(IF(LEFT(C2264,1)="L",INDEX('Leads Pipeline'!$E$5:$E$1004,MATCH(C2264,'Leads Pipeline'!$A$5:$A$1004,0)),INDEX('Active Clients'!$C$5:$C$504,MATCH(C2264,'Active Clients'!$A$5:$A$504,0)))&amp;"","ID not found"))</f>
        <v/>
      </c>
      <c r="G2264" s="16"/>
      <c r="H2264" s="16"/>
      <c r="I2264" s="16"/>
      <c r="J2264" s="16"/>
      <c r="K2264" s="16"/>
      <c r="L2264" s="18"/>
    </row>
    <row r="2265" customFormat="false" ht="15" hidden="false" customHeight="false" outlineLevel="0" collapsed="false">
      <c r="A2265" s="18"/>
      <c r="B2265" s="16"/>
      <c r="C2265" s="16"/>
      <c r="D2265" s="51" t="str">
        <f aca="false">IF(C2265="","",IFERROR(IF(LEFT(C2265,1)="L",INDEX('Leads Pipeline'!$F$5:$F$1004,MATCH(C2265,'Leads Pipeline'!$A$5:$A$1004,0)),INDEX('Active Clients'!$D$5:$D$504,MATCH(C2265,'Active Clients'!$A$5:$A$504,0)))&amp;"","ID not found"))</f>
        <v/>
      </c>
      <c r="E2265" s="51" t="str">
        <f aca="false">IF(C2265="","",IFERROR(IF(LEFT(C2265,1)="L",INDEX('Leads Pipeline'!$D$5:$D$1004,MATCH(C2265,'Leads Pipeline'!$A$5:$A$1004,0)),INDEX('Active Clients'!$B$5:$B$504,MATCH(C2265,'Active Clients'!$A$5:$A$504,0)))&amp;"","ID not found"))</f>
        <v/>
      </c>
      <c r="F2265" s="51" t="str">
        <f aca="false">IF(C2265="","",IFERROR(IF(LEFT(C2265,1)="L",INDEX('Leads Pipeline'!$E$5:$E$1004,MATCH(C2265,'Leads Pipeline'!$A$5:$A$1004,0)),INDEX('Active Clients'!$C$5:$C$504,MATCH(C2265,'Active Clients'!$A$5:$A$504,0)))&amp;"","ID not found"))</f>
        <v/>
      </c>
      <c r="G2265" s="16"/>
      <c r="H2265" s="16"/>
      <c r="I2265" s="16"/>
      <c r="J2265" s="16"/>
      <c r="K2265" s="16"/>
      <c r="L2265" s="18"/>
    </row>
    <row r="2266" customFormat="false" ht="15" hidden="false" customHeight="false" outlineLevel="0" collapsed="false">
      <c r="A2266" s="18"/>
      <c r="B2266" s="16"/>
      <c r="C2266" s="16"/>
      <c r="D2266" s="51" t="str">
        <f aca="false">IF(C2266="","",IFERROR(IF(LEFT(C2266,1)="L",INDEX('Leads Pipeline'!$F$5:$F$1004,MATCH(C2266,'Leads Pipeline'!$A$5:$A$1004,0)),INDEX('Active Clients'!$D$5:$D$504,MATCH(C2266,'Active Clients'!$A$5:$A$504,0)))&amp;"","ID not found"))</f>
        <v/>
      </c>
      <c r="E2266" s="51" t="str">
        <f aca="false">IF(C2266="","",IFERROR(IF(LEFT(C2266,1)="L",INDEX('Leads Pipeline'!$D$5:$D$1004,MATCH(C2266,'Leads Pipeline'!$A$5:$A$1004,0)),INDEX('Active Clients'!$B$5:$B$504,MATCH(C2266,'Active Clients'!$A$5:$A$504,0)))&amp;"","ID not found"))</f>
        <v/>
      </c>
      <c r="F2266" s="51" t="str">
        <f aca="false">IF(C2266="","",IFERROR(IF(LEFT(C2266,1)="L",INDEX('Leads Pipeline'!$E$5:$E$1004,MATCH(C2266,'Leads Pipeline'!$A$5:$A$1004,0)),INDEX('Active Clients'!$C$5:$C$504,MATCH(C2266,'Active Clients'!$A$5:$A$504,0)))&amp;"","ID not found"))</f>
        <v/>
      </c>
      <c r="G2266" s="16"/>
      <c r="H2266" s="16"/>
      <c r="I2266" s="16"/>
      <c r="J2266" s="16"/>
      <c r="K2266" s="16"/>
      <c r="L2266" s="18"/>
    </row>
    <row r="2267" customFormat="false" ht="15" hidden="false" customHeight="false" outlineLevel="0" collapsed="false">
      <c r="A2267" s="18"/>
      <c r="B2267" s="16"/>
      <c r="C2267" s="16"/>
      <c r="D2267" s="51" t="str">
        <f aca="false">IF(C2267="","",IFERROR(IF(LEFT(C2267,1)="L",INDEX('Leads Pipeline'!$F$5:$F$1004,MATCH(C2267,'Leads Pipeline'!$A$5:$A$1004,0)),INDEX('Active Clients'!$D$5:$D$504,MATCH(C2267,'Active Clients'!$A$5:$A$504,0)))&amp;"","ID not found"))</f>
        <v/>
      </c>
      <c r="E2267" s="51" t="str">
        <f aca="false">IF(C2267="","",IFERROR(IF(LEFT(C2267,1)="L",INDEX('Leads Pipeline'!$D$5:$D$1004,MATCH(C2267,'Leads Pipeline'!$A$5:$A$1004,0)),INDEX('Active Clients'!$B$5:$B$504,MATCH(C2267,'Active Clients'!$A$5:$A$504,0)))&amp;"","ID not found"))</f>
        <v/>
      </c>
      <c r="F2267" s="51" t="str">
        <f aca="false">IF(C2267="","",IFERROR(IF(LEFT(C2267,1)="L",INDEX('Leads Pipeline'!$E$5:$E$1004,MATCH(C2267,'Leads Pipeline'!$A$5:$A$1004,0)),INDEX('Active Clients'!$C$5:$C$504,MATCH(C2267,'Active Clients'!$A$5:$A$504,0)))&amp;"","ID not found"))</f>
        <v/>
      </c>
      <c r="G2267" s="16"/>
      <c r="H2267" s="16"/>
      <c r="I2267" s="16"/>
      <c r="J2267" s="16"/>
      <c r="K2267" s="16"/>
      <c r="L2267" s="18"/>
    </row>
    <row r="2268" customFormat="false" ht="15" hidden="false" customHeight="false" outlineLevel="0" collapsed="false">
      <c r="A2268" s="18"/>
      <c r="B2268" s="16"/>
      <c r="C2268" s="16"/>
      <c r="D2268" s="51" t="str">
        <f aca="false">IF(C2268="","",IFERROR(IF(LEFT(C2268,1)="L",INDEX('Leads Pipeline'!$F$5:$F$1004,MATCH(C2268,'Leads Pipeline'!$A$5:$A$1004,0)),INDEX('Active Clients'!$D$5:$D$504,MATCH(C2268,'Active Clients'!$A$5:$A$504,0)))&amp;"","ID not found"))</f>
        <v/>
      </c>
      <c r="E2268" s="51" t="str">
        <f aca="false">IF(C2268="","",IFERROR(IF(LEFT(C2268,1)="L",INDEX('Leads Pipeline'!$D$5:$D$1004,MATCH(C2268,'Leads Pipeline'!$A$5:$A$1004,0)),INDEX('Active Clients'!$B$5:$B$504,MATCH(C2268,'Active Clients'!$A$5:$A$504,0)))&amp;"","ID not found"))</f>
        <v/>
      </c>
      <c r="F2268" s="51" t="str">
        <f aca="false">IF(C2268="","",IFERROR(IF(LEFT(C2268,1)="L",INDEX('Leads Pipeline'!$E$5:$E$1004,MATCH(C2268,'Leads Pipeline'!$A$5:$A$1004,0)),INDEX('Active Clients'!$C$5:$C$504,MATCH(C2268,'Active Clients'!$A$5:$A$504,0)))&amp;"","ID not found"))</f>
        <v/>
      </c>
      <c r="G2268" s="16"/>
      <c r="H2268" s="16"/>
      <c r="I2268" s="16"/>
      <c r="J2268" s="16"/>
      <c r="K2268" s="16"/>
      <c r="L2268" s="18"/>
    </row>
    <row r="2269" customFormat="false" ht="15" hidden="false" customHeight="false" outlineLevel="0" collapsed="false">
      <c r="A2269" s="18"/>
      <c r="B2269" s="16"/>
      <c r="C2269" s="16"/>
      <c r="D2269" s="51" t="str">
        <f aca="false">IF(C2269="","",IFERROR(IF(LEFT(C2269,1)="L",INDEX('Leads Pipeline'!$F$5:$F$1004,MATCH(C2269,'Leads Pipeline'!$A$5:$A$1004,0)),INDEX('Active Clients'!$D$5:$D$504,MATCH(C2269,'Active Clients'!$A$5:$A$504,0)))&amp;"","ID not found"))</f>
        <v/>
      </c>
      <c r="E2269" s="51" t="str">
        <f aca="false">IF(C2269="","",IFERROR(IF(LEFT(C2269,1)="L",INDEX('Leads Pipeline'!$D$5:$D$1004,MATCH(C2269,'Leads Pipeline'!$A$5:$A$1004,0)),INDEX('Active Clients'!$B$5:$B$504,MATCH(C2269,'Active Clients'!$A$5:$A$504,0)))&amp;"","ID not found"))</f>
        <v/>
      </c>
      <c r="F2269" s="51" t="str">
        <f aca="false">IF(C2269="","",IFERROR(IF(LEFT(C2269,1)="L",INDEX('Leads Pipeline'!$E$5:$E$1004,MATCH(C2269,'Leads Pipeline'!$A$5:$A$1004,0)),INDEX('Active Clients'!$C$5:$C$504,MATCH(C2269,'Active Clients'!$A$5:$A$504,0)))&amp;"","ID not found"))</f>
        <v/>
      </c>
      <c r="G2269" s="16"/>
      <c r="H2269" s="16"/>
      <c r="I2269" s="16"/>
      <c r="J2269" s="16"/>
      <c r="K2269" s="16"/>
      <c r="L2269" s="18"/>
    </row>
    <row r="2270" customFormat="false" ht="15" hidden="false" customHeight="false" outlineLevel="0" collapsed="false">
      <c r="A2270" s="18"/>
      <c r="B2270" s="16"/>
      <c r="C2270" s="16"/>
      <c r="D2270" s="51" t="str">
        <f aca="false">IF(C2270="","",IFERROR(IF(LEFT(C2270,1)="L",INDEX('Leads Pipeline'!$F$5:$F$1004,MATCH(C2270,'Leads Pipeline'!$A$5:$A$1004,0)),INDEX('Active Clients'!$D$5:$D$504,MATCH(C2270,'Active Clients'!$A$5:$A$504,0)))&amp;"","ID not found"))</f>
        <v/>
      </c>
      <c r="E2270" s="51" t="str">
        <f aca="false">IF(C2270="","",IFERROR(IF(LEFT(C2270,1)="L",INDEX('Leads Pipeline'!$D$5:$D$1004,MATCH(C2270,'Leads Pipeline'!$A$5:$A$1004,0)),INDEX('Active Clients'!$B$5:$B$504,MATCH(C2270,'Active Clients'!$A$5:$A$504,0)))&amp;"","ID not found"))</f>
        <v/>
      </c>
      <c r="F2270" s="51" t="str">
        <f aca="false">IF(C2270="","",IFERROR(IF(LEFT(C2270,1)="L",INDEX('Leads Pipeline'!$E$5:$E$1004,MATCH(C2270,'Leads Pipeline'!$A$5:$A$1004,0)),INDEX('Active Clients'!$C$5:$C$504,MATCH(C2270,'Active Clients'!$A$5:$A$504,0)))&amp;"","ID not found"))</f>
        <v/>
      </c>
      <c r="G2270" s="16"/>
      <c r="H2270" s="16"/>
      <c r="I2270" s="16"/>
      <c r="J2270" s="16"/>
      <c r="K2270" s="16"/>
      <c r="L2270" s="18"/>
    </row>
    <row r="2271" customFormat="false" ht="15" hidden="false" customHeight="false" outlineLevel="0" collapsed="false">
      <c r="A2271" s="18"/>
      <c r="B2271" s="16"/>
      <c r="C2271" s="16"/>
      <c r="D2271" s="51" t="str">
        <f aca="false">IF(C2271="","",IFERROR(IF(LEFT(C2271,1)="L",INDEX('Leads Pipeline'!$F$5:$F$1004,MATCH(C2271,'Leads Pipeline'!$A$5:$A$1004,0)),INDEX('Active Clients'!$D$5:$D$504,MATCH(C2271,'Active Clients'!$A$5:$A$504,0)))&amp;"","ID not found"))</f>
        <v/>
      </c>
      <c r="E2271" s="51" t="str">
        <f aca="false">IF(C2271="","",IFERROR(IF(LEFT(C2271,1)="L",INDEX('Leads Pipeline'!$D$5:$D$1004,MATCH(C2271,'Leads Pipeline'!$A$5:$A$1004,0)),INDEX('Active Clients'!$B$5:$B$504,MATCH(C2271,'Active Clients'!$A$5:$A$504,0)))&amp;"","ID not found"))</f>
        <v/>
      </c>
      <c r="F2271" s="51" t="str">
        <f aca="false">IF(C2271="","",IFERROR(IF(LEFT(C2271,1)="L",INDEX('Leads Pipeline'!$E$5:$E$1004,MATCH(C2271,'Leads Pipeline'!$A$5:$A$1004,0)),INDEX('Active Clients'!$C$5:$C$504,MATCH(C2271,'Active Clients'!$A$5:$A$504,0)))&amp;"","ID not found"))</f>
        <v/>
      </c>
      <c r="G2271" s="16"/>
      <c r="H2271" s="16"/>
      <c r="I2271" s="16"/>
      <c r="J2271" s="16"/>
      <c r="K2271" s="16"/>
      <c r="L2271" s="18"/>
    </row>
    <row r="2272" customFormat="false" ht="15" hidden="false" customHeight="false" outlineLevel="0" collapsed="false">
      <c r="A2272" s="18"/>
      <c r="B2272" s="16"/>
      <c r="C2272" s="16"/>
      <c r="D2272" s="51" t="str">
        <f aca="false">IF(C2272="","",IFERROR(IF(LEFT(C2272,1)="L",INDEX('Leads Pipeline'!$F$5:$F$1004,MATCH(C2272,'Leads Pipeline'!$A$5:$A$1004,0)),INDEX('Active Clients'!$D$5:$D$504,MATCH(C2272,'Active Clients'!$A$5:$A$504,0)))&amp;"","ID not found"))</f>
        <v/>
      </c>
      <c r="E2272" s="51" t="str">
        <f aca="false">IF(C2272="","",IFERROR(IF(LEFT(C2272,1)="L",INDEX('Leads Pipeline'!$D$5:$D$1004,MATCH(C2272,'Leads Pipeline'!$A$5:$A$1004,0)),INDEX('Active Clients'!$B$5:$B$504,MATCH(C2272,'Active Clients'!$A$5:$A$504,0)))&amp;"","ID not found"))</f>
        <v/>
      </c>
      <c r="F2272" s="51" t="str">
        <f aca="false">IF(C2272="","",IFERROR(IF(LEFT(C2272,1)="L",INDEX('Leads Pipeline'!$E$5:$E$1004,MATCH(C2272,'Leads Pipeline'!$A$5:$A$1004,0)),INDEX('Active Clients'!$C$5:$C$504,MATCH(C2272,'Active Clients'!$A$5:$A$504,0)))&amp;"","ID not found"))</f>
        <v/>
      </c>
      <c r="G2272" s="16"/>
      <c r="H2272" s="16"/>
      <c r="I2272" s="16"/>
      <c r="J2272" s="16"/>
      <c r="K2272" s="16"/>
      <c r="L2272" s="18"/>
    </row>
    <row r="2273" customFormat="false" ht="15" hidden="false" customHeight="false" outlineLevel="0" collapsed="false">
      <c r="A2273" s="18"/>
      <c r="B2273" s="16"/>
      <c r="C2273" s="16"/>
      <c r="D2273" s="51" t="str">
        <f aca="false">IF(C2273="","",IFERROR(IF(LEFT(C2273,1)="L",INDEX('Leads Pipeline'!$F$5:$F$1004,MATCH(C2273,'Leads Pipeline'!$A$5:$A$1004,0)),INDEX('Active Clients'!$D$5:$D$504,MATCH(C2273,'Active Clients'!$A$5:$A$504,0)))&amp;"","ID not found"))</f>
        <v/>
      </c>
      <c r="E2273" s="51" t="str">
        <f aca="false">IF(C2273="","",IFERROR(IF(LEFT(C2273,1)="L",INDEX('Leads Pipeline'!$D$5:$D$1004,MATCH(C2273,'Leads Pipeline'!$A$5:$A$1004,0)),INDEX('Active Clients'!$B$5:$B$504,MATCH(C2273,'Active Clients'!$A$5:$A$504,0)))&amp;"","ID not found"))</f>
        <v/>
      </c>
      <c r="F2273" s="51" t="str">
        <f aca="false">IF(C2273="","",IFERROR(IF(LEFT(C2273,1)="L",INDEX('Leads Pipeline'!$E$5:$E$1004,MATCH(C2273,'Leads Pipeline'!$A$5:$A$1004,0)),INDEX('Active Clients'!$C$5:$C$504,MATCH(C2273,'Active Clients'!$A$5:$A$504,0)))&amp;"","ID not found"))</f>
        <v/>
      </c>
      <c r="G2273" s="16"/>
      <c r="H2273" s="16"/>
      <c r="I2273" s="16"/>
      <c r="J2273" s="16"/>
      <c r="K2273" s="16"/>
      <c r="L2273" s="18"/>
    </row>
    <row r="2274" customFormat="false" ht="15" hidden="false" customHeight="false" outlineLevel="0" collapsed="false">
      <c r="A2274" s="18"/>
      <c r="B2274" s="16"/>
      <c r="C2274" s="16"/>
      <c r="D2274" s="51" t="str">
        <f aca="false">IF(C2274="","",IFERROR(IF(LEFT(C2274,1)="L",INDEX('Leads Pipeline'!$F$5:$F$1004,MATCH(C2274,'Leads Pipeline'!$A$5:$A$1004,0)),INDEX('Active Clients'!$D$5:$D$504,MATCH(C2274,'Active Clients'!$A$5:$A$504,0)))&amp;"","ID not found"))</f>
        <v/>
      </c>
      <c r="E2274" s="51" t="str">
        <f aca="false">IF(C2274="","",IFERROR(IF(LEFT(C2274,1)="L",INDEX('Leads Pipeline'!$D$5:$D$1004,MATCH(C2274,'Leads Pipeline'!$A$5:$A$1004,0)),INDEX('Active Clients'!$B$5:$B$504,MATCH(C2274,'Active Clients'!$A$5:$A$504,0)))&amp;"","ID not found"))</f>
        <v/>
      </c>
      <c r="F2274" s="51" t="str">
        <f aca="false">IF(C2274="","",IFERROR(IF(LEFT(C2274,1)="L",INDEX('Leads Pipeline'!$E$5:$E$1004,MATCH(C2274,'Leads Pipeline'!$A$5:$A$1004,0)),INDEX('Active Clients'!$C$5:$C$504,MATCH(C2274,'Active Clients'!$A$5:$A$504,0)))&amp;"","ID not found"))</f>
        <v/>
      </c>
      <c r="G2274" s="16"/>
      <c r="H2274" s="16"/>
      <c r="I2274" s="16"/>
      <c r="J2274" s="16"/>
      <c r="K2274" s="16"/>
      <c r="L2274" s="18"/>
    </row>
    <row r="2275" customFormat="false" ht="15" hidden="false" customHeight="false" outlineLevel="0" collapsed="false">
      <c r="A2275" s="18"/>
      <c r="B2275" s="16"/>
      <c r="C2275" s="16"/>
      <c r="D2275" s="51" t="str">
        <f aca="false">IF(C2275="","",IFERROR(IF(LEFT(C2275,1)="L",INDEX('Leads Pipeline'!$F$5:$F$1004,MATCH(C2275,'Leads Pipeline'!$A$5:$A$1004,0)),INDEX('Active Clients'!$D$5:$D$504,MATCH(C2275,'Active Clients'!$A$5:$A$504,0)))&amp;"","ID not found"))</f>
        <v/>
      </c>
      <c r="E2275" s="51" t="str">
        <f aca="false">IF(C2275="","",IFERROR(IF(LEFT(C2275,1)="L",INDEX('Leads Pipeline'!$D$5:$D$1004,MATCH(C2275,'Leads Pipeline'!$A$5:$A$1004,0)),INDEX('Active Clients'!$B$5:$B$504,MATCH(C2275,'Active Clients'!$A$5:$A$504,0)))&amp;"","ID not found"))</f>
        <v/>
      </c>
      <c r="F2275" s="51" t="str">
        <f aca="false">IF(C2275="","",IFERROR(IF(LEFT(C2275,1)="L",INDEX('Leads Pipeline'!$E$5:$E$1004,MATCH(C2275,'Leads Pipeline'!$A$5:$A$1004,0)),INDEX('Active Clients'!$C$5:$C$504,MATCH(C2275,'Active Clients'!$A$5:$A$504,0)))&amp;"","ID not found"))</f>
        <v/>
      </c>
      <c r="G2275" s="16"/>
      <c r="H2275" s="16"/>
      <c r="I2275" s="16"/>
      <c r="J2275" s="16"/>
      <c r="K2275" s="16"/>
      <c r="L2275" s="18"/>
    </row>
    <row r="2276" customFormat="false" ht="15" hidden="false" customHeight="false" outlineLevel="0" collapsed="false">
      <c r="A2276" s="18"/>
      <c r="B2276" s="16"/>
      <c r="C2276" s="16"/>
      <c r="D2276" s="51" t="str">
        <f aca="false">IF(C2276="","",IFERROR(IF(LEFT(C2276,1)="L",INDEX('Leads Pipeline'!$F$5:$F$1004,MATCH(C2276,'Leads Pipeline'!$A$5:$A$1004,0)),INDEX('Active Clients'!$D$5:$D$504,MATCH(C2276,'Active Clients'!$A$5:$A$504,0)))&amp;"","ID not found"))</f>
        <v/>
      </c>
      <c r="E2276" s="51" t="str">
        <f aca="false">IF(C2276="","",IFERROR(IF(LEFT(C2276,1)="L",INDEX('Leads Pipeline'!$D$5:$D$1004,MATCH(C2276,'Leads Pipeline'!$A$5:$A$1004,0)),INDEX('Active Clients'!$B$5:$B$504,MATCH(C2276,'Active Clients'!$A$5:$A$504,0)))&amp;"","ID not found"))</f>
        <v/>
      </c>
      <c r="F2276" s="51" t="str">
        <f aca="false">IF(C2276="","",IFERROR(IF(LEFT(C2276,1)="L",INDEX('Leads Pipeline'!$E$5:$E$1004,MATCH(C2276,'Leads Pipeline'!$A$5:$A$1004,0)),INDEX('Active Clients'!$C$5:$C$504,MATCH(C2276,'Active Clients'!$A$5:$A$504,0)))&amp;"","ID not found"))</f>
        <v/>
      </c>
      <c r="G2276" s="16"/>
      <c r="H2276" s="16"/>
      <c r="I2276" s="16"/>
      <c r="J2276" s="16"/>
      <c r="K2276" s="16"/>
      <c r="L2276" s="18"/>
    </row>
    <row r="2277" customFormat="false" ht="15" hidden="false" customHeight="false" outlineLevel="0" collapsed="false">
      <c r="A2277" s="18"/>
      <c r="B2277" s="16"/>
      <c r="C2277" s="16"/>
      <c r="D2277" s="51" t="str">
        <f aca="false">IF(C2277="","",IFERROR(IF(LEFT(C2277,1)="L",INDEX('Leads Pipeline'!$F$5:$F$1004,MATCH(C2277,'Leads Pipeline'!$A$5:$A$1004,0)),INDEX('Active Clients'!$D$5:$D$504,MATCH(C2277,'Active Clients'!$A$5:$A$504,0)))&amp;"","ID not found"))</f>
        <v/>
      </c>
      <c r="E2277" s="51" t="str">
        <f aca="false">IF(C2277="","",IFERROR(IF(LEFT(C2277,1)="L",INDEX('Leads Pipeline'!$D$5:$D$1004,MATCH(C2277,'Leads Pipeline'!$A$5:$A$1004,0)),INDEX('Active Clients'!$B$5:$B$504,MATCH(C2277,'Active Clients'!$A$5:$A$504,0)))&amp;"","ID not found"))</f>
        <v/>
      </c>
      <c r="F2277" s="51" t="str">
        <f aca="false">IF(C2277="","",IFERROR(IF(LEFT(C2277,1)="L",INDEX('Leads Pipeline'!$E$5:$E$1004,MATCH(C2277,'Leads Pipeline'!$A$5:$A$1004,0)),INDEX('Active Clients'!$C$5:$C$504,MATCH(C2277,'Active Clients'!$A$5:$A$504,0)))&amp;"","ID not found"))</f>
        <v/>
      </c>
      <c r="G2277" s="16"/>
      <c r="H2277" s="16"/>
      <c r="I2277" s="16"/>
      <c r="J2277" s="16"/>
      <c r="K2277" s="16"/>
      <c r="L2277" s="18"/>
    </row>
    <row r="2278" customFormat="false" ht="15" hidden="false" customHeight="false" outlineLevel="0" collapsed="false">
      <c r="A2278" s="18"/>
      <c r="B2278" s="16"/>
      <c r="C2278" s="16"/>
      <c r="D2278" s="51" t="str">
        <f aca="false">IF(C2278="","",IFERROR(IF(LEFT(C2278,1)="L",INDEX('Leads Pipeline'!$F$5:$F$1004,MATCH(C2278,'Leads Pipeline'!$A$5:$A$1004,0)),INDEX('Active Clients'!$D$5:$D$504,MATCH(C2278,'Active Clients'!$A$5:$A$504,0)))&amp;"","ID not found"))</f>
        <v/>
      </c>
      <c r="E2278" s="51" t="str">
        <f aca="false">IF(C2278="","",IFERROR(IF(LEFT(C2278,1)="L",INDEX('Leads Pipeline'!$D$5:$D$1004,MATCH(C2278,'Leads Pipeline'!$A$5:$A$1004,0)),INDEX('Active Clients'!$B$5:$B$504,MATCH(C2278,'Active Clients'!$A$5:$A$504,0)))&amp;"","ID not found"))</f>
        <v/>
      </c>
      <c r="F2278" s="51" t="str">
        <f aca="false">IF(C2278="","",IFERROR(IF(LEFT(C2278,1)="L",INDEX('Leads Pipeline'!$E$5:$E$1004,MATCH(C2278,'Leads Pipeline'!$A$5:$A$1004,0)),INDEX('Active Clients'!$C$5:$C$504,MATCH(C2278,'Active Clients'!$A$5:$A$504,0)))&amp;"","ID not found"))</f>
        <v/>
      </c>
      <c r="G2278" s="16"/>
      <c r="H2278" s="16"/>
      <c r="I2278" s="16"/>
      <c r="J2278" s="16"/>
      <c r="K2278" s="16"/>
      <c r="L2278" s="18"/>
    </row>
    <row r="2279" customFormat="false" ht="15" hidden="false" customHeight="false" outlineLevel="0" collapsed="false">
      <c r="A2279" s="18"/>
      <c r="B2279" s="16"/>
      <c r="C2279" s="16"/>
      <c r="D2279" s="51" t="str">
        <f aca="false">IF(C2279="","",IFERROR(IF(LEFT(C2279,1)="L",INDEX('Leads Pipeline'!$F$5:$F$1004,MATCH(C2279,'Leads Pipeline'!$A$5:$A$1004,0)),INDEX('Active Clients'!$D$5:$D$504,MATCH(C2279,'Active Clients'!$A$5:$A$504,0)))&amp;"","ID not found"))</f>
        <v/>
      </c>
      <c r="E2279" s="51" t="str">
        <f aca="false">IF(C2279="","",IFERROR(IF(LEFT(C2279,1)="L",INDEX('Leads Pipeline'!$D$5:$D$1004,MATCH(C2279,'Leads Pipeline'!$A$5:$A$1004,0)),INDEX('Active Clients'!$B$5:$B$504,MATCH(C2279,'Active Clients'!$A$5:$A$504,0)))&amp;"","ID not found"))</f>
        <v/>
      </c>
      <c r="F2279" s="51" t="str">
        <f aca="false">IF(C2279="","",IFERROR(IF(LEFT(C2279,1)="L",INDEX('Leads Pipeline'!$E$5:$E$1004,MATCH(C2279,'Leads Pipeline'!$A$5:$A$1004,0)),INDEX('Active Clients'!$C$5:$C$504,MATCH(C2279,'Active Clients'!$A$5:$A$504,0)))&amp;"","ID not found"))</f>
        <v/>
      </c>
      <c r="G2279" s="16"/>
      <c r="H2279" s="16"/>
      <c r="I2279" s="16"/>
      <c r="J2279" s="16"/>
      <c r="K2279" s="16"/>
      <c r="L2279" s="18"/>
    </row>
    <row r="2280" customFormat="false" ht="15" hidden="false" customHeight="false" outlineLevel="0" collapsed="false">
      <c r="A2280" s="18"/>
      <c r="B2280" s="16"/>
      <c r="C2280" s="16"/>
      <c r="D2280" s="51" t="str">
        <f aca="false">IF(C2280="","",IFERROR(IF(LEFT(C2280,1)="L",INDEX('Leads Pipeline'!$F$5:$F$1004,MATCH(C2280,'Leads Pipeline'!$A$5:$A$1004,0)),INDEX('Active Clients'!$D$5:$D$504,MATCH(C2280,'Active Clients'!$A$5:$A$504,0)))&amp;"","ID not found"))</f>
        <v/>
      </c>
      <c r="E2280" s="51" t="str">
        <f aca="false">IF(C2280="","",IFERROR(IF(LEFT(C2280,1)="L",INDEX('Leads Pipeline'!$D$5:$D$1004,MATCH(C2280,'Leads Pipeline'!$A$5:$A$1004,0)),INDEX('Active Clients'!$B$5:$B$504,MATCH(C2280,'Active Clients'!$A$5:$A$504,0)))&amp;"","ID not found"))</f>
        <v/>
      </c>
      <c r="F2280" s="51" t="str">
        <f aca="false">IF(C2280="","",IFERROR(IF(LEFT(C2280,1)="L",INDEX('Leads Pipeline'!$E$5:$E$1004,MATCH(C2280,'Leads Pipeline'!$A$5:$A$1004,0)),INDEX('Active Clients'!$C$5:$C$504,MATCH(C2280,'Active Clients'!$A$5:$A$504,0)))&amp;"","ID not found"))</f>
        <v/>
      </c>
      <c r="G2280" s="16"/>
      <c r="H2280" s="16"/>
      <c r="I2280" s="16"/>
      <c r="J2280" s="16"/>
      <c r="K2280" s="16"/>
      <c r="L2280" s="18"/>
    </row>
    <row r="2281" customFormat="false" ht="15" hidden="false" customHeight="false" outlineLevel="0" collapsed="false">
      <c r="A2281" s="18"/>
      <c r="B2281" s="16"/>
      <c r="C2281" s="16"/>
      <c r="D2281" s="51" t="str">
        <f aca="false">IF(C2281="","",IFERROR(IF(LEFT(C2281,1)="L",INDEX('Leads Pipeline'!$F$5:$F$1004,MATCH(C2281,'Leads Pipeline'!$A$5:$A$1004,0)),INDEX('Active Clients'!$D$5:$D$504,MATCH(C2281,'Active Clients'!$A$5:$A$504,0)))&amp;"","ID not found"))</f>
        <v/>
      </c>
      <c r="E2281" s="51" t="str">
        <f aca="false">IF(C2281="","",IFERROR(IF(LEFT(C2281,1)="L",INDEX('Leads Pipeline'!$D$5:$D$1004,MATCH(C2281,'Leads Pipeline'!$A$5:$A$1004,0)),INDEX('Active Clients'!$B$5:$B$504,MATCH(C2281,'Active Clients'!$A$5:$A$504,0)))&amp;"","ID not found"))</f>
        <v/>
      </c>
      <c r="F2281" s="51" t="str">
        <f aca="false">IF(C2281="","",IFERROR(IF(LEFT(C2281,1)="L",INDEX('Leads Pipeline'!$E$5:$E$1004,MATCH(C2281,'Leads Pipeline'!$A$5:$A$1004,0)),INDEX('Active Clients'!$C$5:$C$504,MATCH(C2281,'Active Clients'!$A$5:$A$504,0)))&amp;"","ID not found"))</f>
        <v/>
      </c>
      <c r="G2281" s="16"/>
      <c r="H2281" s="16"/>
      <c r="I2281" s="16"/>
      <c r="J2281" s="16"/>
      <c r="K2281" s="16"/>
      <c r="L2281" s="18"/>
    </row>
    <row r="2282" customFormat="false" ht="15" hidden="false" customHeight="false" outlineLevel="0" collapsed="false">
      <c r="A2282" s="18"/>
      <c r="B2282" s="16"/>
      <c r="C2282" s="16"/>
      <c r="D2282" s="51" t="str">
        <f aca="false">IF(C2282="","",IFERROR(IF(LEFT(C2282,1)="L",INDEX('Leads Pipeline'!$F$5:$F$1004,MATCH(C2282,'Leads Pipeline'!$A$5:$A$1004,0)),INDEX('Active Clients'!$D$5:$D$504,MATCH(C2282,'Active Clients'!$A$5:$A$504,0)))&amp;"","ID not found"))</f>
        <v/>
      </c>
      <c r="E2282" s="51" t="str">
        <f aca="false">IF(C2282="","",IFERROR(IF(LEFT(C2282,1)="L",INDEX('Leads Pipeline'!$D$5:$D$1004,MATCH(C2282,'Leads Pipeline'!$A$5:$A$1004,0)),INDEX('Active Clients'!$B$5:$B$504,MATCH(C2282,'Active Clients'!$A$5:$A$504,0)))&amp;"","ID not found"))</f>
        <v/>
      </c>
      <c r="F2282" s="51" t="str">
        <f aca="false">IF(C2282="","",IFERROR(IF(LEFT(C2282,1)="L",INDEX('Leads Pipeline'!$E$5:$E$1004,MATCH(C2282,'Leads Pipeline'!$A$5:$A$1004,0)),INDEX('Active Clients'!$C$5:$C$504,MATCH(C2282,'Active Clients'!$A$5:$A$504,0)))&amp;"","ID not found"))</f>
        <v/>
      </c>
      <c r="G2282" s="16"/>
      <c r="H2282" s="16"/>
      <c r="I2282" s="16"/>
      <c r="J2282" s="16"/>
      <c r="K2282" s="16"/>
      <c r="L2282" s="18"/>
    </row>
    <row r="2283" customFormat="false" ht="15" hidden="false" customHeight="false" outlineLevel="0" collapsed="false">
      <c r="A2283" s="18"/>
      <c r="B2283" s="16"/>
      <c r="C2283" s="16"/>
      <c r="D2283" s="51" t="str">
        <f aca="false">IF(C2283="","",IFERROR(IF(LEFT(C2283,1)="L",INDEX('Leads Pipeline'!$F$5:$F$1004,MATCH(C2283,'Leads Pipeline'!$A$5:$A$1004,0)),INDEX('Active Clients'!$D$5:$D$504,MATCH(C2283,'Active Clients'!$A$5:$A$504,0)))&amp;"","ID not found"))</f>
        <v/>
      </c>
      <c r="E2283" s="51" t="str">
        <f aca="false">IF(C2283="","",IFERROR(IF(LEFT(C2283,1)="L",INDEX('Leads Pipeline'!$D$5:$D$1004,MATCH(C2283,'Leads Pipeline'!$A$5:$A$1004,0)),INDEX('Active Clients'!$B$5:$B$504,MATCH(C2283,'Active Clients'!$A$5:$A$504,0)))&amp;"","ID not found"))</f>
        <v/>
      </c>
      <c r="F2283" s="51" t="str">
        <f aca="false">IF(C2283="","",IFERROR(IF(LEFT(C2283,1)="L",INDEX('Leads Pipeline'!$E$5:$E$1004,MATCH(C2283,'Leads Pipeline'!$A$5:$A$1004,0)),INDEX('Active Clients'!$C$5:$C$504,MATCH(C2283,'Active Clients'!$A$5:$A$504,0)))&amp;"","ID not found"))</f>
        <v/>
      </c>
      <c r="G2283" s="16"/>
      <c r="H2283" s="16"/>
      <c r="I2283" s="16"/>
      <c r="J2283" s="16"/>
      <c r="K2283" s="16"/>
      <c r="L2283" s="18"/>
    </row>
    <row r="2284" customFormat="false" ht="15" hidden="false" customHeight="false" outlineLevel="0" collapsed="false">
      <c r="A2284" s="18"/>
      <c r="B2284" s="16"/>
      <c r="C2284" s="16"/>
      <c r="D2284" s="51" t="str">
        <f aca="false">IF(C2284="","",IFERROR(IF(LEFT(C2284,1)="L",INDEX('Leads Pipeline'!$F$5:$F$1004,MATCH(C2284,'Leads Pipeline'!$A$5:$A$1004,0)),INDEX('Active Clients'!$D$5:$D$504,MATCH(C2284,'Active Clients'!$A$5:$A$504,0)))&amp;"","ID not found"))</f>
        <v/>
      </c>
      <c r="E2284" s="51" t="str">
        <f aca="false">IF(C2284="","",IFERROR(IF(LEFT(C2284,1)="L",INDEX('Leads Pipeline'!$D$5:$D$1004,MATCH(C2284,'Leads Pipeline'!$A$5:$A$1004,0)),INDEX('Active Clients'!$B$5:$B$504,MATCH(C2284,'Active Clients'!$A$5:$A$504,0)))&amp;"","ID not found"))</f>
        <v/>
      </c>
      <c r="F2284" s="51" t="str">
        <f aca="false">IF(C2284="","",IFERROR(IF(LEFT(C2284,1)="L",INDEX('Leads Pipeline'!$E$5:$E$1004,MATCH(C2284,'Leads Pipeline'!$A$5:$A$1004,0)),INDEX('Active Clients'!$C$5:$C$504,MATCH(C2284,'Active Clients'!$A$5:$A$504,0)))&amp;"","ID not found"))</f>
        <v/>
      </c>
      <c r="G2284" s="16"/>
      <c r="H2284" s="16"/>
      <c r="I2284" s="16"/>
      <c r="J2284" s="16"/>
      <c r="K2284" s="16"/>
      <c r="L2284" s="18"/>
    </row>
    <row r="2285" customFormat="false" ht="15" hidden="false" customHeight="false" outlineLevel="0" collapsed="false">
      <c r="A2285" s="18"/>
      <c r="B2285" s="16"/>
      <c r="C2285" s="16"/>
      <c r="D2285" s="51" t="str">
        <f aca="false">IF(C2285="","",IFERROR(IF(LEFT(C2285,1)="L",INDEX('Leads Pipeline'!$F$5:$F$1004,MATCH(C2285,'Leads Pipeline'!$A$5:$A$1004,0)),INDEX('Active Clients'!$D$5:$D$504,MATCH(C2285,'Active Clients'!$A$5:$A$504,0)))&amp;"","ID not found"))</f>
        <v/>
      </c>
      <c r="E2285" s="51" t="str">
        <f aca="false">IF(C2285="","",IFERROR(IF(LEFT(C2285,1)="L",INDEX('Leads Pipeline'!$D$5:$D$1004,MATCH(C2285,'Leads Pipeline'!$A$5:$A$1004,0)),INDEX('Active Clients'!$B$5:$B$504,MATCH(C2285,'Active Clients'!$A$5:$A$504,0)))&amp;"","ID not found"))</f>
        <v/>
      </c>
      <c r="F2285" s="51" t="str">
        <f aca="false">IF(C2285="","",IFERROR(IF(LEFT(C2285,1)="L",INDEX('Leads Pipeline'!$E$5:$E$1004,MATCH(C2285,'Leads Pipeline'!$A$5:$A$1004,0)),INDEX('Active Clients'!$C$5:$C$504,MATCH(C2285,'Active Clients'!$A$5:$A$504,0)))&amp;"","ID not found"))</f>
        <v/>
      </c>
      <c r="G2285" s="16"/>
      <c r="H2285" s="16"/>
      <c r="I2285" s="16"/>
      <c r="J2285" s="16"/>
      <c r="K2285" s="16"/>
      <c r="L2285" s="18"/>
    </row>
    <row r="2286" customFormat="false" ht="15" hidden="false" customHeight="false" outlineLevel="0" collapsed="false">
      <c r="A2286" s="18"/>
      <c r="B2286" s="16"/>
      <c r="C2286" s="16"/>
      <c r="D2286" s="51" t="str">
        <f aca="false">IF(C2286="","",IFERROR(IF(LEFT(C2286,1)="L",INDEX('Leads Pipeline'!$F$5:$F$1004,MATCH(C2286,'Leads Pipeline'!$A$5:$A$1004,0)),INDEX('Active Clients'!$D$5:$D$504,MATCH(C2286,'Active Clients'!$A$5:$A$504,0)))&amp;"","ID not found"))</f>
        <v/>
      </c>
      <c r="E2286" s="51" t="str">
        <f aca="false">IF(C2286="","",IFERROR(IF(LEFT(C2286,1)="L",INDEX('Leads Pipeline'!$D$5:$D$1004,MATCH(C2286,'Leads Pipeline'!$A$5:$A$1004,0)),INDEX('Active Clients'!$B$5:$B$504,MATCH(C2286,'Active Clients'!$A$5:$A$504,0)))&amp;"","ID not found"))</f>
        <v/>
      </c>
      <c r="F2286" s="51" t="str">
        <f aca="false">IF(C2286="","",IFERROR(IF(LEFT(C2286,1)="L",INDEX('Leads Pipeline'!$E$5:$E$1004,MATCH(C2286,'Leads Pipeline'!$A$5:$A$1004,0)),INDEX('Active Clients'!$C$5:$C$504,MATCH(C2286,'Active Clients'!$A$5:$A$504,0)))&amp;"","ID not found"))</f>
        <v/>
      </c>
      <c r="G2286" s="16"/>
      <c r="H2286" s="16"/>
      <c r="I2286" s="16"/>
      <c r="J2286" s="16"/>
      <c r="K2286" s="16"/>
      <c r="L2286" s="18"/>
    </row>
    <row r="2287" customFormat="false" ht="15" hidden="false" customHeight="false" outlineLevel="0" collapsed="false">
      <c r="A2287" s="18"/>
      <c r="B2287" s="16"/>
      <c r="C2287" s="16"/>
      <c r="D2287" s="51" t="str">
        <f aca="false">IF(C2287="","",IFERROR(IF(LEFT(C2287,1)="L",INDEX('Leads Pipeline'!$F$5:$F$1004,MATCH(C2287,'Leads Pipeline'!$A$5:$A$1004,0)),INDEX('Active Clients'!$D$5:$D$504,MATCH(C2287,'Active Clients'!$A$5:$A$504,0)))&amp;"","ID not found"))</f>
        <v/>
      </c>
      <c r="E2287" s="51" t="str">
        <f aca="false">IF(C2287="","",IFERROR(IF(LEFT(C2287,1)="L",INDEX('Leads Pipeline'!$D$5:$D$1004,MATCH(C2287,'Leads Pipeline'!$A$5:$A$1004,0)),INDEX('Active Clients'!$B$5:$B$504,MATCH(C2287,'Active Clients'!$A$5:$A$504,0)))&amp;"","ID not found"))</f>
        <v/>
      </c>
      <c r="F2287" s="51" t="str">
        <f aca="false">IF(C2287="","",IFERROR(IF(LEFT(C2287,1)="L",INDEX('Leads Pipeline'!$E$5:$E$1004,MATCH(C2287,'Leads Pipeline'!$A$5:$A$1004,0)),INDEX('Active Clients'!$C$5:$C$504,MATCH(C2287,'Active Clients'!$A$5:$A$504,0)))&amp;"","ID not found"))</f>
        <v/>
      </c>
      <c r="G2287" s="16"/>
      <c r="H2287" s="16"/>
      <c r="I2287" s="16"/>
      <c r="J2287" s="16"/>
      <c r="K2287" s="16"/>
      <c r="L2287" s="18"/>
    </row>
    <row r="2288" customFormat="false" ht="15" hidden="false" customHeight="false" outlineLevel="0" collapsed="false">
      <c r="A2288" s="18"/>
      <c r="B2288" s="16"/>
      <c r="C2288" s="16"/>
      <c r="D2288" s="51" t="str">
        <f aca="false">IF(C2288="","",IFERROR(IF(LEFT(C2288,1)="L",INDEX('Leads Pipeline'!$F$5:$F$1004,MATCH(C2288,'Leads Pipeline'!$A$5:$A$1004,0)),INDEX('Active Clients'!$D$5:$D$504,MATCH(C2288,'Active Clients'!$A$5:$A$504,0)))&amp;"","ID not found"))</f>
        <v/>
      </c>
      <c r="E2288" s="51" t="str">
        <f aca="false">IF(C2288="","",IFERROR(IF(LEFT(C2288,1)="L",INDEX('Leads Pipeline'!$D$5:$D$1004,MATCH(C2288,'Leads Pipeline'!$A$5:$A$1004,0)),INDEX('Active Clients'!$B$5:$B$504,MATCH(C2288,'Active Clients'!$A$5:$A$504,0)))&amp;"","ID not found"))</f>
        <v/>
      </c>
      <c r="F2288" s="51" t="str">
        <f aca="false">IF(C2288="","",IFERROR(IF(LEFT(C2288,1)="L",INDEX('Leads Pipeline'!$E$5:$E$1004,MATCH(C2288,'Leads Pipeline'!$A$5:$A$1004,0)),INDEX('Active Clients'!$C$5:$C$504,MATCH(C2288,'Active Clients'!$A$5:$A$504,0)))&amp;"","ID not found"))</f>
        <v/>
      </c>
      <c r="G2288" s="16"/>
      <c r="H2288" s="16"/>
      <c r="I2288" s="16"/>
      <c r="J2288" s="16"/>
      <c r="K2288" s="16"/>
      <c r="L2288" s="18"/>
    </row>
    <row r="2289" customFormat="false" ht="15" hidden="false" customHeight="false" outlineLevel="0" collapsed="false">
      <c r="A2289" s="18"/>
      <c r="B2289" s="16"/>
      <c r="C2289" s="16"/>
      <c r="D2289" s="51" t="str">
        <f aca="false">IF(C2289="","",IFERROR(IF(LEFT(C2289,1)="L",INDEX('Leads Pipeline'!$F$5:$F$1004,MATCH(C2289,'Leads Pipeline'!$A$5:$A$1004,0)),INDEX('Active Clients'!$D$5:$D$504,MATCH(C2289,'Active Clients'!$A$5:$A$504,0)))&amp;"","ID not found"))</f>
        <v/>
      </c>
      <c r="E2289" s="51" t="str">
        <f aca="false">IF(C2289="","",IFERROR(IF(LEFT(C2289,1)="L",INDEX('Leads Pipeline'!$D$5:$D$1004,MATCH(C2289,'Leads Pipeline'!$A$5:$A$1004,0)),INDEX('Active Clients'!$B$5:$B$504,MATCH(C2289,'Active Clients'!$A$5:$A$504,0)))&amp;"","ID not found"))</f>
        <v/>
      </c>
      <c r="F2289" s="51" t="str">
        <f aca="false">IF(C2289="","",IFERROR(IF(LEFT(C2289,1)="L",INDEX('Leads Pipeline'!$E$5:$E$1004,MATCH(C2289,'Leads Pipeline'!$A$5:$A$1004,0)),INDEX('Active Clients'!$C$5:$C$504,MATCH(C2289,'Active Clients'!$A$5:$A$504,0)))&amp;"","ID not found"))</f>
        <v/>
      </c>
      <c r="G2289" s="16"/>
      <c r="H2289" s="16"/>
      <c r="I2289" s="16"/>
      <c r="J2289" s="16"/>
      <c r="K2289" s="16"/>
      <c r="L2289" s="18"/>
    </row>
    <row r="2290" customFormat="false" ht="15" hidden="false" customHeight="false" outlineLevel="0" collapsed="false">
      <c r="A2290" s="18"/>
      <c r="B2290" s="16"/>
      <c r="C2290" s="16"/>
      <c r="D2290" s="51" t="str">
        <f aca="false">IF(C2290="","",IFERROR(IF(LEFT(C2290,1)="L",INDEX('Leads Pipeline'!$F$5:$F$1004,MATCH(C2290,'Leads Pipeline'!$A$5:$A$1004,0)),INDEX('Active Clients'!$D$5:$D$504,MATCH(C2290,'Active Clients'!$A$5:$A$504,0)))&amp;"","ID not found"))</f>
        <v/>
      </c>
      <c r="E2290" s="51" t="str">
        <f aca="false">IF(C2290="","",IFERROR(IF(LEFT(C2290,1)="L",INDEX('Leads Pipeline'!$D$5:$D$1004,MATCH(C2290,'Leads Pipeline'!$A$5:$A$1004,0)),INDEX('Active Clients'!$B$5:$B$504,MATCH(C2290,'Active Clients'!$A$5:$A$504,0)))&amp;"","ID not found"))</f>
        <v/>
      </c>
      <c r="F2290" s="51" t="str">
        <f aca="false">IF(C2290="","",IFERROR(IF(LEFT(C2290,1)="L",INDEX('Leads Pipeline'!$E$5:$E$1004,MATCH(C2290,'Leads Pipeline'!$A$5:$A$1004,0)),INDEX('Active Clients'!$C$5:$C$504,MATCH(C2290,'Active Clients'!$A$5:$A$504,0)))&amp;"","ID not found"))</f>
        <v/>
      </c>
      <c r="G2290" s="16"/>
      <c r="H2290" s="16"/>
      <c r="I2290" s="16"/>
      <c r="J2290" s="16"/>
      <c r="K2290" s="16"/>
      <c r="L2290" s="18"/>
    </row>
    <row r="2291" customFormat="false" ht="15" hidden="false" customHeight="false" outlineLevel="0" collapsed="false">
      <c r="A2291" s="18"/>
      <c r="B2291" s="16"/>
      <c r="C2291" s="16"/>
      <c r="D2291" s="51" t="str">
        <f aca="false">IF(C2291="","",IFERROR(IF(LEFT(C2291,1)="L",INDEX('Leads Pipeline'!$F$5:$F$1004,MATCH(C2291,'Leads Pipeline'!$A$5:$A$1004,0)),INDEX('Active Clients'!$D$5:$D$504,MATCH(C2291,'Active Clients'!$A$5:$A$504,0)))&amp;"","ID not found"))</f>
        <v/>
      </c>
      <c r="E2291" s="51" t="str">
        <f aca="false">IF(C2291="","",IFERROR(IF(LEFT(C2291,1)="L",INDEX('Leads Pipeline'!$D$5:$D$1004,MATCH(C2291,'Leads Pipeline'!$A$5:$A$1004,0)),INDEX('Active Clients'!$B$5:$B$504,MATCH(C2291,'Active Clients'!$A$5:$A$504,0)))&amp;"","ID not found"))</f>
        <v/>
      </c>
      <c r="F2291" s="51" t="str">
        <f aca="false">IF(C2291="","",IFERROR(IF(LEFT(C2291,1)="L",INDEX('Leads Pipeline'!$E$5:$E$1004,MATCH(C2291,'Leads Pipeline'!$A$5:$A$1004,0)),INDEX('Active Clients'!$C$5:$C$504,MATCH(C2291,'Active Clients'!$A$5:$A$504,0)))&amp;"","ID not found"))</f>
        <v/>
      </c>
      <c r="G2291" s="16"/>
      <c r="H2291" s="16"/>
      <c r="I2291" s="16"/>
      <c r="J2291" s="16"/>
      <c r="K2291" s="16"/>
      <c r="L2291" s="18"/>
    </row>
    <row r="2292" customFormat="false" ht="15" hidden="false" customHeight="false" outlineLevel="0" collapsed="false">
      <c r="A2292" s="18"/>
      <c r="B2292" s="16"/>
      <c r="C2292" s="16"/>
      <c r="D2292" s="51" t="str">
        <f aca="false">IF(C2292="","",IFERROR(IF(LEFT(C2292,1)="L",INDEX('Leads Pipeline'!$F$5:$F$1004,MATCH(C2292,'Leads Pipeline'!$A$5:$A$1004,0)),INDEX('Active Clients'!$D$5:$D$504,MATCH(C2292,'Active Clients'!$A$5:$A$504,0)))&amp;"","ID not found"))</f>
        <v/>
      </c>
      <c r="E2292" s="51" t="str">
        <f aca="false">IF(C2292="","",IFERROR(IF(LEFT(C2292,1)="L",INDEX('Leads Pipeline'!$D$5:$D$1004,MATCH(C2292,'Leads Pipeline'!$A$5:$A$1004,0)),INDEX('Active Clients'!$B$5:$B$504,MATCH(C2292,'Active Clients'!$A$5:$A$504,0)))&amp;"","ID not found"))</f>
        <v/>
      </c>
      <c r="F2292" s="51" t="str">
        <f aca="false">IF(C2292="","",IFERROR(IF(LEFT(C2292,1)="L",INDEX('Leads Pipeline'!$E$5:$E$1004,MATCH(C2292,'Leads Pipeline'!$A$5:$A$1004,0)),INDEX('Active Clients'!$C$5:$C$504,MATCH(C2292,'Active Clients'!$A$5:$A$504,0)))&amp;"","ID not found"))</f>
        <v/>
      </c>
      <c r="G2292" s="16"/>
      <c r="H2292" s="16"/>
      <c r="I2292" s="16"/>
      <c r="J2292" s="16"/>
      <c r="K2292" s="16"/>
      <c r="L2292" s="18"/>
    </row>
    <row r="2293" customFormat="false" ht="15" hidden="false" customHeight="false" outlineLevel="0" collapsed="false">
      <c r="A2293" s="18"/>
      <c r="B2293" s="16"/>
      <c r="C2293" s="16"/>
      <c r="D2293" s="51" t="str">
        <f aca="false">IF(C2293="","",IFERROR(IF(LEFT(C2293,1)="L",INDEX('Leads Pipeline'!$F$5:$F$1004,MATCH(C2293,'Leads Pipeline'!$A$5:$A$1004,0)),INDEX('Active Clients'!$D$5:$D$504,MATCH(C2293,'Active Clients'!$A$5:$A$504,0)))&amp;"","ID not found"))</f>
        <v/>
      </c>
      <c r="E2293" s="51" t="str">
        <f aca="false">IF(C2293="","",IFERROR(IF(LEFT(C2293,1)="L",INDEX('Leads Pipeline'!$D$5:$D$1004,MATCH(C2293,'Leads Pipeline'!$A$5:$A$1004,0)),INDEX('Active Clients'!$B$5:$B$504,MATCH(C2293,'Active Clients'!$A$5:$A$504,0)))&amp;"","ID not found"))</f>
        <v/>
      </c>
      <c r="F2293" s="51" t="str">
        <f aca="false">IF(C2293="","",IFERROR(IF(LEFT(C2293,1)="L",INDEX('Leads Pipeline'!$E$5:$E$1004,MATCH(C2293,'Leads Pipeline'!$A$5:$A$1004,0)),INDEX('Active Clients'!$C$5:$C$504,MATCH(C2293,'Active Clients'!$A$5:$A$504,0)))&amp;"","ID not found"))</f>
        <v/>
      </c>
      <c r="G2293" s="16"/>
      <c r="H2293" s="16"/>
      <c r="I2293" s="16"/>
      <c r="J2293" s="16"/>
      <c r="K2293" s="16"/>
      <c r="L2293" s="18"/>
    </row>
    <row r="2294" customFormat="false" ht="15" hidden="false" customHeight="false" outlineLevel="0" collapsed="false">
      <c r="A2294" s="18"/>
      <c r="B2294" s="16"/>
      <c r="C2294" s="16"/>
      <c r="D2294" s="51" t="str">
        <f aca="false">IF(C2294="","",IFERROR(IF(LEFT(C2294,1)="L",INDEX('Leads Pipeline'!$F$5:$F$1004,MATCH(C2294,'Leads Pipeline'!$A$5:$A$1004,0)),INDEX('Active Clients'!$D$5:$D$504,MATCH(C2294,'Active Clients'!$A$5:$A$504,0)))&amp;"","ID not found"))</f>
        <v/>
      </c>
      <c r="E2294" s="51" t="str">
        <f aca="false">IF(C2294="","",IFERROR(IF(LEFT(C2294,1)="L",INDEX('Leads Pipeline'!$D$5:$D$1004,MATCH(C2294,'Leads Pipeline'!$A$5:$A$1004,0)),INDEX('Active Clients'!$B$5:$B$504,MATCH(C2294,'Active Clients'!$A$5:$A$504,0)))&amp;"","ID not found"))</f>
        <v/>
      </c>
      <c r="F2294" s="51" t="str">
        <f aca="false">IF(C2294="","",IFERROR(IF(LEFT(C2294,1)="L",INDEX('Leads Pipeline'!$E$5:$E$1004,MATCH(C2294,'Leads Pipeline'!$A$5:$A$1004,0)),INDEX('Active Clients'!$C$5:$C$504,MATCH(C2294,'Active Clients'!$A$5:$A$504,0)))&amp;"","ID not found"))</f>
        <v/>
      </c>
      <c r="G2294" s="16"/>
      <c r="H2294" s="16"/>
      <c r="I2294" s="16"/>
      <c r="J2294" s="16"/>
      <c r="K2294" s="16"/>
      <c r="L2294" s="18"/>
    </row>
    <row r="2295" customFormat="false" ht="15" hidden="false" customHeight="false" outlineLevel="0" collapsed="false">
      <c r="A2295" s="18"/>
      <c r="B2295" s="16"/>
      <c r="C2295" s="16"/>
      <c r="D2295" s="51" t="str">
        <f aca="false">IF(C2295="","",IFERROR(IF(LEFT(C2295,1)="L",INDEX('Leads Pipeline'!$F$5:$F$1004,MATCH(C2295,'Leads Pipeline'!$A$5:$A$1004,0)),INDEX('Active Clients'!$D$5:$D$504,MATCH(C2295,'Active Clients'!$A$5:$A$504,0)))&amp;"","ID not found"))</f>
        <v/>
      </c>
      <c r="E2295" s="51" t="str">
        <f aca="false">IF(C2295="","",IFERROR(IF(LEFT(C2295,1)="L",INDEX('Leads Pipeline'!$D$5:$D$1004,MATCH(C2295,'Leads Pipeline'!$A$5:$A$1004,0)),INDEX('Active Clients'!$B$5:$B$504,MATCH(C2295,'Active Clients'!$A$5:$A$504,0)))&amp;"","ID not found"))</f>
        <v/>
      </c>
      <c r="F2295" s="51" t="str">
        <f aca="false">IF(C2295="","",IFERROR(IF(LEFT(C2295,1)="L",INDEX('Leads Pipeline'!$E$5:$E$1004,MATCH(C2295,'Leads Pipeline'!$A$5:$A$1004,0)),INDEX('Active Clients'!$C$5:$C$504,MATCH(C2295,'Active Clients'!$A$5:$A$504,0)))&amp;"","ID not found"))</f>
        <v/>
      </c>
      <c r="G2295" s="16"/>
      <c r="H2295" s="16"/>
      <c r="I2295" s="16"/>
      <c r="J2295" s="16"/>
      <c r="K2295" s="16"/>
      <c r="L2295" s="18"/>
    </row>
    <row r="2296" customFormat="false" ht="15" hidden="false" customHeight="false" outlineLevel="0" collapsed="false">
      <c r="A2296" s="18"/>
      <c r="B2296" s="16"/>
      <c r="C2296" s="16"/>
      <c r="D2296" s="51" t="str">
        <f aca="false">IF(C2296="","",IFERROR(IF(LEFT(C2296,1)="L",INDEX('Leads Pipeline'!$F$5:$F$1004,MATCH(C2296,'Leads Pipeline'!$A$5:$A$1004,0)),INDEX('Active Clients'!$D$5:$D$504,MATCH(C2296,'Active Clients'!$A$5:$A$504,0)))&amp;"","ID not found"))</f>
        <v/>
      </c>
      <c r="E2296" s="51" t="str">
        <f aca="false">IF(C2296="","",IFERROR(IF(LEFT(C2296,1)="L",INDEX('Leads Pipeline'!$D$5:$D$1004,MATCH(C2296,'Leads Pipeline'!$A$5:$A$1004,0)),INDEX('Active Clients'!$B$5:$B$504,MATCH(C2296,'Active Clients'!$A$5:$A$504,0)))&amp;"","ID not found"))</f>
        <v/>
      </c>
      <c r="F2296" s="51" t="str">
        <f aca="false">IF(C2296="","",IFERROR(IF(LEFT(C2296,1)="L",INDEX('Leads Pipeline'!$E$5:$E$1004,MATCH(C2296,'Leads Pipeline'!$A$5:$A$1004,0)),INDEX('Active Clients'!$C$5:$C$504,MATCH(C2296,'Active Clients'!$A$5:$A$504,0)))&amp;"","ID not found"))</f>
        <v/>
      </c>
      <c r="G2296" s="16"/>
      <c r="H2296" s="16"/>
      <c r="I2296" s="16"/>
      <c r="J2296" s="16"/>
      <c r="K2296" s="16"/>
      <c r="L2296" s="18"/>
    </row>
    <row r="2297" customFormat="false" ht="15" hidden="false" customHeight="false" outlineLevel="0" collapsed="false">
      <c r="A2297" s="18"/>
      <c r="B2297" s="16"/>
      <c r="C2297" s="16"/>
      <c r="D2297" s="51" t="str">
        <f aca="false">IF(C2297="","",IFERROR(IF(LEFT(C2297,1)="L",INDEX('Leads Pipeline'!$F$5:$F$1004,MATCH(C2297,'Leads Pipeline'!$A$5:$A$1004,0)),INDEX('Active Clients'!$D$5:$D$504,MATCH(C2297,'Active Clients'!$A$5:$A$504,0)))&amp;"","ID not found"))</f>
        <v/>
      </c>
      <c r="E2297" s="51" t="str">
        <f aca="false">IF(C2297="","",IFERROR(IF(LEFT(C2297,1)="L",INDEX('Leads Pipeline'!$D$5:$D$1004,MATCH(C2297,'Leads Pipeline'!$A$5:$A$1004,0)),INDEX('Active Clients'!$B$5:$B$504,MATCH(C2297,'Active Clients'!$A$5:$A$504,0)))&amp;"","ID not found"))</f>
        <v/>
      </c>
      <c r="F2297" s="51" t="str">
        <f aca="false">IF(C2297="","",IFERROR(IF(LEFT(C2297,1)="L",INDEX('Leads Pipeline'!$E$5:$E$1004,MATCH(C2297,'Leads Pipeline'!$A$5:$A$1004,0)),INDEX('Active Clients'!$C$5:$C$504,MATCH(C2297,'Active Clients'!$A$5:$A$504,0)))&amp;"","ID not found"))</f>
        <v/>
      </c>
      <c r="G2297" s="16"/>
      <c r="H2297" s="16"/>
      <c r="I2297" s="16"/>
      <c r="J2297" s="16"/>
      <c r="K2297" s="16"/>
      <c r="L2297" s="18"/>
    </row>
    <row r="2298" customFormat="false" ht="15" hidden="false" customHeight="false" outlineLevel="0" collapsed="false">
      <c r="A2298" s="18"/>
      <c r="B2298" s="16"/>
      <c r="C2298" s="16"/>
      <c r="D2298" s="51" t="str">
        <f aca="false">IF(C2298="","",IFERROR(IF(LEFT(C2298,1)="L",INDEX('Leads Pipeline'!$F$5:$F$1004,MATCH(C2298,'Leads Pipeline'!$A$5:$A$1004,0)),INDEX('Active Clients'!$D$5:$D$504,MATCH(C2298,'Active Clients'!$A$5:$A$504,0)))&amp;"","ID not found"))</f>
        <v/>
      </c>
      <c r="E2298" s="51" t="str">
        <f aca="false">IF(C2298="","",IFERROR(IF(LEFT(C2298,1)="L",INDEX('Leads Pipeline'!$D$5:$D$1004,MATCH(C2298,'Leads Pipeline'!$A$5:$A$1004,0)),INDEX('Active Clients'!$B$5:$B$504,MATCH(C2298,'Active Clients'!$A$5:$A$504,0)))&amp;"","ID not found"))</f>
        <v/>
      </c>
      <c r="F2298" s="51" t="str">
        <f aca="false">IF(C2298="","",IFERROR(IF(LEFT(C2298,1)="L",INDEX('Leads Pipeline'!$E$5:$E$1004,MATCH(C2298,'Leads Pipeline'!$A$5:$A$1004,0)),INDEX('Active Clients'!$C$5:$C$504,MATCH(C2298,'Active Clients'!$A$5:$A$504,0)))&amp;"","ID not found"))</f>
        <v/>
      </c>
      <c r="G2298" s="16"/>
      <c r="H2298" s="16"/>
      <c r="I2298" s="16"/>
      <c r="J2298" s="16"/>
      <c r="K2298" s="16"/>
      <c r="L2298" s="18"/>
    </row>
    <row r="2299" customFormat="false" ht="15" hidden="false" customHeight="false" outlineLevel="0" collapsed="false">
      <c r="A2299" s="18"/>
      <c r="B2299" s="16"/>
      <c r="C2299" s="16"/>
      <c r="D2299" s="51" t="str">
        <f aca="false">IF(C2299="","",IFERROR(IF(LEFT(C2299,1)="L",INDEX('Leads Pipeline'!$F$5:$F$1004,MATCH(C2299,'Leads Pipeline'!$A$5:$A$1004,0)),INDEX('Active Clients'!$D$5:$D$504,MATCH(C2299,'Active Clients'!$A$5:$A$504,0)))&amp;"","ID not found"))</f>
        <v/>
      </c>
      <c r="E2299" s="51" t="str">
        <f aca="false">IF(C2299="","",IFERROR(IF(LEFT(C2299,1)="L",INDEX('Leads Pipeline'!$D$5:$D$1004,MATCH(C2299,'Leads Pipeline'!$A$5:$A$1004,0)),INDEX('Active Clients'!$B$5:$B$504,MATCH(C2299,'Active Clients'!$A$5:$A$504,0)))&amp;"","ID not found"))</f>
        <v/>
      </c>
      <c r="F2299" s="51" t="str">
        <f aca="false">IF(C2299="","",IFERROR(IF(LEFT(C2299,1)="L",INDEX('Leads Pipeline'!$E$5:$E$1004,MATCH(C2299,'Leads Pipeline'!$A$5:$A$1004,0)),INDEX('Active Clients'!$C$5:$C$504,MATCH(C2299,'Active Clients'!$A$5:$A$504,0)))&amp;"","ID not found"))</f>
        <v/>
      </c>
      <c r="G2299" s="16"/>
      <c r="H2299" s="16"/>
      <c r="I2299" s="16"/>
      <c r="J2299" s="16"/>
      <c r="K2299" s="16"/>
      <c r="L2299" s="18"/>
    </row>
    <row r="2300" customFormat="false" ht="15" hidden="false" customHeight="false" outlineLevel="0" collapsed="false">
      <c r="A2300" s="18"/>
      <c r="B2300" s="16"/>
      <c r="C2300" s="16"/>
      <c r="D2300" s="51" t="str">
        <f aca="false">IF(C2300="","",IFERROR(IF(LEFT(C2300,1)="L",INDEX('Leads Pipeline'!$F$5:$F$1004,MATCH(C2300,'Leads Pipeline'!$A$5:$A$1004,0)),INDEX('Active Clients'!$D$5:$D$504,MATCH(C2300,'Active Clients'!$A$5:$A$504,0)))&amp;"","ID not found"))</f>
        <v/>
      </c>
      <c r="E2300" s="51" t="str">
        <f aca="false">IF(C2300="","",IFERROR(IF(LEFT(C2300,1)="L",INDEX('Leads Pipeline'!$D$5:$D$1004,MATCH(C2300,'Leads Pipeline'!$A$5:$A$1004,0)),INDEX('Active Clients'!$B$5:$B$504,MATCH(C2300,'Active Clients'!$A$5:$A$504,0)))&amp;"","ID not found"))</f>
        <v/>
      </c>
      <c r="F2300" s="51" t="str">
        <f aca="false">IF(C2300="","",IFERROR(IF(LEFT(C2300,1)="L",INDEX('Leads Pipeline'!$E$5:$E$1004,MATCH(C2300,'Leads Pipeline'!$A$5:$A$1004,0)),INDEX('Active Clients'!$C$5:$C$504,MATCH(C2300,'Active Clients'!$A$5:$A$504,0)))&amp;"","ID not found"))</f>
        <v/>
      </c>
      <c r="G2300" s="16"/>
      <c r="H2300" s="16"/>
      <c r="I2300" s="16"/>
      <c r="J2300" s="16"/>
      <c r="K2300" s="16"/>
      <c r="L2300" s="18"/>
    </row>
    <row r="2301" customFormat="false" ht="15" hidden="false" customHeight="false" outlineLevel="0" collapsed="false">
      <c r="A2301" s="18"/>
      <c r="B2301" s="16"/>
      <c r="C2301" s="16"/>
      <c r="D2301" s="51" t="str">
        <f aca="false">IF(C2301="","",IFERROR(IF(LEFT(C2301,1)="L",INDEX('Leads Pipeline'!$F$5:$F$1004,MATCH(C2301,'Leads Pipeline'!$A$5:$A$1004,0)),INDEX('Active Clients'!$D$5:$D$504,MATCH(C2301,'Active Clients'!$A$5:$A$504,0)))&amp;"","ID not found"))</f>
        <v/>
      </c>
      <c r="E2301" s="51" t="str">
        <f aca="false">IF(C2301="","",IFERROR(IF(LEFT(C2301,1)="L",INDEX('Leads Pipeline'!$D$5:$D$1004,MATCH(C2301,'Leads Pipeline'!$A$5:$A$1004,0)),INDEX('Active Clients'!$B$5:$B$504,MATCH(C2301,'Active Clients'!$A$5:$A$504,0)))&amp;"","ID not found"))</f>
        <v/>
      </c>
      <c r="F2301" s="51" t="str">
        <f aca="false">IF(C2301="","",IFERROR(IF(LEFT(C2301,1)="L",INDEX('Leads Pipeline'!$E$5:$E$1004,MATCH(C2301,'Leads Pipeline'!$A$5:$A$1004,0)),INDEX('Active Clients'!$C$5:$C$504,MATCH(C2301,'Active Clients'!$A$5:$A$504,0)))&amp;"","ID not found"))</f>
        <v/>
      </c>
      <c r="G2301" s="16"/>
      <c r="H2301" s="16"/>
      <c r="I2301" s="16"/>
      <c r="J2301" s="16"/>
      <c r="K2301" s="16"/>
      <c r="L2301" s="18"/>
    </row>
    <row r="2302" customFormat="false" ht="15" hidden="false" customHeight="false" outlineLevel="0" collapsed="false">
      <c r="A2302" s="18"/>
      <c r="B2302" s="16"/>
      <c r="C2302" s="16"/>
      <c r="D2302" s="51" t="str">
        <f aca="false">IF(C2302="","",IFERROR(IF(LEFT(C2302,1)="L",INDEX('Leads Pipeline'!$F$5:$F$1004,MATCH(C2302,'Leads Pipeline'!$A$5:$A$1004,0)),INDEX('Active Clients'!$D$5:$D$504,MATCH(C2302,'Active Clients'!$A$5:$A$504,0)))&amp;"","ID not found"))</f>
        <v/>
      </c>
      <c r="E2302" s="51" t="str">
        <f aca="false">IF(C2302="","",IFERROR(IF(LEFT(C2302,1)="L",INDEX('Leads Pipeline'!$D$5:$D$1004,MATCH(C2302,'Leads Pipeline'!$A$5:$A$1004,0)),INDEX('Active Clients'!$B$5:$B$504,MATCH(C2302,'Active Clients'!$A$5:$A$504,0)))&amp;"","ID not found"))</f>
        <v/>
      </c>
      <c r="F2302" s="51" t="str">
        <f aca="false">IF(C2302="","",IFERROR(IF(LEFT(C2302,1)="L",INDEX('Leads Pipeline'!$E$5:$E$1004,MATCH(C2302,'Leads Pipeline'!$A$5:$A$1004,0)),INDEX('Active Clients'!$C$5:$C$504,MATCH(C2302,'Active Clients'!$A$5:$A$504,0)))&amp;"","ID not found"))</f>
        <v/>
      </c>
      <c r="G2302" s="16"/>
      <c r="H2302" s="16"/>
      <c r="I2302" s="16"/>
      <c r="J2302" s="16"/>
      <c r="K2302" s="16"/>
      <c r="L2302" s="18"/>
    </row>
    <row r="2303" customFormat="false" ht="15" hidden="false" customHeight="false" outlineLevel="0" collapsed="false">
      <c r="A2303" s="18"/>
      <c r="B2303" s="16"/>
      <c r="C2303" s="16"/>
      <c r="D2303" s="51" t="str">
        <f aca="false">IF(C2303="","",IFERROR(IF(LEFT(C2303,1)="L",INDEX('Leads Pipeline'!$F$5:$F$1004,MATCH(C2303,'Leads Pipeline'!$A$5:$A$1004,0)),INDEX('Active Clients'!$D$5:$D$504,MATCH(C2303,'Active Clients'!$A$5:$A$504,0)))&amp;"","ID not found"))</f>
        <v/>
      </c>
      <c r="E2303" s="51" t="str">
        <f aca="false">IF(C2303="","",IFERROR(IF(LEFT(C2303,1)="L",INDEX('Leads Pipeline'!$D$5:$D$1004,MATCH(C2303,'Leads Pipeline'!$A$5:$A$1004,0)),INDEX('Active Clients'!$B$5:$B$504,MATCH(C2303,'Active Clients'!$A$5:$A$504,0)))&amp;"","ID not found"))</f>
        <v/>
      </c>
      <c r="F2303" s="51" t="str">
        <f aca="false">IF(C2303="","",IFERROR(IF(LEFT(C2303,1)="L",INDEX('Leads Pipeline'!$E$5:$E$1004,MATCH(C2303,'Leads Pipeline'!$A$5:$A$1004,0)),INDEX('Active Clients'!$C$5:$C$504,MATCH(C2303,'Active Clients'!$A$5:$A$504,0)))&amp;"","ID not found"))</f>
        <v/>
      </c>
      <c r="G2303" s="16"/>
      <c r="H2303" s="16"/>
      <c r="I2303" s="16"/>
      <c r="J2303" s="16"/>
      <c r="K2303" s="16"/>
      <c r="L2303" s="18"/>
    </row>
    <row r="2304" customFormat="false" ht="15" hidden="false" customHeight="false" outlineLevel="0" collapsed="false">
      <c r="A2304" s="18"/>
      <c r="B2304" s="16"/>
      <c r="C2304" s="16"/>
      <c r="D2304" s="51" t="str">
        <f aca="false">IF(C2304="","",IFERROR(IF(LEFT(C2304,1)="L",INDEX('Leads Pipeline'!$F$5:$F$1004,MATCH(C2304,'Leads Pipeline'!$A$5:$A$1004,0)),INDEX('Active Clients'!$D$5:$D$504,MATCH(C2304,'Active Clients'!$A$5:$A$504,0)))&amp;"","ID not found"))</f>
        <v/>
      </c>
      <c r="E2304" s="51" t="str">
        <f aca="false">IF(C2304="","",IFERROR(IF(LEFT(C2304,1)="L",INDEX('Leads Pipeline'!$D$5:$D$1004,MATCH(C2304,'Leads Pipeline'!$A$5:$A$1004,0)),INDEX('Active Clients'!$B$5:$B$504,MATCH(C2304,'Active Clients'!$A$5:$A$504,0)))&amp;"","ID not found"))</f>
        <v/>
      </c>
      <c r="F2304" s="51" t="str">
        <f aca="false">IF(C2304="","",IFERROR(IF(LEFT(C2304,1)="L",INDEX('Leads Pipeline'!$E$5:$E$1004,MATCH(C2304,'Leads Pipeline'!$A$5:$A$1004,0)),INDEX('Active Clients'!$C$5:$C$504,MATCH(C2304,'Active Clients'!$A$5:$A$504,0)))&amp;"","ID not found"))</f>
        <v/>
      </c>
      <c r="G2304" s="16"/>
      <c r="H2304" s="16"/>
      <c r="I2304" s="16"/>
      <c r="J2304" s="16"/>
      <c r="K2304" s="16"/>
      <c r="L2304" s="18"/>
    </row>
    <row r="2305" customFormat="false" ht="15" hidden="false" customHeight="false" outlineLevel="0" collapsed="false">
      <c r="A2305" s="18"/>
      <c r="B2305" s="16"/>
      <c r="C2305" s="16"/>
      <c r="D2305" s="51" t="str">
        <f aca="false">IF(C2305="","",IFERROR(IF(LEFT(C2305,1)="L",INDEX('Leads Pipeline'!$F$5:$F$1004,MATCH(C2305,'Leads Pipeline'!$A$5:$A$1004,0)),INDEX('Active Clients'!$D$5:$D$504,MATCH(C2305,'Active Clients'!$A$5:$A$504,0)))&amp;"","ID not found"))</f>
        <v/>
      </c>
      <c r="E2305" s="51" t="str">
        <f aca="false">IF(C2305="","",IFERROR(IF(LEFT(C2305,1)="L",INDEX('Leads Pipeline'!$D$5:$D$1004,MATCH(C2305,'Leads Pipeline'!$A$5:$A$1004,0)),INDEX('Active Clients'!$B$5:$B$504,MATCH(C2305,'Active Clients'!$A$5:$A$504,0)))&amp;"","ID not found"))</f>
        <v/>
      </c>
      <c r="F2305" s="51" t="str">
        <f aca="false">IF(C2305="","",IFERROR(IF(LEFT(C2305,1)="L",INDEX('Leads Pipeline'!$E$5:$E$1004,MATCH(C2305,'Leads Pipeline'!$A$5:$A$1004,0)),INDEX('Active Clients'!$C$5:$C$504,MATCH(C2305,'Active Clients'!$A$5:$A$504,0)))&amp;"","ID not found"))</f>
        <v/>
      </c>
      <c r="G2305" s="16"/>
      <c r="H2305" s="16"/>
      <c r="I2305" s="16"/>
      <c r="J2305" s="16"/>
      <c r="K2305" s="16"/>
      <c r="L2305" s="18"/>
    </row>
    <row r="2306" customFormat="false" ht="15" hidden="false" customHeight="false" outlineLevel="0" collapsed="false">
      <c r="A2306" s="18"/>
      <c r="B2306" s="16"/>
      <c r="C2306" s="16"/>
      <c r="D2306" s="51" t="str">
        <f aca="false">IF(C2306="","",IFERROR(IF(LEFT(C2306,1)="L",INDEX('Leads Pipeline'!$F$5:$F$1004,MATCH(C2306,'Leads Pipeline'!$A$5:$A$1004,0)),INDEX('Active Clients'!$D$5:$D$504,MATCH(C2306,'Active Clients'!$A$5:$A$504,0)))&amp;"","ID not found"))</f>
        <v/>
      </c>
      <c r="E2306" s="51" t="str">
        <f aca="false">IF(C2306="","",IFERROR(IF(LEFT(C2306,1)="L",INDEX('Leads Pipeline'!$D$5:$D$1004,MATCH(C2306,'Leads Pipeline'!$A$5:$A$1004,0)),INDEX('Active Clients'!$B$5:$B$504,MATCH(C2306,'Active Clients'!$A$5:$A$504,0)))&amp;"","ID not found"))</f>
        <v/>
      </c>
      <c r="F2306" s="51" t="str">
        <f aca="false">IF(C2306="","",IFERROR(IF(LEFT(C2306,1)="L",INDEX('Leads Pipeline'!$E$5:$E$1004,MATCH(C2306,'Leads Pipeline'!$A$5:$A$1004,0)),INDEX('Active Clients'!$C$5:$C$504,MATCH(C2306,'Active Clients'!$A$5:$A$504,0)))&amp;"","ID not found"))</f>
        <v/>
      </c>
      <c r="G2306" s="16"/>
      <c r="H2306" s="16"/>
      <c r="I2306" s="16"/>
      <c r="J2306" s="16"/>
      <c r="K2306" s="16"/>
      <c r="L2306" s="18"/>
    </row>
    <row r="2307" customFormat="false" ht="15" hidden="false" customHeight="false" outlineLevel="0" collapsed="false">
      <c r="A2307" s="18"/>
      <c r="B2307" s="16"/>
      <c r="C2307" s="16"/>
      <c r="D2307" s="51" t="str">
        <f aca="false">IF(C2307="","",IFERROR(IF(LEFT(C2307,1)="L",INDEX('Leads Pipeline'!$F$5:$F$1004,MATCH(C2307,'Leads Pipeline'!$A$5:$A$1004,0)),INDEX('Active Clients'!$D$5:$D$504,MATCH(C2307,'Active Clients'!$A$5:$A$504,0)))&amp;"","ID not found"))</f>
        <v/>
      </c>
      <c r="E2307" s="51" t="str">
        <f aca="false">IF(C2307="","",IFERROR(IF(LEFT(C2307,1)="L",INDEX('Leads Pipeline'!$D$5:$D$1004,MATCH(C2307,'Leads Pipeline'!$A$5:$A$1004,0)),INDEX('Active Clients'!$B$5:$B$504,MATCH(C2307,'Active Clients'!$A$5:$A$504,0)))&amp;"","ID not found"))</f>
        <v/>
      </c>
      <c r="F2307" s="51" t="str">
        <f aca="false">IF(C2307="","",IFERROR(IF(LEFT(C2307,1)="L",INDEX('Leads Pipeline'!$E$5:$E$1004,MATCH(C2307,'Leads Pipeline'!$A$5:$A$1004,0)),INDEX('Active Clients'!$C$5:$C$504,MATCH(C2307,'Active Clients'!$A$5:$A$504,0)))&amp;"","ID not found"))</f>
        <v/>
      </c>
      <c r="G2307" s="16"/>
      <c r="H2307" s="16"/>
      <c r="I2307" s="16"/>
      <c r="J2307" s="16"/>
      <c r="K2307" s="16"/>
      <c r="L2307" s="18"/>
    </row>
    <row r="2308" customFormat="false" ht="15" hidden="false" customHeight="false" outlineLevel="0" collapsed="false">
      <c r="A2308" s="18"/>
      <c r="B2308" s="16"/>
      <c r="C2308" s="16"/>
      <c r="D2308" s="51" t="str">
        <f aca="false">IF(C2308="","",IFERROR(IF(LEFT(C2308,1)="L",INDEX('Leads Pipeline'!$F$5:$F$1004,MATCH(C2308,'Leads Pipeline'!$A$5:$A$1004,0)),INDEX('Active Clients'!$D$5:$D$504,MATCH(C2308,'Active Clients'!$A$5:$A$504,0)))&amp;"","ID not found"))</f>
        <v/>
      </c>
      <c r="E2308" s="51" t="str">
        <f aca="false">IF(C2308="","",IFERROR(IF(LEFT(C2308,1)="L",INDEX('Leads Pipeline'!$D$5:$D$1004,MATCH(C2308,'Leads Pipeline'!$A$5:$A$1004,0)),INDEX('Active Clients'!$B$5:$B$504,MATCH(C2308,'Active Clients'!$A$5:$A$504,0)))&amp;"","ID not found"))</f>
        <v/>
      </c>
      <c r="F2308" s="51" t="str">
        <f aca="false">IF(C2308="","",IFERROR(IF(LEFT(C2308,1)="L",INDEX('Leads Pipeline'!$E$5:$E$1004,MATCH(C2308,'Leads Pipeline'!$A$5:$A$1004,0)),INDEX('Active Clients'!$C$5:$C$504,MATCH(C2308,'Active Clients'!$A$5:$A$504,0)))&amp;"","ID not found"))</f>
        <v/>
      </c>
      <c r="G2308" s="16"/>
      <c r="H2308" s="16"/>
      <c r="I2308" s="16"/>
      <c r="J2308" s="16"/>
      <c r="K2308" s="16"/>
      <c r="L2308" s="18"/>
    </row>
    <row r="2309" customFormat="false" ht="15" hidden="false" customHeight="false" outlineLevel="0" collapsed="false">
      <c r="A2309" s="18"/>
      <c r="B2309" s="16"/>
      <c r="C2309" s="16"/>
      <c r="D2309" s="51" t="str">
        <f aca="false">IF(C2309="","",IFERROR(IF(LEFT(C2309,1)="L",INDEX('Leads Pipeline'!$F$5:$F$1004,MATCH(C2309,'Leads Pipeline'!$A$5:$A$1004,0)),INDEX('Active Clients'!$D$5:$D$504,MATCH(C2309,'Active Clients'!$A$5:$A$504,0)))&amp;"","ID not found"))</f>
        <v/>
      </c>
      <c r="E2309" s="51" t="str">
        <f aca="false">IF(C2309="","",IFERROR(IF(LEFT(C2309,1)="L",INDEX('Leads Pipeline'!$D$5:$D$1004,MATCH(C2309,'Leads Pipeline'!$A$5:$A$1004,0)),INDEX('Active Clients'!$B$5:$B$504,MATCH(C2309,'Active Clients'!$A$5:$A$504,0)))&amp;"","ID not found"))</f>
        <v/>
      </c>
      <c r="F2309" s="51" t="str">
        <f aca="false">IF(C2309="","",IFERROR(IF(LEFT(C2309,1)="L",INDEX('Leads Pipeline'!$E$5:$E$1004,MATCH(C2309,'Leads Pipeline'!$A$5:$A$1004,0)),INDEX('Active Clients'!$C$5:$C$504,MATCH(C2309,'Active Clients'!$A$5:$A$504,0)))&amp;"","ID not found"))</f>
        <v/>
      </c>
      <c r="G2309" s="16"/>
      <c r="H2309" s="16"/>
      <c r="I2309" s="16"/>
      <c r="J2309" s="16"/>
      <c r="K2309" s="16"/>
      <c r="L2309" s="18"/>
    </row>
    <row r="2310" customFormat="false" ht="15" hidden="false" customHeight="false" outlineLevel="0" collapsed="false">
      <c r="A2310" s="18"/>
      <c r="B2310" s="16"/>
      <c r="C2310" s="16"/>
      <c r="D2310" s="51" t="str">
        <f aca="false">IF(C2310="","",IFERROR(IF(LEFT(C2310,1)="L",INDEX('Leads Pipeline'!$F$5:$F$1004,MATCH(C2310,'Leads Pipeline'!$A$5:$A$1004,0)),INDEX('Active Clients'!$D$5:$D$504,MATCH(C2310,'Active Clients'!$A$5:$A$504,0)))&amp;"","ID not found"))</f>
        <v/>
      </c>
      <c r="E2310" s="51" t="str">
        <f aca="false">IF(C2310="","",IFERROR(IF(LEFT(C2310,1)="L",INDEX('Leads Pipeline'!$D$5:$D$1004,MATCH(C2310,'Leads Pipeline'!$A$5:$A$1004,0)),INDEX('Active Clients'!$B$5:$B$504,MATCH(C2310,'Active Clients'!$A$5:$A$504,0)))&amp;"","ID not found"))</f>
        <v/>
      </c>
      <c r="F2310" s="51" t="str">
        <f aca="false">IF(C2310="","",IFERROR(IF(LEFT(C2310,1)="L",INDEX('Leads Pipeline'!$E$5:$E$1004,MATCH(C2310,'Leads Pipeline'!$A$5:$A$1004,0)),INDEX('Active Clients'!$C$5:$C$504,MATCH(C2310,'Active Clients'!$A$5:$A$504,0)))&amp;"","ID not found"))</f>
        <v/>
      </c>
      <c r="G2310" s="16"/>
      <c r="H2310" s="16"/>
      <c r="I2310" s="16"/>
      <c r="J2310" s="16"/>
      <c r="K2310" s="16"/>
      <c r="L2310" s="18"/>
    </row>
    <row r="2311" customFormat="false" ht="15" hidden="false" customHeight="false" outlineLevel="0" collapsed="false">
      <c r="A2311" s="18"/>
      <c r="B2311" s="16"/>
      <c r="C2311" s="16"/>
      <c r="D2311" s="51" t="str">
        <f aca="false">IF(C2311="","",IFERROR(IF(LEFT(C2311,1)="L",INDEX('Leads Pipeline'!$F$5:$F$1004,MATCH(C2311,'Leads Pipeline'!$A$5:$A$1004,0)),INDEX('Active Clients'!$D$5:$D$504,MATCH(C2311,'Active Clients'!$A$5:$A$504,0)))&amp;"","ID not found"))</f>
        <v/>
      </c>
      <c r="E2311" s="51" t="str">
        <f aca="false">IF(C2311="","",IFERROR(IF(LEFT(C2311,1)="L",INDEX('Leads Pipeline'!$D$5:$D$1004,MATCH(C2311,'Leads Pipeline'!$A$5:$A$1004,0)),INDEX('Active Clients'!$B$5:$B$504,MATCH(C2311,'Active Clients'!$A$5:$A$504,0)))&amp;"","ID not found"))</f>
        <v/>
      </c>
      <c r="F2311" s="51" t="str">
        <f aca="false">IF(C2311="","",IFERROR(IF(LEFT(C2311,1)="L",INDEX('Leads Pipeline'!$E$5:$E$1004,MATCH(C2311,'Leads Pipeline'!$A$5:$A$1004,0)),INDEX('Active Clients'!$C$5:$C$504,MATCH(C2311,'Active Clients'!$A$5:$A$504,0)))&amp;"","ID not found"))</f>
        <v/>
      </c>
      <c r="G2311" s="16"/>
      <c r="H2311" s="16"/>
      <c r="I2311" s="16"/>
      <c r="J2311" s="16"/>
      <c r="K2311" s="16"/>
      <c r="L2311" s="18"/>
    </row>
    <row r="2312" customFormat="false" ht="15" hidden="false" customHeight="false" outlineLevel="0" collapsed="false">
      <c r="A2312" s="18"/>
      <c r="B2312" s="16"/>
      <c r="C2312" s="16"/>
      <c r="D2312" s="51" t="str">
        <f aca="false">IF(C2312="","",IFERROR(IF(LEFT(C2312,1)="L",INDEX('Leads Pipeline'!$F$5:$F$1004,MATCH(C2312,'Leads Pipeline'!$A$5:$A$1004,0)),INDEX('Active Clients'!$D$5:$D$504,MATCH(C2312,'Active Clients'!$A$5:$A$504,0)))&amp;"","ID not found"))</f>
        <v/>
      </c>
      <c r="E2312" s="51" t="str">
        <f aca="false">IF(C2312="","",IFERROR(IF(LEFT(C2312,1)="L",INDEX('Leads Pipeline'!$D$5:$D$1004,MATCH(C2312,'Leads Pipeline'!$A$5:$A$1004,0)),INDEX('Active Clients'!$B$5:$B$504,MATCH(C2312,'Active Clients'!$A$5:$A$504,0)))&amp;"","ID not found"))</f>
        <v/>
      </c>
      <c r="F2312" s="51" t="str">
        <f aca="false">IF(C2312="","",IFERROR(IF(LEFT(C2312,1)="L",INDEX('Leads Pipeline'!$E$5:$E$1004,MATCH(C2312,'Leads Pipeline'!$A$5:$A$1004,0)),INDEX('Active Clients'!$C$5:$C$504,MATCH(C2312,'Active Clients'!$A$5:$A$504,0)))&amp;"","ID not found"))</f>
        <v/>
      </c>
      <c r="G2312" s="16"/>
      <c r="H2312" s="16"/>
      <c r="I2312" s="16"/>
      <c r="J2312" s="16"/>
      <c r="K2312" s="16"/>
      <c r="L2312" s="18"/>
    </row>
    <row r="2313" customFormat="false" ht="15" hidden="false" customHeight="false" outlineLevel="0" collapsed="false">
      <c r="A2313" s="18"/>
      <c r="B2313" s="16"/>
      <c r="C2313" s="16"/>
      <c r="D2313" s="51" t="str">
        <f aca="false">IF(C2313="","",IFERROR(IF(LEFT(C2313,1)="L",INDEX('Leads Pipeline'!$F$5:$F$1004,MATCH(C2313,'Leads Pipeline'!$A$5:$A$1004,0)),INDEX('Active Clients'!$D$5:$D$504,MATCH(C2313,'Active Clients'!$A$5:$A$504,0)))&amp;"","ID not found"))</f>
        <v/>
      </c>
      <c r="E2313" s="51" t="str">
        <f aca="false">IF(C2313="","",IFERROR(IF(LEFT(C2313,1)="L",INDEX('Leads Pipeline'!$D$5:$D$1004,MATCH(C2313,'Leads Pipeline'!$A$5:$A$1004,0)),INDEX('Active Clients'!$B$5:$B$504,MATCH(C2313,'Active Clients'!$A$5:$A$504,0)))&amp;"","ID not found"))</f>
        <v/>
      </c>
      <c r="F2313" s="51" t="str">
        <f aca="false">IF(C2313="","",IFERROR(IF(LEFT(C2313,1)="L",INDEX('Leads Pipeline'!$E$5:$E$1004,MATCH(C2313,'Leads Pipeline'!$A$5:$A$1004,0)),INDEX('Active Clients'!$C$5:$C$504,MATCH(C2313,'Active Clients'!$A$5:$A$504,0)))&amp;"","ID not found"))</f>
        <v/>
      </c>
      <c r="G2313" s="16"/>
      <c r="H2313" s="16"/>
      <c r="I2313" s="16"/>
      <c r="J2313" s="16"/>
      <c r="K2313" s="16"/>
      <c r="L2313" s="18"/>
    </row>
    <row r="2314" customFormat="false" ht="15" hidden="false" customHeight="false" outlineLevel="0" collapsed="false">
      <c r="A2314" s="18"/>
      <c r="B2314" s="16"/>
      <c r="C2314" s="16"/>
      <c r="D2314" s="51" t="str">
        <f aca="false">IF(C2314="","",IFERROR(IF(LEFT(C2314,1)="L",INDEX('Leads Pipeline'!$F$5:$F$1004,MATCH(C2314,'Leads Pipeline'!$A$5:$A$1004,0)),INDEX('Active Clients'!$D$5:$D$504,MATCH(C2314,'Active Clients'!$A$5:$A$504,0)))&amp;"","ID not found"))</f>
        <v/>
      </c>
      <c r="E2314" s="51" t="str">
        <f aca="false">IF(C2314="","",IFERROR(IF(LEFT(C2314,1)="L",INDEX('Leads Pipeline'!$D$5:$D$1004,MATCH(C2314,'Leads Pipeline'!$A$5:$A$1004,0)),INDEX('Active Clients'!$B$5:$B$504,MATCH(C2314,'Active Clients'!$A$5:$A$504,0)))&amp;"","ID not found"))</f>
        <v/>
      </c>
      <c r="F2314" s="51" t="str">
        <f aca="false">IF(C2314="","",IFERROR(IF(LEFT(C2314,1)="L",INDEX('Leads Pipeline'!$E$5:$E$1004,MATCH(C2314,'Leads Pipeline'!$A$5:$A$1004,0)),INDEX('Active Clients'!$C$5:$C$504,MATCH(C2314,'Active Clients'!$A$5:$A$504,0)))&amp;"","ID not found"))</f>
        <v/>
      </c>
      <c r="G2314" s="16"/>
      <c r="H2314" s="16"/>
      <c r="I2314" s="16"/>
      <c r="J2314" s="16"/>
      <c r="K2314" s="16"/>
      <c r="L2314" s="18"/>
    </row>
    <row r="2315" customFormat="false" ht="15" hidden="false" customHeight="false" outlineLevel="0" collapsed="false">
      <c r="A2315" s="18"/>
      <c r="B2315" s="16"/>
      <c r="C2315" s="16"/>
      <c r="D2315" s="51" t="str">
        <f aca="false">IF(C2315="","",IFERROR(IF(LEFT(C2315,1)="L",INDEX('Leads Pipeline'!$F$5:$F$1004,MATCH(C2315,'Leads Pipeline'!$A$5:$A$1004,0)),INDEX('Active Clients'!$D$5:$D$504,MATCH(C2315,'Active Clients'!$A$5:$A$504,0)))&amp;"","ID not found"))</f>
        <v/>
      </c>
      <c r="E2315" s="51" t="str">
        <f aca="false">IF(C2315="","",IFERROR(IF(LEFT(C2315,1)="L",INDEX('Leads Pipeline'!$D$5:$D$1004,MATCH(C2315,'Leads Pipeline'!$A$5:$A$1004,0)),INDEX('Active Clients'!$B$5:$B$504,MATCH(C2315,'Active Clients'!$A$5:$A$504,0)))&amp;"","ID not found"))</f>
        <v/>
      </c>
      <c r="F2315" s="51" t="str">
        <f aca="false">IF(C2315="","",IFERROR(IF(LEFT(C2315,1)="L",INDEX('Leads Pipeline'!$E$5:$E$1004,MATCH(C2315,'Leads Pipeline'!$A$5:$A$1004,0)),INDEX('Active Clients'!$C$5:$C$504,MATCH(C2315,'Active Clients'!$A$5:$A$504,0)))&amp;"","ID not found"))</f>
        <v/>
      </c>
      <c r="G2315" s="16"/>
      <c r="H2315" s="16"/>
      <c r="I2315" s="16"/>
      <c r="J2315" s="16"/>
      <c r="K2315" s="16"/>
      <c r="L2315" s="18"/>
    </row>
    <row r="2316" customFormat="false" ht="15" hidden="false" customHeight="false" outlineLevel="0" collapsed="false">
      <c r="A2316" s="18"/>
      <c r="B2316" s="16"/>
      <c r="C2316" s="16"/>
      <c r="D2316" s="51" t="str">
        <f aca="false">IF(C2316="","",IFERROR(IF(LEFT(C2316,1)="L",INDEX('Leads Pipeline'!$F$5:$F$1004,MATCH(C2316,'Leads Pipeline'!$A$5:$A$1004,0)),INDEX('Active Clients'!$D$5:$D$504,MATCH(C2316,'Active Clients'!$A$5:$A$504,0)))&amp;"","ID not found"))</f>
        <v/>
      </c>
      <c r="E2316" s="51" t="str">
        <f aca="false">IF(C2316="","",IFERROR(IF(LEFT(C2316,1)="L",INDEX('Leads Pipeline'!$D$5:$D$1004,MATCH(C2316,'Leads Pipeline'!$A$5:$A$1004,0)),INDEX('Active Clients'!$B$5:$B$504,MATCH(C2316,'Active Clients'!$A$5:$A$504,0)))&amp;"","ID not found"))</f>
        <v/>
      </c>
      <c r="F2316" s="51" t="str">
        <f aca="false">IF(C2316="","",IFERROR(IF(LEFT(C2316,1)="L",INDEX('Leads Pipeline'!$E$5:$E$1004,MATCH(C2316,'Leads Pipeline'!$A$5:$A$1004,0)),INDEX('Active Clients'!$C$5:$C$504,MATCH(C2316,'Active Clients'!$A$5:$A$504,0)))&amp;"","ID not found"))</f>
        <v/>
      </c>
      <c r="G2316" s="16"/>
      <c r="H2316" s="16"/>
      <c r="I2316" s="16"/>
      <c r="J2316" s="16"/>
      <c r="K2316" s="16"/>
      <c r="L2316" s="18"/>
    </row>
    <row r="2317" customFormat="false" ht="15" hidden="false" customHeight="false" outlineLevel="0" collapsed="false">
      <c r="A2317" s="18"/>
      <c r="B2317" s="16"/>
      <c r="C2317" s="16"/>
      <c r="D2317" s="51" t="str">
        <f aca="false">IF(C2317="","",IFERROR(IF(LEFT(C2317,1)="L",INDEX('Leads Pipeline'!$F$5:$F$1004,MATCH(C2317,'Leads Pipeline'!$A$5:$A$1004,0)),INDEX('Active Clients'!$D$5:$D$504,MATCH(C2317,'Active Clients'!$A$5:$A$504,0)))&amp;"","ID not found"))</f>
        <v/>
      </c>
      <c r="E2317" s="51" t="str">
        <f aca="false">IF(C2317="","",IFERROR(IF(LEFT(C2317,1)="L",INDEX('Leads Pipeline'!$D$5:$D$1004,MATCH(C2317,'Leads Pipeline'!$A$5:$A$1004,0)),INDEX('Active Clients'!$B$5:$B$504,MATCH(C2317,'Active Clients'!$A$5:$A$504,0)))&amp;"","ID not found"))</f>
        <v/>
      </c>
      <c r="F2317" s="51" t="str">
        <f aca="false">IF(C2317="","",IFERROR(IF(LEFT(C2317,1)="L",INDEX('Leads Pipeline'!$E$5:$E$1004,MATCH(C2317,'Leads Pipeline'!$A$5:$A$1004,0)),INDEX('Active Clients'!$C$5:$C$504,MATCH(C2317,'Active Clients'!$A$5:$A$504,0)))&amp;"","ID not found"))</f>
        <v/>
      </c>
      <c r="G2317" s="16"/>
      <c r="H2317" s="16"/>
      <c r="I2317" s="16"/>
      <c r="J2317" s="16"/>
      <c r="K2317" s="16"/>
      <c r="L2317" s="18"/>
    </row>
    <row r="2318" customFormat="false" ht="15" hidden="false" customHeight="false" outlineLevel="0" collapsed="false">
      <c r="A2318" s="18"/>
      <c r="B2318" s="16"/>
      <c r="C2318" s="16"/>
      <c r="D2318" s="51" t="str">
        <f aca="false">IF(C2318="","",IFERROR(IF(LEFT(C2318,1)="L",INDEX('Leads Pipeline'!$F$5:$F$1004,MATCH(C2318,'Leads Pipeline'!$A$5:$A$1004,0)),INDEX('Active Clients'!$D$5:$D$504,MATCH(C2318,'Active Clients'!$A$5:$A$504,0)))&amp;"","ID not found"))</f>
        <v/>
      </c>
      <c r="E2318" s="51" t="str">
        <f aca="false">IF(C2318="","",IFERROR(IF(LEFT(C2318,1)="L",INDEX('Leads Pipeline'!$D$5:$D$1004,MATCH(C2318,'Leads Pipeline'!$A$5:$A$1004,0)),INDEX('Active Clients'!$B$5:$B$504,MATCH(C2318,'Active Clients'!$A$5:$A$504,0)))&amp;"","ID not found"))</f>
        <v/>
      </c>
      <c r="F2318" s="51" t="str">
        <f aca="false">IF(C2318="","",IFERROR(IF(LEFT(C2318,1)="L",INDEX('Leads Pipeline'!$E$5:$E$1004,MATCH(C2318,'Leads Pipeline'!$A$5:$A$1004,0)),INDEX('Active Clients'!$C$5:$C$504,MATCH(C2318,'Active Clients'!$A$5:$A$504,0)))&amp;"","ID not found"))</f>
        <v/>
      </c>
      <c r="G2318" s="16"/>
      <c r="H2318" s="16"/>
      <c r="I2318" s="16"/>
      <c r="J2318" s="16"/>
      <c r="K2318" s="16"/>
      <c r="L2318" s="18"/>
    </row>
    <row r="2319" customFormat="false" ht="15" hidden="false" customHeight="false" outlineLevel="0" collapsed="false">
      <c r="A2319" s="18"/>
      <c r="B2319" s="16"/>
      <c r="C2319" s="16"/>
      <c r="D2319" s="51" t="str">
        <f aca="false">IF(C2319="","",IFERROR(IF(LEFT(C2319,1)="L",INDEX('Leads Pipeline'!$F$5:$F$1004,MATCH(C2319,'Leads Pipeline'!$A$5:$A$1004,0)),INDEX('Active Clients'!$D$5:$D$504,MATCH(C2319,'Active Clients'!$A$5:$A$504,0)))&amp;"","ID not found"))</f>
        <v/>
      </c>
      <c r="E2319" s="51" t="str">
        <f aca="false">IF(C2319="","",IFERROR(IF(LEFT(C2319,1)="L",INDEX('Leads Pipeline'!$D$5:$D$1004,MATCH(C2319,'Leads Pipeline'!$A$5:$A$1004,0)),INDEX('Active Clients'!$B$5:$B$504,MATCH(C2319,'Active Clients'!$A$5:$A$504,0)))&amp;"","ID not found"))</f>
        <v/>
      </c>
      <c r="F2319" s="51" t="str">
        <f aca="false">IF(C2319="","",IFERROR(IF(LEFT(C2319,1)="L",INDEX('Leads Pipeline'!$E$5:$E$1004,MATCH(C2319,'Leads Pipeline'!$A$5:$A$1004,0)),INDEX('Active Clients'!$C$5:$C$504,MATCH(C2319,'Active Clients'!$A$5:$A$504,0)))&amp;"","ID not found"))</f>
        <v/>
      </c>
      <c r="G2319" s="16"/>
      <c r="H2319" s="16"/>
      <c r="I2319" s="16"/>
      <c r="J2319" s="16"/>
      <c r="K2319" s="16"/>
      <c r="L2319" s="18"/>
    </row>
    <row r="2320" customFormat="false" ht="15" hidden="false" customHeight="false" outlineLevel="0" collapsed="false">
      <c r="A2320" s="18"/>
      <c r="B2320" s="16"/>
      <c r="C2320" s="16"/>
      <c r="D2320" s="51" t="str">
        <f aca="false">IF(C2320="","",IFERROR(IF(LEFT(C2320,1)="L",INDEX('Leads Pipeline'!$F$5:$F$1004,MATCH(C2320,'Leads Pipeline'!$A$5:$A$1004,0)),INDEX('Active Clients'!$D$5:$D$504,MATCH(C2320,'Active Clients'!$A$5:$A$504,0)))&amp;"","ID not found"))</f>
        <v/>
      </c>
      <c r="E2320" s="51" t="str">
        <f aca="false">IF(C2320="","",IFERROR(IF(LEFT(C2320,1)="L",INDEX('Leads Pipeline'!$D$5:$D$1004,MATCH(C2320,'Leads Pipeline'!$A$5:$A$1004,0)),INDEX('Active Clients'!$B$5:$B$504,MATCH(C2320,'Active Clients'!$A$5:$A$504,0)))&amp;"","ID not found"))</f>
        <v/>
      </c>
      <c r="F2320" s="51" t="str">
        <f aca="false">IF(C2320="","",IFERROR(IF(LEFT(C2320,1)="L",INDEX('Leads Pipeline'!$E$5:$E$1004,MATCH(C2320,'Leads Pipeline'!$A$5:$A$1004,0)),INDEX('Active Clients'!$C$5:$C$504,MATCH(C2320,'Active Clients'!$A$5:$A$504,0)))&amp;"","ID not found"))</f>
        <v/>
      </c>
      <c r="G2320" s="16"/>
      <c r="H2320" s="16"/>
      <c r="I2320" s="16"/>
      <c r="J2320" s="16"/>
      <c r="K2320" s="16"/>
      <c r="L2320" s="18"/>
    </row>
    <row r="2321" customFormat="false" ht="15" hidden="false" customHeight="false" outlineLevel="0" collapsed="false">
      <c r="A2321" s="18"/>
      <c r="B2321" s="16"/>
      <c r="C2321" s="16"/>
      <c r="D2321" s="51" t="str">
        <f aca="false">IF(C2321="","",IFERROR(IF(LEFT(C2321,1)="L",INDEX('Leads Pipeline'!$F$5:$F$1004,MATCH(C2321,'Leads Pipeline'!$A$5:$A$1004,0)),INDEX('Active Clients'!$D$5:$D$504,MATCH(C2321,'Active Clients'!$A$5:$A$504,0)))&amp;"","ID not found"))</f>
        <v/>
      </c>
      <c r="E2321" s="51" t="str">
        <f aca="false">IF(C2321="","",IFERROR(IF(LEFT(C2321,1)="L",INDEX('Leads Pipeline'!$D$5:$D$1004,MATCH(C2321,'Leads Pipeline'!$A$5:$A$1004,0)),INDEX('Active Clients'!$B$5:$B$504,MATCH(C2321,'Active Clients'!$A$5:$A$504,0)))&amp;"","ID not found"))</f>
        <v/>
      </c>
      <c r="F2321" s="51" t="str">
        <f aca="false">IF(C2321="","",IFERROR(IF(LEFT(C2321,1)="L",INDEX('Leads Pipeline'!$E$5:$E$1004,MATCH(C2321,'Leads Pipeline'!$A$5:$A$1004,0)),INDEX('Active Clients'!$C$5:$C$504,MATCH(C2321,'Active Clients'!$A$5:$A$504,0)))&amp;"","ID not found"))</f>
        <v/>
      </c>
      <c r="G2321" s="16"/>
      <c r="H2321" s="16"/>
      <c r="I2321" s="16"/>
      <c r="J2321" s="16"/>
      <c r="K2321" s="16"/>
      <c r="L2321" s="18"/>
    </row>
    <row r="2322" customFormat="false" ht="15" hidden="false" customHeight="false" outlineLevel="0" collapsed="false">
      <c r="A2322" s="18"/>
      <c r="B2322" s="16"/>
      <c r="C2322" s="16"/>
      <c r="D2322" s="51" t="str">
        <f aca="false">IF(C2322="","",IFERROR(IF(LEFT(C2322,1)="L",INDEX('Leads Pipeline'!$F$5:$F$1004,MATCH(C2322,'Leads Pipeline'!$A$5:$A$1004,0)),INDEX('Active Clients'!$D$5:$D$504,MATCH(C2322,'Active Clients'!$A$5:$A$504,0)))&amp;"","ID not found"))</f>
        <v/>
      </c>
      <c r="E2322" s="51" t="str">
        <f aca="false">IF(C2322="","",IFERROR(IF(LEFT(C2322,1)="L",INDEX('Leads Pipeline'!$D$5:$D$1004,MATCH(C2322,'Leads Pipeline'!$A$5:$A$1004,0)),INDEX('Active Clients'!$B$5:$B$504,MATCH(C2322,'Active Clients'!$A$5:$A$504,0)))&amp;"","ID not found"))</f>
        <v/>
      </c>
      <c r="F2322" s="51" t="str">
        <f aca="false">IF(C2322="","",IFERROR(IF(LEFT(C2322,1)="L",INDEX('Leads Pipeline'!$E$5:$E$1004,MATCH(C2322,'Leads Pipeline'!$A$5:$A$1004,0)),INDEX('Active Clients'!$C$5:$C$504,MATCH(C2322,'Active Clients'!$A$5:$A$504,0)))&amp;"","ID not found"))</f>
        <v/>
      </c>
      <c r="G2322" s="16"/>
      <c r="H2322" s="16"/>
      <c r="I2322" s="16"/>
      <c r="J2322" s="16"/>
      <c r="K2322" s="16"/>
      <c r="L2322" s="18"/>
    </row>
    <row r="2323" customFormat="false" ht="15" hidden="false" customHeight="false" outlineLevel="0" collapsed="false">
      <c r="A2323" s="18"/>
      <c r="B2323" s="16"/>
      <c r="C2323" s="16"/>
      <c r="D2323" s="51" t="str">
        <f aca="false">IF(C2323="","",IFERROR(IF(LEFT(C2323,1)="L",INDEX('Leads Pipeline'!$F$5:$F$1004,MATCH(C2323,'Leads Pipeline'!$A$5:$A$1004,0)),INDEX('Active Clients'!$D$5:$D$504,MATCH(C2323,'Active Clients'!$A$5:$A$504,0)))&amp;"","ID not found"))</f>
        <v/>
      </c>
      <c r="E2323" s="51" t="str">
        <f aca="false">IF(C2323="","",IFERROR(IF(LEFT(C2323,1)="L",INDEX('Leads Pipeline'!$D$5:$D$1004,MATCH(C2323,'Leads Pipeline'!$A$5:$A$1004,0)),INDEX('Active Clients'!$B$5:$B$504,MATCH(C2323,'Active Clients'!$A$5:$A$504,0)))&amp;"","ID not found"))</f>
        <v/>
      </c>
      <c r="F2323" s="51" t="str">
        <f aca="false">IF(C2323="","",IFERROR(IF(LEFT(C2323,1)="L",INDEX('Leads Pipeline'!$E$5:$E$1004,MATCH(C2323,'Leads Pipeline'!$A$5:$A$1004,0)),INDEX('Active Clients'!$C$5:$C$504,MATCH(C2323,'Active Clients'!$A$5:$A$504,0)))&amp;"","ID not found"))</f>
        <v/>
      </c>
      <c r="G2323" s="16"/>
      <c r="H2323" s="16"/>
      <c r="I2323" s="16"/>
      <c r="J2323" s="16"/>
      <c r="K2323" s="16"/>
      <c r="L2323" s="18"/>
    </row>
    <row r="2324" customFormat="false" ht="15" hidden="false" customHeight="false" outlineLevel="0" collapsed="false">
      <c r="A2324" s="18"/>
      <c r="B2324" s="16"/>
      <c r="C2324" s="16"/>
      <c r="D2324" s="51" t="str">
        <f aca="false">IF(C2324="","",IFERROR(IF(LEFT(C2324,1)="L",INDEX('Leads Pipeline'!$F$5:$F$1004,MATCH(C2324,'Leads Pipeline'!$A$5:$A$1004,0)),INDEX('Active Clients'!$D$5:$D$504,MATCH(C2324,'Active Clients'!$A$5:$A$504,0)))&amp;"","ID not found"))</f>
        <v/>
      </c>
      <c r="E2324" s="51" t="str">
        <f aca="false">IF(C2324="","",IFERROR(IF(LEFT(C2324,1)="L",INDEX('Leads Pipeline'!$D$5:$D$1004,MATCH(C2324,'Leads Pipeline'!$A$5:$A$1004,0)),INDEX('Active Clients'!$B$5:$B$504,MATCH(C2324,'Active Clients'!$A$5:$A$504,0)))&amp;"","ID not found"))</f>
        <v/>
      </c>
      <c r="F2324" s="51" t="str">
        <f aca="false">IF(C2324="","",IFERROR(IF(LEFT(C2324,1)="L",INDEX('Leads Pipeline'!$E$5:$E$1004,MATCH(C2324,'Leads Pipeline'!$A$5:$A$1004,0)),INDEX('Active Clients'!$C$5:$C$504,MATCH(C2324,'Active Clients'!$A$5:$A$504,0)))&amp;"","ID not found"))</f>
        <v/>
      </c>
      <c r="G2324" s="16"/>
      <c r="H2324" s="16"/>
      <c r="I2324" s="16"/>
      <c r="J2324" s="16"/>
      <c r="K2324" s="16"/>
      <c r="L2324" s="18"/>
    </row>
    <row r="2325" customFormat="false" ht="15" hidden="false" customHeight="false" outlineLevel="0" collapsed="false">
      <c r="A2325" s="18"/>
      <c r="B2325" s="16"/>
      <c r="C2325" s="16"/>
      <c r="D2325" s="51" t="str">
        <f aca="false">IF(C2325="","",IFERROR(IF(LEFT(C2325,1)="L",INDEX('Leads Pipeline'!$F$5:$F$1004,MATCH(C2325,'Leads Pipeline'!$A$5:$A$1004,0)),INDEX('Active Clients'!$D$5:$D$504,MATCH(C2325,'Active Clients'!$A$5:$A$504,0)))&amp;"","ID not found"))</f>
        <v/>
      </c>
      <c r="E2325" s="51" t="str">
        <f aca="false">IF(C2325="","",IFERROR(IF(LEFT(C2325,1)="L",INDEX('Leads Pipeline'!$D$5:$D$1004,MATCH(C2325,'Leads Pipeline'!$A$5:$A$1004,0)),INDEX('Active Clients'!$B$5:$B$504,MATCH(C2325,'Active Clients'!$A$5:$A$504,0)))&amp;"","ID not found"))</f>
        <v/>
      </c>
      <c r="F2325" s="51" t="str">
        <f aca="false">IF(C2325="","",IFERROR(IF(LEFT(C2325,1)="L",INDEX('Leads Pipeline'!$E$5:$E$1004,MATCH(C2325,'Leads Pipeline'!$A$5:$A$1004,0)),INDEX('Active Clients'!$C$5:$C$504,MATCH(C2325,'Active Clients'!$A$5:$A$504,0)))&amp;"","ID not found"))</f>
        <v/>
      </c>
      <c r="G2325" s="16"/>
      <c r="H2325" s="16"/>
      <c r="I2325" s="16"/>
      <c r="J2325" s="16"/>
      <c r="K2325" s="16"/>
      <c r="L2325" s="18"/>
    </row>
    <row r="2326" customFormat="false" ht="15" hidden="false" customHeight="false" outlineLevel="0" collapsed="false">
      <c r="A2326" s="18"/>
      <c r="B2326" s="16"/>
      <c r="C2326" s="16"/>
      <c r="D2326" s="51" t="str">
        <f aca="false">IF(C2326="","",IFERROR(IF(LEFT(C2326,1)="L",INDEX('Leads Pipeline'!$F$5:$F$1004,MATCH(C2326,'Leads Pipeline'!$A$5:$A$1004,0)),INDEX('Active Clients'!$D$5:$D$504,MATCH(C2326,'Active Clients'!$A$5:$A$504,0)))&amp;"","ID not found"))</f>
        <v/>
      </c>
      <c r="E2326" s="51" t="str">
        <f aca="false">IF(C2326="","",IFERROR(IF(LEFT(C2326,1)="L",INDEX('Leads Pipeline'!$D$5:$D$1004,MATCH(C2326,'Leads Pipeline'!$A$5:$A$1004,0)),INDEX('Active Clients'!$B$5:$B$504,MATCH(C2326,'Active Clients'!$A$5:$A$504,0)))&amp;"","ID not found"))</f>
        <v/>
      </c>
      <c r="F2326" s="51" t="str">
        <f aca="false">IF(C2326="","",IFERROR(IF(LEFT(C2326,1)="L",INDEX('Leads Pipeline'!$E$5:$E$1004,MATCH(C2326,'Leads Pipeline'!$A$5:$A$1004,0)),INDEX('Active Clients'!$C$5:$C$504,MATCH(C2326,'Active Clients'!$A$5:$A$504,0)))&amp;"","ID not found"))</f>
        <v/>
      </c>
      <c r="G2326" s="16"/>
      <c r="H2326" s="16"/>
      <c r="I2326" s="16"/>
      <c r="J2326" s="16"/>
      <c r="K2326" s="16"/>
      <c r="L2326" s="18"/>
    </row>
    <row r="2327" customFormat="false" ht="15" hidden="false" customHeight="false" outlineLevel="0" collapsed="false">
      <c r="A2327" s="18"/>
      <c r="B2327" s="16"/>
      <c r="C2327" s="16"/>
      <c r="D2327" s="51" t="str">
        <f aca="false">IF(C2327="","",IFERROR(IF(LEFT(C2327,1)="L",INDEX('Leads Pipeline'!$F$5:$F$1004,MATCH(C2327,'Leads Pipeline'!$A$5:$A$1004,0)),INDEX('Active Clients'!$D$5:$D$504,MATCH(C2327,'Active Clients'!$A$5:$A$504,0)))&amp;"","ID not found"))</f>
        <v/>
      </c>
      <c r="E2327" s="51" t="str">
        <f aca="false">IF(C2327="","",IFERROR(IF(LEFT(C2327,1)="L",INDEX('Leads Pipeline'!$D$5:$D$1004,MATCH(C2327,'Leads Pipeline'!$A$5:$A$1004,0)),INDEX('Active Clients'!$B$5:$B$504,MATCH(C2327,'Active Clients'!$A$5:$A$504,0)))&amp;"","ID not found"))</f>
        <v/>
      </c>
      <c r="F2327" s="51" t="str">
        <f aca="false">IF(C2327="","",IFERROR(IF(LEFT(C2327,1)="L",INDEX('Leads Pipeline'!$E$5:$E$1004,MATCH(C2327,'Leads Pipeline'!$A$5:$A$1004,0)),INDEX('Active Clients'!$C$5:$C$504,MATCH(C2327,'Active Clients'!$A$5:$A$504,0)))&amp;"","ID not found"))</f>
        <v/>
      </c>
      <c r="G2327" s="16"/>
      <c r="H2327" s="16"/>
      <c r="I2327" s="16"/>
      <c r="J2327" s="16"/>
      <c r="K2327" s="16"/>
      <c r="L2327" s="18"/>
    </row>
    <row r="2328" customFormat="false" ht="15" hidden="false" customHeight="false" outlineLevel="0" collapsed="false">
      <c r="A2328" s="18"/>
      <c r="B2328" s="16"/>
      <c r="C2328" s="16"/>
      <c r="D2328" s="51" t="str">
        <f aca="false">IF(C2328="","",IFERROR(IF(LEFT(C2328,1)="L",INDEX('Leads Pipeline'!$F$5:$F$1004,MATCH(C2328,'Leads Pipeline'!$A$5:$A$1004,0)),INDEX('Active Clients'!$D$5:$D$504,MATCH(C2328,'Active Clients'!$A$5:$A$504,0)))&amp;"","ID not found"))</f>
        <v/>
      </c>
      <c r="E2328" s="51" t="str">
        <f aca="false">IF(C2328="","",IFERROR(IF(LEFT(C2328,1)="L",INDEX('Leads Pipeline'!$D$5:$D$1004,MATCH(C2328,'Leads Pipeline'!$A$5:$A$1004,0)),INDEX('Active Clients'!$B$5:$B$504,MATCH(C2328,'Active Clients'!$A$5:$A$504,0)))&amp;"","ID not found"))</f>
        <v/>
      </c>
      <c r="F2328" s="51" t="str">
        <f aca="false">IF(C2328="","",IFERROR(IF(LEFT(C2328,1)="L",INDEX('Leads Pipeline'!$E$5:$E$1004,MATCH(C2328,'Leads Pipeline'!$A$5:$A$1004,0)),INDEX('Active Clients'!$C$5:$C$504,MATCH(C2328,'Active Clients'!$A$5:$A$504,0)))&amp;"","ID not found"))</f>
        <v/>
      </c>
      <c r="G2328" s="16"/>
      <c r="H2328" s="16"/>
      <c r="I2328" s="16"/>
      <c r="J2328" s="16"/>
      <c r="K2328" s="16"/>
      <c r="L2328" s="18"/>
    </row>
    <row r="2329" customFormat="false" ht="15" hidden="false" customHeight="false" outlineLevel="0" collapsed="false">
      <c r="A2329" s="18"/>
      <c r="B2329" s="16"/>
      <c r="C2329" s="16"/>
      <c r="D2329" s="51" t="str">
        <f aca="false">IF(C2329="","",IFERROR(IF(LEFT(C2329,1)="L",INDEX('Leads Pipeline'!$F$5:$F$1004,MATCH(C2329,'Leads Pipeline'!$A$5:$A$1004,0)),INDEX('Active Clients'!$D$5:$D$504,MATCH(C2329,'Active Clients'!$A$5:$A$504,0)))&amp;"","ID not found"))</f>
        <v/>
      </c>
      <c r="E2329" s="51" t="str">
        <f aca="false">IF(C2329="","",IFERROR(IF(LEFT(C2329,1)="L",INDEX('Leads Pipeline'!$D$5:$D$1004,MATCH(C2329,'Leads Pipeline'!$A$5:$A$1004,0)),INDEX('Active Clients'!$B$5:$B$504,MATCH(C2329,'Active Clients'!$A$5:$A$504,0)))&amp;"","ID not found"))</f>
        <v/>
      </c>
      <c r="F2329" s="51" t="str">
        <f aca="false">IF(C2329="","",IFERROR(IF(LEFT(C2329,1)="L",INDEX('Leads Pipeline'!$E$5:$E$1004,MATCH(C2329,'Leads Pipeline'!$A$5:$A$1004,0)),INDEX('Active Clients'!$C$5:$C$504,MATCH(C2329,'Active Clients'!$A$5:$A$504,0)))&amp;"","ID not found"))</f>
        <v/>
      </c>
      <c r="G2329" s="16"/>
      <c r="H2329" s="16"/>
      <c r="I2329" s="16"/>
      <c r="J2329" s="16"/>
      <c r="K2329" s="16"/>
      <c r="L2329" s="18"/>
    </row>
    <row r="2330" customFormat="false" ht="15" hidden="false" customHeight="false" outlineLevel="0" collapsed="false">
      <c r="A2330" s="18"/>
      <c r="B2330" s="16"/>
      <c r="C2330" s="16"/>
      <c r="D2330" s="51" t="str">
        <f aca="false">IF(C2330="","",IFERROR(IF(LEFT(C2330,1)="L",INDEX('Leads Pipeline'!$F$5:$F$1004,MATCH(C2330,'Leads Pipeline'!$A$5:$A$1004,0)),INDEX('Active Clients'!$D$5:$D$504,MATCH(C2330,'Active Clients'!$A$5:$A$504,0)))&amp;"","ID not found"))</f>
        <v/>
      </c>
      <c r="E2330" s="51" t="str">
        <f aca="false">IF(C2330="","",IFERROR(IF(LEFT(C2330,1)="L",INDEX('Leads Pipeline'!$D$5:$D$1004,MATCH(C2330,'Leads Pipeline'!$A$5:$A$1004,0)),INDEX('Active Clients'!$B$5:$B$504,MATCH(C2330,'Active Clients'!$A$5:$A$504,0)))&amp;"","ID not found"))</f>
        <v/>
      </c>
      <c r="F2330" s="51" t="str">
        <f aca="false">IF(C2330="","",IFERROR(IF(LEFT(C2330,1)="L",INDEX('Leads Pipeline'!$E$5:$E$1004,MATCH(C2330,'Leads Pipeline'!$A$5:$A$1004,0)),INDEX('Active Clients'!$C$5:$C$504,MATCH(C2330,'Active Clients'!$A$5:$A$504,0)))&amp;"","ID not found"))</f>
        <v/>
      </c>
      <c r="G2330" s="16"/>
      <c r="H2330" s="16"/>
      <c r="I2330" s="16"/>
      <c r="J2330" s="16"/>
      <c r="K2330" s="16"/>
      <c r="L2330" s="18"/>
    </row>
    <row r="2331" customFormat="false" ht="15" hidden="false" customHeight="false" outlineLevel="0" collapsed="false">
      <c r="A2331" s="18"/>
      <c r="B2331" s="16"/>
      <c r="C2331" s="16"/>
      <c r="D2331" s="51" t="str">
        <f aca="false">IF(C2331="","",IFERROR(IF(LEFT(C2331,1)="L",INDEX('Leads Pipeline'!$F$5:$F$1004,MATCH(C2331,'Leads Pipeline'!$A$5:$A$1004,0)),INDEX('Active Clients'!$D$5:$D$504,MATCH(C2331,'Active Clients'!$A$5:$A$504,0)))&amp;"","ID not found"))</f>
        <v/>
      </c>
      <c r="E2331" s="51" t="str">
        <f aca="false">IF(C2331="","",IFERROR(IF(LEFT(C2331,1)="L",INDEX('Leads Pipeline'!$D$5:$D$1004,MATCH(C2331,'Leads Pipeline'!$A$5:$A$1004,0)),INDEX('Active Clients'!$B$5:$B$504,MATCH(C2331,'Active Clients'!$A$5:$A$504,0)))&amp;"","ID not found"))</f>
        <v/>
      </c>
      <c r="F2331" s="51" t="str">
        <f aca="false">IF(C2331="","",IFERROR(IF(LEFT(C2331,1)="L",INDEX('Leads Pipeline'!$E$5:$E$1004,MATCH(C2331,'Leads Pipeline'!$A$5:$A$1004,0)),INDEX('Active Clients'!$C$5:$C$504,MATCH(C2331,'Active Clients'!$A$5:$A$504,0)))&amp;"","ID not found"))</f>
        <v/>
      </c>
      <c r="G2331" s="16"/>
      <c r="H2331" s="16"/>
      <c r="I2331" s="16"/>
      <c r="J2331" s="16"/>
      <c r="K2331" s="16"/>
      <c r="L2331" s="18"/>
    </row>
    <row r="2332" customFormat="false" ht="15" hidden="false" customHeight="false" outlineLevel="0" collapsed="false">
      <c r="A2332" s="18"/>
      <c r="B2332" s="16"/>
      <c r="C2332" s="16"/>
      <c r="D2332" s="51" t="str">
        <f aca="false">IF(C2332="","",IFERROR(IF(LEFT(C2332,1)="L",INDEX('Leads Pipeline'!$F$5:$F$1004,MATCH(C2332,'Leads Pipeline'!$A$5:$A$1004,0)),INDEX('Active Clients'!$D$5:$D$504,MATCH(C2332,'Active Clients'!$A$5:$A$504,0)))&amp;"","ID not found"))</f>
        <v/>
      </c>
      <c r="E2332" s="51" t="str">
        <f aca="false">IF(C2332="","",IFERROR(IF(LEFT(C2332,1)="L",INDEX('Leads Pipeline'!$D$5:$D$1004,MATCH(C2332,'Leads Pipeline'!$A$5:$A$1004,0)),INDEX('Active Clients'!$B$5:$B$504,MATCH(C2332,'Active Clients'!$A$5:$A$504,0)))&amp;"","ID not found"))</f>
        <v/>
      </c>
      <c r="F2332" s="51" t="str">
        <f aca="false">IF(C2332="","",IFERROR(IF(LEFT(C2332,1)="L",INDEX('Leads Pipeline'!$E$5:$E$1004,MATCH(C2332,'Leads Pipeline'!$A$5:$A$1004,0)),INDEX('Active Clients'!$C$5:$C$504,MATCH(C2332,'Active Clients'!$A$5:$A$504,0)))&amp;"","ID not found"))</f>
        <v/>
      </c>
      <c r="G2332" s="16"/>
      <c r="H2332" s="16"/>
      <c r="I2332" s="16"/>
      <c r="J2332" s="16"/>
      <c r="K2332" s="16"/>
      <c r="L2332" s="18"/>
    </row>
    <row r="2333" customFormat="false" ht="15" hidden="false" customHeight="false" outlineLevel="0" collapsed="false">
      <c r="A2333" s="18"/>
      <c r="B2333" s="16"/>
      <c r="C2333" s="16"/>
      <c r="D2333" s="51" t="str">
        <f aca="false">IF(C2333="","",IFERROR(IF(LEFT(C2333,1)="L",INDEX('Leads Pipeline'!$F$5:$F$1004,MATCH(C2333,'Leads Pipeline'!$A$5:$A$1004,0)),INDEX('Active Clients'!$D$5:$D$504,MATCH(C2333,'Active Clients'!$A$5:$A$504,0)))&amp;"","ID not found"))</f>
        <v/>
      </c>
      <c r="E2333" s="51" t="str">
        <f aca="false">IF(C2333="","",IFERROR(IF(LEFT(C2333,1)="L",INDEX('Leads Pipeline'!$D$5:$D$1004,MATCH(C2333,'Leads Pipeline'!$A$5:$A$1004,0)),INDEX('Active Clients'!$B$5:$B$504,MATCH(C2333,'Active Clients'!$A$5:$A$504,0)))&amp;"","ID not found"))</f>
        <v/>
      </c>
      <c r="F2333" s="51" t="str">
        <f aca="false">IF(C2333="","",IFERROR(IF(LEFT(C2333,1)="L",INDEX('Leads Pipeline'!$E$5:$E$1004,MATCH(C2333,'Leads Pipeline'!$A$5:$A$1004,0)),INDEX('Active Clients'!$C$5:$C$504,MATCH(C2333,'Active Clients'!$A$5:$A$504,0)))&amp;"","ID not found"))</f>
        <v/>
      </c>
      <c r="G2333" s="16"/>
      <c r="H2333" s="16"/>
      <c r="I2333" s="16"/>
      <c r="J2333" s="16"/>
      <c r="K2333" s="16"/>
      <c r="L2333" s="18"/>
    </row>
    <row r="2334" customFormat="false" ht="15" hidden="false" customHeight="false" outlineLevel="0" collapsed="false">
      <c r="A2334" s="18"/>
      <c r="B2334" s="16"/>
      <c r="C2334" s="16"/>
      <c r="D2334" s="51" t="str">
        <f aca="false">IF(C2334="","",IFERROR(IF(LEFT(C2334,1)="L",INDEX('Leads Pipeline'!$F$5:$F$1004,MATCH(C2334,'Leads Pipeline'!$A$5:$A$1004,0)),INDEX('Active Clients'!$D$5:$D$504,MATCH(C2334,'Active Clients'!$A$5:$A$504,0)))&amp;"","ID not found"))</f>
        <v/>
      </c>
      <c r="E2334" s="51" t="str">
        <f aca="false">IF(C2334="","",IFERROR(IF(LEFT(C2334,1)="L",INDEX('Leads Pipeline'!$D$5:$D$1004,MATCH(C2334,'Leads Pipeline'!$A$5:$A$1004,0)),INDEX('Active Clients'!$B$5:$B$504,MATCH(C2334,'Active Clients'!$A$5:$A$504,0)))&amp;"","ID not found"))</f>
        <v/>
      </c>
      <c r="F2334" s="51" t="str">
        <f aca="false">IF(C2334="","",IFERROR(IF(LEFT(C2334,1)="L",INDEX('Leads Pipeline'!$E$5:$E$1004,MATCH(C2334,'Leads Pipeline'!$A$5:$A$1004,0)),INDEX('Active Clients'!$C$5:$C$504,MATCH(C2334,'Active Clients'!$A$5:$A$504,0)))&amp;"","ID not found"))</f>
        <v/>
      </c>
      <c r="G2334" s="16"/>
      <c r="H2334" s="16"/>
      <c r="I2334" s="16"/>
      <c r="J2334" s="16"/>
      <c r="K2334" s="16"/>
      <c r="L2334" s="18"/>
    </row>
    <row r="2335" customFormat="false" ht="15" hidden="false" customHeight="false" outlineLevel="0" collapsed="false">
      <c r="A2335" s="18"/>
      <c r="B2335" s="16"/>
      <c r="C2335" s="16"/>
      <c r="D2335" s="51" t="str">
        <f aca="false">IF(C2335="","",IFERROR(IF(LEFT(C2335,1)="L",INDEX('Leads Pipeline'!$F$5:$F$1004,MATCH(C2335,'Leads Pipeline'!$A$5:$A$1004,0)),INDEX('Active Clients'!$D$5:$D$504,MATCH(C2335,'Active Clients'!$A$5:$A$504,0)))&amp;"","ID not found"))</f>
        <v/>
      </c>
      <c r="E2335" s="51" t="str">
        <f aca="false">IF(C2335="","",IFERROR(IF(LEFT(C2335,1)="L",INDEX('Leads Pipeline'!$D$5:$D$1004,MATCH(C2335,'Leads Pipeline'!$A$5:$A$1004,0)),INDEX('Active Clients'!$B$5:$B$504,MATCH(C2335,'Active Clients'!$A$5:$A$504,0)))&amp;"","ID not found"))</f>
        <v/>
      </c>
      <c r="F2335" s="51" t="str">
        <f aca="false">IF(C2335="","",IFERROR(IF(LEFT(C2335,1)="L",INDEX('Leads Pipeline'!$E$5:$E$1004,MATCH(C2335,'Leads Pipeline'!$A$5:$A$1004,0)),INDEX('Active Clients'!$C$5:$C$504,MATCH(C2335,'Active Clients'!$A$5:$A$504,0)))&amp;"","ID not found"))</f>
        <v/>
      </c>
      <c r="G2335" s="16"/>
      <c r="H2335" s="16"/>
      <c r="I2335" s="16"/>
      <c r="J2335" s="16"/>
      <c r="K2335" s="16"/>
      <c r="L2335" s="18"/>
    </row>
    <row r="2336" customFormat="false" ht="15" hidden="false" customHeight="false" outlineLevel="0" collapsed="false">
      <c r="A2336" s="18"/>
      <c r="B2336" s="16"/>
      <c r="C2336" s="16"/>
      <c r="D2336" s="51" t="str">
        <f aca="false">IF(C2336="","",IFERROR(IF(LEFT(C2336,1)="L",INDEX('Leads Pipeline'!$F$5:$F$1004,MATCH(C2336,'Leads Pipeline'!$A$5:$A$1004,0)),INDEX('Active Clients'!$D$5:$D$504,MATCH(C2336,'Active Clients'!$A$5:$A$504,0)))&amp;"","ID not found"))</f>
        <v/>
      </c>
      <c r="E2336" s="51" t="str">
        <f aca="false">IF(C2336="","",IFERROR(IF(LEFT(C2336,1)="L",INDEX('Leads Pipeline'!$D$5:$D$1004,MATCH(C2336,'Leads Pipeline'!$A$5:$A$1004,0)),INDEX('Active Clients'!$B$5:$B$504,MATCH(C2336,'Active Clients'!$A$5:$A$504,0)))&amp;"","ID not found"))</f>
        <v/>
      </c>
      <c r="F2336" s="51" t="str">
        <f aca="false">IF(C2336="","",IFERROR(IF(LEFT(C2336,1)="L",INDEX('Leads Pipeline'!$E$5:$E$1004,MATCH(C2336,'Leads Pipeline'!$A$5:$A$1004,0)),INDEX('Active Clients'!$C$5:$C$504,MATCH(C2336,'Active Clients'!$A$5:$A$504,0)))&amp;"","ID not found"))</f>
        <v/>
      </c>
      <c r="G2336" s="16"/>
      <c r="H2336" s="16"/>
      <c r="I2336" s="16"/>
      <c r="J2336" s="16"/>
      <c r="K2336" s="16"/>
      <c r="L2336" s="18"/>
    </row>
    <row r="2337" customFormat="false" ht="15" hidden="false" customHeight="false" outlineLevel="0" collapsed="false">
      <c r="A2337" s="18"/>
      <c r="B2337" s="16"/>
      <c r="C2337" s="16"/>
      <c r="D2337" s="51" t="str">
        <f aca="false">IF(C2337="","",IFERROR(IF(LEFT(C2337,1)="L",INDEX('Leads Pipeline'!$F$5:$F$1004,MATCH(C2337,'Leads Pipeline'!$A$5:$A$1004,0)),INDEX('Active Clients'!$D$5:$D$504,MATCH(C2337,'Active Clients'!$A$5:$A$504,0)))&amp;"","ID not found"))</f>
        <v/>
      </c>
      <c r="E2337" s="51" t="str">
        <f aca="false">IF(C2337="","",IFERROR(IF(LEFT(C2337,1)="L",INDEX('Leads Pipeline'!$D$5:$D$1004,MATCH(C2337,'Leads Pipeline'!$A$5:$A$1004,0)),INDEX('Active Clients'!$B$5:$B$504,MATCH(C2337,'Active Clients'!$A$5:$A$504,0)))&amp;"","ID not found"))</f>
        <v/>
      </c>
      <c r="F2337" s="51" t="str">
        <f aca="false">IF(C2337="","",IFERROR(IF(LEFT(C2337,1)="L",INDEX('Leads Pipeline'!$E$5:$E$1004,MATCH(C2337,'Leads Pipeline'!$A$5:$A$1004,0)),INDEX('Active Clients'!$C$5:$C$504,MATCH(C2337,'Active Clients'!$A$5:$A$504,0)))&amp;"","ID not found"))</f>
        <v/>
      </c>
      <c r="G2337" s="16"/>
      <c r="H2337" s="16"/>
      <c r="I2337" s="16"/>
      <c r="J2337" s="16"/>
      <c r="K2337" s="16"/>
      <c r="L2337" s="18"/>
    </row>
    <row r="2338" customFormat="false" ht="15" hidden="false" customHeight="false" outlineLevel="0" collapsed="false">
      <c r="A2338" s="18"/>
      <c r="B2338" s="16"/>
      <c r="C2338" s="16"/>
      <c r="D2338" s="51" t="str">
        <f aca="false">IF(C2338="","",IFERROR(IF(LEFT(C2338,1)="L",INDEX('Leads Pipeline'!$F$5:$F$1004,MATCH(C2338,'Leads Pipeline'!$A$5:$A$1004,0)),INDEX('Active Clients'!$D$5:$D$504,MATCH(C2338,'Active Clients'!$A$5:$A$504,0)))&amp;"","ID not found"))</f>
        <v/>
      </c>
      <c r="E2338" s="51" t="str">
        <f aca="false">IF(C2338="","",IFERROR(IF(LEFT(C2338,1)="L",INDEX('Leads Pipeline'!$D$5:$D$1004,MATCH(C2338,'Leads Pipeline'!$A$5:$A$1004,0)),INDEX('Active Clients'!$B$5:$B$504,MATCH(C2338,'Active Clients'!$A$5:$A$504,0)))&amp;"","ID not found"))</f>
        <v/>
      </c>
      <c r="F2338" s="51" t="str">
        <f aca="false">IF(C2338="","",IFERROR(IF(LEFT(C2338,1)="L",INDEX('Leads Pipeline'!$E$5:$E$1004,MATCH(C2338,'Leads Pipeline'!$A$5:$A$1004,0)),INDEX('Active Clients'!$C$5:$C$504,MATCH(C2338,'Active Clients'!$A$5:$A$504,0)))&amp;"","ID not found"))</f>
        <v/>
      </c>
      <c r="G2338" s="16"/>
      <c r="H2338" s="16"/>
      <c r="I2338" s="16"/>
      <c r="J2338" s="16"/>
      <c r="K2338" s="16"/>
      <c r="L2338" s="18"/>
    </row>
    <row r="2339" customFormat="false" ht="15" hidden="false" customHeight="false" outlineLevel="0" collapsed="false">
      <c r="A2339" s="18"/>
      <c r="B2339" s="16"/>
      <c r="C2339" s="16"/>
      <c r="D2339" s="51" t="str">
        <f aca="false">IF(C2339="","",IFERROR(IF(LEFT(C2339,1)="L",INDEX('Leads Pipeline'!$F$5:$F$1004,MATCH(C2339,'Leads Pipeline'!$A$5:$A$1004,0)),INDEX('Active Clients'!$D$5:$D$504,MATCH(C2339,'Active Clients'!$A$5:$A$504,0)))&amp;"","ID not found"))</f>
        <v/>
      </c>
      <c r="E2339" s="51" t="str">
        <f aca="false">IF(C2339="","",IFERROR(IF(LEFT(C2339,1)="L",INDEX('Leads Pipeline'!$D$5:$D$1004,MATCH(C2339,'Leads Pipeline'!$A$5:$A$1004,0)),INDEX('Active Clients'!$B$5:$B$504,MATCH(C2339,'Active Clients'!$A$5:$A$504,0)))&amp;"","ID not found"))</f>
        <v/>
      </c>
      <c r="F2339" s="51" t="str">
        <f aca="false">IF(C2339="","",IFERROR(IF(LEFT(C2339,1)="L",INDEX('Leads Pipeline'!$E$5:$E$1004,MATCH(C2339,'Leads Pipeline'!$A$5:$A$1004,0)),INDEX('Active Clients'!$C$5:$C$504,MATCH(C2339,'Active Clients'!$A$5:$A$504,0)))&amp;"","ID not found"))</f>
        <v/>
      </c>
      <c r="G2339" s="16"/>
      <c r="H2339" s="16"/>
      <c r="I2339" s="16"/>
      <c r="J2339" s="16"/>
      <c r="K2339" s="16"/>
      <c r="L2339" s="18"/>
    </row>
    <row r="2340" customFormat="false" ht="15" hidden="false" customHeight="false" outlineLevel="0" collapsed="false">
      <c r="A2340" s="18"/>
      <c r="B2340" s="16"/>
      <c r="C2340" s="16"/>
      <c r="D2340" s="51" t="str">
        <f aca="false">IF(C2340="","",IFERROR(IF(LEFT(C2340,1)="L",INDEX('Leads Pipeline'!$F$5:$F$1004,MATCH(C2340,'Leads Pipeline'!$A$5:$A$1004,0)),INDEX('Active Clients'!$D$5:$D$504,MATCH(C2340,'Active Clients'!$A$5:$A$504,0)))&amp;"","ID not found"))</f>
        <v/>
      </c>
      <c r="E2340" s="51" t="str">
        <f aca="false">IF(C2340="","",IFERROR(IF(LEFT(C2340,1)="L",INDEX('Leads Pipeline'!$D$5:$D$1004,MATCH(C2340,'Leads Pipeline'!$A$5:$A$1004,0)),INDEX('Active Clients'!$B$5:$B$504,MATCH(C2340,'Active Clients'!$A$5:$A$504,0)))&amp;"","ID not found"))</f>
        <v/>
      </c>
      <c r="F2340" s="51" t="str">
        <f aca="false">IF(C2340="","",IFERROR(IF(LEFT(C2340,1)="L",INDEX('Leads Pipeline'!$E$5:$E$1004,MATCH(C2340,'Leads Pipeline'!$A$5:$A$1004,0)),INDEX('Active Clients'!$C$5:$C$504,MATCH(C2340,'Active Clients'!$A$5:$A$504,0)))&amp;"","ID not found"))</f>
        <v/>
      </c>
      <c r="G2340" s="16"/>
      <c r="H2340" s="16"/>
      <c r="I2340" s="16"/>
      <c r="J2340" s="16"/>
      <c r="K2340" s="16"/>
      <c r="L2340" s="18"/>
    </row>
    <row r="2341" customFormat="false" ht="15" hidden="false" customHeight="false" outlineLevel="0" collapsed="false">
      <c r="A2341" s="18"/>
      <c r="B2341" s="16"/>
      <c r="C2341" s="16"/>
      <c r="D2341" s="51" t="str">
        <f aca="false">IF(C2341="","",IFERROR(IF(LEFT(C2341,1)="L",INDEX('Leads Pipeline'!$F$5:$F$1004,MATCH(C2341,'Leads Pipeline'!$A$5:$A$1004,0)),INDEX('Active Clients'!$D$5:$D$504,MATCH(C2341,'Active Clients'!$A$5:$A$504,0)))&amp;"","ID not found"))</f>
        <v/>
      </c>
      <c r="E2341" s="51" t="str">
        <f aca="false">IF(C2341="","",IFERROR(IF(LEFT(C2341,1)="L",INDEX('Leads Pipeline'!$D$5:$D$1004,MATCH(C2341,'Leads Pipeline'!$A$5:$A$1004,0)),INDEX('Active Clients'!$B$5:$B$504,MATCH(C2341,'Active Clients'!$A$5:$A$504,0)))&amp;"","ID not found"))</f>
        <v/>
      </c>
      <c r="F2341" s="51" t="str">
        <f aca="false">IF(C2341="","",IFERROR(IF(LEFT(C2341,1)="L",INDEX('Leads Pipeline'!$E$5:$E$1004,MATCH(C2341,'Leads Pipeline'!$A$5:$A$1004,0)),INDEX('Active Clients'!$C$5:$C$504,MATCH(C2341,'Active Clients'!$A$5:$A$504,0)))&amp;"","ID not found"))</f>
        <v/>
      </c>
      <c r="G2341" s="16"/>
      <c r="H2341" s="16"/>
      <c r="I2341" s="16"/>
      <c r="J2341" s="16"/>
      <c r="K2341" s="16"/>
      <c r="L2341" s="18"/>
    </row>
    <row r="2342" customFormat="false" ht="15" hidden="false" customHeight="false" outlineLevel="0" collapsed="false">
      <c r="A2342" s="18"/>
      <c r="B2342" s="16"/>
      <c r="C2342" s="16"/>
      <c r="D2342" s="51" t="str">
        <f aca="false">IF(C2342="","",IFERROR(IF(LEFT(C2342,1)="L",INDEX('Leads Pipeline'!$F$5:$F$1004,MATCH(C2342,'Leads Pipeline'!$A$5:$A$1004,0)),INDEX('Active Clients'!$D$5:$D$504,MATCH(C2342,'Active Clients'!$A$5:$A$504,0)))&amp;"","ID not found"))</f>
        <v/>
      </c>
      <c r="E2342" s="51" t="str">
        <f aca="false">IF(C2342="","",IFERROR(IF(LEFT(C2342,1)="L",INDEX('Leads Pipeline'!$D$5:$D$1004,MATCH(C2342,'Leads Pipeline'!$A$5:$A$1004,0)),INDEX('Active Clients'!$B$5:$B$504,MATCH(C2342,'Active Clients'!$A$5:$A$504,0)))&amp;"","ID not found"))</f>
        <v/>
      </c>
      <c r="F2342" s="51" t="str">
        <f aca="false">IF(C2342="","",IFERROR(IF(LEFT(C2342,1)="L",INDEX('Leads Pipeline'!$E$5:$E$1004,MATCH(C2342,'Leads Pipeline'!$A$5:$A$1004,0)),INDEX('Active Clients'!$C$5:$C$504,MATCH(C2342,'Active Clients'!$A$5:$A$504,0)))&amp;"","ID not found"))</f>
        <v/>
      </c>
      <c r="G2342" s="16"/>
      <c r="H2342" s="16"/>
      <c r="I2342" s="16"/>
      <c r="J2342" s="16"/>
      <c r="K2342" s="16"/>
      <c r="L2342" s="18"/>
    </row>
    <row r="2343" customFormat="false" ht="15" hidden="false" customHeight="false" outlineLevel="0" collapsed="false">
      <c r="A2343" s="18"/>
      <c r="B2343" s="16"/>
      <c r="C2343" s="16"/>
      <c r="D2343" s="51" t="str">
        <f aca="false">IF(C2343="","",IFERROR(IF(LEFT(C2343,1)="L",INDEX('Leads Pipeline'!$F$5:$F$1004,MATCH(C2343,'Leads Pipeline'!$A$5:$A$1004,0)),INDEX('Active Clients'!$D$5:$D$504,MATCH(C2343,'Active Clients'!$A$5:$A$504,0)))&amp;"","ID not found"))</f>
        <v/>
      </c>
      <c r="E2343" s="51" t="str">
        <f aca="false">IF(C2343="","",IFERROR(IF(LEFT(C2343,1)="L",INDEX('Leads Pipeline'!$D$5:$D$1004,MATCH(C2343,'Leads Pipeline'!$A$5:$A$1004,0)),INDEX('Active Clients'!$B$5:$B$504,MATCH(C2343,'Active Clients'!$A$5:$A$504,0)))&amp;"","ID not found"))</f>
        <v/>
      </c>
      <c r="F2343" s="51" t="str">
        <f aca="false">IF(C2343="","",IFERROR(IF(LEFT(C2343,1)="L",INDEX('Leads Pipeline'!$E$5:$E$1004,MATCH(C2343,'Leads Pipeline'!$A$5:$A$1004,0)),INDEX('Active Clients'!$C$5:$C$504,MATCH(C2343,'Active Clients'!$A$5:$A$504,0)))&amp;"","ID not found"))</f>
        <v/>
      </c>
      <c r="G2343" s="16"/>
      <c r="H2343" s="16"/>
      <c r="I2343" s="16"/>
      <c r="J2343" s="16"/>
      <c r="K2343" s="16"/>
      <c r="L2343" s="18"/>
    </row>
    <row r="2344" customFormat="false" ht="15" hidden="false" customHeight="false" outlineLevel="0" collapsed="false">
      <c r="A2344" s="18"/>
      <c r="B2344" s="16"/>
      <c r="C2344" s="16"/>
      <c r="D2344" s="51" t="str">
        <f aca="false">IF(C2344="","",IFERROR(IF(LEFT(C2344,1)="L",INDEX('Leads Pipeline'!$F$5:$F$1004,MATCH(C2344,'Leads Pipeline'!$A$5:$A$1004,0)),INDEX('Active Clients'!$D$5:$D$504,MATCH(C2344,'Active Clients'!$A$5:$A$504,0)))&amp;"","ID not found"))</f>
        <v/>
      </c>
      <c r="E2344" s="51" t="str">
        <f aca="false">IF(C2344="","",IFERROR(IF(LEFT(C2344,1)="L",INDEX('Leads Pipeline'!$D$5:$D$1004,MATCH(C2344,'Leads Pipeline'!$A$5:$A$1004,0)),INDEX('Active Clients'!$B$5:$B$504,MATCH(C2344,'Active Clients'!$A$5:$A$504,0)))&amp;"","ID not found"))</f>
        <v/>
      </c>
      <c r="F2344" s="51" t="str">
        <f aca="false">IF(C2344="","",IFERROR(IF(LEFT(C2344,1)="L",INDEX('Leads Pipeline'!$E$5:$E$1004,MATCH(C2344,'Leads Pipeline'!$A$5:$A$1004,0)),INDEX('Active Clients'!$C$5:$C$504,MATCH(C2344,'Active Clients'!$A$5:$A$504,0)))&amp;"","ID not found"))</f>
        <v/>
      </c>
      <c r="G2344" s="16"/>
      <c r="H2344" s="16"/>
      <c r="I2344" s="16"/>
      <c r="J2344" s="16"/>
      <c r="K2344" s="16"/>
      <c r="L2344" s="18"/>
    </row>
    <row r="2345" customFormat="false" ht="15" hidden="false" customHeight="false" outlineLevel="0" collapsed="false">
      <c r="A2345" s="18"/>
      <c r="B2345" s="16"/>
      <c r="C2345" s="16"/>
      <c r="D2345" s="51" t="str">
        <f aca="false">IF(C2345="","",IFERROR(IF(LEFT(C2345,1)="L",INDEX('Leads Pipeline'!$F$5:$F$1004,MATCH(C2345,'Leads Pipeline'!$A$5:$A$1004,0)),INDEX('Active Clients'!$D$5:$D$504,MATCH(C2345,'Active Clients'!$A$5:$A$504,0)))&amp;"","ID not found"))</f>
        <v/>
      </c>
      <c r="E2345" s="51" t="str">
        <f aca="false">IF(C2345="","",IFERROR(IF(LEFT(C2345,1)="L",INDEX('Leads Pipeline'!$D$5:$D$1004,MATCH(C2345,'Leads Pipeline'!$A$5:$A$1004,0)),INDEX('Active Clients'!$B$5:$B$504,MATCH(C2345,'Active Clients'!$A$5:$A$504,0)))&amp;"","ID not found"))</f>
        <v/>
      </c>
      <c r="F2345" s="51" t="str">
        <f aca="false">IF(C2345="","",IFERROR(IF(LEFT(C2345,1)="L",INDEX('Leads Pipeline'!$E$5:$E$1004,MATCH(C2345,'Leads Pipeline'!$A$5:$A$1004,0)),INDEX('Active Clients'!$C$5:$C$504,MATCH(C2345,'Active Clients'!$A$5:$A$504,0)))&amp;"","ID not found"))</f>
        <v/>
      </c>
      <c r="G2345" s="16"/>
      <c r="H2345" s="16"/>
      <c r="I2345" s="16"/>
      <c r="J2345" s="16"/>
      <c r="K2345" s="16"/>
      <c r="L2345" s="18"/>
    </row>
    <row r="2346" customFormat="false" ht="15" hidden="false" customHeight="false" outlineLevel="0" collapsed="false">
      <c r="A2346" s="18"/>
      <c r="B2346" s="16"/>
      <c r="C2346" s="16"/>
      <c r="D2346" s="51" t="str">
        <f aca="false">IF(C2346="","",IFERROR(IF(LEFT(C2346,1)="L",INDEX('Leads Pipeline'!$F$5:$F$1004,MATCH(C2346,'Leads Pipeline'!$A$5:$A$1004,0)),INDEX('Active Clients'!$D$5:$D$504,MATCH(C2346,'Active Clients'!$A$5:$A$504,0)))&amp;"","ID not found"))</f>
        <v/>
      </c>
      <c r="E2346" s="51" t="str">
        <f aca="false">IF(C2346="","",IFERROR(IF(LEFT(C2346,1)="L",INDEX('Leads Pipeline'!$D$5:$D$1004,MATCH(C2346,'Leads Pipeline'!$A$5:$A$1004,0)),INDEX('Active Clients'!$B$5:$B$504,MATCH(C2346,'Active Clients'!$A$5:$A$504,0)))&amp;"","ID not found"))</f>
        <v/>
      </c>
      <c r="F2346" s="51" t="str">
        <f aca="false">IF(C2346="","",IFERROR(IF(LEFT(C2346,1)="L",INDEX('Leads Pipeline'!$E$5:$E$1004,MATCH(C2346,'Leads Pipeline'!$A$5:$A$1004,0)),INDEX('Active Clients'!$C$5:$C$504,MATCH(C2346,'Active Clients'!$A$5:$A$504,0)))&amp;"","ID not found"))</f>
        <v/>
      </c>
      <c r="G2346" s="16"/>
      <c r="H2346" s="16"/>
      <c r="I2346" s="16"/>
      <c r="J2346" s="16"/>
      <c r="K2346" s="16"/>
      <c r="L2346" s="18"/>
    </row>
    <row r="2347" customFormat="false" ht="15" hidden="false" customHeight="false" outlineLevel="0" collapsed="false">
      <c r="A2347" s="18"/>
      <c r="B2347" s="16"/>
      <c r="C2347" s="16"/>
      <c r="D2347" s="51" t="str">
        <f aca="false">IF(C2347="","",IFERROR(IF(LEFT(C2347,1)="L",INDEX('Leads Pipeline'!$F$5:$F$1004,MATCH(C2347,'Leads Pipeline'!$A$5:$A$1004,0)),INDEX('Active Clients'!$D$5:$D$504,MATCH(C2347,'Active Clients'!$A$5:$A$504,0)))&amp;"","ID not found"))</f>
        <v/>
      </c>
      <c r="E2347" s="51" t="str">
        <f aca="false">IF(C2347="","",IFERROR(IF(LEFT(C2347,1)="L",INDEX('Leads Pipeline'!$D$5:$D$1004,MATCH(C2347,'Leads Pipeline'!$A$5:$A$1004,0)),INDEX('Active Clients'!$B$5:$B$504,MATCH(C2347,'Active Clients'!$A$5:$A$504,0)))&amp;"","ID not found"))</f>
        <v/>
      </c>
      <c r="F2347" s="51" t="str">
        <f aca="false">IF(C2347="","",IFERROR(IF(LEFT(C2347,1)="L",INDEX('Leads Pipeline'!$E$5:$E$1004,MATCH(C2347,'Leads Pipeline'!$A$5:$A$1004,0)),INDEX('Active Clients'!$C$5:$C$504,MATCH(C2347,'Active Clients'!$A$5:$A$504,0)))&amp;"","ID not found"))</f>
        <v/>
      </c>
      <c r="G2347" s="16"/>
      <c r="H2347" s="16"/>
      <c r="I2347" s="16"/>
      <c r="J2347" s="16"/>
      <c r="K2347" s="16"/>
      <c r="L2347" s="18"/>
    </row>
    <row r="2348" customFormat="false" ht="15" hidden="false" customHeight="false" outlineLevel="0" collapsed="false">
      <c r="A2348" s="18"/>
      <c r="B2348" s="16"/>
      <c r="C2348" s="16"/>
      <c r="D2348" s="51" t="str">
        <f aca="false">IF(C2348="","",IFERROR(IF(LEFT(C2348,1)="L",INDEX('Leads Pipeline'!$F$5:$F$1004,MATCH(C2348,'Leads Pipeline'!$A$5:$A$1004,0)),INDEX('Active Clients'!$D$5:$D$504,MATCH(C2348,'Active Clients'!$A$5:$A$504,0)))&amp;"","ID not found"))</f>
        <v/>
      </c>
      <c r="E2348" s="51" t="str">
        <f aca="false">IF(C2348="","",IFERROR(IF(LEFT(C2348,1)="L",INDEX('Leads Pipeline'!$D$5:$D$1004,MATCH(C2348,'Leads Pipeline'!$A$5:$A$1004,0)),INDEX('Active Clients'!$B$5:$B$504,MATCH(C2348,'Active Clients'!$A$5:$A$504,0)))&amp;"","ID not found"))</f>
        <v/>
      </c>
      <c r="F2348" s="51" t="str">
        <f aca="false">IF(C2348="","",IFERROR(IF(LEFT(C2348,1)="L",INDEX('Leads Pipeline'!$E$5:$E$1004,MATCH(C2348,'Leads Pipeline'!$A$5:$A$1004,0)),INDEX('Active Clients'!$C$5:$C$504,MATCH(C2348,'Active Clients'!$A$5:$A$504,0)))&amp;"","ID not found"))</f>
        <v/>
      </c>
      <c r="G2348" s="16"/>
      <c r="H2348" s="16"/>
      <c r="I2348" s="16"/>
      <c r="J2348" s="16"/>
      <c r="K2348" s="16"/>
      <c r="L2348" s="18"/>
    </row>
    <row r="2349" customFormat="false" ht="15" hidden="false" customHeight="false" outlineLevel="0" collapsed="false">
      <c r="A2349" s="18"/>
      <c r="B2349" s="16"/>
      <c r="C2349" s="16"/>
      <c r="D2349" s="51" t="str">
        <f aca="false">IF(C2349="","",IFERROR(IF(LEFT(C2349,1)="L",INDEX('Leads Pipeline'!$F$5:$F$1004,MATCH(C2349,'Leads Pipeline'!$A$5:$A$1004,0)),INDEX('Active Clients'!$D$5:$D$504,MATCH(C2349,'Active Clients'!$A$5:$A$504,0)))&amp;"","ID not found"))</f>
        <v/>
      </c>
      <c r="E2349" s="51" t="str">
        <f aca="false">IF(C2349="","",IFERROR(IF(LEFT(C2349,1)="L",INDEX('Leads Pipeline'!$D$5:$D$1004,MATCH(C2349,'Leads Pipeline'!$A$5:$A$1004,0)),INDEX('Active Clients'!$B$5:$B$504,MATCH(C2349,'Active Clients'!$A$5:$A$504,0)))&amp;"","ID not found"))</f>
        <v/>
      </c>
      <c r="F2349" s="51" t="str">
        <f aca="false">IF(C2349="","",IFERROR(IF(LEFT(C2349,1)="L",INDEX('Leads Pipeline'!$E$5:$E$1004,MATCH(C2349,'Leads Pipeline'!$A$5:$A$1004,0)),INDEX('Active Clients'!$C$5:$C$504,MATCH(C2349,'Active Clients'!$A$5:$A$504,0)))&amp;"","ID not found"))</f>
        <v/>
      </c>
      <c r="G2349" s="16"/>
      <c r="H2349" s="16"/>
      <c r="I2349" s="16"/>
      <c r="J2349" s="16"/>
      <c r="K2349" s="16"/>
      <c r="L2349" s="18"/>
    </row>
    <row r="2350" customFormat="false" ht="15" hidden="false" customHeight="false" outlineLevel="0" collapsed="false">
      <c r="A2350" s="18"/>
      <c r="B2350" s="16"/>
      <c r="C2350" s="16"/>
      <c r="D2350" s="51" t="str">
        <f aca="false">IF(C2350="","",IFERROR(IF(LEFT(C2350,1)="L",INDEX('Leads Pipeline'!$F$5:$F$1004,MATCH(C2350,'Leads Pipeline'!$A$5:$A$1004,0)),INDEX('Active Clients'!$D$5:$D$504,MATCH(C2350,'Active Clients'!$A$5:$A$504,0)))&amp;"","ID not found"))</f>
        <v/>
      </c>
      <c r="E2350" s="51" t="str">
        <f aca="false">IF(C2350="","",IFERROR(IF(LEFT(C2350,1)="L",INDEX('Leads Pipeline'!$D$5:$D$1004,MATCH(C2350,'Leads Pipeline'!$A$5:$A$1004,0)),INDEX('Active Clients'!$B$5:$B$504,MATCH(C2350,'Active Clients'!$A$5:$A$504,0)))&amp;"","ID not found"))</f>
        <v/>
      </c>
      <c r="F2350" s="51" t="str">
        <f aca="false">IF(C2350="","",IFERROR(IF(LEFT(C2350,1)="L",INDEX('Leads Pipeline'!$E$5:$E$1004,MATCH(C2350,'Leads Pipeline'!$A$5:$A$1004,0)),INDEX('Active Clients'!$C$5:$C$504,MATCH(C2350,'Active Clients'!$A$5:$A$504,0)))&amp;"","ID not found"))</f>
        <v/>
      </c>
      <c r="G2350" s="16"/>
      <c r="H2350" s="16"/>
      <c r="I2350" s="16"/>
      <c r="J2350" s="16"/>
      <c r="K2350" s="16"/>
      <c r="L2350" s="18"/>
    </row>
    <row r="2351" customFormat="false" ht="15" hidden="false" customHeight="false" outlineLevel="0" collapsed="false">
      <c r="A2351" s="18"/>
      <c r="B2351" s="16"/>
      <c r="C2351" s="16"/>
      <c r="D2351" s="51" t="str">
        <f aca="false">IF(C2351="","",IFERROR(IF(LEFT(C2351,1)="L",INDEX('Leads Pipeline'!$F$5:$F$1004,MATCH(C2351,'Leads Pipeline'!$A$5:$A$1004,0)),INDEX('Active Clients'!$D$5:$D$504,MATCH(C2351,'Active Clients'!$A$5:$A$504,0)))&amp;"","ID not found"))</f>
        <v/>
      </c>
      <c r="E2351" s="51" t="str">
        <f aca="false">IF(C2351="","",IFERROR(IF(LEFT(C2351,1)="L",INDEX('Leads Pipeline'!$D$5:$D$1004,MATCH(C2351,'Leads Pipeline'!$A$5:$A$1004,0)),INDEX('Active Clients'!$B$5:$B$504,MATCH(C2351,'Active Clients'!$A$5:$A$504,0)))&amp;"","ID not found"))</f>
        <v/>
      </c>
      <c r="F2351" s="51" t="str">
        <f aca="false">IF(C2351="","",IFERROR(IF(LEFT(C2351,1)="L",INDEX('Leads Pipeline'!$E$5:$E$1004,MATCH(C2351,'Leads Pipeline'!$A$5:$A$1004,0)),INDEX('Active Clients'!$C$5:$C$504,MATCH(C2351,'Active Clients'!$A$5:$A$504,0)))&amp;"","ID not found"))</f>
        <v/>
      </c>
      <c r="G2351" s="16"/>
      <c r="H2351" s="16"/>
      <c r="I2351" s="16"/>
      <c r="J2351" s="16"/>
      <c r="K2351" s="16"/>
      <c r="L2351" s="18"/>
    </row>
    <row r="2352" customFormat="false" ht="15" hidden="false" customHeight="false" outlineLevel="0" collapsed="false">
      <c r="A2352" s="18"/>
      <c r="B2352" s="16"/>
      <c r="C2352" s="16"/>
      <c r="D2352" s="51" t="str">
        <f aca="false">IF(C2352="","",IFERROR(IF(LEFT(C2352,1)="L",INDEX('Leads Pipeline'!$F$5:$F$1004,MATCH(C2352,'Leads Pipeline'!$A$5:$A$1004,0)),INDEX('Active Clients'!$D$5:$D$504,MATCH(C2352,'Active Clients'!$A$5:$A$504,0)))&amp;"","ID not found"))</f>
        <v/>
      </c>
      <c r="E2352" s="51" t="str">
        <f aca="false">IF(C2352="","",IFERROR(IF(LEFT(C2352,1)="L",INDEX('Leads Pipeline'!$D$5:$D$1004,MATCH(C2352,'Leads Pipeline'!$A$5:$A$1004,0)),INDEX('Active Clients'!$B$5:$B$504,MATCH(C2352,'Active Clients'!$A$5:$A$504,0)))&amp;"","ID not found"))</f>
        <v/>
      </c>
      <c r="F2352" s="51" t="str">
        <f aca="false">IF(C2352="","",IFERROR(IF(LEFT(C2352,1)="L",INDEX('Leads Pipeline'!$E$5:$E$1004,MATCH(C2352,'Leads Pipeline'!$A$5:$A$1004,0)),INDEX('Active Clients'!$C$5:$C$504,MATCH(C2352,'Active Clients'!$A$5:$A$504,0)))&amp;"","ID not found"))</f>
        <v/>
      </c>
      <c r="G2352" s="16"/>
      <c r="H2352" s="16"/>
      <c r="I2352" s="16"/>
      <c r="J2352" s="16"/>
      <c r="K2352" s="16"/>
      <c r="L2352" s="18"/>
    </row>
    <row r="2353" customFormat="false" ht="15" hidden="false" customHeight="false" outlineLevel="0" collapsed="false">
      <c r="A2353" s="18"/>
      <c r="B2353" s="16"/>
      <c r="C2353" s="16"/>
      <c r="D2353" s="51" t="str">
        <f aca="false">IF(C2353="","",IFERROR(IF(LEFT(C2353,1)="L",INDEX('Leads Pipeline'!$F$5:$F$1004,MATCH(C2353,'Leads Pipeline'!$A$5:$A$1004,0)),INDEX('Active Clients'!$D$5:$D$504,MATCH(C2353,'Active Clients'!$A$5:$A$504,0)))&amp;"","ID not found"))</f>
        <v/>
      </c>
      <c r="E2353" s="51" t="str">
        <f aca="false">IF(C2353="","",IFERROR(IF(LEFT(C2353,1)="L",INDEX('Leads Pipeline'!$D$5:$D$1004,MATCH(C2353,'Leads Pipeline'!$A$5:$A$1004,0)),INDEX('Active Clients'!$B$5:$B$504,MATCH(C2353,'Active Clients'!$A$5:$A$504,0)))&amp;"","ID not found"))</f>
        <v/>
      </c>
      <c r="F2353" s="51" t="str">
        <f aca="false">IF(C2353="","",IFERROR(IF(LEFT(C2353,1)="L",INDEX('Leads Pipeline'!$E$5:$E$1004,MATCH(C2353,'Leads Pipeline'!$A$5:$A$1004,0)),INDEX('Active Clients'!$C$5:$C$504,MATCH(C2353,'Active Clients'!$A$5:$A$504,0)))&amp;"","ID not found"))</f>
        <v/>
      </c>
      <c r="G2353" s="16"/>
      <c r="H2353" s="16"/>
      <c r="I2353" s="16"/>
      <c r="J2353" s="16"/>
      <c r="K2353" s="16"/>
      <c r="L2353" s="18"/>
    </row>
    <row r="2354" customFormat="false" ht="15" hidden="false" customHeight="false" outlineLevel="0" collapsed="false">
      <c r="A2354" s="18"/>
      <c r="B2354" s="16"/>
      <c r="C2354" s="16"/>
      <c r="D2354" s="51" t="str">
        <f aca="false">IF(C2354="","",IFERROR(IF(LEFT(C2354,1)="L",INDEX('Leads Pipeline'!$F$5:$F$1004,MATCH(C2354,'Leads Pipeline'!$A$5:$A$1004,0)),INDEX('Active Clients'!$D$5:$D$504,MATCH(C2354,'Active Clients'!$A$5:$A$504,0)))&amp;"","ID not found"))</f>
        <v/>
      </c>
      <c r="E2354" s="51" t="str">
        <f aca="false">IF(C2354="","",IFERROR(IF(LEFT(C2354,1)="L",INDEX('Leads Pipeline'!$D$5:$D$1004,MATCH(C2354,'Leads Pipeline'!$A$5:$A$1004,0)),INDEX('Active Clients'!$B$5:$B$504,MATCH(C2354,'Active Clients'!$A$5:$A$504,0)))&amp;"","ID not found"))</f>
        <v/>
      </c>
      <c r="F2354" s="51" t="str">
        <f aca="false">IF(C2354="","",IFERROR(IF(LEFT(C2354,1)="L",INDEX('Leads Pipeline'!$E$5:$E$1004,MATCH(C2354,'Leads Pipeline'!$A$5:$A$1004,0)),INDEX('Active Clients'!$C$5:$C$504,MATCH(C2354,'Active Clients'!$A$5:$A$504,0)))&amp;"","ID not found"))</f>
        <v/>
      </c>
      <c r="G2354" s="16"/>
      <c r="H2354" s="16"/>
      <c r="I2354" s="16"/>
      <c r="J2354" s="16"/>
      <c r="K2354" s="16"/>
      <c r="L2354" s="18"/>
    </row>
    <row r="2355" customFormat="false" ht="15" hidden="false" customHeight="false" outlineLevel="0" collapsed="false">
      <c r="A2355" s="18"/>
      <c r="B2355" s="16"/>
      <c r="C2355" s="16"/>
      <c r="D2355" s="51" t="str">
        <f aca="false">IF(C2355="","",IFERROR(IF(LEFT(C2355,1)="L",INDEX('Leads Pipeline'!$F$5:$F$1004,MATCH(C2355,'Leads Pipeline'!$A$5:$A$1004,0)),INDEX('Active Clients'!$D$5:$D$504,MATCH(C2355,'Active Clients'!$A$5:$A$504,0)))&amp;"","ID not found"))</f>
        <v/>
      </c>
      <c r="E2355" s="51" t="str">
        <f aca="false">IF(C2355="","",IFERROR(IF(LEFT(C2355,1)="L",INDEX('Leads Pipeline'!$D$5:$D$1004,MATCH(C2355,'Leads Pipeline'!$A$5:$A$1004,0)),INDEX('Active Clients'!$B$5:$B$504,MATCH(C2355,'Active Clients'!$A$5:$A$504,0)))&amp;"","ID not found"))</f>
        <v/>
      </c>
      <c r="F2355" s="51" t="str">
        <f aca="false">IF(C2355="","",IFERROR(IF(LEFT(C2355,1)="L",INDEX('Leads Pipeline'!$E$5:$E$1004,MATCH(C2355,'Leads Pipeline'!$A$5:$A$1004,0)),INDEX('Active Clients'!$C$5:$C$504,MATCH(C2355,'Active Clients'!$A$5:$A$504,0)))&amp;"","ID not found"))</f>
        <v/>
      </c>
      <c r="G2355" s="16"/>
      <c r="H2355" s="16"/>
      <c r="I2355" s="16"/>
      <c r="J2355" s="16"/>
      <c r="K2355" s="16"/>
      <c r="L2355" s="18"/>
    </row>
    <row r="2356" customFormat="false" ht="15" hidden="false" customHeight="false" outlineLevel="0" collapsed="false">
      <c r="A2356" s="18"/>
      <c r="B2356" s="16"/>
      <c r="C2356" s="16"/>
      <c r="D2356" s="51" t="str">
        <f aca="false">IF(C2356="","",IFERROR(IF(LEFT(C2356,1)="L",INDEX('Leads Pipeline'!$F$5:$F$1004,MATCH(C2356,'Leads Pipeline'!$A$5:$A$1004,0)),INDEX('Active Clients'!$D$5:$D$504,MATCH(C2356,'Active Clients'!$A$5:$A$504,0)))&amp;"","ID not found"))</f>
        <v/>
      </c>
      <c r="E2356" s="51" t="str">
        <f aca="false">IF(C2356="","",IFERROR(IF(LEFT(C2356,1)="L",INDEX('Leads Pipeline'!$D$5:$D$1004,MATCH(C2356,'Leads Pipeline'!$A$5:$A$1004,0)),INDEX('Active Clients'!$B$5:$B$504,MATCH(C2356,'Active Clients'!$A$5:$A$504,0)))&amp;"","ID not found"))</f>
        <v/>
      </c>
      <c r="F2356" s="51" t="str">
        <f aca="false">IF(C2356="","",IFERROR(IF(LEFT(C2356,1)="L",INDEX('Leads Pipeline'!$E$5:$E$1004,MATCH(C2356,'Leads Pipeline'!$A$5:$A$1004,0)),INDEX('Active Clients'!$C$5:$C$504,MATCH(C2356,'Active Clients'!$A$5:$A$504,0)))&amp;"","ID not found"))</f>
        <v/>
      </c>
      <c r="G2356" s="16"/>
      <c r="H2356" s="16"/>
      <c r="I2356" s="16"/>
      <c r="J2356" s="16"/>
      <c r="K2356" s="16"/>
      <c r="L2356" s="18"/>
    </row>
    <row r="2357" customFormat="false" ht="15" hidden="false" customHeight="false" outlineLevel="0" collapsed="false">
      <c r="A2357" s="18"/>
      <c r="B2357" s="16"/>
      <c r="C2357" s="16"/>
      <c r="D2357" s="51" t="str">
        <f aca="false">IF(C2357="","",IFERROR(IF(LEFT(C2357,1)="L",INDEX('Leads Pipeline'!$F$5:$F$1004,MATCH(C2357,'Leads Pipeline'!$A$5:$A$1004,0)),INDEX('Active Clients'!$D$5:$D$504,MATCH(C2357,'Active Clients'!$A$5:$A$504,0)))&amp;"","ID not found"))</f>
        <v/>
      </c>
      <c r="E2357" s="51" t="str">
        <f aca="false">IF(C2357="","",IFERROR(IF(LEFT(C2357,1)="L",INDEX('Leads Pipeline'!$D$5:$D$1004,MATCH(C2357,'Leads Pipeline'!$A$5:$A$1004,0)),INDEX('Active Clients'!$B$5:$B$504,MATCH(C2357,'Active Clients'!$A$5:$A$504,0)))&amp;"","ID not found"))</f>
        <v/>
      </c>
      <c r="F2357" s="51" t="str">
        <f aca="false">IF(C2357="","",IFERROR(IF(LEFT(C2357,1)="L",INDEX('Leads Pipeline'!$E$5:$E$1004,MATCH(C2357,'Leads Pipeline'!$A$5:$A$1004,0)),INDEX('Active Clients'!$C$5:$C$504,MATCH(C2357,'Active Clients'!$A$5:$A$504,0)))&amp;"","ID not found"))</f>
        <v/>
      </c>
      <c r="G2357" s="16"/>
      <c r="H2357" s="16"/>
      <c r="I2357" s="16"/>
      <c r="J2357" s="16"/>
      <c r="K2357" s="16"/>
      <c r="L2357" s="18"/>
    </row>
    <row r="2358" customFormat="false" ht="15" hidden="false" customHeight="false" outlineLevel="0" collapsed="false">
      <c r="A2358" s="18"/>
      <c r="B2358" s="16"/>
      <c r="C2358" s="16"/>
      <c r="D2358" s="51" t="str">
        <f aca="false">IF(C2358="","",IFERROR(IF(LEFT(C2358,1)="L",INDEX('Leads Pipeline'!$F$5:$F$1004,MATCH(C2358,'Leads Pipeline'!$A$5:$A$1004,0)),INDEX('Active Clients'!$D$5:$D$504,MATCH(C2358,'Active Clients'!$A$5:$A$504,0)))&amp;"","ID not found"))</f>
        <v/>
      </c>
      <c r="E2358" s="51" t="str">
        <f aca="false">IF(C2358="","",IFERROR(IF(LEFT(C2358,1)="L",INDEX('Leads Pipeline'!$D$5:$D$1004,MATCH(C2358,'Leads Pipeline'!$A$5:$A$1004,0)),INDEX('Active Clients'!$B$5:$B$504,MATCH(C2358,'Active Clients'!$A$5:$A$504,0)))&amp;"","ID not found"))</f>
        <v/>
      </c>
      <c r="F2358" s="51" t="str">
        <f aca="false">IF(C2358="","",IFERROR(IF(LEFT(C2358,1)="L",INDEX('Leads Pipeline'!$E$5:$E$1004,MATCH(C2358,'Leads Pipeline'!$A$5:$A$1004,0)),INDEX('Active Clients'!$C$5:$C$504,MATCH(C2358,'Active Clients'!$A$5:$A$504,0)))&amp;"","ID not found"))</f>
        <v/>
      </c>
      <c r="G2358" s="16"/>
      <c r="H2358" s="16"/>
      <c r="I2358" s="16"/>
      <c r="J2358" s="16"/>
      <c r="K2358" s="16"/>
      <c r="L2358" s="18"/>
    </row>
    <row r="2359" customFormat="false" ht="15" hidden="false" customHeight="false" outlineLevel="0" collapsed="false">
      <c r="A2359" s="18"/>
      <c r="B2359" s="16"/>
      <c r="C2359" s="16"/>
      <c r="D2359" s="51" t="str">
        <f aca="false">IF(C2359="","",IFERROR(IF(LEFT(C2359,1)="L",INDEX('Leads Pipeline'!$F$5:$F$1004,MATCH(C2359,'Leads Pipeline'!$A$5:$A$1004,0)),INDEX('Active Clients'!$D$5:$D$504,MATCH(C2359,'Active Clients'!$A$5:$A$504,0)))&amp;"","ID not found"))</f>
        <v/>
      </c>
      <c r="E2359" s="51" t="str">
        <f aca="false">IF(C2359="","",IFERROR(IF(LEFT(C2359,1)="L",INDEX('Leads Pipeline'!$D$5:$D$1004,MATCH(C2359,'Leads Pipeline'!$A$5:$A$1004,0)),INDEX('Active Clients'!$B$5:$B$504,MATCH(C2359,'Active Clients'!$A$5:$A$504,0)))&amp;"","ID not found"))</f>
        <v/>
      </c>
      <c r="F2359" s="51" t="str">
        <f aca="false">IF(C2359="","",IFERROR(IF(LEFT(C2359,1)="L",INDEX('Leads Pipeline'!$E$5:$E$1004,MATCH(C2359,'Leads Pipeline'!$A$5:$A$1004,0)),INDEX('Active Clients'!$C$5:$C$504,MATCH(C2359,'Active Clients'!$A$5:$A$504,0)))&amp;"","ID not found"))</f>
        <v/>
      </c>
      <c r="G2359" s="16"/>
      <c r="H2359" s="16"/>
      <c r="I2359" s="16"/>
      <c r="J2359" s="16"/>
      <c r="K2359" s="16"/>
      <c r="L2359" s="18"/>
    </row>
    <row r="2360" customFormat="false" ht="15" hidden="false" customHeight="false" outlineLevel="0" collapsed="false">
      <c r="A2360" s="18"/>
      <c r="B2360" s="16"/>
      <c r="C2360" s="16"/>
      <c r="D2360" s="51" t="str">
        <f aca="false">IF(C2360="","",IFERROR(IF(LEFT(C2360,1)="L",INDEX('Leads Pipeline'!$F$5:$F$1004,MATCH(C2360,'Leads Pipeline'!$A$5:$A$1004,0)),INDEX('Active Clients'!$D$5:$D$504,MATCH(C2360,'Active Clients'!$A$5:$A$504,0)))&amp;"","ID not found"))</f>
        <v/>
      </c>
      <c r="E2360" s="51" t="str">
        <f aca="false">IF(C2360="","",IFERROR(IF(LEFT(C2360,1)="L",INDEX('Leads Pipeline'!$D$5:$D$1004,MATCH(C2360,'Leads Pipeline'!$A$5:$A$1004,0)),INDEX('Active Clients'!$B$5:$B$504,MATCH(C2360,'Active Clients'!$A$5:$A$504,0)))&amp;"","ID not found"))</f>
        <v/>
      </c>
      <c r="F2360" s="51" t="str">
        <f aca="false">IF(C2360="","",IFERROR(IF(LEFT(C2360,1)="L",INDEX('Leads Pipeline'!$E$5:$E$1004,MATCH(C2360,'Leads Pipeline'!$A$5:$A$1004,0)),INDEX('Active Clients'!$C$5:$C$504,MATCH(C2360,'Active Clients'!$A$5:$A$504,0)))&amp;"","ID not found"))</f>
        <v/>
      </c>
      <c r="G2360" s="16"/>
      <c r="H2360" s="16"/>
      <c r="I2360" s="16"/>
      <c r="J2360" s="16"/>
      <c r="K2360" s="16"/>
      <c r="L2360" s="18"/>
    </row>
    <row r="2361" customFormat="false" ht="15" hidden="false" customHeight="false" outlineLevel="0" collapsed="false">
      <c r="A2361" s="18"/>
      <c r="B2361" s="16"/>
      <c r="C2361" s="16"/>
      <c r="D2361" s="51" t="str">
        <f aca="false">IF(C2361="","",IFERROR(IF(LEFT(C2361,1)="L",INDEX('Leads Pipeline'!$F$5:$F$1004,MATCH(C2361,'Leads Pipeline'!$A$5:$A$1004,0)),INDEX('Active Clients'!$D$5:$D$504,MATCH(C2361,'Active Clients'!$A$5:$A$504,0)))&amp;"","ID not found"))</f>
        <v/>
      </c>
      <c r="E2361" s="51" t="str">
        <f aca="false">IF(C2361="","",IFERROR(IF(LEFT(C2361,1)="L",INDEX('Leads Pipeline'!$D$5:$D$1004,MATCH(C2361,'Leads Pipeline'!$A$5:$A$1004,0)),INDEX('Active Clients'!$B$5:$B$504,MATCH(C2361,'Active Clients'!$A$5:$A$504,0)))&amp;"","ID not found"))</f>
        <v/>
      </c>
      <c r="F2361" s="51" t="str">
        <f aca="false">IF(C2361="","",IFERROR(IF(LEFT(C2361,1)="L",INDEX('Leads Pipeline'!$E$5:$E$1004,MATCH(C2361,'Leads Pipeline'!$A$5:$A$1004,0)),INDEX('Active Clients'!$C$5:$C$504,MATCH(C2361,'Active Clients'!$A$5:$A$504,0)))&amp;"","ID not found"))</f>
        <v/>
      </c>
      <c r="G2361" s="16"/>
      <c r="H2361" s="16"/>
      <c r="I2361" s="16"/>
      <c r="J2361" s="16"/>
      <c r="K2361" s="16"/>
      <c r="L2361" s="18"/>
    </row>
    <row r="2362" customFormat="false" ht="15" hidden="false" customHeight="false" outlineLevel="0" collapsed="false">
      <c r="A2362" s="18"/>
      <c r="B2362" s="16"/>
      <c r="C2362" s="16"/>
      <c r="D2362" s="51" t="str">
        <f aca="false">IF(C2362="","",IFERROR(IF(LEFT(C2362,1)="L",INDEX('Leads Pipeline'!$F$5:$F$1004,MATCH(C2362,'Leads Pipeline'!$A$5:$A$1004,0)),INDEX('Active Clients'!$D$5:$D$504,MATCH(C2362,'Active Clients'!$A$5:$A$504,0)))&amp;"","ID not found"))</f>
        <v/>
      </c>
      <c r="E2362" s="51" t="str">
        <f aca="false">IF(C2362="","",IFERROR(IF(LEFT(C2362,1)="L",INDEX('Leads Pipeline'!$D$5:$D$1004,MATCH(C2362,'Leads Pipeline'!$A$5:$A$1004,0)),INDEX('Active Clients'!$B$5:$B$504,MATCH(C2362,'Active Clients'!$A$5:$A$504,0)))&amp;"","ID not found"))</f>
        <v/>
      </c>
      <c r="F2362" s="51" t="str">
        <f aca="false">IF(C2362="","",IFERROR(IF(LEFT(C2362,1)="L",INDEX('Leads Pipeline'!$E$5:$E$1004,MATCH(C2362,'Leads Pipeline'!$A$5:$A$1004,0)),INDEX('Active Clients'!$C$5:$C$504,MATCH(C2362,'Active Clients'!$A$5:$A$504,0)))&amp;"","ID not found"))</f>
        <v/>
      </c>
      <c r="G2362" s="16"/>
      <c r="H2362" s="16"/>
      <c r="I2362" s="16"/>
      <c r="J2362" s="16"/>
      <c r="K2362" s="16"/>
      <c r="L2362" s="18"/>
    </row>
    <row r="2363" customFormat="false" ht="15" hidden="false" customHeight="false" outlineLevel="0" collapsed="false">
      <c r="A2363" s="18"/>
      <c r="B2363" s="16"/>
      <c r="C2363" s="16"/>
      <c r="D2363" s="51" t="str">
        <f aca="false">IF(C2363="","",IFERROR(IF(LEFT(C2363,1)="L",INDEX('Leads Pipeline'!$F$5:$F$1004,MATCH(C2363,'Leads Pipeline'!$A$5:$A$1004,0)),INDEX('Active Clients'!$D$5:$D$504,MATCH(C2363,'Active Clients'!$A$5:$A$504,0)))&amp;"","ID not found"))</f>
        <v/>
      </c>
      <c r="E2363" s="51" t="str">
        <f aca="false">IF(C2363="","",IFERROR(IF(LEFT(C2363,1)="L",INDEX('Leads Pipeline'!$D$5:$D$1004,MATCH(C2363,'Leads Pipeline'!$A$5:$A$1004,0)),INDEX('Active Clients'!$B$5:$B$504,MATCH(C2363,'Active Clients'!$A$5:$A$504,0)))&amp;"","ID not found"))</f>
        <v/>
      </c>
      <c r="F2363" s="51" t="str">
        <f aca="false">IF(C2363="","",IFERROR(IF(LEFT(C2363,1)="L",INDEX('Leads Pipeline'!$E$5:$E$1004,MATCH(C2363,'Leads Pipeline'!$A$5:$A$1004,0)),INDEX('Active Clients'!$C$5:$C$504,MATCH(C2363,'Active Clients'!$A$5:$A$504,0)))&amp;"","ID not found"))</f>
        <v/>
      </c>
      <c r="G2363" s="16"/>
      <c r="H2363" s="16"/>
      <c r="I2363" s="16"/>
      <c r="J2363" s="16"/>
      <c r="K2363" s="16"/>
      <c r="L2363" s="18"/>
    </row>
    <row r="2364" customFormat="false" ht="15" hidden="false" customHeight="false" outlineLevel="0" collapsed="false">
      <c r="A2364" s="18"/>
      <c r="B2364" s="16"/>
      <c r="C2364" s="16"/>
      <c r="D2364" s="51" t="str">
        <f aca="false">IF(C2364="","",IFERROR(IF(LEFT(C2364,1)="L",INDEX('Leads Pipeline'!$F$5:$F$1004,MATCH(C2364,'Leads Pipeline'!$A$5:$A$1004,0)),INDEX('Active Clients'!$D$5:$D$504,MATCH(C2364,'Active Clients'!$A$5:$A$504,0)))&amp;"","ID not found"))</f>
        <v/>
      </c>
      <c r="E2364" s="51" t="str">
        <f aca="false">IF(C2364="","",IFERROR(IF(LEFT(C2364,1)="L",INDEX('Leads Pipeline'!$D$5:$D$1004,MATCH(C2364,'Leads Pipeline'!$A$5:$A$1004,0)),INDEX('Active Clients'!$B$5:$B$504,MATCH(C2364,'Active Clients'!$A$5:$A$504,0)))&amp;"","ID not found"))</f>
        <v/>
      </c>
      <c r="F2364" s="51" t="str">
        <f aca="false">IF(C2364="","",IFERROR(IF(LEFT(C2364,1)="L",INDEX('Leads Pipeline'!$E$5:$E$1004,MATCH(C2364,'Leads Pipeline'!$A$5:$A$1004,0)),INDEX('Active Clients'!$C$5:$C$504,MATCH(C2364,'Active Clients'!$A$5:$A$504,0)))&amp;"","ID not found"))</f>
        <v/>
      </c>
      <c r="G2364" s="16"/>
      <c r="H2364" s="16"/>
      <c r="I2364" s="16"/>
      <c r="J2364" s="16"/>
      <c r="K2364" s="16"/>
      <c r="L2364" s="18"/>
    </row>
    <row r="2365" customFormat="false" ht="15" hidden="false" customHeight="false" outlineLevel="0" collapsed="false">
      <c r="A2365" s="18"/>
      <c r="B2365" s="16"/>
      <c r="C2365" s="16"/>
      <c r="D2365" s="51" t="str">
        <f aca="false">IF(C2365="","",IFERROR(IF(LEFT(C2365,1)="L",INDEX('Leads Pipeline'!$F$5:$F$1004,MATCH(C2365,'Leads Pipeline'!$A$5:$A$1004,0)),INDEX('Active Clients'!$D$5:$D$504,MATCH(C2365,'Active Clients'!$A$5:$A$504,0)))&amp;"","ID not found"))</f>
        <v/>
      </c>
      <c r="E2365" s="51" t="str">
        <f aca="false">IF(C2365="","",IFERROR(IF(LEFT(C2365,1)="L",INDEX('Leads Pipeline'!$D$5:$D$1004,MATCH(C2365,'Leads Pipeline'!$A$5:$A$1004,0)),INDEX('Active Clients'!$B$5:$B$504,MATCH(C2365,'Active Clients'!$A$5:$A$504,0)))&amp;"","ID not found"))</f>
        <v/>
      </c>
      <c r="F2365" s="51" t="str">
        <f aca="false">IF(C2365="","",IFERROR(IF(LEFT(C2365,1)="L",INDEX('Leads Pipeline'!$E$5:$E$1004,MATCH(C2365,'Leads Pipeline'!$A$5:$A$1004,0)),INDEX('Active Clients'!$C$5:$C$504,MATCH(C2365,'Active Clients'!$A$5:$A$504,0)))&amp;"","ID not found"))</f>
        <v/>
      </c>
      <c r="G2365" s="16"/>
      <c r="H2365" s="16"/>
      <c r="I2365" s="16"/>
      <c r="J2365" s="16"/>
      <c r="K2365" s="16"/>
      <c r="L2365" s="18"/>
    </row>
    <row r="2366" customFormat="false" ht="15" hidden="false" customHeight="false" outlineLevel="0" collapsed="false">
      <c r="A2366" s="18"/>
      <c r="B2366" s="16"/>
      <c r="C2366" s="16"/>
      <c r="D2366" s="51" t="str">
        <f aca="false">IF(C2366="","",IFERROR(IF(LEFT(C2366,1)="L",INDEX('Leads Pipeline'!$F$5:$F$1004,MATCH(C2366,'Leads Pipeline'!$A$5:$A$1004,0)),INDEX('Active Clients'!$D$5:$D$504,MATCH(C2366,'Active Clients'!$A$5:$A$504,0)))&amp;"","ID not found"))</f>
        <v/>
      </c>
      <c r="E2366" s="51" t="str">
        <f aca="false">IF(C2366="","",IFERROR(IF(LEFT(C2366,1)="L",INDEX('Leads Pipeline'!$D$5:$D$1004,MATCH(C2366,'Leads Pipeline'!$A$5:$A$1004,0)),INDEX('Active Clients'!$B$5:$B$504,MATCH(C2366,'Active Clients'!$A$5:$A$504,0)))&amp;"","ID not found"))</f>
        <v/>
      </c>
      <c r="F2366" s="51" t="str">
        <f aca="false">IF(C2366="","",IFERROR(IF(LEFT(C2366,1)="L",INDEX('Leads Pipeline'!$E$5:$E$1004,MATCH(C2366,'Leads Pipeline'!$A$5:$A$1004,0)),INDEX('Active Clients'!$C$5:$C$504,MATCH(C2366,'Active Clients'!$A$5:$A$504,0)))&amp;"","ID not found"))</f>
        <v/>
      </c>
      <c r="G2366" s="16"/>
      <c r="H2366" s="16"/>
      <c r="I2366" s="16"/>
      <c r="J2366" s="16"/>
      <c r="K2366" s="16"/>
      <c r="L2366" s="18"/>
    </row>
    <row r="2367" customFormat="false" ht="15" hidden="false" customHeight="false" outlineLevel="0" collapsed="false">
      <c r="A2367" s="18"/>
      <c r="B2367" s="16"/>
      <c r="C2367" s="16"/>
      <c r="D2367" s="51" t="str">
        <f aca="false">IF(C2367="","",IFERROR(IF(LEFT(C2367,1)="L",INDEX('Leads Pipeline'!$F$5:$F$1004,MATCH(C2367,'Leads Pipeline'!$A$5:$A$1004,0)),INDEX('Active Clients'!$D$5:$D$504,MATCH(C2367,'Active Clients'!$A$5:$A$504,0)))&amp;"","ID not found"))</f>
        <v/>
      </c>
      <c r="E2367" s="51" t="str">
        <f aca="false">IF(C2367="","",IFERROR(IF(LEFT(C2367,1)="L",INDEX('Leads Pipeline'!$D$5:$D$1004,MATCH(C2367,'Leads Pipeline'!$A$5:$A$1004,0)),INDEX('Active Clients'!$B$5:$B$504,MATCH(C2367,'Active Clients'!$A$5:$A$504,0)))&amp;"","ID not found"))</f>
        <v/>
      </c>
      <c r="F2367" s="51" t="str">
        <f aca="false">IF(C2367="","",IFERROR(IF(LEFT(C2367,1)="L",INDEX('Leads Pipeline'!$E$5:$E$1004,MATCH(C2367,'Leads Pipeline'!$A$5:$A$1004,0)),INDEX('Active Clients'!$C$5:$C$504,MATCH(C2367,'Active Clients'!$A$5:$A$504,0)))&amp;"","ID not found"))</f>
        <v/>
      </c>
      <c r="G2367" s="16"/>
      <c r="H2367" s="16"/>
      <c r="I2367" s="16"/>
      <c r="J2367" s="16"/>
      <c r="K2367" s="16"/>
      <c r="L2367" s="18"/>
    </row>
    <row r="2368" customFormat="false" ht="15" hidden="false" customHeight="false" outlineLevel="0" collapsed="false">
      <c r="A2368" s="18"/>
      <c r="B2368" s="16"/>
      <c r="C2368" s="16"/>
      <c r="D2368" s="51" t="str">
        <f aca="false">IF(C2368="","",IFERROR(IF(LEFT(C2368,1)="L",INDEX('Leads Pipeline'!$F$5:$F$1004,MATCH(C2368,'Leads Pipeline'!$A$5:$A$1004,0)),INDEX('Active Clients'!$D$5:$D$504,MATCH(C2368,'Active Clients'!$A$5:$A$504,0)))&amp;"","ID not found"))</f>
        <v/>
      </c>
      <c r="E2368" s="51" t="str">
        <f aca="false">IF(C2368="","",IFERROR(IF(LEFT(C2368,1)="L",INDEX('Leads Pipeline'!$D$5:$D$1004,MATCH(C2368,'Leads Pipeline'!$A$5:$A$1004,0)),INDEX('Active Clients'!$B$5:$B$504,MATCH(C2368,'Active Clients'!$A$5:$A$504,0)))&amp;"","ID not found"))</f>
        <v/>
      </c>
      <c r="F2368" s="51" t="str">
        <f aca="false">IF(C2368="","",IFERROR(IF(LEFT(C2368,1)="L",INDEX('Leads Pipeline'!$E$5:$E$1004,MATCH(C2368,'Leads Pipeline'!$A$5:$A$1004,0)),INDEX('Active Clients'!$C$5:$C$504,MATCH(C2368,'Active Clients'!$A$5:$A$504,0)))&amp;"","ID not found"))</f>
        <v/>
      </c>
      <c r="G2368" s="16"/>
      <c r="H2368" s="16"/>
      <c r="I2368" s="16"/>
      <c r="J2368" s="16"/>
      <c r="K2368" s="16"/>
      <c r="L2368" s="18"/>
    </row>
    <row r="2369" customFormat="false" ht="15" hidden="false" customHeight="false" outlineLevel="0" collapsed="false">
      <c r="A2369" s="18"/>
      <c r="B2369" s="16"/>
      <c r="C2369" s="16"/>
      <c r="D2369" s="51" t="str">
        <f aca="false">IF(C2369="","",IFERROR(IF(LEFT(C2369,1)="L",INDEX('Leads Pipeline'!$F$5:$F$1004,MATCH(C2369,'Leads Pipeline'!$A$5:$A$1004,0)),INDEX('Active Clients'!$D$5:$D$504,MATCH(C2369,'Active Clients'!$A$5:$A$504,0)))&amp;"","ID not found"))</f>
        <v/>
      </c>
      <c r="E2369" s="51" t="str">
        <f aca="false">IF(C2369="","",IFERROR(IF(LEFT(C2369,1)="L",INDEX('Leads Pipeline'!$D$5:$D$1004,MATCH(C2369,'Leads Pipeline'!$A$5:$A$1004,0)),INDEX('Active Clients'!$B$5:$B$504,MATCH(C2369,'Active Clients'!$A$5:$A$504,0)))&amp;"","ID not found"))</f>
        <v/>
      </c>
      <c r="F2369" s="51" t="str">
        <f aca="false">IF(C2369="","",IFERROR(IF(LEFT(C2369,1)="L",INDEX('Leads Pipeline'!$E$5:$E$1004,MATCH(C2369,'Leads Pipeline'!$A$5:$A$1004,0)),INDEX('Active Clients'!$C$5:$C$504,MATCH(C2369,'Active Clients'!$A$5:$A$504,0)))&amp;"","ID not found"))</f>
        <v/>
      </c>
      <c r="G2369" s="16"/>
      <c r="H2369" s="16"/>
      <c r="I2369" s="16"/>
      <c r="J2369" s="16"/>
      <c r="K2369" s="16"/>
      <c r="L2369" s="18"/>
    </row>
    <row r="2370" customFormat="false" ht="15" hidden="false" customHeight="false" outlineLevel="0" collapsed="false">
      <c r="A2370" s="18"/>
      <c r="B2370" s="16"/>
      <c r="C2370" s="16"/>
      <c r="D2370" s="51" t="str">
        <f aca="false">IF(C2370="","",IFERROR(IF(LEFT(C2370,1)="L",INDEX('Leads Pipeline'!$F$5:$F$1004,MATCH(C2370,'Leads Pipeline'!$A$5:$A$1004,0)),INDEX('Active Clients'!$D$5:$D$504,MATCH(C2370,'Active Clients'!$A$5:$A$504,0)))&amp;"","ID not found"))</f>
        <v/>
      </c>
      <c r="E2370" s="51" t="str">
        <f aca="false">IF(C2370="","",IFERROR(IF(LEFT(C2370,1)="L",INDEX('Leads Pipeline'!$D$5:$D$1004,MATCH(C2370,'Leads Pipeline'!$A$5:$A$1004,0)),INDEX('Active Clients'!$B$5:$B$504,MATCH(C2370,'Active Clients'!$A$5:$A$504,0)))&amp;"","ID not found"))</f>
        <v/>
      </c>
      <c r="F2370" s="51" t="str">
        <f aca="false">IF(C2370="","",IFERROR(IF(LEFT(C2370,1)="L",INDEX('Leads Pipeline'!$E$5:$E$1004,MATCH(C2370,'Leads Pipeline'!$A$5:$A$1004,0)),INDEX('Active Clients'!$C$5:$C$504,MATCH(C2370,'Active Clients'!$A$5:$A$504,0)))&amp;"","ID not found"))</f>
        <v/>
      </c>
      <c r="G2370" s="16"/>
      <c r="H2370" s="16"/>
      <c r="I2370" s="16"/>
      <c r="J2370" s="16"/>
      <c r="K2370" s="16"/>
      <c r="L2370" s="18"/>
    </row>
    <row r="2371" customFormat="false" ht="15" hidden="false" customHeight="false" outlineLevel="0" collapsed="false">
      <c r="A2371" s="18"/>
      <c r="B2371" s="16"/>
      <c r="C2371" s="16"/>
      <c r="D2371" s="51" t="str">
        <f aca="false">IF(C2371="","",IFERROR(IF(LEFT(C2371,1)="L",INDEX('Leads Pipeline'!$F$5:$F$1004,MATCH(C2371,'Leads Pipeline'!$A$5:$A$1004,0)),INDEX('Active Clients'!$D$5:$D$504,MATCH(C2371,'Active Clients'!$A$5:$A$504,0)))&amp;"","ID not found"))</f>
        <v/>
      </c>
      <c r="E2371" s="51" t="str">
        <f aca="false">IF(C2371="","",IFERROR(IF(LEFT(C2371,1)="L",INDEX('Leads Pipeline'!$D$5:$D$1004,MATCH(C2371,'Leads Pipeline'!$A$5:$A$1004,0)),INDEX('Active Clients'!$B$5:$B$504,MATCH(C2371,'Active Clients'!$A$5:$A$504,0)))&amp;"","ID not found"))</f>
        <v/>
      </c>
      <c r="F2371" s="51" t="str">
        <f aca="false">IF(C2371="","",IFERROR(IF(LEFT(C2371,1)="L",INDEX('Leads Pipeline'!$E$5:$E$1004,MATCH(C2371,'Leads Pipeline'!$A$5:$A$1004,0)),INDEX('Active Clients'!$C$5:$C$504,MATCH(C2371,'Active Clients'!$A$5:$A$504,0)))&amp;"","ID not found"))</f>
        <v/>
      </c>
      <c r="G2371" s="16"/>
      <c r="H2371" s="16"/>
      <c r="I2371" s="16"/>
      <c r="J2371" s="16"/>
      <c r="K2371" s="16"/>
      <c r="L2371" s="18"/>
    </row>
    <row r="2372" customFormat="false" ht="15" hidden="false" customHeight="false" outlineLevel="0" collapsed="false">
      <c r="A2372" s="18"/>
      <c r="B2372" s="16"/>
      <c r="C2372" s="16"/>
      <c r="D2372" s="51" t="str">
        <f aca="false">IF(C2372="","",IFERROR(IF(LEFT(C2372,1)="L",INDEX('Leads Pipeline'!$F$5:$F$1004,MATCH(C2372,'Leads Pipeline'!$A$5:$A$1004,0)),INDEX('Active Clients'!$D$5:$D$504,MATCH(C2372,'Active Clients'!$A$5:$A$504,0)))&amp;"","ID not found"))</f>
        <v/>
      </c>
      <c r="E2372" s="51" t="str">
        <f aca="false">IF(C2372="","",IFERROR(IF(LEFT(C2372,1)="L",INDEX('Leads Pipeline'!$D$5:$D$1004,MATCH(C2372,'Leads Pipeline'!$A$5:$A$1004,0)),INDEX('Active Clients'!$B$5:$B$504,MATCH(C2372,'Active Clients'!$A$5:$A$504,0)))&amp;"","ID not found"))</f>
        <v/>
      </c>
      <c r="F2372" s="51" t="str">
        <f aca="false">IF(C2372="","",IFERROR(IF(LEFT(C2372,1)="L",INDEX('Leads Pipeline'!$E$5:$E$1004,MATCH(C2372,'Leads Pipeline'!$A$5:$A$1004,0)),INDEX('Active Clients'!$C$5:$C$504,MATCH(C2372,'Active Clients'!$A$5:$A$504,0)))&amp;"","ID not found"))</f>
        <v/>
      </c>
      <c r="G2372" s="16"/>
      <c r="H2372" s="16"/>
      <c r="I2372" s="16"/>
      <c r="J2372" s="16"/>
      <c r="K2372" s="16"/>
      <c r="L2372" s="18"/>
    </row>
    <row r="2373" customFormat="false" ht="15" hidden="false" customHeight="false" outlineLevel="0" collapsed="false">
      <c r="A2373" s="18"/>
      <c r="B2373" s="16"/>
      <c r="C2373" s="16"/>
      <c r="D2373" s="51" t="str">
        <f aca="false">IF(C2373="","",IFERROR(IF(LEFT(C2373,1)="L",INDEX('Leads Pipeline'!$F$5:$F$1004,MATCH(C2373,'Leads Pipeline'!$A$5:$A$1004,0)),INDEX('Active Clients'!$D$5:$D$504,MATCH(C2373,'Active Clients'!$A$5:$A$504,0)))&amp;"","ID not found"))</f>
        <v/>
      </c>
      <c r="E2373" s="51" t="str">
        <f aca="false">IF(C2373="","",IFERROR(IF(LEFT(C2373,1)="L",INDEX('Leads Pipeline'!$D$5:$D$1004,MATCH(C2373,'Leads Pipeline'!$A$5:$A$1004,0)),INDEX('Active Clients'!$B$5:$B$504,MATCH(C2373,'Active Clients'!$A$5:$A$504,0)))&amp;"","ID not found"))</f>
        <v/>
      </c>
      <c r="F2373" s="51" t="str">
        <f aca="false">IF(C2373="","",IFERROR(IF(LEFT(C2373,1)="L",INDEX('Leads Pipeline'!$E$5:$E$1004,MATCH(C2373,'Leads Pipeline'!$A$5:$A$1004,0)),INDEX('Active Clients'!$C$5:$C$504,MATCH(C2373,'Active Clients'!$A$5:$A$504,0)))&amp;"","ID not found"))</f>
        <v/>
      </c>
      <c r="G2373" s="16"/>
      <c r="H2373" s="16"/>
      <c r="I2373" s="16"/>
      <c r="J2373" s="16"/>
      <c r="K2373" s="16"/>
      <c r="L2373" s="18"/>
    </row>
    <row r="2374" customFormat="false" ht="15" hidden="false" customHeight="false" outlineLevel="0" collapsed="false">
      <c r="A2374" s="18"/>
      <c r="B2374" s="16"/>
      <c r="C2374" s="16"/>
      <c r="D2374" s="51" t="str">
        <f aca="false">IF(C2374="","",IFERROR(IF(LEFT(C2374,1)="L",INDEX('Leads Pipeline'!$F$5:$F$1004,MATCH(C2374,'Leads Pipeline'!$A$5:$A$1004,0)),INDEX('Active Clients'!$D$5:$D$504,MATCH(C2374,'Active Clients'!$A$5:$A$504,0)))&amp;"","ID not found"))</f>
        <v/>
      </c>
      <c r="E2374" s="51" t="str">
        <f aca="false">IF(C2374="","",IFERROR(IF(LEFT(C2374,1)="L",INDEX('Leads Pipeline'!$D$5:$D$1004,MATCH(C2374,'Leads Pipeline'!$A$5:$A$1004,0)),INDEX('Active Clients'!$B$5:$B$504,MATCH(C2374,'Active Clients'!$A$5:$A$504,0)))&amp;"","ID not found"))</f>
        <v/>
      </c>
      <c r="F2374" s="51" t="str">
        <f aca="false">IF(C2374="","",IFERROR(IF(LEFT(C2374,1)="L",INDEX('Leads Pipeline'!$E$5:$E$1004,MATCH(C2374,'Leads Pipeline'!$A$5:$A$1004,0)),INDEX('Active Clients'!$C$5:$C$504,MATCH(C2374,'Active Clients'!$A$5:$A$504,0)))&amp;"","ID not found"))</f>
        <v/>
      </c>
      <c r="G2374" s="16"/>
      <c r="H2374" s="16"/>
      <c r="I2374" s="16"/>
      <c r="J2374" s="16"/>
      <c r="K2374" s="16"/>
      <c r="L2374" s="18"/>
    </row>
    <row r="2375" customFormat="false" ht="15" hidden="false" customHeight="false" outlineLevel="0" collapsed="false">
      <c r="A2375" s="18"/>
      <c r="B2375" s="16"/>
      <c r="C2375" s="16"/>
      <c r="D2375" s="51" t="str">
        <f aca="false">IF(C2375="","",IFERROR(IF(LEFT(C2375,1)="L",INDEX('Leads Pipeline'!$F$5:$F$1004,MATCH(C2375,'Leads Pipeline'!$A$5:$A$1004,0)),INDEX('Active Clients'!$D$5:$D$504,MATCH(C2375,'Active Clients'!$A$5:$A$504,0)))&amp;"","ID not found"))</f>
        <v/>
      </c>
      <c r="E2375" s="51" t="str">
        <f aca="false">IF(C2375="","",IFERROR(IF(LEFT(C2375,1)="L",INDEX('Leads Pipeline'!$D$5:$D$1004,MATCH(C2375,'Leads Pipeline'!$A$5:$A$1004,0)),INDEX('Active Clients'!$B$5:$B$504,MATCH(C2375,'Active Clients'!$A$5:$A$504,0)))&amp;"","ID not found"))</f>
        <v/>
      </c>
      <c r="F2375" s="51" t="str">
        <f aca="false">IF(C2375="","",IFERROR(IF(LEFT(C2375,1)="L",INDEX('Leads Pipeline'!$E$5:$E$1004,MATCH(C2375,'Leads Pipeline'!$A$5:$A$1004,0)),INDEX('Active Clients'!$C$5:$C$504,MATCH(C2375,'Active Clients'!$A$5:$A$504,0)))&amp;"","ID not found"))</f>
        <v/>
      </c>
      <c r="G2375" s="16"/>
      <c r="H2375" s="16"/>
      <c r="I2375" s="16"/>
      <c r="J2375" s="16"/>
      <c r="K2375" s="16"/>
      <c r="L2375" s="18"/>
    </row>
    <row r="2376" customFormat="false" ht="15" hidden="false" customHeight="false" outlineLevel="0" collapsed="false">
      <c r="A2376" s="18"/>
      <c r="B2376" s="16"/>
      <c r="C2376" s="16"/>
      <c r="D2376" s="51" t="str">
        <f aca="false">IF(C2376="","",IFERROR(IF(LEFT(C2376,1)="L",INDEX('Leads Pipeline'!$F$5:$F$1004,MATCH(C2376,'Leads Pipeline'!$A$5:$A$1004,0)),INDEX('Active Clients'!$D$5:$D$504,MATCH(C2376,'Active Clients'!$A$5:$A$504,0)))&amp;"","ID not found"))</f>
        <v/>
      </c>
      <c r="E2376" s="51" t="str">
        <f aca="false">IF(C2376="","",IFERROR(IF(LEFT(C2376,1)="L",INDEX('Leads Pipeline'!$D$5:$D$1004,MATCH(C2376,'Leads Pipeline'!$A$5:$A$1004,0)),INDEX('Active Clients'!$B$5:$B$504,MATCH(C2376,'Active Clients'!$A$5:$A$504,0)))&amp;"","ID not found"))</f>
        <v/>
      </c>
      <c r="F2376" s="51" t="str">
        <f aca="false">IF(C2376="","",IFERROR(IF(LEFT(C2376,1)="L",INDEX('Leads Pipeline'!$E$5:$E$1004,MATCH(C2376,'Leads Pipeline'!$A$5:$A$1004,0)),INDEX('Active Clients'!$C$5:$C$504,MATCH(C2376,'Active Clients'!$A$5:$A$504,0)))&amp;"","ID not found"))</f>
        <v/>
      </c>
      <c r="G2376" s="16"/>
      <c r="H2376" s="16"/>
      <c r="I2376" s="16"/>
      <c r="J2376" s="16"/>
      <c r="K2376" s="16"/>
      <c r="L2376" s="18"/>
    </row>
    <row r="2377" customFormat="false" ht="15" hidden="false" customHeight="false" outlineLevel="0" collapsed="false">
      <c r="A2377" s="18"/>
      <c r="B2377" s="16"/>
      <c r="C2377" s="16"/>
      <c r="D2377" s="51" t="str">
        <f aca="false">IF(C2377="","",IFERROR(IF(LEFT(C2377,1)="L",INDEX('Leads Pipeline'!$F$5:$F$1004,MATCH(C2377,'Leads Pipeline'!$A$5:$A$1004,0)),INDEX('Active Clients'!$D$5:$D$504,MATCH(C2377,'Active Clients'!$A$5:$A$504,0)))&amp;"","ID not found"))</f>
        <v/>
      </c>
      <c r="E2377" s="51" t="str">
        <f aca="false">IF(C2377="","",IFERROR(IF(LEFT(C2377,1)="L",INDEX('Leads Pipeline'!$D$5:$D$1004,MATCH(C2377,'Leads Pipeline'!$A$5:$A$1004,0)),INDEX('Active Clients'!$B$5:$B$504,MATCH(C2377,'Active Clients'!$A$5:$A$504,0)))&amp;"","ID not found"))</f>
        <v/>
      </c>
      <c r="F2377" s="51" t="str">
        <f aca="false">IF(C2377="","",IFERROR(IF(LEFT(C2377,1)="L",INDEX('Leads Pipeline'!$E$5:$E$1004,MATCH(C2377,'Leads Pipeline'!$A$5:$A$1004,0)),INDEX('Active Clients'!$C$5:$C$504,MATCH(C2377,'Active Clients'!$A$5:$A$504,0)))&amp;"","ID not found"))</f>
        <v/>
      </c>
      <c r="G2377" s="16"/>
      <c r="H2377" s="16"/>
      <c r="I2377" s="16"/>
      <c r="J2377" s="16"/>
      <c r="K2377" s="16"/>
      <c r="L2377" s="18"/>
    </row>
    <row r="2378" customFormat="false" ht="15" hidden="false" customHeight="false" outlineLevel="0" collapsed="false">
      <c r="A2378" s="18"/>
      <c r="B2378" s="16"/>
      <c r="C2378" s="16"/>
      <c r="D2378" s="51" t="str">
        <f aca="false">IF(C2378="","",IFERROR(IF(LEFT(C2378,1)="L",INDEX('Leads Pipeline'!$F$5:$F$1004,MATCH(C2378,'Leads Pipeline'!$A$5:$A$1004,0)),INDEX('Active Clients'!$D$5:$D$504,MATCH(C2378,'Active Clients'!$A$5:$A$504,0)))&amp;"","ID not found"))</f>
        <v/>
      </c>
      <c r="E2378" s="51" t="str">
        <f aca="false">IF(C2378="","",IFERROR(IF(LEFT(C2378,1)="L",INDEX('Leads Pipeline'!$D$5:$D$1004,MATCH(C2378,'Leads Pipeline'!$A$5:$A$1004,0)),INDEX('Active Clients'!$B$5:$B$504,MATCH(C2378,'Active Clients'!$A$5:$A$504,0)))&amp;"","ID not found"))</f>
        <v/>
      </c>
      <c r="F2378" s="51" t="str">
        <f aca="false">IF(C2378="","",IFERROR(IF(LEFT(C2378,1)="L",INDEX('Leads Pipeline'!$E$5:$E$1004,MATCH(C2378,'Leads Pipeline'!$A$5:$A$1004,0)),INDEX('Active Clients'!$C$5:$C$504,MATCH(C2378,'Active Clients'!$A$5:$A$504,0)))&amp;"","ID not found"))</f>
        <v/>
      </c>
      <c r="G2378" s="16"/>
      <c r="H2378" s="16"/>
      <c r="I2378" s="16"/>
      <c r="J2378" s="16"/>
      <c r="K2378" s="16"/>
      <c r="L2378" s="18"/>
    </row>
    <row r="2379" customFormat="false" ht="15" hidden="false" customHeight="false" outlineLevel="0" collapsed="false">
      <c r="A2379" s="18"/>
      <c r="B2379" s="16"/>
      <c r="C2379" s="16"/>
      <c r="D2379" s="51" t="str">
        <f aca="false">IF(C2379="","",IFERROR(IF(LEFT(C2379,1)="L",INDEX('Leads Pipeline'!$F$5:$F$1004,MATCH(C2379,'Leads Pipeline'!$A$5:$A$1004,0)),INDEX('Active Clients'!$D$5:$D$504,MATCH(C2379,'Active Clients'!$A$5:$A$504,0)))&amp;"","ID not found"))</f>
        <v/>
      </c>
      <c r="E2379" s="51" t="str">
        <f aca="false">IF(C2379="","",IFERROR(IF(LEFT(C2379,1)="L",INDEX('Leads Pipeline'!$D$5:$D$1004,MATCH(C2379,'Leads Pipeline'!$A$5:$A$1004,0)),INDEX('Active Clients'!$B$5:$B$504,MATCH(C2379,'Active Clients'!$A$5:$A$504,0)))&amp;"","ID not found"))</f>
        <v/>
      </c>
      <c r="F2379" s="51" t="str">
        <f aca="false">IF(C2379="","",IFERROR(IF(LEFT(C2379,1)="L",INDEX('Leads Pipeline'!$E$5:$E$1004,MATCH(C2379,'Leads Pipeline'!$A$5:$A$1004,0)),INDEX('Active Clients'!$C$5:$C$504,MATCH(C2379,'Active Clients'!$A$5:$A$504,0)))&amp;"","ID not found"))</f>
        <v/>
      </c>
      <c r="G2379" s="16"/>
      <c r="H2379" s="16"/>
      <c r="I2379" s="16"/>
      <c r="J2379" s="16"/>
      <c r="K2379" s="16"/>
      <c r="L2379" s="18"/>
    </row>
    <row r="2380" customFormat="false" ht="15" hidden="false" customHeight="false" outlineLevel="0" collapsed="false">
      <c r="A2380" s="18"/>
      <c r="B2380" s="16"/>
      <c r="C2380" s="16"/>
      <c r="D2380" s="51" t="str">
        <f aca="false">IF(C2380="","",IFERROR(IF(LEFT(C2380,1)="L",INDEX('Leads Pipeline'!$F$5:$F$1004,MATCH(C2380,'Leads Pipeline'!$A$5:$A$1004,0)),INDEX('Active Clients'!$D$5:$D$504,MATCH(C2380,'Active Clients'!$A$5:$A$504,0)))&amp;"","ID not found"))</f>
        <v/>
      </c>
      <c r="E2380" s="51" t="str">
        <f aca="false">IF(C2380="","",IFERROR(IF(LEFT(C2380,1)="L",INDEX('Leads Pipeline'!$D$5:$D$1004,MATCH(C2380,'Leads Pipeline'!$A$5:$A$1004,0)),INDEX('Active Clients'!$B$5:$B$504,MATCH(C2380,'Active Clients'!$A$5:$A$504,0)))&amp;"","ID not found"))</f>
        <v/>
      </c>
      <c r="F2380" s="51" t="str">
        <f aca="false">IF(C2380="","",IFERROR(IF(LEFT(C2380,1)="L",INDEX('Leads Pipeline'!$E$5:$E$1004,MATCH(C2380,'Leads Pipeline'!$A$5:$A$1004,0)),INDEX('Active Clients'!$C$5:$C$504,MATCH(C2380,'Active Clients'!$A$5:$A$504,0)))&amp;"","ID not found"))</f>
        <v/>
      </c>
      <c r="G2380" s="16"/>
      <c r="H2380" s="16"/>
      <c r="I2380" s="16"/>
      <c r="J2380" s="16"/>
      <c r="K2380" s="16"/>
      <c r="L2380" s="18"/>
    </row>
    <row r="2381" customFormat="false" ht="15" hidden="false" customHeight="false" outlineLevel="0" collapsed="false">
      <c r="A2381" s="18"/>
      <c r="B2381" s="16"/>
      <c r="C2381" s="16"/>
      <c r="D2381" s="51" t="str">
        <f aca="false">IF(C2381="","",IFERROR(IF(LEFT(C2381,1)="L",INDEX('Leads Pipeline'!$F$5:$F$1004,MATCH(C2381,'Leads Pipeline'!$A$5:$A$1004,0)),INDEX('Active Clients'!$D$5:$D$504,MATCH(C2381,'Active Clients'!$A$5:$A$504,0)))&amp;"","ID not found"))</f>
        <v/>
      </c>
      <c r="E2381" s="51" t="str">
        <f aca="false">IF(C2381="","",IFERROR(IF(LEFT(C2381,1)="L",INDEX('Leads Pipeline'!$D$5:$D$1004,MATCH(C2381,'Leads Pipeline'!$A$5:$A$1004,0)),INDEX('Active Clients'!$B$5:$B$504,MATCH(C2381,'Active Clients'!$A$5:$A$504,0)))&amp;"","ID not found"))</f>
        <v/>
      </c>
      <c r="F2381" s="51" t="str">
        <f aca="false">IF(C2381="","",IFERROR(IF(LEFT(C2381,1)="L",INDEX('Leads Pipeline'!$E$5:$E$1004,MATCH(C2381,'Leads Pipeline'!$A$5:$A$1004,0)),INDEX('Active Clients'!$C$5:$C$504,MATCH(C2381,'Active Clients'!$A$5:$A$504,0)))&amp;"","ID not found"))</f>
        <v/>
      </c>
      <c r="G2381" s="16"/>
      <c r="H2381" s="16"/>
      <c r="I2381" s="16"/>
      <c r="J2381" s="16"/>
      <c r="K2381" s="16"/>
      <c r="L2381" s="18"/>
    </row>
    <row r="2382" customFormat="false" ht="15" hidden="false" customHeight="false" outlineLevel="0" collapsed="false">
      <c r="A2382" s="18"/>
      <c r="B2382" s="16"/>
      <c r="C2382" s="16"/>
      <c r="D2382" s="51" t="str">
        <f aca="false">IF(C2382="","",IFERROR(IF(LEFT(C2382,1)="L",INDEX('Leads Pipeline'!$F$5:$F$1004,MATCH(C2382,'Leads Pipeline'!$A$5:$A$1004,0)),INDEX('Active Clients'!$D$5:$D$504,MATCH(C2382,'Active Clients'!$A$5:$A$504,0)))&amp;"","ID not found"))</f>
        <v/>
      </c>
      <c r="E2382" s="51" t="str">
        <f aca="false">IF(C2382="","",IFERROR(IF(LEFT(C2382,1)="L",INDEX('Leads Pipeline'!$D$5:$D$1004,MATCH(C2382,'Leads Pipeline'!$A$5:$A$1004,0)),INDEX('Active Clients'!$B$5:$B$504,MATCH(C2382,'Active Clients'!$A$5:$A$504,0)))&amp;"","ID not found"))</f>
        <v/>
      </c>
      <c r="F2382" s="51" t="str">
        <f aca="false">IF(C2382="","",IFERROR(IF(LEFT(C2382,1)="L",INDEX('Leads Pipeline'!$E$5:$E$1004,MATCH(C2382,'Leads Pipeline'!$A$5:$A$1004,0)),INDEX('Active Clients'!$C$5:$C$504,MATCH(C2382,'Active Clients'!$A$5:$A$504,0)))&amp;"","ID not found"))</f>
        <v/>
      </c>
      <c r="G2382" s="16"/>
      <c r="H2382" s="16"/>
      <c r="I2382" s="16"/>
      <c r="J2382" s="16"/>
      <c r="K2382" s="16"/>
      <c r="L2382" s="18"/>
    </row>
    <row r="2383" customFormat="false" ht="15" hidden="false" customHeight="false" outlineLevel="0" collapsed="false">
      <c r="A2383" s="18"/>
      <c r="B2383" s="16"/>
      <c r="C2383" s="16"/>
      <c r="D2383" s="51" t="str">
        <f aca="false">IF(C2383="","",IFERROR(IF(LEFT(C2383,1)="L",INDEX('Leads Pipeline'!$F$5:$F$1004,MATCH(C2383,'Leads Pipeline'!$A$5:$A$1004,0)),INDEX('Active Clients'!$D$5:$D$504,MATCH(C2383,'Active Clients'!$A$5:$A$504,0)))&amp;"","ID not found"))</f>
        <v/>
      </c>
      <c r="E2383" s="51" t="str">
        <f aca="false">IF(C2383="","",IFERROR(IF(LEFT(C2383,1)="L",INDEX('Leads Pipeline'!$D$5:$D$1004,MATCH(C2383,'Leads Pipeline'!$A$5:$A$1004,0)),INDEX('Active Clients'!$B$5:$B$504,MATCH(C2383,'Active Clients'!$A$5:$A$504,0)))&amp;"","ID not found"))</f>
        <v/>
      </c>
      <c r="F2383" s="51" t="str">
        <f aca="false">IF(C2383="","",IFERROR(IF(LEFT(C2383,1)="L",INDEX('Leads Pipeline'!$E$5:$E$1004,MATCH(C2383,'Leads Pipeline'!$A$5:$A$1004,0)),INDEX('Active Clients'!$C$5:$C$504,MATCH(C2383,'Active Clients'!$A$5:$A$504,0)))&amp;"","ID not found"))</f>
        <v/>
      </c>
      <c r="G2383" s="16"/>
      <c r="H2383" s="16"/>
      <c r="I2383" s="16"/>
      <c r="J2383" s="16"/>
      <c r="K2383" s="16"/>
      <c r="L2383" s="18"/>
    </row>
    <row r="2384" customFormat="false" ht="15" hidden="false" customHeight="false" outlineLevel="0" collapsed="false">
      <c r="A2384" s="18"/>
      <c r="B2384" s="16"/>
      <c r="C2384" s="16"/>
      <c r="D2384" s="51" t="str">
        <f aca="false">IF(C2384="","",IFERROR(IF(LEFT(C2384,1)="L",INDEX('Leads Pipeline'!$F$5:$F$1004,MATCH(C2384,'Leads Pipeline'!$A$5:$A$1004,0)),INDEX('Active Clients'!$D$5:$D$504,MATCH(C2384,'Active Clients'!$A$5:$A$504,0)))&amp;"","ID not found"))</f>
        <v/>
      </c>
      <c r="E2384" s="51" t="str">
        <f aca="false">IF(C2384="","",IFERROR(IF(LEFT(C2384,1)="L",INDEX('Leads Pipeline'!$D$5:$D$1004,MATCH(C2384,'Leads Pipeline'!$A$5:$A$1004,0)),INDEX('Active Clients'!$B$5:$B$504,MATCH(C2384,'Active Clients'!$A$5:$A$504,0)))&amp;"","ID not found"))</f>
        <v/>
      </c>
      <c r="F2384" s="51" t="str">
        <f aca="false">IF(C2384="","",IFERROR(IF(LEFT(C2384,1)="L",INDEX('Leads Pipeline'!$E$5:$E$1004,MATCH(C2384,'Leads Pipeline'!$A$5:$A$1004,0)),INDEX('Active Clients'!$C$5:$C$504,MATCH(C2384,'Active Clients'!$A$5:$A$504,0)))&amp;"","ID not found"))</f>
        <v/>
      </c>
      <c r="G2384" s="16"/>
      <c r="H2384" s="16"/>
      <c r="I2384" s="16"/>
      <c r="J2384" s="16"/>
      <c r="K2384" s="16"/>
      <c r="L2384" s="18"/>
    </row>
    <row r="2385" customFormat="false" ht="15" hidden="false" customHeight="false" outlineLevel="0" collapsed="false">
      <c r="A2385" s="18"/>
      <c r="B2385" s="16"/>
      <c r="C2385" s="16"/>
      <c r="D2385" s="51" t="str">
        <f aca="false">IF(C2385="","",IFERROR(IF(LEFT(C2385,1)="L",INDEX('Leads Pipeline'!$F$5:$F$1004,MATCH(C2385,'Leads Pipeline'!$A$5:$A$1004,0)),INDEX('Active Clients'!$D$5:$D$504,MATCH(C2385,'Active Clients'!$A$5:$A$504,0)))&amp;"","ID not found"))</f>
        <v/>
      </c>
      <c r="E2385" s="51" t="str">
        <f aca="false">IF(C2385="","",IFERROR(IF(LEFT(C2385,1)="L",INDEX('Leads Pipeline'!$D$5:$D$1004,MATCH(C2385,'Leads Pipeline'!$A$5:$A$1004,0)),INDEX('Active Clients'!$B$5:$B$504,MATCH(C2385,'Active Clients'!$A$5:$A$504,0)))&amp;"","ID not found"))</f>
        <v/>
      </c>
      <c r="F2385" s="51" t="str">
        <f aca="false">IF(C2385="","",IFERROR(IF(LEFT(C2385,1)="L",INDEX('Leads Pipeline'!$E$5:$E$1004,MATCH(C2385,'Leads Pipeline'!$A$5:$A$1004,0)),INDEX('Active Clients'!$C$5:$C$504,MATCH(C2385,'Active Clients'!$A$5:$A$504,0)))&amp;"","ID not found"))</f>
        <v/>
      </c>
      <c r="G2385" s="16"/>
      <c r="H2385" s="16"/>
      <c r="I2385" s="16"/>
      <c r="J2385" s="16"/>
      <c r="K2385" s="16"/>
      <c r="L2385" s="18"/>
    </row>
    <row r="2386" customFormat="false" ht="15" hidden="false" customHeight="false" outlineLevel="0" collapsed="false">
      <c r="A2386" s="18"/>
      <c r="B2386" s="16"/>
      <c r="C2386" s="16"/>
      <c r="D2386" s="51" t="str">
        <f aca="false">IF(C2386="","",IFERROR(IF(LEFT(C2386,1)="L",INDEX('Leads Pipeline'!$F$5:$F$1004,MATCH(C2386,'Leads Pipeline'!$A$5:$A$1004,0)),INDEX('Active Clients'!$D$5:$D$504,MATCH(C2386,'Active Clients'!$A$5:$A$504,0)))&amp;"","ID not found"))</f>
        <v/>
      </c>
      <c r="E2386" s="51" t="str">
        <f aca="false">IF(C2386="","",IFERROR(IF(LEFT(C2386,1)="L",INDEX('Leads Pipeline'!$D$5:$D$1004,MATCH(C2386,'Leads Pipeline'!$A$5:$A$1004,0)),INDEX('Active Clients'!$B$5:$B$504,MATCH(C2386,'Active Clients'!$A$5:$A$504,0)))&amp;"","ID not found"))</f>
        <v/>
      </c>
      <c r="F2386" s="51" t="str">
        <f aca="false">IF(C2386="","",IFERROR(IF(LEFT(C2386,1)="L",INDEX('Leads Pipeline'!$E$5:$E$1004,MATCH(C2386,'Leads Pipeline'!$A$5:$A$1004,0)),INDEX('Active Clients'!$C$5:$C$504,MATCH(C2386,'Active Clients'!$A$5:$A$504,0)))&amp;"","ID not found"))</f>
        <v/>
      </c>
      <c r="G2386" s="16"/>
      <c r="H2386" s="16"/>
      <c r="I2386" s="16"/>
      <c r="J2386" s="16"/>
      <c r="K2386" s="16"/>
      <c r="L2386" s="18"/>
    </row>
    <row r="2387" customFormat="false" ht="15" hidden="false" customHeight="false" outlineLevel="0" collapsed="false">
      <c r="A2387" s="18"/>
      <c r="B2387" s="16"/>
      <c r="C2387" s="16"/>
      <c r="D2387" s="51" t="str">
        <f aca="false">IF(C2387="","",IFERROR(IF(LEFT(C2387,1)="L",INDEX('Leads Pipeline'!$F$5:$F$1004,MATCH(C2387,'Leads Pipeline'!$A$5:$A$1004,0)),INDEX('Active Clients'!$D$5:$D$504,MATCH(C2387,'Active Clients'!$A$5:$A$504,0)))&amp;"","ID not found"))</f>
        <v/>
      </c>
      <c r="E2387" s="51" t="str">
        <f aca="false">IF(C2387="","",IFERROR(IF(LEFT(C2387,1)="L",INDEX('Leads Pipeline'!$D$5:$D$1004,MATCH(C2387,'Leads Pipeline'!$A$5:$A$1004,0)),INDEX('Active Clients'!$B$5:$B$504,MATCH(C2387,'Active Clients'!$A$5:$A$504,0)))&amp;"","ID not found"))</f>
        <v/>
      </c>
      <c r="F2387" s="51" t="str">
        <f aca="false">IF(C2387="","",IFERROR(IF(LEFT(C2387,1)="L",INDEX('Leads Pipeline'!$E$5:$E$1004,MATCH(C2387,'Leads Pipeline'!$A$5:$A$1004,0)),INDEX('Active Clients'!$C$5:$C$504,MATCH(C2387,'Active Clients'!$A$5:$A$504,0)))&amp;"","ID not found"))</f>
        <v/>
      </c>
      <c r="G2387" s="16"/>
      <c r="H2387" s="16"/>
      <c r="I2387" s="16"/>
      <c r="J2387" s="16"/>
      <c r="K2387" s="16"/>
      <c r="L2387" s="18"/>
    </row>
    <row r="2388" customFormat="false" ht="15" hidden="false" customHeight="false" outlineLevel="0" collapsed="false">
      <c r="A2388" s="18"/>
      <c r="B2388" s="16"/>
      <c r="C2388" s="16"/>
      <c r="D2388" s="51" t="str">
        <f aca="false">IF(C2388="","",IFERROR(IF(LEFT(C2388,1)="L",INDEX('Leads Pipeline'!$F$5:$F$1004,MATCH(C2388,'Leads Pipeline'!$A$5:$A$1004,0)),INDEX('Active Clients'!$D$5:$D$504,MATCH(C2388,'Active Clients'!$A$5:$A$504,0)))&amp;"","ID not found"))</f>
        <v/>
      </c>
      <c r="E2388" s="51" t="str">
        <f aca="false">IF(C2388="","",IFERROR(IF(LEFT(C2388,1)="L",INDEX('Leads Pipeline'!$D$5:$D$1004,MATCH(C2388,'Leads Pipeline'!$A$5:$A$1004,0)),INDEX('Active Clients'!$B$5:$B$504,MATCH(C2388,'Active Clients'!$A$5:$A$504,0)))&amp;"","ID not found"))</f>
        <v/>
      </c>
      <c r="F2388" s="51" t="str">
        <f aca="false">IF(C2388="","",IFERROR(IF(LEFT(C2388,1)="L",INDEX('Leads Pipeline'!$E$5:$E$1004,MATCH(C2388,'Leads Pipeline'!$A$5:$A$1004,0)),INDEX('Active Clients'!$C$5:$C$504,MATCH(C2388,'Active Clients'!$A$5:$A$504,0)))&amp;"","ID not found"))</f>
        <v/>
      </c>
      <c r="G2388" s="16"/>
      <c r="H2388" s="16"/>
      <c r="I2388" s="16"/>
      <c r="J2388" s="16"/>
      <c r="K2388" s="16"/>
      <c r="L2388" s="18"/>
    </row>
    <row r="2389" customFormat="false" ht="15" hidden="false" customHeight="false" outlineLevel="0" collapsed="false">
      <c r="A2389" s="18"/>
      <c r="B2389" s="16"/>
      <c r="C2389" s="16"/>
      <c r="D2389" s="51" t="str">
        <f aca="false">IF(C2389="","",IFERROR(IF(LEFT(C2389,1)="L",INDEX('Leads Pipeline'!$F$5:$F$1004,MATCH(C2389,'Leads Pipeline'!$A$5:$A$1004,0)),INDEX('Active Clients'!$D$5:$D$504,MATCH(C2389,'Active Clients'!$A$5:$A$504,0)))&amp;"","ID not found"))</f>
        <v/>
      </c>
      <c r="E2389" s="51" t="str">
        <f aca="false">IF(C2389="","",IFERROR(IF(LEFT(C2389,1)="L",INDEX('Leads Pipeline'!$D$5:$D$1004,MATCH(C2389,'Leads Pipeline'!$A$5:$A$1004,0)),INDEX('Active Clients'!$B$5:$B$504,MATCH(C2389,'Active Clients'!$A$5:$A$504,0)))&amp;"","ID not found"))</f>
        <v/>
      </c>
      <c r="F2389" s="51" t="str">
        <f aca="false">IF(C2389="","",IFERROR(IF(LEFT(C2389,1)="L",INDEX('Leads Pipeline'!$E$5:$E$1004,MATCH(C2389,'Leads Pipeline'!$A$5:$A$1004,0)),INDEX('Active Clients'!$C$5:$C$504,MATCH(C2389,'Active Clients'!$A$5:$A$504,0)))&amp;"","ID not found"))</f>
        <v/>
      </c>
      <c r="G2389" s="16"/>
      <c r="H2389" s="16"/>
      <c r="I2389" s="16"/>
      <c r="J2389" s="16"/>
      <c r="K2389" s="16"/>
      <c r="L2389" s="18"/>
    </row>
    <row r="2390" customFormat="false" ht="15" hidden="false" customHeight="false" outlineLevel="0" collapsed="false">
      <c r="A2390" s="18"/>
      <c r="B2390" s="16"/>
      <c r="C2390" s="16"/>
      <c r="D2390" s="51" t="str">
        <f aca="false">IF(C2390="","",IFERROR(IF(LEFT(C2390,1)="L",INDEX('Leads Pipeline'!$F$5:$F$1004,MATCH(C2390,'Leads Pipeline'!$A$5:$A$1004,0)),INDEX('Active Clients'!$D$5:$D$504,MATCH(C2390,'Active Clients'!$A$5:$A$504,0)))&amp;"","ID not found"))</f>
        <v/>
      </c>
      <c r="E2390" s="51" t="str">
        <f aca="false">IF(C2390="","",IFERROR(IF(LEFT(C2390,1)="L",INDEX('Leads Pipeline'!$D$5:$D$1004,MATCH(C2390,'Leads Pipeline'!$A$5:$A$1004,0)),INDEX('Active Clients'!$B$5:$B$504,MATCH(C2390,'Active Clients'!$A$5:$A$504,0)))&amp;"","ID not found"))</f>
        <v/>
      </c>
      <c r="F2390" s="51" t="str">
        <f aca="false">IF(C2390="","",IFERROR(IF(LEFT(C2390,1)="L",INDEX('Leads Pipeline'!$E$5:$E$1004,MATCH(C2390,'Leads Pipeline'!$A$5:$A$1004,0)),INDEX('Active Clients'!$C$5:$C$504,MATCH(C2390,'Active Clients'!$A$5:$A$504,0)))&amp;"","ID not found"))</f>
        <v/>
      </c>
      <c r="G2390" s="16"/>
      <c r="H2390" s="16"/>
      <c r="I2390" s="16"/>
      <c r="J2390" s="16"/>
      <c r="K2390" s="16"/>
      <c r="L2390" s="18"/>
    </row>
    <row r="2391" customFormat="false" ht="15" hidden="false" customHeight="false" outlineLevel="0" collapsed="false">
      <c r="A2391" s="18"/>
      <c r="B2391" s="16"/>
      <c r="C2391" s="16"/>
      <c r="D2391" s="51" t="str">
        <f aca="false">IF(C2391="","",IFERROR(IF(LEFT(C2391,1)="L",INDEX('Leads Pipeline'!$F$5:$F$1004,MATCH(C2391,'Leads Pipeline'!$A$5:$A$1004,0)),INDEX('Active Clients'!$D$5:$D$504,MATCH(C2391,'Active Clients'!$A$5:$A$504,0)))&amp;"","ID not found"))</f>
        <v/>
      </c>
      <c r="E2391" s="51" t="str">
        <f aca="false">IF(C2391="","",IFERROR(IF(LEFT(C2391,1)="L",INDEX('Leads Pipeline'!$D$5:$D$1004,MATCH(C2391,'Leads Pipeline'!$A$5:$A$1004,0)),INDEX('Active Clients'!$B$5:$B$504,MATCH(C2391,'Active Clients'!$A$5:$A$504,0)))&amp;"","ID not found"))</f>
        <v/>
      </c>
      <c r="F2391" s="51" t="str">
        <f aca="false">IF(C2391="","",IFERROR(IF(LEFT(C2391,1)="L",INDEX('Leads Pipeline'!$E$5:$E$1004,MATCH(C2391,'Leads Pipeline'!$A$5:$A$1004,0)),INDEX('Active Clients'!$C$5:$C$504,MATCH(C2391,'Active Clients'!$A$5:$A$504,0)))&amp;"","ID not found"))</f>
        <v/>
      </c>
      <c r="G2391" s="16"/>
      <c r="H2391" s="16"/>
      <c r="I2391" s="16"/>
      <c r="J2391" s="16"/>
      <c r="K2391" s="16"/>
      <c r="L2391" s="18"/>
    </row>
    <row r="2392" customFormat="false" ht="15" hidden="false" customHeight="false" outlineLevel="0" collapsed="false">
      <c r="A2392" s="18"/>
      <c r="B2392" s="16"/>
      <c r="C2392" s="16"/>
      <c r="D2392" s="51" t="str">
        <f aca="false">IF(C2392="","",IFERROR(IF(LEFT(C2392,1)="L",INDEX('Leads Pipeline'!$F$5:$F$1004,MATCH(C2392,'Leads Pipeline'!$A$5:$A$1004,0)),INDEX('Active Clients'!$D$5:$D$504,MATCH(C2392,'Active Clients'!$A$5:$A$504,0)))&amp;"","ID not found"))</f>
        <v/>
      </c>
      <c r="E2392" s="51" t="str">
        <f aca="false">IF(C2392="","",IFERROR(IF(LEFT(C2392,1)="L",INDEX('Leads Pipeline'!$D$5:$D$1004,MATCH(C2392,'Leads Pipeline'!$A$5:$A$1004,0)),INDEX('Active Clients'!$B$5:$B$504,MATCH(C2392,'Active Clients'!$A$5:$A$504,0)))&amp;"","ID not found"))</f>
        <v/>
      </c>
      <c r="F2392" s="51" t="str">
        <f aca="false">IF(C2392="","",IFERROR(IF(LEFT(C2392,1)="L",INDEX('Leads Pipeline'!$E$5:$E$1004,MATCH(C2392,'Leads Pipeline'!$A$5:$A$1004,0)),INDEX('Active Clients'!$C$5:$C$504,MATCH(C2392,'Active Clients'!$A$5:$A$504,0)))&amp;"","ID not found"))</f>
        <v/>
      </c>
      <c r="G2392" s="16"/>
      <c r="H2392" s="16"/>
      <c r="I2392" s="16"/>
      <c r="J2392" s="16"/>
      <c r="K2392" s="16"/>
      <c r="L2392" s="18"/>
    </row>
    <row r="2393" customFormat="false" ht="15" hidden="false" customHeight="false" outlineLevel="0" collapsed="false">
      <c r="A2393" s="18"/>
      <c r="B2393" s="16"/>
      <c r="C2393" s="16"/>
      <c r="D2393" s="51" t="str">
        <f aca="false">IF(C2393="","",IFERROR(IF(LEFT(C2393,1)="L",INDEX('Leads Pipeline'!$F$5:$F$1004,MATCH(C2393,'Leads Pipeline'!$A$5:$A$1004,0)),INDEX('Active Clients'!$D$5:$D$504,MATCH(C2393,'Active Clients'!$A$5:$A$504,0)))&amp;"","ID not found"))</f>
        <v/>
      </c>
      <c r="E2393" s="51" t="str">
        <f aca="false">IF(C2393="","",IFERROR(IF(LEFT(C2393,1)="L",INDEX('Leads Pipeline'!$D$5:$D$1004,MATCH(C2393,'Leads Pipeline'!$A$5:$A$1004,0)),INDEX('Active Clients'!$B$5:$B$504,MATCH(C2393,'Active Clients'!$A$5:$A$504,0)))&amp;"","ID not found"))</f>
        <v/>
      </c>
      <c r="F2393" s="51" t="str">
        <f aca="false">IF(C2393="","",IFERROR(IF(LEFT(C2393,1)="L",INDEX('Leads Pipeline'!$E$5:$E$1004,MATCH(C2393,'Leads Pipeline'!$A$5:$A$1004,0)),INDEX('Active Clients'!$C$5:$C$504,MATCH(C2393,'Active Clients'!$A$5:$A$504,0)))&amp;"","ID not found"))</f>
        <v/>
      </c>
      <c r="G2393" s="16"/>
      <c r="H2393" s="16"/>
      <c r="I2393" s="16"/>
      <c r="J2393" s="16"/>
      <c r="K2393" s="16"/>
      <c r="L2393" s="18"/>
    </row>
    <row r="2394" customFormat="false" ht="15" hidden="false" customHeight="false" outlineLevel="0" collapsed="false">
      <c r="A2394" s="18"/>
      <c r="B2394" s="16"/>
      <c r="C2394" s="16"/>
      <c r="D2394" s="51" t="str">
        <f aca="false">IF(C2394="","",IFERROR(IF(LEFT(C2394,1)="L",INDEX('Leads Pipeline'!$F$5:$F$1004,MATCH(C2394,'Leads Pipeline'!$A$5:$A$1004,0)),INDEX('Active Clients'!$D$5:$D$504,MATCH(C2394,'Active Clients'!$A$5:$A$504,0)))&amp;"","ID not found"))</f>
        <v/>
      </c>
      <c r="E2394" s="51" t="str">
        <f aca="false">IF(C2394="","",IFERROR(IF(LEFT(C2394,1)="L",INDEX('Leads Pipeline'!$D$5:$D$1004,MATCH(C2394,'Leads Pipeline'!$A$5:$A$1004,0)),INDEX('Active Clients'!$B$5:$B$504,MATCH(C2394,'Active Clients'!$A$5:$A$504,0)))&amp;"","ID not found"))</f>
        <v/>
      </c>
      <c r="F2394" s="51" t="str">
        <f aca="false">IF(C2394="","",IFERROR(IF(LEFT(C2394,1)="L",INDEX('Leads Pipeline'!$E$5:$E$1004,MATCH(C2394,'Leads Pipeline'!$A$5:$A$1004,0)),INDEX('Active Clients'!$C$5:$C$504,MATCH(C2394,'Active Clients'!$A$5:$A$504,0)))&amp;"","ID not found"))</f>
        <v/>
      </c>
      <c r="G2394" s="16"/>
      <c r="H2394" s="16"/>
      <c r="I2394" s="16"/>
      <c r="J2394" s="16"/>
      <c r="K2394" s="16"/>
      <c r="L2394" s="18"/>
    </row>
    <row r="2395" customFormat="false" ht="15" hidden="false" customHeight="false" outlineLevel="0" collapsed="false">
      <c r="A2395" s="18"/>
      <c r="B2395" s="16"/>
      <c r="C2395" s="16"/>
      <c r="D2395" s="51" t="str">
        <f aca="false">IF(C2395="","",IFERROR(IF(LEFT(C2395,1)="L",INDEX('Leads Pipeline'!$F$5:$F$1004,MATCH(C2395,'Leads Pipeline'!$A$5:$A$1004,0)),INDEX('Active Clients'!$D$5:$D$504,MATCH(C2395,'Active Clients'!$A$5:$A$504,0)))&amp;"","ID not found"))</f>
        <v/>
      </c>
      <c r="E2395" s="51" t="str">
        <f aca="false">IF(C2395="","",IFERROR(IF(LEFT(C2395,1)="L",INDEX('Leads Pipeline'!$D$5:$D$1004,MATCH(C2395,'Leads Pipeline'!$A$5:$A$1004,0)),INDEX('Active Clients'!$B$5:$B$504,MATCH(C2395,'Active Clients'!$A$5:$A$504,0)))&amp;"","ID not found"))</f>
        <v/>
      </c>
      <c r="F2395" s="51" t="str">
        <f aca="false">IF(C2395="","",IFERROR(IF(LEFT(C2395,1)="L",INDEX('Leads Pipeline'!$E$5:$E$1004,MATCH(C2395,'Leads Pipeline'!$A$5:$A$1004,0)),INDEX('Active Clients'!$C$5:$C$504,MATCH(C2395,'Active Clients'!$A$5:$A$504,0)))&amp;"","ID not found"))</f>
        <v/>
      </c>
      <c r="G2395" s="16"/>
      <c r="H2395" s="16"/>
      <c r="I2395" s="16"/>
      <c r="J2395" s="16"/>
      <c r="K2395" s="16"/>
      <c r="L2395" s="18"/>
    </row>
    <row r="2396" customFormat="false" ht="15" hidden="false" customHeight="false" outlineLevel="0" collapsed="false">
      <c r="A2396" s="18"/>
      <c r="B2396" s="16"/>
      <c r="C2396" s="16"/>
      <c r="D2396" s="51" t="str">
        <f aca="false">IF(C2396="","",IFERROR(IF(LEFT(C2396,1)="L",INDEX('Leads Pipeline'!$F$5:$F$1004,MATCH(C2396,'Leads Pipeline'!$A$5:$A$1004,0)),INDEX('Active Clients'!$D$5:$D$504,MATCH(C2396,'Active Clients'!$A$5:$A$504,0)))&amp;"","ID not found"))</f>
        <v/>
      </c>
      <c r="E2396" s="51" t="str">
        <f aca="false">IF(C2396="","",IFERROR(IF(LEFT(C2396,1)="L",INDEX('Leads Pipeline'!$D$5:$D$1004,MATCH(C2396,'Leads Pipeline'!$A$5:$A$1004,0)),INDEX('Active Clients'!$B$5:$B$504,MATCH(C2396,'Active Clients'!$A$5:$A$504,0)))&amp;"","ID not found"))</f>
        <v/>
      </c>
      <c r="F2396" s="51" t="str">
        <f aca="false">IF(C2396="","",IFERROR(IF(LEFT(C2396,1)="L",INDEX('Leads Pipeline'!$E$5:$E$1004,MATCH(C2396,'Leads Pipeline'!$A$5:$A$1004,0)),INDEX('Active Clients'!$C$5:$C$504,MATCH(C2396,'Active Clients'!$A$5:$A$504,0)))&amp;"","ID not found"))</f>
        <v/>
      </c>
      <c r="G2396" s="16"/>
      <c r="H2396" s="16"/>
      <c r="I2396" s="16"/>
      <c r="J2396" s="16"/>
      <c r="K2396" s="16"/>
      <c r="L2396" s="18"/>
    </row>
    <row r="2397" customFormat="false" ht="15" hidden="false" customHeight="false" outlineLevel="0" collapsed="false">
      <c r="A2397" s="18"/>
      <c r="B2397" s="16"/>
      <c r="C2397" s="16"/>
      <c r="D2397" s="51" t="str">
        <f aca="false">IF(C2397="","",IFERROR(IF(LEFT(C2397,1)="L",INDEX('Leads Pipeline'!$F$5:$F$1004,MATCH(C2397,'Leads Pipeline'!$A$5:$A$1004,0)),INDEX('Active Clients'!$D$5:$D$504,MATCH(C2397,'Active Clients'!$A$5:$A$504,0)))&amp;"","ID not found"))</f>
        <v/>
      </c>
      <c r="E2397" s="51" t="str">
        <f aca="false">IF(C2397="","",IFERROR(IF(LEFT(C2397,1)="L",INDEX('Leads Pipeline'!$D$5:$D$1004,MATCH(C2397,'Leads Pipeline'!$A$5:$A$1004,0)),INDEX('Active Clients'!$B$5:$B$504,MATCH(C2397,'Active Clients'!$A$5:$A$504,0)))&amp;"","ID not found"))</f>
        <v/>
      </c>
      <c r="F2397" s="51" t="str">
        <f aca="false">IF(C2397="","",IFERROR(IF(LEFT(C2397,1)="L",INDEX('Leads Pipeline'!$E$5:$E$1004,MATCH(C2397,'Leads Pipeline'!$A$5:$A$1004,0)),INDEX('Active Clients'!$C$5:$C$504,MATCH(C2397,'Active Clients'!$A$5:$A$504,0)))&amp;"","ID not found"))</f>
        <v/>
      </c>
      <c r="G2397" s="16"/>
      <c r="H2397" s="16"/>
      <c r="I2397" s="16"/>
      <c r="J2397" s="16"/>
      <c r="K2397" s="16"/>
      <c r="L2397" s="18"/>
    </row>
    <row r="2398" customFormat="false" ht="15" hidden="false" customHeight="false" outlineLevel="0" collapsed="false">
      <c r="A2398" s="18"/>
      <c r="B2398" s="16"/>
      <c r="C2398" s="16"/>
      <c r="D2398" s="51" t="str">
        <f aca="false">IF(C2398="","",IFERROR(IF(LEFT(C2398,1)="L",INDEX('Leads Pipeline'!$F$5:$F$1004,MATCH(C2398,'Leads Pipeline'!$A$5:$A$1004,0)),INDEX('Active Clients'!$D$5:$D$504,MATCH(C2398,'Active Clients'!$A$5:$A$504,0)))&amp;"","ID not found"))</f>
        <v/>
      </c>
      <c r="E2398" s="51" t="str">
        <f aca="false">IF(C2398="","",IFERROR(IF(LEFT(C2398,1)="L",INDEX('Leads Pipeline'!$D$5:$D$1004,MATCH(C2398,'Leads Pipeline'!$A$5:$A$1004,0)),INDEX('Active Clients'!$B$5:$B$504,MATCH(C2398,'Active Clients'!$A$5:$A$504,0)))&amp;"","ID not found"))</f>
        <v/>
      </c>
      <c r="F2398" s="51" t="str">
        <f aca="false">IF(C2398="","",IFERROR(IF(LEFT(C2398,1)="L",INDEX('Leads Pipeline'!$E$5:$E$1004,MATCH(C2398,'Leads Pipeline'!$A$5:$A$1004,0)),INDEX('Active Clients'!$C$5:$C$504,MATCH(C2398,'Active Clients'!$A$5:$A$504,0)))&amp;"","ID not found"))</f>
        <v/>
      </c>
      <c r="G2398" s="16"/>
      <c r="H2398" s="16"/>
      <c r="I2398" s="16"/>
      <c r="J2398" s="16"/>
      <c r="K2398" s="16"/>
      <c r="L2398" s="18"/>
    </row>
    <row r="2399" customFormat="false" ht="15" hidden="false" customHeight="false" outlineLevel="0" collapsed="false">
      <c r="A2399" s="18"/>
      <c r="B2399" s="16"/>
      <c r="C2399" s="16"/>
      <c r="D2399" s="51" t="str">
        <f aca="false">IF(C2399="","",IFERROR(IF(LEFT(C2399,1)="L",INDEX('Leads Pipeline'!$F$5:$F$1004,MATCH(C2399,'Leads Pipeline'!$A$5:$A$1004,0)),INDEX('Active Clients'!$D$5:$D$504,MATCH(C2399,'Active Clients'!$A$5:$A$504,0)))&amp;"","ID not found"))</f>
        <v/>
      </c>
      <c r="E2399" s="51" t="str">
        <f aca="false">IF(C2399="","",IFERROR(IF(LEFT(C2399,1)="L",INDEX('Leads Pipeline'!$D$5:$D$1004,MATCH(C2399,'Leads Pipeline'!$A$5:$A$1004,0)),INDEX('Active Clients'!$B$5:$B$504,MATCH(C2399,'Active Clients'!$A$5:$A$504,0)))&amp;"","ID not found"))</f>
        <v/>
      </c>
      <c r="F2399" s="51" t="str">
        <f aca="false">IF(C2399="","",IFERROR(IF(LEFT(C2399,1)="L",INDEX('Leads Pipeline'!$E$5:$E$1004,MATCH(C2399,'Leads Pipeline'!$A$5:$A$1004,0)),INDEX('Active Clients'!$C$5:$C$504,MATCH(C2399,'Active Clients'!$A$5:$A$504,0)))&amp;"","ID not found"))</f>
        <v/>
      </c>
      <c r="G2399" s="16"/>
      <c r="H2399" s="16"/>
      <c r="I2399" s="16"/>
      <c r="J2399" s="16"/>
      <c r="K2399" s="16"/>
      <c r="L2399" s="18"/>
    </row>
    <row r="2400" customFormat="false" ht="15" hidden="false" customHeight="false" outlineLevel="0" collapsed="false">
      <c r="A2400" s="18"/>
      <c r="B2400" s="16"/>
      <c r="C2400" s="16"/>
      <c r="D2400" s="51" t="str">
        <f aca="false">IF(C2400="","",IFERROR(IF(LEFT(C2400,1)="L",INDEX('Leads Pipeline'!$F$5:$F$1004,MATCH(C2400,'Leads Pipeline'!$A$5:$A$1004,0)),INDEX('Active Clients'!$D$5:$D$504,MATCH(C2400,'Active Clients'!$A$5:$A$504,0)))&amp;"","ID not found"))</f>
        <v/>
      </c>
      <c r="E2400" s="51" t="str">
        <f aca="false">IF(C2400="","",IFERROR(IF(LEFT(C2400,1)="L",INDEX('Leads Pipeline'!$D$5:$D$1004,MATCH(C2400,'Leads Pipeline'!$A$5:$A$1004,0)),INDEX('Active Clients'!$B$5:$B$504,MATCH(C2400,'Active Clients'!$A$5:$A$504,0)))&amp;"","ID not found"))</f>
        <v/>
      </c>
      <c r="F2400" s="51" t="str">
        <f aca="false">IF(C2400="","",IFERROR(IF(LEFT(C2400,1)="L",INDEX('Leads Pipeline'!$E$5:$E$1004,MATCH(C2400,'Leads Pipeline'!$A$5:$A$1004,0)),INDEX('Active Clients'!$C$5:$C$504,MATCH(C2400,'Active Clients'!$A$5:$A$504,0)))&amp;"","ID not found"))</f>
        <v/>
      </c>
      <c r="G2400" s="16"/>
      <c r="H2400" s="16"/>
      <c r="I2400" s="16"/>
      <c r="J2400" s="16"/>
      <c r="K2400" s="16"/>
      <c r="L2400" s="18"/>
    </row>
    <row r="2401" customFormat="false" ht="15" hidden="false" customHeight="false" outlineLevel="0" collapsed="false">
      <c r="A2401" s="18"/>
      <c r="B2401" s="16"/>
      <c r="C2401" s="16"/>
      <c r="D2401" s="51" t="str">
        <f aca="false">IF(C2401="","",IFERROR(IF(LEFT(C2401,1)="L",INDEX('Leads Pipeline'!$F$5:$F$1004,MATCH(C2401,'Leads Pipeline'!$A$5:$A$1004,0)),INDEX('Active Clients'!$D$5:$D$504,MATCH(C2401,'Active Clients'!$A$5:$A$504,0)))&amp;"","ID not found"))</f>
        <v/>
      </c>
      <c r="E2401" s="51" t="str">
        <f aca="false">IF(C2401="","",IFERROR(IF(LEFT(C2401,1)="L",INDEX('Leads Pipeline'!$D$5:$D$1004,MATCH(C2401,'Leads Pipeline'!$A$5:$A$1004,0)),INDEX('Active Clients'!$B$5:$B$504,MATCH(C2401,'Active Clients'!$A$5:$A$504,0)))&amp;"","ID not found"))</f>
        <v/>
      </c>
      <c r="F2401" s="51" t="str">
        <f aca="false">IF(C2401="","",IFERROR(IF(LEFT(C2401,1)="L",INDEX('Leads Pipeline'!$E$5:$E$1004,MATCH(C2401,'Leads Pipeline'!$A$5:$A$1004,0)),INDEX('Active Clients'!$C$5:$C$504,MATCH(C2401,'Active Clients'!$A$5:$A$504,0)))&amp;"","ID not found"))</f>
        <v/>
      </c>
      <c r="G2401" s="16"/>
      <c r="H2401" s="16"/>
      <c r="I2401" s="16"/>
      <c r="J2401" s="16"/>
      <c r="K2401" s="16"/>
      <c r="L2401" s="18"/>
    </row>
    <row r="2402" customFormat="false" ht="15" hidden="false" customHeight="false" outlineLevel="0" collapsed="false">
      <c r="A2402" s="18"/>
      <c r="B2402" s="16"/>
      <c r="C2402" s="16"/>
      <c r="D2402" s="51" t="str">
        <f aca="false">IF(C2402="","",IFERROR(IF(LEFT(C2402,1)="L",INDEX('Leads Pipeline'!$F$5:$F$1004,MATCH(C2402,'Leads Pipeline'!$A$5:$A$1004,0)),INDEX('Active Clients'!$D$5:$D$504,MATCH(C2402,'Active Clients'!$A$5:$A$504,0)))&amp;"","ID not found"))</f>
        <v/>
      </c>
      <c r="E2402" s="51" t="str">
        <f aca="false">IF(C2402="","",IFERROR(IF(LEFT(C2402,1)="L",INDEX('Leads Pipeline'!$D$5:$D$1004,MATCH(C2402,'Leads Pipeline'!$A$5:$A$1004,0)),INDEX('Active Clients'!$B$5:$B$504,MATCH(C2402,'Active Clients'!$A$5:$A$504,0)))&amp;"","ID not found"))</f>
        <v/>
      </c>
      <c r="F2402" s="51" t="str">
        <f aca="false">IF(C2402="","",IFERROR(IF(LEFT(C2402,1)="L",INDEX('Leads Pipeline'!$E$5:$E$1004,MATCH(C2402,'Leads Pipeline'!$A$5:$A$1004,0)),INDEX('Active Clients'!$C$5:$C$504,MATCH(C2402,'Active Clients'!$A$5:$A$504,0)))&amp;"","ID not found"))</f>
        <v/>
      </c>
      <c r="G2402" s="16"/>
      <c r="H2402" s="16"/>
      <c r="I2402" s="16"/>
      <c r="J2402" s="16"/>
      <c r="K2402" s="16"/>
      <c r="L2402" s="18"/>
    </row>
    <row r="2403" customFormat="false" ht="15" hidden="false" customHeight="false" outlineLevel="0" collapsed="false">
      <c r="A2403" s="18"/>
      <c r="B2403" s="16"/>
      <c r="C2403" s="16"/>
      <c r="D2403" s="51" t="str">
        <f aca="false">IF(C2403="","",IFERROR(IF(LEFT(C2403,1)="L",INDEX('Leads Pipeline'!$F$5:$F$1004,MATCH(C2403,'Leads Pipeline'!$A$5:$A$1004,0)),INDEX('Active Clients'!$D$5:$D$504,MATCH(C2403,'Active Clients'!$A$5:$A$504,0)))&amp;"","ID not found"))</f>
        <v/>
      </c>
      <c r="E2403" s="51" t="str">
        <f aca="false">IF(C2403="","",IFERROR(IF(LEFT(C2403,1)="L",INDEX('Leads Pipeline'!$D$5:$D$1004,MATCH(C2403,'Leads Pipeline'!$A$5:$A$1004,0)),INDEX('Active Clients'!$B$5:$B$504,MATCH(C2403,'Active Clients'!$A$5:$A$504,0)))&amp;"","ID not found"))</f>
        <v/>
      </c>
      <c r="F2403" s="51" t="str">
        <f aca="false">IF(C2403="","",IFERROR(IF(LEFT(C2403,1)="L",INDEX('Leads Pipeline'!$E$5:$E$1004,MATCH(C2403,'Leads Pipeline'!$A$5:$A$1004,0)),INDEX('Active Clients'!$C$5:$C$504,MATCH(C2403,'Active Clients'!$A$5:$A$504,0)))&amp;"","ID not found"))</f>
        <v/>
      </c>
      <c r="G2403" s="16"/>
      <c r="H2403" s="16"/>
      <c r="I2403" s="16"/>
      <c r="J2403" s="16"/>
      <c r="K2403" s="16"/>
      <c r="L2403" s="18"/>
    </row>
    <row r="2404" customFormat="false" ht="15" hidden="false" customHeight="false" outlineLevel="0" collapsed="false">
      <c r="A2404" s="18"/>
      <c r="B2404" s="16"/>
      <c r="C2404" s="16"/>
      <c r="D2404" s="51" t="str">
        <f aca="false">IF(C2404="","",IFERROR(IF(LEFT(C2404,1)="L",INDEX('Leads Pipeline'!$F$5:$F$1004,MATCH(C2404,'Leads Pipeline'!$A$5:$A$1004,0)),INDEX('Active Clients'!$D$5:$D$504,MATCH(C2404,'Active Clients'!$A$5:$A$504,0)))&amp;"","ID not found"))</f>
        <v/>
      </c>
      <c r="E2404" s="51" t="str">
        <f aca="false">IF(C2404="","",IFERROR(IF(LEFT(C2404,1)="L",INDEX('Leads Pipeline'!$D$5:$D$1004,MATCH(C2404,'Leads Pipeline'!$A$5:$A$1004,0)),INDEX('Active Clients'!$B$5:$B$504,MATCH(C2404,'Active Clients'!$A$5:$A$504,0)))&amp;"","ID not found"))</f>
        <v/>
      </c>
      <c r="F2404" s="51" t="str">
        <f aca="false">IF(C2404="","",IFERROR(IF(LEFT(C2404,1)="L",INDEX('Leads Pipeline'!$E$5:$E$1004,MATCH(C2404,'Leads Pipeline'!$A$5:$A$1004,0)),INDEX('Active Clients'!$C$5:$C$504,MATCH(C2404,'Active Clients'!$A$5:$A$504,0)))&amp;"","ID not found"))</f>
        <v/>
      </c>
      <c r="G2404" s="16"/>
      <c r="H2404" s="16"/>
      <c r="I2404" s="16"/>
      <c r="J2404" s="16"/>
      <c r="K2404" s="16"/>
      <c r="L2404" s="18"/>
    </row>
    <row r="2405" customFormat="false" ht="15" hidden="false" customHeight="false" outlineLevel="0" collapsed="false">
      <c r="A2405" s="18"/>
      <c r="B2405" s="16"/>
      <c r="C2405" s="16"/>
      <c r="D2405" s="51" t="str">
        <f aca="false">IF(C2405="","",IFERROR(IF(LEFT(C2405,1)="L",INDEX('Leads Pipeline'!$F$5:$F$1004,MATCH(C2405,'Leads Pipeline'!$A$5:$A$1004,0)),INDEX('Active Clients'!$D$5:$D$504,MATCH(C2405,'Active Clients'!$A$5:$A$504,0)))&amp;"","ID not found"))</f>
        <v/>
      </c>
      <c r="E2405" s="51" t="str">
        <f aca="false">IF(C2405="","",IFERROR(IF(LEFT(C2405,1)="L",INDEX('Leads Pipeline'!$D$5:$D$1004,MATCH(C2405,'Leads Pipeline'!$A$5:$A$1004,0)),INDEX('Active Clients'!$B$5:$B$504,MATCH(C2405,'Active Clients'!$A$5:$A$504,0)))&amp;"","ID not found"))</f>
        <v/>
      </c>
      <c r="F2405" s="51" t="str">
        <f aca="false">IF(C2405="","",IFERROR(IF(LEFT(C2405,1)="L",INDEX('Leads Pipeline'!$E$5:$E$1004,MATCH(C2405,'Leads Pipeline'!$A$5:$A$1004,0)),INDEX('Active Clients'!$C$5:$C$504,MATCH(C2405,'Active Clients'!$A$5:$A$504,0)))&amp;"","ID not found"))</f>
        <v/>
      </c>
      <c r="G2405" s="16"/>
      <c r="H2405" s="16"/>
      <c r="I2405" s="16"/>
      <c r="J2405" s="16"/>
      <c r="K2405" s="16"/>
      <c r="L2405" s="18"/>
    </row>
    <row r="2406" customFormat="false" ht="15" hidden="false" customHeight="false" outlineLevel="0" collapsed="false">
      <c r="A2406" s="18"/>
      <c r="B2406" s="16"/>
      <c r="C2406" s="16"/>
      <c r="D2406" s="51" t="str">
        <f aca="false">IF(C2406="","",IFERROR(IF(LEFT(C2406,1)="L",INDEX('Leads Pipeline'!$F$5:$F$1004,MATCH(C2406,'Leads Pipeline'!$A$5:$A$1004,0)),INDEX('Active Clients'!$D$5:$D$504,MATCH(C2406,'Active Clients'!$A$5:$A$504,0)))&amp;"","ID not found"))</f>
        <v/>
      </c>
      <c r="E2406" s="51" t="str">
        <f aca="false">IF(C2406="","",IFERROR(IF(LEFT(C2406,1)="L",INDEX('Leads Pipeline'!$D$5:$D$1004,MATCH(C2406,'Leads Pipeline'!$A$5:$A$1004,0)),INDEX('Active Clients'!$B$5:$B$504,MATCH(C2406,'Active Clients'!$A$5:$A$504,0)))&amp;"","ID not found"))</f>
        <v/>
      </c>
      <c r="F2406" s="51" t="str">
        <f aca="false">IF(C2406="","",IFERROR(IF(LEFT(C2406,1)="L",INDEX('Leads Pipeline'!$E$5:$E$1004,MATCH(C2406,'Leads Pipeline'!$A$5:$A$1004,0)),INDEX('Active Clients'!$C$5:$C$504,MATCH(C2406,'Active Clients'!$A$5:$A$504,0)))&amp;"","ID not found"))</f>
        <v/>
      </c>
      <c r="G2406" s="16"/>
      <c r="H2406" s="16"/>
      <c r="I2406" s="16"/>
      <c r="J2406" s="16"/>
      <c r="K2406" s="16"/>
      <c r="L2406" s="18"/>
    </row>
    <row r="2407" customFormat="false" ht="15" hidden="false" customHeight="false" outlineLevel="0" collapsed="false">
      <c r="A2407" s="18"/>
      <c r="B2407" s="16"/>
      <c r="C2407" s="16"/>
      <c r="D2407" s="51" t="str">
        <f aca="false">IF(C2407="","",IFERROR(IF(LEFT(C2407,1)="L",INDEX('Leads Pipeline'!$F$5:$F$1004,MATCH(C2407,'Leads Pipeline'!$A$5:$A$1004,0)),INDEX('Active Clients'!$D$5:$D$504,MATCH(C2407,'Active Clients'!$A$5:$A$504,0)))&amp;"","ID not found"))</f>
        <v/>
      </c>
      <c r="E2407" s="51" t="str">
        <f aca="false">IF(C2407="","",IFERROR(IF(LEFT(C2407,1)="L",INDEX('Leads Pipeline'!$D$5:$D$1004,MATCH(C2407,'Leads Pipeline'!$A$5:$A$1004,0)),INDEX('Active Clients'!$B$5:$B$504,MATCH(C2407,'Active Clients'!$A$5:$A$504,0)))&amp;"","ID not found"))</f>
        <v/>
      </c>
      <c r="F2407" s="51" t="str">
        <f aca="false">IF(C2407="","",IFERROR(IF(LEFT(C2407,1)="L",INDEX('Leads Pipeline'!$E$5:$E$1004,MATCH(C2407,'Leads Pipeline'!$A$5:$A$1004,0)),INDEX('Active Clients'!$C$5:$C$504,MATCH(C2407,'Active Clients'!$A$5:$A$504,0)))&amp;"","ID not found"))</f>
        <v/>
      </c>
      <c r="G2407" s="16"/>
      <c r="H2407" s="16"/>
      <c r="I2407" s="16"/>
      <c r="J2407" s="16"/>
      <c r="K2407" s="16"/>
      <c r="L2407" s="18"/>
    </row>
    <row r="2408" customFormat="false" ht="15" hidden="false" customHeight="false" outlineLevel="0" collapsed="false">
      <c r="A2408" s="18"/>
      <c r="B2408" s="16"/>
      <c r="C2408" s="16"/>
      <c r="D2408" s="51" t="str">
        <f aca="false">IF(C2408="","",IFERROR(IF(LEFT(C2408,1)="L",INDEX('Leads Pipeline'!$F$5:$F$1004,MATCH(C2408,'Leads Pipeline'!$A$5:$A$1004,0)),INDEX('Active Clients'!$D$5:$D$504,MATCH(C2408,'Active Clients'!$A$5:$A$504,0)))&amp;"","ID not found"))</f>
        <v/>
      </c>
      <c r="E2408" s="51" t="str">
        <f aca="false">IF(C2408="","",IFERROR(IF(LEFT(C2408,1)="L",INDEX('Leads Pipeline'!$D$5:$D$1004,MATCH(C2408,'Leads Pipeline'!$A$5:$A$1004,0)),INDEX('Active Clients'!$B$5:$B$504,MATCH(C2408,'Active Clients'!$A$5:$A$504,0)))&amp;"","ID not found"))</f>
        <v/>
      </c>
      <c r="F2408" s="51" t="str">
        <f aca="false">IF(C2408="","",IFERROR(IF(LEFT(C2408,1)="L",INDEX('Leads Pipeline'!$E$5:$E$1004,MATCH(C2408,'Leads Pipeline'!$A$5:$A$1004,0)),INDEX('Active Clients'!$C$5:$C$504,MATCH(C2408,'Active Clients'!$A$5:$A$504,0)))&amp;"","ID not found"))</f>
        <v/>
      </c>
      <c r="G2408" s="16"/>
      <c r="H2408" s="16"/>
      <c r="I2408" s="16"/>
      <c r="J2408" s="16"/>
      <c r="K2408" s="16"/>
      <c r="L2408" s="18"/>
    </row>
    <row r="2409" customFormat="false" ht="15" hidden="false" customHeight="false" outlineLevel="0" collapsed="false">
      <c r="A2409" s="18"/>
      <c r="B2409" s="16"/>
      <c r="C2409" s="16"/>
      <c r="D2409" s="51" t="str">
        <f aca="false">IF(C2409="","",IFERROR(IF(LEFT(C2409,1)="L",INDEX('Leads Pipeline'!$F$5:$F$1004,MATCH(C2409,'Leads Pipeline'!$A$5:$A$1004,0)),INDEX('Active Clients'!$D$5:$D$504,MATCH(C2409,'Active Clients'!$A$5:$A$504,0)))&amp;"","ID not found"))</f>
        <v/>
      </c>
      <c r="E2409" s="51" t="str">
        <f aca="false">IF(C2409="","",IFERROR(IF(LEFT(C2409,1)="L",INDEX('Leads Pipeline'!$D$5:$D$1004,MATCH(C2409,'Leads Pipeline'!$A$5:$A$1004,0)),INDEX('Active Clients'!$B$5:$B$504,MATCH(C2409,'Active Clients'!$A$5:$A$504,0)))&amp;"","ID not found"))</f>
        <v/>
      </c>
      <c r="F2409" s="51" t="str">
        <f aca="false">IF(C2409="","",IFERROR(IF(LEFT(C2409,1)="L",INDEX('Leads Pipeline'!$E$5:$E$1004,MATCH(C2409,'Leads Pipeline'!$A$5:$A$1004,0)),INDEX('Active Clients'!$C$5:$C$504,MATCH(C2409,'Active Clients'!$A$5:$A$504,0)))&amp;"","ID not found"))</f>
        <v/>
      </c>
      <c r="G2409" s="16"/>
      <c r="H2409" s="16"/>
      <c r="I2409" s="16"/>
      <c r="J2409" s="16"/>
      <c r="K2409" s="16"/>
      <c r="L2409" s="18"/>
    </row>
    <row r="2410" customFormat="false" ht="15" hidden="false" customHeight="false" outlineLevel="0" collapsed="false">
      <c r="A2410" s="18"/>
      <c r="B2410" s="16"/>
      <c r="C2410" s="16"/>
      <c r="D2410" s="51" t="str">
        <f aca="false">IF(C2410="","",IFERROR(IF(LEFT(C2410,1)="L",INDEX('Leads Pipeline'!$F$5:$F$1004,MATCH(C2410,'Leads Pipeline'!$A$5:$A$1004,0)),INDEX('Active Clients'!$D$5:$D$504,MATCH(C2410,'Active Clients'!$A$5:$A$504,0)))&amp;"","ID not found"))</f>
        <v/>
      </c>
      <c r="E2410" s="51" t="str">
        <f aca="false">IF(C2410="","",IFERROR(IF(LEFT(C2410,1)="L",INDEX('Leads Pipeline'!$D$5:$D$1004,MATCH(C2410,'Leads Pipeline'!$A$5:$A$1004,0)),INDEX('Active Clients'!$B$5:$B$504,MATCH(C2410,'Active Clients'!$A$5:$A$504,0)))&amp;"","ID not found"))</f>
        <v/>
      </c>
      <c r="F2410" s="51" t="str">
        <f aca="false">IF(C2410="","",IFERROR(IF(LEFT(C2410,1)="L",INDEX('Leads Pipeline'!$E$5:$E$1004,MATCH(C2410,'Leads Pipeline'!$A$5:$A$1004,0)),INDEX('Active Clients'!$C$5:$C$504,MATCH(C2410,'Active Clients'!$A$5:$A$504,0)))&amp;"","ID not found"))</f>
        <v/>
      </c>
      <c r="G2410" s="16"/>
      <c r="H2410" s="16"/>
      <c r="I2410" s="16"/>
      <c r="J2410" s="16"/>
      <c r="K2410" s="16"/>
      <c r="L2410" s="18"/>
    </row>
    <row r="2411" customFormat="false" ht="15" hidden="false" customHeight="false" outlineLevel="0" collapsed="false">
      <c r="A2411" s="18"/>
      <c r="B2411" s="16"/>
      <c r="C2411" s="16"/>
      <c r="D2411" s="51" t="str">
        <f aca="false">IF(C2411="","",IFERROR(IF(LEFT(C2411,1)="L",INDEX('Leads Pipeline'!$F$5:$F$1004,MATCH(C2411,'Leads Pipeline'!$A$5:$A$1004,0)),INDEX('Active Clients'!$D$5:$D$504,MATCH(C2411,'Active Clients'!$A$5:$A$504,0)))&amp;"","ID not found"))</f>
        <v/>
      </c>
      <c r="E2411" s="51" t="str">
        <f aca="false">IF(C2411="","",IFERROR(IF(LEFT(C2411,1)="L",INDEX('Leads Pipeline'!$D$5:$D$1004,MATCH(C2411,'Leads Pipeline'!$A$5:$A$1004,0)),INDEX('Active Clients'!$B$5:$B$504,MATCH(C2411,'Active Clients'!$A$5:$A$504,0)))&amp;"","ID not found"))</f>
        <v/>
      </c>
      <c r="F2411" s="51" t="str">
        <f aca="false">IF(C2411="","",IFERROR(IF(LEFT(C2411,1)="L",INDEX('Leads Pipeline'!$E$5:$E$1004,MATCH(C2411,'Leads Pipeline'!$A$5:$A$1004,0)),INDEX('Active Clients'!$C$5:$C$504,MATCH(C2411,'Active Clients'!$A$5:$A$504,0)))&amp;"","ID not found"))</f>
        <v/>
      </c>
      <c r="G2411" s="16"/>
      <c r="H2411" s="16"/>
      <c r="I2411" s="16"/>
      <c r="J2411" s="16"/>
      <c r="K2411" s="16"/>
      <c r="L2411" s="18"/>
    </row>
    <row r="2412" customFormat="false" ht="15" hidden="false" customHeight="false" outlineLevel="0" collapsed="false">
      <c r="A2412" s="18"/>
      <c r="B2412" s="16"/>
      <c r="C2412" s="16"/>
      <c r="D2412" s="51" t="str">
        <f aca="false">IF(C2412="","",IFERROR(IF(LEFT(C2412,1)="L",INDEX('Leads Pipeline'!$F$5:$F$1004,MATCH(C2412,'Leads Pipeline'!$A$5:$A$1004,0)),INDEX('Active Clients'!$D$5:$D$504,MATCH(C2412,'Active Clients'!$A$5:$A$504,0)))&amp;"","ID not found"))</f>
        <v/>
      </c>
      <c r="E2412" s="51" t="str">
        <f aca="false">IF(C2412="","",IFERROR(IF(LEFT(C2412,1)="L",INDEX('Leads Pipeline'!$D$5:$D$1004,MATCH(C2412,'Leads Pipeline'!$A$5:$A$1004,0)),INDEX('Active Clients'!$B$5:$B$504,MATCH(C2412,'Active Clients'!$A$5:$A$504,0)))&amp;"","ID not found"))</f>
        <v/>
      </c>
      <c r="F2412" s="51" t="str">
        <f aca="false">IF(C2412="","",IFERROR(IF(LEFT(C2412,1)="L",INDEX('Leads Pipeline'!$E$5:$E$1004,MATCH(C2412,'Leads Pipeline'!$A$5:$A$1004,0)),INDEX('Active Clients'!$C$5:$C$504,MATCH(C2412,'Active Clients'!$A$5:$A$504,0)))&amp;"","ID not found"))</f>
        <v/>
      </c>
      <c r="G2412" s="16"/>
      <c r="H2412" s="16"/>
      <c r="I2412" s="16"/>
      <c r="J2412" s="16"/>
      <c r="K2412" s="16"/>
      <c r="L2412" s="18"/>
    </row>
    <row r="2413" customFormat="false" ht="15" hidden="false" customHeight="false" outlineLevel="0" collapsed="false">
      <c r="A2413" s="18"/>
      <c r="B2413" s="16"/>
      <c r="C2413" s="16"/>
      <c r="D2413" s="51" t="str">
        <f aca="false">IF(C2413="","",IFERROR(IF(LEFT(C2413,1)="L",INDEX('Leads Pipeline'!$F$5:$F$1004,MATCH(C2413,'Leads Pipeline'!$A$5:$A$1004,0)),INDEX('Active Clients'!$D$5:$D$504,MATCH(C2413,'Active Clients'!$A$5:$A$504,0)))&amp;"","ID not found"))</f>
        <v/>
      </c>
      <c r="E2413" s="51" t="str">
        <f aca="false">IF(C2413="","",IFERROR(IF(LEFT(C2413,1)="L",INDEX('Leads Pipeline'!$D$5:$D$1004,MATCH(C2413,'Leads Pipeline'!$A$5:$A$1004,0)),INDEX('Active Clients'!$B$5:$B$504,MATCH(C2413,'Active Clients'!$A$5:$A$504,0)))&amp;"","ID not found"))</f>
        <v/>
      </c>
      <c r="F2413" s="51" t="str">
        <f aca="false">IF(C2413="","",IFERROR(IF(LEFT(C2413,1)="L",INDEX('Leads Pipeline'!$E$5:$E$1004,MATCH(C2413,'Leads Pipeline'!$A$5:$A$1004,0)),INDEX('Active Clients'!$C$5:$C$504,MATCH(C2413,'Active Clients'!$A$5:$A$504,0)))&amp;"","ID not found"))</f>
        <v/>
      </c>
      <c r="G2413" s="16"/>
      <c r="H2413" s="16"/>
      <c r="I2413" s="16"/>
      <c r="J2413" s="16"/>
      <c r="K2413" s="16"/>
      <c r="L2413" s="18"/>
    </row>
    <row r="2414" customFormat="false" ht="15" hidden="false" customHeight="false" outlineLevel="0" collapsed="false">
      <c r="A2414" s="18"/>
      <c r="B2414" s="16"/>
      <c r="C2414" s="16"/>
      <c r="D2414" s="51" t="str">
        <f aca="false">IF(C2414="","",IFERROR(IF(LEFT(C2414,1)="L",INDEX('Leads Pipeline'!$F$5:$F$1004,MATCH(C2414,'Leads Pipeline'!$A$5:$A$1004,0)),INDEX('Active Clients'!$D$5:$D$504,MATCH(C2414,'Active Clients'!$A$5:$A$504,0)))&amp;"","ID not found"))</f>
        <v/>
      </c>
      <c r="E2414" s="51" t="str">
        <f aca="false">IF(C2414="","",IFERROR(IF(LEFT(C2414,1)="L",INDEX('Leads Pipeline'!$D$5:$D$1004,MATCH(C2414,'Leads Pipeline'!$A$5:$A$1004,0)),INDEX('Active Clients'!$B$5:$B$504,MATCH(C2414,'Active Clients'!$A$5:$A$504,0)))&amp;"","ID not found"))</f>
        <v/>
      </c>
      <c r="F2414" s="51" t="str">
        <f aca="false">IF(C2414="","",IFERROR(IF(LEFT(C2414,1)="L",INDEX('Leads Pipeline'!$E$5:$E$1004,MATCH(C2414,'Leads Pipeline'!$A$5:$A$1004,0)),INDEX('Active Clients'!$C$5:$C$504,MATCH(C2414,'Active Clients'!$A$5:$A$504,0)))&amp;"","ID not found"))</f>
        <v/>
      </c>
      <c r="G2414" s="16"/>
      <c r="H2414" s="16"/>
      <c r="I2414" s="16"/>
      <c r="J2414" s="16"/>
      <c r="K2414" s="16"/>
      <c r="L2414" s="18"/>
    </row>
    <row r="2415" customFormat="false" ht="15" hidden="false" customHeight="false" outlineLevel="0" collapsed="false">
      <c r="A2415" s="18"/>
      <c r="B2415" s="16"/>
      <c r="C2415" s="16"/>
      <c r="D2415" s="51" t="str">
        <f aca="false">IF(C2415="","",IFERROR(IF(LEFT(C2415,1)="L",INDEX('Leads Pipeline'!$F$5:$F$1004,MATCH(C2415,'Leads Pipeline'!$A$5:$A$1004,0)),INDEX('Active Clients'!$D$5:$D$504,MATCH(C2415,'Active Clients'!$A$5:$A$504,0)))&amp;"","ID not found"))</f>
        <v/>
      </c>
      <c r="E2415" s="51" t="str">
        <f aca="false">IF(C2415="","",IFERROR(IF(LEFT(C2415,1)="L",INDEX('Leads Pipeline'!$D$5:$D$1004,MATCH(C2415,'Leads Pipeline'!$A$5:$A$1004,0)),INDEX('Active Clients'!$B$5:$B$504,MATCH(C2415,'Active Clients'!$A$5:$A$504,0)))&amp;"","ID not found"))</f>
        <v/>
      </c>
      <c r="F2415" s="51" t="str">
        <f aca="false">IF(C2415="","",IFERROR(IF(LEFT(C2415,1)="L",INDEX('Leads Pipeline'!$E$5:$E$1004,MATCH(C2415,'Leads Pipeline'!$A$5:$A$1004,0)),INDEX('Active Clients'!$C$5:$C$504,MATCH(C2415,'Active Clients'!$A$5:$A$504,0)))&amp;"","ID not found"))</f>
        <v/>
      </c>
      <c r="G2415" s="16"/>
      <c r="H2415" s="16"/>
      <c r="I2415" s="16"/>
      <c r="J2415" s="16"/>
      <c r="K2415" s="16"/>
      <c r="L2415" s="18"/>
    </row>
    <row r="2416" customFormat="false" ht="15" hidden="false" customHeight="false" outlineLevel="0" collapsed="false">
      <c r="A2416" s="18"/>
      <c r="B2416" s="16"/>
      <c r="C2416" s="16"/>
      <c r="D2416" s="51" t="str">
        <f aca="false">IF(C2416="","",IFERROR(IF(LEFT(C2416,1)="L",INDEX('Leads Pipeline'!$F$5:$F$1004,MATCH(C2416,'Leads Pipeline'!$A$5:$A$1004,0)),INDEX('Active Clients'!$D$5:$D$504,MATCH(C2416,'Active Clients'!$A$5:$A$504,0)))&amp;"","ID not found"))</f>
        <v/>
      </c>
      <c r="E2416" s="51" t="str">
        <f aca="false">IF(C2416="","",IFERROR(IF(LEFT(C2416,1)="L",INDEX('Leads Pipeline'!$D$5:$D$1004,MATCH(C2416,'Leads Pipeline'!$A$5:$A$1004,0)),INDEX('Active Clients'!$B$5:$B$504,MATCH(C2416,'Active Clients'!$A$5:$A$504,0)))&amp;"","ID not found"))</f>
        <v/>
      </c>
      <c r="F2416" s="51" t="str">
        <f aca="false">IF(C2416="","",IFERROR(IF(LEFT(C2416,1)="L",INDEX('Leads Pipeline'!$E$5:$E$1004,MATCH(C2416,'Leads Pipeline'!$A$5:$A$1004,0)),INDEX('Active Clients'!$C$5:$C$504,MATCH(C2416,'Active Clients'!$A$5:$A$504,0)))&amp;"","ID not found"))</f>
        <v/>
      </c>
      <c r="G2416" s="16"/>
      <c r="H2416" s="16"/>
      <c r="I2416" s="16"/>
      <c r="J2416" s="16"/>
      <c r="K2416" s="16"/>
      <c r="L2416" s="18"/>
    </row>
    <row r="2417" customFormat="false" ht="15" hidden="false" customHeight="false" outlineLevel="0" collapsed="false">
      <c r="A2417" s="18"/>
      <c r="B2417" s="16"/>
      <c r="C2417" s="16"/>
      <c r="D2417" s="51" t="str">
        <f aca="false">IF(C2417="","",IFERROR(IF(LEFT(C2417,1)="L",INDEX('Leads Pipeline'!$F$5:$F$1004,MATCH(C2417,'Leads Pipeline'!$A$5:$A$1004,0)),INDEX('Active Clients'!$D$5:$D$504,MATCH(C2417,'Active Clients'!$A$5:$A$504,0)))&amp;"","ID not found"))</f>
        <v/>
      </c>
      <c r="E2417" s="51" t="str">
        <f aca="false">IF(C2417="","",IFERROR(IF(LEFT(C2417,1)="L",INDEX('Leads Pipeline'!$D$5:$D$1004,MATCH(C2417,'Leads Pipeline'!$A$5:$A$1004,0)),INDEX('Active Clients'!$B$5:$B$504,MATCH(C2417,'Active Clients'!$A$5:$A$504,0)))&amp;"","ID not found"))</f>
        <v/>
      </c>
      <c r="F2417" s="51" t="str">
        <f aca="false">IF(C2417="","",IFERROR(IF(LEFT(C2417,1)="L",INDEX('Leads Pipeline'!$E$5:$E$1004,MATCH(C2417,'Leads Pipeline'!$A$5:$A$1004,0)),INDEX('Active Clients'!$C$5:$C$504,MATCH(C2417,'Active Clients'!$A$5:$A$504,0)))&amp;"","ID not found"))</f>
        <v/>
      </c>
      <c r="G2417" s="16"/>
      <c r="H2417" s="16"/>
      <c r="I2417" s="16"/>
      <c r="J2417" s="16"/>
      <c r="K2417" s="16"/>
      <c r="L2417" s="18"/>
    </row>
    <row r="2418" customFormat="false" ht="15" hidden="false" customHeight="false" outlineLevel="0" collapsed="false">
      <c r="A2418" s="18"/>
      <c r="B2418" s="16"/>
      <c r="C2418" s="16"/>
      <c r="D2418" s="51" t="str">
        <f aca="false">IF(C2418="","",IFERROR(IF(LEFT(C2418,1)="L",INDEX('Leads Pipeline'!$F$5:$F$1004,MATCH(C2418,'Leads Pipeline'!$A$5:$A$1004,0)),INDEX('Active Clients'!$D$5:$D$504,MATCH(C2418,'Active Clients'!$A$5:$A$504,0)))&amp;"","ID not found"))</f>
        <v/>
      </c>
      <c r="E2418" s="51" t="str">
        <f aca="false">IF(C2418="","",IFERROR(IF(LEFT(C2418,1)="L",INDEX('Leads Pipeline'!$D$5:$D$1004,MATCH(C2418,'Leads Pipeline'!$A$5:$A$1004,0)),INDEX('Active Clients'!$B$5:$B$504,MATCH(C2418,'Active Clients'!$A$5:$A$504,0)))&amp;"","ID not found"))</f>
        <v/>
      </c>
      <c r="F2418" s="51" t="str">
        <f aca="false">IF(C2418="","",IFERROR(IF(LEFT(C2418,1)="L",INDEX('Leads Pipeline'!$E$5:$E$1004,MATCH(C2418,'Leads Pipeline'!$A$5:$A$1004,0)),INDEX('Active Clients'!$C$5:$C$504,MATCH(C2418,'Active Clients'!$A$5:$A$504,0)))&amp;"","ID not found"))</f>
        <v/>
      </c>
      <c r="G2418" s="16"/>
      <c r="H2418" s="16"/>
      <c r="I2418" s="16"/>
      <c r="J2418" s="16"/>
      <c r="K2418" s="16"/>
      <c r="L2418" s="18"/>
    </row>
    <row r="2419" customFormat="false" ht="15" hidden="false" customHeight="false" outlineLevel="0" collapsed="false">
      <c r="A2419" s="18"/>
      <c r="B2419" s="16"/>
      <c r="C2419" s="16"/>
      <c r="D2419" s="51" t="str">
        <f aca="false">IF(C2419="","",IFERROR(IF(LEFT(C2419,1)="L",INDEX('Leads Pipeline'!$F$5:$F$1004,MATCH(C2419,'Leads Pipeline'!$A$5:$A$1004,0)),INDEX('Active Clients'!$D$5:$D$504,MATCH(C2419,'Active Clients'!$A$5:$A$504,0)))&amp;"","ID not found"))</f>
        <v/>
      </c>
      <c r="E2419" s="51" t="str">
        <f aca="false">IF(C2419="","",IFERROR(IF(LEFT(C2419,1)="L",INDEX('Leads Pipeline'!$D$5:$D$1004,MATCH(C2419,'Leads Pipeline'!$A$5:$A$1004,0)),INDEX('Active Clients'!$B$5:$B$504,MATCH(C2419,'Active Clients'!$A$5:$A$504,0)))&amp;"","ID not found"))</f>
        <v/>
      </c>
      <c r="F2419" s="51" t="str">
        <f aca="false">IF(C2419="","",IFERROR(IF(LEFT(C2419,1)="L",INDEX('Leads Pipeline'!$E$5:$E$1004,MATCH(C2419,'Leads Pipeline'!$A$5:$A$1004,0)),INDEX('Active Clients'!$C$5:$C$504,MATCH(C2419,'Active Clients'!$A$5:$A$504,0)))&amp;"","ID not found"))</f>
        <v/>
      </c>
      <c r="G2419" s="16"/>
      <c r="H2419" s="16"/>
      <c r="I2419" s="16"/>
      <c r="J2419" s="16"/>
      <c r="K2419" s="16"/>
      <c r="L2419" s="18"/>
    </row>
    <row r="2420" customFormat="false" ht="15" hidden="false" customHeight="false" outlineLevel="0" collapsed="false">
      <c r="A2420" s="18"/>
      <c r="B2420" s="16"/>
      <c r="C2420" s="16"/>
      <c r="D2420" s="51" t="str">
        <f aca="false">IF(C2420="","",IFERROR(IF(LEFT(C2420,1)="L",INDEX('Leads Pipeline'!$F$5:$F$1004,MATCH(C2420,'Leads Pipeline'!$A$5:$A$1004,0)),INDEX('Active Clients'!$D$5:$D$504,MATCH(C2420,'Active Clients'!$A$5:$A$504,0)))&amp;"","ID not found"))</f>
        <v/>
      </c>
      <c r="E2420" s="51" t="str">
        <f aca="false">IF(C2420="","",IFERROR(IF(LEFT(C2420,1)="L",INDEX('Leads Pipeline'!$D$5:$D$1004,MATCH(C2420,'Leads Pipeline'!$A$5:$A$1004,0)),INDEX('Active Clients'!$B$5:$B$504,MATCH(C2420,'Active Clients'!$A$5:$A$504,0)))&amp;"","ID not found"))</f>
        <v/>
      </c>
      <c r="F2420" s="51" t="str">
        <f aca="false">IF(C2420="","",IFERROR(IF(LEFT(C2420,1)="L",INDEX('Leads Pipeline'!$E$5:$E$1004,MATCH(C2420,'Leads Pipeline'!$A$5:$A$1004,0)),INDEX('Active Clients'!$C$5:$C$504,MATCH(C2420,'Active Clients'!$A$5:$A$504,0)))&amp;"","ID not found"))</f>
        <v/>
      </c>
      <c r="G2420" s="16"/>
      <c r="H2420" s="16"/>
      <c r="I2420" s="16"/>
      <c r="J2420" s="16"/>
      <c r="K2420" s="16"/>
      <c r="L2420" s="18"/>
    </row>
    <row r="2421" customFormat="false" ht="15" hidden="false" customHeight="false" outlineLevel="0" collapsed="false">
      <c r="A2421" s="18"/>
      <c r="B2421" s="16"/>
      <c r="C2421" s="16"/>
      <c r="D2421" s="51" t="str">
        <f aca="false">IF(C2421="","",IFERROR(IF(LEFT(C2421,1)="L",INDEX('Leads Pipeline'!$F$5:$F$1004,MATCH(C2421,'Leads Pipeline'!$A$5:$A$1004,0)),INDEX('Active Clients'!$D$5:$D$504,MATCH(C2421,'Active Clients'!$A$5:$A$504,0)))&amp;"","ID not found"))</f>
        <v/>
      </c>
      <c r="E2421" s="51" t="str">
        <f aca="false">IF(C2421="","",IFERROR(IF(LEFT(C2421,1)="L",INDEX('Leads Pipeline'!$D$5:$D$1004,MATCH(C2421,'Leads Pipeline'!$A$5:$A$1004,0)),INDEX('Active Clients'!$B$5:$B$504,MATCH(C2421,'Active Clients'!$A$5:$A$504,0)))&amp;"","ID not found"))</f>
        <v/>
      </c>
      <c r="F2421" s="51" t="str">
        <f aca="false">IF(C2421="","",IFERROR(IF(LEFT(C2421,1)="L",INDEX('Leads Pipeline'!$E$5:$E$1004,MATCH(C2421,'Leads Pipeline'!$A$5:$A$1004,0)),INDEX('Active Clients'!$C$5:$C$504,MATCH(C2421,'Active Clients'!$A$5:$A$504,0)))&amp;"","ID not found"))</f>
        <v/>
      </c>
      <c r="G2421" s="16"/>
      <c r="H2421" s="16"/>
      <c r="I2421" s="16"/>
      <c r="J2421" s="16"/>
      <c r="K2421" s="16"/>
      <c r="L2421" s="18"/>
    </row>
    <row r="2422" customFormat="false" ht="15" hidden="false" customHeight="false" outlineLevel="0" collapsed="false">
      <c r="A2422" s="18"/>
      <c r="B2422" s="16"/>
      <c r="C2422" s="16"/>
      <c r="D2422" s="51" t="str">
        <f aca="false">IF(C2422="","",IFERROR(IF(LEFT(C2422,1)="L",INDEX('Leads Pipeline'!$F$5:$F$1004,MATCH(C2422,'Leads Pipeline'!$A$5:$A$1004,0)),INDEX('Active Clients'!$D$5:$D$504,MATCH(C2422,'Active Clients'!$A$5:$A$504,0)))&amp;"","ID not found"))</f>
        <v/>
      </c>
      <c r="E2422" s="51" t="str">
        <f aca="false">IF(C2422="","",IFERROR(IF(LEFT(C2422,1)="L",INDEX('Leads Pipeline'!$D$5:$D$1004,MATCH(C2422,'Leads Pipeline'!$A$5:$A$1004,0)),INDEX('Active Clients'!$B$5:$B$504,MATCH(C2422,'Active Clients'!$A$5:$A$504,0)))&amp;"","ID not found"))</f>
        <v/>
      </c>
      <c r="F2422" s="51" t="str">
        <f aca="false">IF(C2422="","",IFERROR(IF(LEFT(C2422,1)="L",INDEX('Leads Pipeline'!$E$5:$E$1004,MATCH(C2422,'Leads Pipeline'!$A$5:$A$1004,0)),INDEX('Active Clients'!$C$5:$C$504,MATCH(C2422,'Active Clients'!$A$5:$A$504,0)))&amp;"","ID not found"))</f>
        <v/>
      </c>
      <c r="G2422" s="16"/>
      <c r="H2422" s="16"/>
      <c r="I2422" s="16"/>
      <c r="J2422" s="16"/>
      <c r="K2422" s="16"/>
      <c r="L2422" s="18"/>
    </row>
    <row r="2423" customFormat="false" ht="15" hidden="false" customHeight="false" outlineLevel="0" collapsed="false">
      <c r="A2423" s="18"/>
      <c r="B2423" s="16"/>
      <c r="C2423" s="16"/>
      <c r="D2423" s="51" t="str">
        <f aca="false">IF(C2423="","",IFERROR(IF(LEFT(C2423,1)="L",INDEX('Leads Pipeline'!$F$5:$F$1004,MATCH(C2423,'Leads Pipeline'!$A$5:$A$1004,0)),INDEX('Active Clients'!$D$5:$D$504,MATCH(C2423,'Active Clients'!$A$5:$A$504,0)))&amp;"","ID not found"))</f>
        <v/>
      </c>
      <c r="E2423" s="51" t="str">
        <f aca="false">IF(C2423="","",IFERROR(IF(LEFT(C2423,1)="L",INDEX('Leads Pipeline'!$D$5:$D$1004,MATCH(C2423,'Leads Pipeline'!$A$5:$A$1004,0)),INDEX('Active Clients'!$B$5:$B$504,MATCH(C2423,'Active Clients'!$A$5:$A$504,0)))&amp;"","ID not found"))</f>
        <v/>
      </c>
      <c r="F2423" s="51" t="str">
        <f aca="false">IF(C2423="","",IFERROR(IF(LEFT(C2423,1)="L",INDEX('Leads Pipeline'!$E$5:$E$1004,MATCH(C2423,'Leads Pipeline'!$A$5:$A$1004,0)),INDEX('Active Clients'!$C$5:$C$504,MATCH(C2423,'Active Clients'!$A$5:$A$504,0)))&amp;"","ID not found"))</f>
        <v/>
      </c>
      <c r="G2423" s="16"/>
      <c r="H2423" s="16"/>
      <c r="I2423" s="16"/>
      <c r="J2423" s="16"/>
      <c r="K2423" s="16"/>
      <c r="L2423" s="18"/>
    </row>
    <row r="2424" customFormat="false" ht="15" hidden="false" customHeight="false" outlineLevel="0" collapsed="false">
      <c r="A2424" s="18"/>
      <c r="B2424" s="16"/>
      <c r="C2424" s="16"/>
      <c r="D2424" s="51" t="str">
        <f aca="false">IF(C2424="","",IFERROR(IF(LEFT(C2424,1)="L",INDEX('Leads Pipeline'!$F$5:$F$1004,MATCH(C2424,'Leads Pipeline'!$A$5:$A$1004,0)),INDEX('Active Clients'!$D$5:$D$504,MATCH(C2424,'Active Clients'!$A$5:$A$504,0)))&amp;"","ID not found"))</f>
        <v/>
      </c>
      <c r="E2424" s="51" t="str">
        <f aca="false">IF(C2424="","",IFERROR(IF(LEFT(C2424,1)="L",INDEX('Leads Pipeline'!$D$5:$D$1004,MATCH(C2424,'Leads Pipeline'!$A$5:$A$1004,0)),INDEX('Active Clients'!$B$5:$B$504,MATCH(C2424,'Active Clients'!$A$5:$A$504,0)))&amp;"","ID not found"))</f>
        <v/>
      </c>
      <c r="F2424" s="51" t="str">
        <f aca="false">IF(C2424="","",IFERROR(IF(LEFT(C2424,1)="L",INDEX('Leads Pipeline'!$E$5:$E$1004,MATCH(C2424,'Leads Pipeline'!$A$5:$A$1004,0)),INDEX('Active Clients'!$C$5:$C$504,MATCH(C2424,'Active Clients'!$A$5:$A$504,0)))&amp;"","ID not found"))</f>
        <v/>
      </c>
      <c r="G2424" s="16"/>
      <c r="H2424" s="16"/>
      <c r="I2424" s="16"/>
      <c r="J2424" s="16"/>
      <c r="K2424" s="16"/>
      <c r="L2424" s="18"/>
    </row>
    <row r="2425" customFormat="false" ht="15" hidden="false" customHeight="false" outlineLevel="0" collapsed="false">
      <c r="A2425" s="18"/>
      <c r="B2425" s="16"/>
      <c r="C2425" s="16"/>
      <c r="D2425" s="51" t="str">
        <f aca="false">IF(C2425="","",IFERROR(IF(LEFT(C2425,1)="L",INDEX('Leads Pipeline'!$F$5:$F$1004,MATCH(C2425,'Leads Pipeline'!$A$5:$A$1004,0)),INDEX('Active Clients'!$D$5:$D$504,MATCH(C2425,'Active Clients'!$A$5:$A$504,0)))&amp;"","ID not found"))</f>
        <v/>
      </c>
      <c r="E2425" s="51" t="str">
        <f aca="false">IF(C2425="","",IFERROR(IF(LEFT(C2425,1)="L",INDEX('Leads Pipeline'!$D$5:$D$1004,MATCH(C2425,'Leads Pipeline'!$A$5:$A$1004,0)),INDEX('Active Clients'!$B$5:$B$504,MATCH(C2425,'Active Clients'!$A$5:$A$504,0)))&amp;"","ID not found"))</f>
        <v/>
      </c>
      <c r="F2425" s="51" t="str">
        <f aca="false">IF(C2425="","",IFERROR(IF(LEFT(C2425,1)="L",INDEX('Leads Pipeline'!$E$5:$E$1004,MATCH(C2425,'Leads Pipeline'!$A$5:$A$1004,0)),INDEX('Active Clients'!$C$5:$C$504,MATCH(C2425,'Active Clients'!$A$5:$A$504,0)))&amp;"","ID not found"))</f>
        <v/>
      </c>
      <c r="G2425" s="16"/>
      <c r="H2425" s="16"/>
      <c r="I2425" s="16"/>
      <c r="J2425" s="16"/>
      <c r="K2425" s="16"/>
      <c r="L2425" s="18"/>
    </row>
    <row r="2426" customFormat="false" ht="15" hidden="false" customHeight="false" outlineLevel="0" collapsed="false">
      <c r="A2426" s="18"/>
      <c r="B2426" s="16"/>
      <c r="C2426" s="16"/>
      <c r="D2426" s="51" t="str">
        <f aca="false">IF(C2426="","",IFERROR(IF(LEFT(C2426,1)="L",INDEX('Leads Pipeline'!$F$5:$F$1004,MATCH(C2426,'Leads Pipeline'!$A$5:$A$1004,0)),INDEX('Active Clients'!$D$5:$D$504,MATCH(C2426,'Active Clients'!$A$5:$A$504,0)))&amp;"","ID not found"))</f>
        <v/>
      </c>
      <c r="E2426" s="51" t="str">
        <f aca="false">IF(C2426="","",IFERROR(IF(LEFT(C2426,1)="L",INDEX('Leads Pipeline'!$D$5:$D$1004,MATCH(C2426,'Leads Pipeline'!$A$5:$A$1004,0)),INDEX('Active Clients'!$B$5:$B$504,MATCH(C2426,'Active Clients'!$A$5:$A$504,0)))&amp;"","ID not found"))</f>
        <v/>
      </c>
      <c r="F2426" s="51" t="str">
        <f aca="false">IF(C2426="","",IFERROR(IF(LEFT(C2426,1)="L",INDEX('Leads Pipeline'!$E$5:$E$1004,MATCH(C2426,'Leads Pipeline'!$A$5:$A$1004,0)),INDEX('Active Clients'!$C$5:$C$504,MATCH(C2426,'Active Clients'!$A$5:$A$504,0)))&amp;"","ID not found"))</f>
        <v/>
      </c>
      <c r="G2426" s="16"/>
      <c r="H2426" s="16"/>
      <c r="I2426" s="16"/>
      <c r="J2426" s="16"/>
      <c r="K2426" s="16"/>
      <c r="L2426" s="18"/>
    </row>
    <row r="2427" customFormat="false" ht="15" hidden="false" customHeight="false" outlineLevel="0" collapsed="false">
      <c r="A2427" s="18"/>
      <c r="B2427" s="16"/>
      <c r="C2427" s="16"/>
      <c r="D2427" s="51" t="str">
        <f aca="false">IF(C2427="","",IFERROR(IF(LEFT(C2427,1)="L",INDEX('Leads Pipeline'!$F$5:$F$1004,MATCH(C2427,'Leads Pipeline'!$A$5:$A$1004,0)),INDEX('Active Clients'!$D$5:$D$504,MATCH(C2427,'Active Clients'!$A$5:$A$504,0)))&amp;"","ID not found"))</f>
        <v/>
      </c>
      <c r="E2427" s="51" t="str">
        <f aca="false">IF(C2427="","",IFERROR(IF(LEFT(C2427,1)="L",INDEX('Leads Pipeline'!$D$5:$D$1004,MATCH(C2427,'Leads Pipeline'!$A$5:$A$1004,0)),INDEX('Active Clients'!$B$5:$B$504,MATCH(C2427,'Active Clients'!$A$5:$A$504,0)))&amp;"","ID not found"))</f>
        <v/>
      </c>
      <c r="F2427" s="51" t="str">
        <f aca="false">IF(C2427="","",IFERROR(IF(LEFT(C2427,1)="L",INDEX('Leads Pipeline'!$E$5:$E$1004,MATCH(C2427,'Leads Pipeline'!$A$5:$A$1004,0)),INDEX('Active Clients'!$C$5:$C$504,MATCH(C2427,'Active Clients'!$A$5:$A$504,0)))&amp;"","ID not found"))</f>
        <v/>
      </c>
      <c r="G2427" s="16"/>
      <c r="H2427" s="16"/>
      <c r="I2427" s="16"/>
      <c r="J2427" s="16"/>
      <c r="K2427" s="16"/>
      <c r="L2427" s="18"/>
    </row>
    <row r="2428" customFormat="false" ht="15" hidden="false" customHeight="false" outlineLevel="0" collapsed="false">
      <c r="A2428" s="18"/>
      <c r="B2428" s="16"/>
      <c r="C2428" s="16"/>
      <c r="D2428" s="51" t="str">
        <f aca="false">IF(C2428="","",IFERROR(IF(LEFT(C2428,1)="L",INDEX('Leads Pipeline'!$F$5:$F$1004,MATCH(C2428,'Leads Pipeline'!$A$5:$A$1004,0)),INDEX('Active Clients'!$D$5:$D$504,MATCH(C2428,'Active Clients'!$A$5:$A$504,0)))&amp;"","ID not found"))</f>
        <v/>
      </c>
      <c r="E2428" s="51" t="str">
        <f aca="false">IF(C2428="","",IFERROR(IF(LEFT(C2428,1)="L",INDEX('Leads Pipeline'!$D$5:$D$1004,MATCH(C2428,'Leads Pipeline'!$A$5:$A$1004,0)),INDEX('Active Clients'!$B$5:$B$504,MATCH(C2428,'Active Clients'!$A$5:$A$504,0)))&amp;"","ID not found"))</f>
        <v/>
      </c>
      <c r="F2428" s="51" t="str">
        <f aca="false">IF(C2428="","",IFERROR(IF(LEFT(C2428,1)="L",INDEX('Leads Pipeline'!$E$5:$E$1004,MATCH(C2428,'Leads Pipeline'!$A$5:$A$1004,0)),INDEX('Active Clients'!$C$5:$C$504,MATCH(C2428,'Active Clients'!$A$5:$A$504,0)))&amp;"","ID not found"))</f>
        <v/>
      </c>
      <c r="G2428" s="16"/>
      <c r="H2428" s="16"/>
      <c r="I2428" s="16"/>
      <c r="J2428" s="16"/>
      <c r="K2428" s="16"/>
      <c r="L2428" s="18"/>
    </row>
    <row r="2429" customFormat="false" ht="15" hidden="false" customHeight="false" outlineLevel="0" collapsed="false">
      <c r="A2429" s="18"/>
      <c r="B2429" s="16"/>
      <c r="C2429" s="16"/>
      <c r="D2429" s="51" t="str">
        <f aca="false">IF(C2429="","",IFERROR(IF(LEFT(C2429,1)="L",INDEX('Leads Pipeline'!$F$5:$F$1004,MATCH(C2429,'Leads Pipeline'!$A$5:$A$1004,0)),INDEX('Active Clients'!$D$5:$D$504,MATCH(C2429,'Active Clients'!$A$5:$A$504,0)))&amp;"","ID not found"))</f>
        <v/>
      </c>
      <c r="E2429" s="51" t="str">
        <f aca="false">IF(C2429="","",IFERROR(IF(LEFT(C2429,1)="L",INDEX('Leads Pipeline'!$D$5:$D$1004,MATCH(C2429,'Leads Pipeline'!$A$5:$A$1004,0)),INDEX('Active Clients'!$B$5:$B$504,MATCH(C2429,'Active Clients'!$A$5:$A$504,0)))&amp;"","ID not found"))</f>
        <v/>
      </c>
      <c r="F2429" s="51" t="str">
        <f aca="false">IF(C2429="","",IFERROR(IF(LEFT(C2429,1)="L",INDEX('Leads Pipeline'!$E$5:$E$1004,MATCH(C2429,'Leads Pipeline'!$A$5:$A$1004,0)),INDEX('Active Clients'!$C$5:$C$504,MATCH(C2429,'Active Clients'!$A$5:$A$504,0)))&amp;"","ID not found"))</f>
        <v/>
      </c>
      <c r="G2429" s="16"/>
      <c r="H2429" s="16"/>
      <c r="I2429" s="16"/>
      <c r="J2429" s="16"/>
      <c r="K2429" s="16"/>
      <c r="L2429" s="18"/>
    </row>
    <row r="2430" customFormat="false" ht="15" hidden="false" customHeight="false" outlineLevel="0" collapsed="false">
      <c r="A2430" s="18"/>
      <c r="B2430" s="16"/>
      <c r="C2430" s="16"/>
      <c r="D2430" s="51" t="str">
        <f aca="false">IF(C2430="","",IFERROR(IF(LEFT(C2430,1)="L",INDEX('Leads Pipeline'!$F$5:$F$1004,MATCH(C2430,'Leads Pipeline'!$A$5:$A$1004,0)),INDEX('Active Clients'!$D$5:$D$504,MATCH(C2430,'Active Clients'!$A$5:$A$504,0)))&amp;"","ID not found"))</f>
        <v/>
      </c>
      <c r="E2430" s="51" t="str">
        <f aca="false">IF(C2430="","",IFERROR(IF(LEFT(C2430,1)="L",INDEX('Leads Pipeline'!$D$5:$D$1004,MATCH(C2430,'Leads Pipeline'!$A$5:$A$1004,0)),INDEX('Active Clients'!$B$5:$B$504,MATCH(C2430,'Active Clients'!$A$5:$A$504,0)))&amp;"","ID not found"))</f>
        <v/>
      </c>
      <c r="F2430" s="51" t="str">
        <f aca="false">IF(C2430="","",IFERROR(IF(LEFT(C2430,1)="L",INDEX('Leads Pipeline'!$E$5:$E$1004,MATCH(C2430,'Leads Pipeline'!$A$5:$A$1004,0)),INDEX('Active Clients'!$C$5:$C$504,MATCH(C2430,'Active Clients'!$A$5:$A$504,0)))&amp;"","ID not found"))</f>
        <v/>
      </c>
      <c r="G2430" s="16"/>
      <c r="H2430" s="16"/>
      <c r="I2430" s="16"/>
      <c r="J2430" s="16"/>
      <c r="K2430" s="16"/>
      <c r="L2430" s="18"/>
    </row>
    <row r="2431" customFormat="false" ht="15" hidden="false" customHeight="false" outlineLevel="0" collapsed="false">
      <c r="A2431" s="18"/>
      <c r="B2431" s="16"/>
      <c r="C2431" s="16"/>
      <c r="D2431" s="51" t="str">
        <f aca="false">IF(C2431="","",IFERROR(IF(LEFT(C2431,1)="L",INDEX('Leads Pipeline'!$F$5:$F$1004,MATCH(C2431,'Leads Pipeline'!$A$5:$A$1004,0)),INDEX('Active Clients'!$D$5:$D$504,MATCH(C2431,'Active Clients'!$A$5:$A$504,0)))&amp;"","ID not found"))</f>
        <v/>
      </c>
      <c r="E2431" s="51" t="str">
        <f aca="false">IF(C2431="","",IFERROR(IF(LEFT(C2431,1)="L",INDEX('Leads Pipeline'!$D$5:$D$1004,MATCH(C2431,'Leads Pipeline'!$A$5:$A$1004,0)),INDEX('Active Clients'!$B$5:$B$504,MATCH(C2431,'Active Clients'!$A$5:$A$504,0)))&amp;"","ID not found"))</f>
        <v/>
      </c>
      <c r="F2431" s="51" t="str">
        <f aca="false">IF(C2431="","",IFERROR(IF(LEFT(C2431,1)="L",INDEX('Leads Pipeline'!$E$5:$E$1004,MATCH(C2431,'Leads Pipeline'!$A$5:$A$1004,0)),INDEX('Active Clients'!$C$5:$C$504,MATCH(C2431,'Active Clients'!$A$5:$A$504,0)))&amp;"","ID not found"))</f>
        <v/>
      </c>
      <c r="G2431" s="16"/>
      <c r="H2431" s="16"/>
      <c r="I2431" s="16"/>
      <c r="J2431" s="16"/>
      <c r="K2431" s="16"/>
      <c r="L2431" s="18"/>
    </row>
    <row r="2432" customFormat="false" ht="15" hidden="false" customHeight="false" outlineLevel="0" collapsed="false">
      <c r="A2432" s="18"/>
      <c r="B2432" s="16"/>
      <c r="C2432" s="16"/>
      <c r="D2432" s="51" t="str">
        <f aca="false">IF(C2432="","",IFERROR(IF(LEFT(C2432,1)="L",INDEX('Leads Pipeline'!$F$5:$F$1004,MATCH(C2432,'Leads Pipeline'!$A$5:$A$1004,0)),INDEX('Active Clients'!$D$5:$D$504,MATCH(C2432,'Active Clients'!$A$5:$A$504,0)))&amp;"","ID not found"))</f>
        <v/>
      </c>
      <c r="E2432" s="51" t="str">
        <f aca="false">IF(C2432="","",IFERROR(IF(LEFT(C2432,1)="L",INDEX('Leads Pipeline'!$D$5:$D$1004,MATCH(C2432,'Leads Pipeline'!$A$5:$A$1004,0)),INDEX('Active Clients'!$B$5:$B$504,MATCH(C2432,'Active Clients'!$A$5:$A$504,0)))&amp;"","ID not found"))</f>
        <v/>
      </c>
      <c r="F2432" s="51" t="str">
        <f aca="false">IF(C2432="","",IFERROR(IF(LEFT(C2432,1)="L",INDEX('Leads Pipeline'!$E$5:$E$1004,MATCH(C2432,'Leads Pipeline'!$A$5:$A$1004,0)),INDEX('Active Clients'!$C$5:$C$504,MATCH(C2432,'Active Clients'!$A$5:$A$504,0)))&amp;"","ID not found"))</f>
        <v/>
      </c>
      <c r="G2432" s="16"/>
      <c r="H2432" s="16"/>
      <c r="I2432" s="16"/>
      <c r="J2432" s="16"/>
      <c r="K2432" s="16"/>
      <c r="L2432" s="18"/>
    </row>
    <row r="2433" customFormat="false" ht="15" hidden="false" customHeight="false" outlineLevel="0" collapsed="false">
      <c r="A2433" s="18"/>
      <c r="B2433" s="16"/>
      <c r="C2433" s="16"/>
      <c r="D2433" s="51" t="str">
        <f aca="false">IF(C2433="","",IFERROR(IF(LEFT(C2433,1)="L",INDEX('Leads Pipeline'!$F$5:$F$1004,MATCH(C2433,'Leads Pipeline'!$A$5:$A$1004,0)),INDEX('Active Clients'!$D$5:$D$504,MATCH(C2433,'Active Clients'!$A$5:$A$504,0)))&amp;"","ID not found"))</f>
        <v/>
      </c>
      <c r="E2433" s="51" t="str">
        <f aca="false">IF(C2433="","",IFERROR(IF(LEFT(C2433,1)="L",INDEX('Leads Pipeline'!$D$5:$D$1004,MATCH(C2433,'Leads Pipeline'!$A$5:$A$1004,0)),INDEX('Active Clients'!$B$5:$B$504,MATCH(C2433,'Active Clients'!$A$5:$A$504,0)))&amp;"","ID not found"))</f>
        <v/>
      </c>
      <c r="F2433" s="51" t="str">
        <f aca="false">IF(C2433="","",IFERROR(IF(LEFT(C2433,1)="L",INDEX('Leads Pipeline'!$E$5:$E$1004,MATCH(C2433,'Leads Pipeline'!$A$5:$A$1004,0)),INDEX('Active Clients'!$C$5:$C$504,MATCH(C2433,'Active Clients'!$A$5:$A$504,0)))&amp;"","ID not found"))</f>
        <v/>
      </c>
      <c r="G2433" s="16"/>
      <c r="H2433" s="16"/>
      <c r="I2433" s="16"/>
      <c r="J2433" s="16"/>
      <c r="K2433" s="16"/>
      <c r="L2433" s="18"/>
    </row>
    <row r="2434" customFormat="false" ht="15" hidden="false" customHeight="false" outlineLevel="0" collapsed="false">
      <c r="A2434" s="18"/>
      <c r="B2434" s="16"/>
      <c r="C2434" s="16"/>
      <c r="D2434" s="51" t="str">
        <f aca="false">IF(C2434="","",IFERROR(IF(LEFT(C2434,1)="L",INDEX('Leads Pipeline'!$F$5:$F$1004,MATCH(C2434,'Leads Pipeline'!$A$5:$A$1004,0)),INDEX('Active Clients'!$D$5:$D$504,MATCH(C2434,'Active Clients'!$A$5:$A$504,0)))&amp;"","ID not found"))</f>
        <v/>
      </c>
      <c r="E2434" s="51" t="str">
        <f aca="false">IF(C2434="","",IFERROR(IF(LEFT(C2434,1)="L",INDEX('Leads Pipeline'!$D$5:$D$1004,MATCH(C2434,'Leads Pipeline'!$A$5:$A$1004,0)),INDEX('Active Clients'!$B$5:$B$504,MATCH(C2434,'Active Clients'!$A$5:$A$504,0)))&amp;"","ID not found"))</f>
        <v/>
      </c>
      <c r="F2434" s="51" t="str">
        <f aca="false">IF(C2434="","",IFERROR(IF(LEFT(C2434,1)="L",INDEX('Leads Pipeline'!$E$5:$E$1004,MATCH(C2434,'Leads Pipeline'!$A$5:$A$1004,0)),INDEX('Active Clients'!$C$5:$C$504,MATCH(C2434,'Active Clients'!$A$5:$A$504,0)))&amp;"","ID not found"))</f>
        <v/>
      </c>
      <c r="G2434" s="16"/>
      <c r="H2434" s="16"/>
      <c r="I2434" s="16"/>
      <c r="J2434" s="16"/>
      <c r="K2434" s="16"/>
      <c r="L2434" s="18"/>
    </row>
    <row r="2435" customFormat="false" ht="15" hidden="false" customHeight="false" outlineLevel="0" collapsed="false">
      <c r="A2435" s="18"/>
      <c r="B2435" s="16"/>
      <c r="C2435" s="16"/>
      <c r="D2435" s="51" t="str">
        <f aca="false">IF(C2435="","",IFERROR(IF(LEFT(C2435,1)="L",INDEX('Leads Pipeline'!$F$5:$F$1004,MATCH(C2435,'Leads Pipeline'!$A$5:$A$1004,0)),INDEX('Active Clients'!$D$5:$D$504,MATCH(C2435,'Active Clients'!$A$5:$A$504,0)))&amp;"","ID not found"))</f>
        <v/>
      </c>
      <c r="E2435" s="51" t="str">
        <f aca="false">IF(C2435="","",IFERROR(IF(LEFT(C2435,1)="L",INDEX('Leads Pipeline'!$D$5:$D$1004,MATCH(C2435,'Leads Pipeline'!$A$5:$A$1004,0)),INDEX('Active Clients'!$B$5:$B$504,MATCH(C2435,'Active Clients'!$A$5:$A$504,0)))&amp;"","ID not found"))</f>
        <v/>
      </c>
      <c r="F2435" s="51" t="str">
        <f aca="false">IF(C2435="","",IFERROR(IF(LEFT(C2435,1)="L",INDEX('Leads Pipeline'!$E$5:$E$1004,MATCH(C2435,'Leads Pipeline'!$A$5:$A$1004,0)),INDEX('Active Clients'!$C$5:$C$504,MATCH(C2435,'Active Clients'!$A$5:$A$504,0)))&amp;"","ID not found"))</f>
        <v/>
      </c>
      <c r="G2435" s="16"/>
      <c r="H2435" s="16"/>
      <c r="I2435" s="16"/>
      <c r="J2435" s="16"/>
      <c r="K2435" s="16"/>
      <c r="L2435" s="18"/>
    </row>
    <row r="2436" customFormat="false" ht="15" hidden="false" customHeight="false" outlineLevel="0" collapsed="false">
      <c r="A2436" s="18"/>
      <c r="B2436" s="16"/>
      <c r="C2436" s="16"/>
      <c r="D2436" s="51" t="str">
        <f aca="false">IF(C2436="","",IFERROR(IF(LEFT(C2436,1)="L",INDEX('Leads Pipeline'!$F$5:$F$1004,MATCH(C2436,'Leads Pipeline'!$A$5:$A$1004,0)),INDEX('Active Clients'!$D$5:$D$504,MATCH(C2436,'Active Clients'!$A$5:$A$504,0)))&amp;"","ID not found"))</f>
        <v/>
      </c>
      <c r="E2436" s="51" t="str">
        <f aca="false">IF(C2436="","",IFERROR(IF(LEFT(C2436,1)="L",INDEX('Leads Pipeline'!$D$5:$D$1004,MATCH(C2436,'Leads Pipeline'!$A$5:$A$1004,0)),INDEX('Active Clients'!$B$5:$B$504,MATCH(C2436,'Active Clients'!$A$5:$A$504,0)))&amp;"","ID not found"))</f>
        <v/>
      </c>
      <c r="F2436" s="51" t="str">
        <f aca="false">IF(C2436="","",IFERROR(IF(LEFT(C2436,1)="L",INDEX('Leads Pipeline'!$E$5:$E$1004,MATCH(C2436,'Leads Pipeline'!$A$5:$A$1004,0)),INDEX('Active Clients'!$C$5:$C$504,MATCH(C2436,'Active Clients'!$A$5:$A$504,0)))&amp;"","ID not found"))</f>
        <v/>
      </c>
      <c r="G2436" s="16"/>
      <c r="H2436" s="16"/>
      <c r="I2436" s="16"/>
      <c r="J2436" s="16"/>
      <c r="K2436" s="16"/>
      <c r="L2436" s="18"/>
    </row>
    <row r="2437" customFormat="false" ht="15" hidden="false" customHeight="false" outlineLevel="0" collapsed="false">
      <c r="A2437" s="18"/>
      <c r="B2437" s="16"/>
      <c r="C2437" s="16"/>
      <c r="D2437" s="51" t="str">
        <f aca="false">IF(C2437="","",IFERROR(IF(LEFT(C2437,1)="L",INDEX('Leads Pipeline'!$F$5:$F$1004,MATCH(C2437,'Leads Pipeline'!$A$5:$A$1004,0)),INDEX('Active Clients'!$D$5:$D$504,MATCH(C2437,'Active Clients'!$A$5:$A$504,0)))&amp;"","ID not found"))</f>
        <v/>
      </c>
      <c r="E2437" s="51" t="str">
        <f aca="false">IF(C2437="","",IFERROR(IF(LEFT(C2437,1)="L",INDEX('Leads Pipeline'!$D$5:$D$1004,MATCH(C2437,'Leads Pipeline'!$A$5:$A$1004,0)),INDEX('Active Clients'!$B$5:$B$504,MATCH(C2437,'Active Clients'!$A$5:$A$504,0)))&amp;"","ID not found"))</f>
        <v/>
      </c>
      <c r="F2437" s="51" t="str">
        <f aca="false">IF(C2437="","",IFERROR(IF(LEFT(C2437,1)="L",INDEX('Leads Pipeline'!$E$5:$E$1004,MATCH(C2437,'Leads Pipeline'!$A$5:$A$1004,0)),INDEX('Active Clients'!$C$5:$C$504,MATCH(C2437,'Active Clients'!$A$5:$A$504,0)))&amp;"","ID not found"))</f>
        <v/>
      </c>
      <c r="G2437" s="16"/>
      <c r="H2437" s="16"/>
      <c r="I2437" s="16"/>
      <c r="J2437" s="16"/>
      <c r="K2437" s="16"/>
      <c r="L2437" s="18"/>
    </row>
    <row r="2438" customFormat="false" ht="15" hidden="false" customHeight="false" outlineLevel="0" collapsed="false">
      <c r="A2438" s="18"/>
      <c r="B2438" s="16"/>
      <c r="C2438" s="16"/>
      <c r="D2438" s="51" t="str">
        <f aca="false">IF(C2438="","",IFERROR(IF(LEFT(C2438,1)="L",INDEX('Leads Pipeline'!$F$5:$F$1004,MATCH(C2438,'Leads Pipeline'!$A$5:$A$1004,0)),INDEX('Active Clients'!$D$5:$D$504,MATCH(C2438,'Active Clients'!$A$5:$A$504,0)))&amp;"","ID not found"))</f>
        <v/>
      </c>
      <c r="E2438" s="51" t="str">
        <f aca="false">IF(C2438="","",IFERROR(IF(LEFT(C2438,1)="L",INDEX('Leads Pipeline'!$D$5:$D$1004,MATCH(C2438,'Leads Pipeline'!$A$5:$A$1004,0)),INDEX('Active Clients'!$B$5:$B$504,MATCH(C2438,'Active Clients'!$A$5:$A$504,0)))&amp;"","ID not found"))</f>
        <v/>
      </c>
      <c r="F2438" s="51" t="str">
        <f aca="false">IF(C2438="","",IFERROR(IF(LEFT(C2438,1)="L",INDEX('Leads Pipeline'!$E$5:$E$1004,MATCH(C2438,'Leads Pipeline'!$A$5:$A$1004,0)),INDEX('Active Clients'!$C$5:$C$504,MATCH(C2438,'Active Clients'!$A$5:$A$504,0)))&amp;"","ID not found"))</f>
        <v/>
      </c>
      <c r="G2438" s="16"/>
      <c r="H2438" s="16"/>
      <c r="I2438" s="16"/>
      <c r="J2438" s="16"/>
      <c r="K2438" s="16"/>
      <c r="L2438" s="18"/>
    </row>
    <row r="2439" customFormat="false" ht="15" hidden="false" customHeight="false" outlineLevel="0" collapsed="false">
      <c r="A2439" s="18"/>
      <c r="B2439" s="16"/>
      <c r="C2439" s="16"/>
      <c r="D2439" s="51" t="str">
        <f aca="false">IF(C2439="","",IFERROR(IF(LEFT(C2439,1)="L",INDEX('Leads Pipeline'!$F$5:$F$1004,MATCH(C2439,'Leads Pipeline'!$A$5:$A$1004,0)),INDEX('Active Clients'!$D$5:$D$504,MATCH(C2439,'Active Clients'!$A$5:$A$504,0)))&amp;"","ID not found"))</f>
        <v/>
      </c>
      <c r="E2439" s="51" t="str">
        <f aca="false">IF(C2439="","",IFERROR(IF(LEFT(C2439,1)="L",INDEX('Leads Pipeline'!$D$5:$D$1004,MATCH(C2439,'Leads Pipeline'!$A$5:$A$1004,0)),INDEX('Active Clients'!$B$5:$B$504,MATCH(C2439,'Active Clients'!$A$5:$A$504,0)))&amp;"","ID not found"))</f>
        <v/>
      </c>
      <c r="F2439" s="51" t="str">
        <f aca="false">IF(C2439="","",IFERROR(IF(LEFT(C2439,1)="L",INDEX('Leads Pipeline'!$E$5:$E$1004,MATCH(C2439,'Leads Pipeline'!$A$5:$A$1004,0)),INDEX('Active Clients'!$C$5:$C$504,MATCH(C2439,'Active Clients'!$A$5:$A$504,0)))&amp;"","ID not found"))</f>
        <v/>
      </c>
      <c r="G2439" s="16"/>
      <c r="H2439" s="16"/>
      <c r="I2439" s="16"/>
      <c r="J2439" s="16"/>
      <c r="K2439" s="16"/>
      <c r="L2439" s="18"/>
    </row>
    <row r="2440" customFormat="false" ht="15" hidden="false" customHeight="false" outlineLevel="0" collapsed="false">
      <c r="A2440" s="18"/>
      <c r="B2440" s="16"/>
      <c r="C2440" s="16"/>
      <c r="D2440" s="51" t="str">
        <f aca="false">IF(C2440="","",IFERROR(IF(LEFT(C2440,1)="L",INDEX('Leads Pipeline'!$F$5:$F$1004,MATCH(C2440,'Leads Pipeline'!$A$5:$A$1004,0)),INDEX('Active Clients'!$D$5:$D$504,MATCH(C2440,'Active Clients'!$A$5:$A$504,0)))&amp;"","ID not found"))</f>
        <v/>
      </c>
      <c r="E2440" s="51" t="str">
        <f aca="false">IF(C2440="","",IFERROR(IF(LEFT(C2440,1)="L",INDEX('Leads Pipeline'!$D$5:$D$1004,MATCH(C2440,'Leads Pipeline'!$A$5:$A$1004,0)),INDEX('Active Clients'!$B$5:$B$504,MATCH(C2440,'Active Clients'!$A$5:$A$504,0)))&amp;"","ID not found"))</f>
        <v/>
      </c>
      <c r="F2440" s="51" t="str">
        <f aca="false">IF(C2440="","",IFERROR(IF(LEFT(C2440,1)="L",INDEX('Leads Pipeline'!$E$5:$E$1004,MATCH(C2440,'Leads Pipeline'!$A$5:$A$1004,0)),INDEX('Active Clients'!$C$5:$C$504,MATCH(C2440,'Active Clients'!$A$5:$A$504,0)))&amp;"","ID not found"))</f>
        <v/>
      </c>
      <c r="G2440" s="16"/>
      <c r="H2440" s="16"/>
      <c r="I2440" s="16"/>
      <c r="J2440" s="16"/>
      <c r="K2440" s="16"/>
      <c r="L2440" s="18"/>
    </row>
    <row r="2441" customFormat="false" ht="15" hidden="false" customHeight="false" outlineLevel="0" collapsed="false">
      <c r="A2441" s="18"/>
      <c r="B2441" s="16"/>
      <c r="C2441" s="16"/>
      <c r="D2441" s="51" t="str">
        <f aca="false">IF(C2441="","",IFERROR(IF(LEFT(C2441,1)="L",INDEX('Leads Pipeline'!$F$5:$F$1004,MATCH(C2441,'Leads Pipeline'!$A$5:$A$1004,0)),INDEX('Active Clients'!$D$5:$D$504,MATCH(C2441,'Active Clients'!$A$5:$A$504,0)))&amp;"","ID not found"))</f>
        <v/>
      </c>
      <c r="E2441" s="51" t="str">
        <f aca="false">IF(C2441="","",IFERROR(IF(LEFT(C2441,1)="L",INDEX('Leads Pipeline'!$D$5:$D$1004,MATCH(C2441,'Leads Pipeline'!$A$5:$A$1004,0)),INDEX('Active Clients'!$B$5:$B$504,MATCH(C2441,'Active Clients'!$A$5:$A$504,0)))&amp;"","ID not found"))</f>
        <v/>
      </c>
      <c r="F2441" s="51" t="str">
        <f aca="false">IF(C2441="","",IFERROR(IF(LEFT(C2441,1)="L",INDEX('Leads Pipeline'!$E$5:$E$1004,MATCH(C2441,'Leads Pipeline'!$A$5:$A$1004,0)),INDEX('Active Clients'!$C$5:$C$504,MATCH(C2441,'Active Clients'!$A$5:$A$504,0)))&amp;"","ID not found"))</f>
        <v/>
      </c>
      <c r="G2441" s="16"/>
      <c r="H2441" s="16"/>
      <c r="I2441" s="16"/>
      <c r="J2441" s="16"/>
      <c r="K2441" s="16"/>
      <c r="L2441" s="18"/>
    </row>
    <row r="2442" customFormat="false" ht="15" hidden="false" customHeight="false" outlineLevel="0" collapsed="false">
      <c r="A2442" s="18"/>
      <c r="B2442" s="16"/>
      <c r="C2442" s="16"/>
      <c r="D2442" s="51" t="str">
        <f aca="false">IF(C2442="","",IFERROR(IF(LEFT(C2442,1)="L",INDEX('Leads Pipeline'!$F$5:$F$1004,MATCH(C2442,'Leads Pipeline'!$A$5:$A$1004,0)),INDEX('Active Clients'!$D$5:$D$504,MATCH(C2442,'Active Clients'!$A$5:$A$504,0)))&amp;"","ID not found"))</f>
        <v/>
      </c>
      <c r="E2442" s="51" t="str">
        <f aca="false">IF(C2442="","",IFERROR(IF(LEFT(C2442,1)="L",INDEX('Leads Pipeline'!$D$5:$D$1004,MATCH(C2442,'Leads Pipeline'!$A$5:$A$1004,0)),INDEX('Active Clients'!$B$5:$B$504,MATCH(C2442,'Active Clients'!$A$5:$A$504,0)))&amp;"","ID not found"))</f>
        <v/>
      </c>
      <c r="F2442" s="51" t="str">
        <f aca="false">IF(C2442="","",IFERROR(IF(LEFT(C2442,1)="L",INDEX('Leads Pipeline'!$E$5:$E$1004,MATCH(C2442,'Leads Pipeline'!$A$5:$A$1004,0)),INDEX('Active Clients'!$C$5:$C$504,MATCH(C2442,'Active Clients'!$A$5:$A$504,0)))&amp;"","ID not found"))</f>
        <v/>
      </c>
      <c r="G2442" s="16"/>
      <c r="H2442" s="16"/>
      <c r="I2442" s="16"/>
      <c r="J2442" s="16"/>
      <c r="K2442" s="16"/>
      <c r="L2442" s="18"/>
    </row>
    <row r="2443" customFormat="false" ht="15" hidden="false" customHeight="false" outlineLevel="0" collapsed="false">
      <c r="A2443" s="18"/>
      <c r="B2443" s="16"/>
      <c r="C2443" s="16"/>
      <c r="D2443" s="51" t="str">
        <f aca="false">IF(C2443="","",IFERROR(IF(LEFT(C2443,1)="L",INDEX('Leads Pipeline'!$F$5:$F$1004,MATCH(C2443,'Leads Pipeline'!$A$5:$A$1004,0)),INDEX('Active Clients'!$D$5:$D$504,MATCH(C2443,'Active Clients'!$A$5:$A$504,0)))&amp;"","ID not found"))</f>
        <v/>
      </c>
      <c r="E2443" s="51" t="str">
        <f aca="false">IF(C2443="","",IFERROR(IF(LEFT(C2443,1)="L",INDEX('Leads Pipeline'!$D$5:$D$1004,MATCH(C2443,'Leads Pipeline'!$A$5:$A$1004,0)),INDEX('Active Clients'!$B$5:$B$504,MATCH(C2443,'Active Clients'!$A$5:$A$504,0)))&amp;"","ID not found"))</f>
        <v/>
      </c>
      <c r="F2443" s="51" t="str">
        <f aca="false">IF(C2443="","",IFERROR(IF(LEFT(C2443,1)="L",INDEX('Leads Pipeline'!$E$5:$E$1004,MATCH(C2443,'Leads Pipeline'!$A$5:$A$1004,0)),INDEX('Active Clients'!$C$5:$C$504,MATCH(C2443,'Active Clients'!$A$5:$A$504,0)))&amp;"","ID not found"))</f>
        <v/>
      </c>
      <c r="G2443" s="16"/>
      <c r="H2443" s="16"/>
      <c r="I2443" s="16"/>
      <c r="J2443" s="16"/>
      <c r="K2443" s="16"/>
      <c r="L2443" s="18"/>
    </row>
    <row r="2444" customFormat="false" ht="15" hidden="false" customHeight="false" outlineLevel="0" collapsed="false">
      <c r="A2444" s="18"/>
      <c r="B2444" s="16"/>
      <c r="C2444" s="16"/>
      <c r="D2444" s="51" t="str">
        <f aca="false">IF(C2444="","",IFERROR(IF(LEFT(C2444,1)="L",INDEX('Leads Pipeline'!$F$5:$F$1004,MATCH(C2444,'Leads Pipeline'!$A$5:$A$1004,0)),INDEX('Active Clients'!$D$5:$D$504,MATCH(C2444,'Active Clients'!$A$5:$A$504,0)))&amp;"","ID not found"))</f>
        <v/>
      </c>
      <c r="E2444" s="51" t="str">
        <f aca="false">IF(C2444="","",IFERROR(IF(LEFT(C2444,1)="L",INDEX('Leads Pipeline'!$D$5:$D$1004,MATCH(C2444,'Leads Pipeline'!$A$5:$A$1004,0)),INDEX('Active Clients'!$B$5:$B$504,MATCH(C2444,'Active Clients'!$A$5:$A$504,0)))&amp;"","ID not found"))</f>
        <v/>
      </c>
      <c r="F2444" s="51" t="str">
        <f aca="false">IF(C2444="","",IFERROR(IF(LEFT(C2444,1)="L",INDEX('Leads Pipeline'!$E$5:$E$1004,MATCH(C2444,'Leads Pipeline'!$A$5:$A$1004,0)),INDEX('Active Clients'!$C$5:$C$504,MATCH(C2444,'Active Clients'!$A$5:$A$504,0)))&amp;"","ID not found"))</f>
        <v/>
      </c>
      <c r="G2444" s="16"/>
      <c r="H2444" s="16"/>
      <c r="I2444" s="16"/>
      <c r="J2444" s="16"/>
      <c r="K2444" s="16"/>
      <c r="L2444" s="18"/>
    </row>
    <row r="2445" customFormat="false" ht="15" hidden="false" customHeight="false" outlineLevel="0" collapsed="false">
      <c r="A2445" s="18"/>
      <c r="B2445" s="16"/>
      <c r="C2445" s="16"/>
      <c r="D2445" s="51" t="str">
        <f aca="false">IF(C2445="","",IFERROR(IF(LEFT(C2445,1)="L",INDEX('Leads Pipeline'!$F$5:$F$1004,MATCH(C2445,'Leads Pipeline'!$A$5:$A$1004,0)),INDEX('Active Clients'!$D$5:$D$504,MATCH(C2445,'Active Clients'!$A$5:$A$504,0)))&amp;"","ID not found"))</f>
        <v/>
      </c>
      <c r="E2445" s="51" t="str">
        <f aca="false">IF(C2445="","",IFERROR(IF(LEFT(C2445,1)="L",INDEX('Leads Pipeline'!$D$5:$D$1004,MATCH(C2445,'Leads Pipeline'!$A$5:$A$1004,0)),INDEX('Active Clients'!$B$5:$B$504,MATCH(C2445,'Active Clients'!$A$5:$A$504,0)))&amp;"","ID not found"))</f>
        <v/>
      </c>
      <c r="F2445" s="51" t="str">
        <f aca="false">IF(C2445="","",IFERROR(IF(LEFT(C2445,1)="L",INDEX('Leads Pipeline'!$E$5:$E$1004,MATCH(C2445,'Leads Pipeline'!$A$5:$A$1004,0)),INDEX('Active Clients'!$C$5:$C$504,MATCH(C2445,'Active Clients'!$A$5:$A$504,0)))&amp;"","ID not found"))</f>
        <v/>
      </c>
      <c r="G2445" s="16"/>
      <c r="H2445" s="16"/>
      <c r="I2445" s="16"/>
      <c r="J2445" s="16"/>
      <c r="K2445" s="16"/>
      <c r="L2445" s="18"/>
    </row>
    <row r="2446" customFormat="false" ht="15" hidden="false" customHeight="false" outlineLevel="0" collapsed="false">
      <c r="A2446" s="18"/>
      <c r="B2446" s="16"/>
      <c r="C2446" s="16"/>
      <c r="D2446" s="51" t="str">
        <f aca="false">IF(C2446="","",IFERROR(IF(LEFT(C2446,1)="L",INDEX('Leads Pipeline'!$F$5:$F$1004,MATCH(C2446,'Leads Pipeline'!$A$5:$A$1004,0)),INDEX('Active Clients'!$D$5:$D$504,MATCH(C2446,'Active Clients'!$A$5:$A$504,0)))&amp;"","ID not found"))</f>
        <v/>
      </c>
      <c r="E2446" s="51" t="str">
        <f aca="false">IF(C2446="","",IFERROR(IF(LEFT(C2446,1)="L",INDEX('Leads Pipeline'!$D$5:$D$1004,MATCH(C2446,'Leads Pipeline'!$A$5:$A$1004,0)),INDEX('Active Clients'!$B$5:$B$504,MATCH(C2446,'Active Clients'!$A$5:$A$504,0)))&amp;"","ID not found"))</f>
        <v/>
      </c>
      <c r="F2446" s="51" t="str">
        <f aca="false">IF(C2446="","",IFERROR(IF(LEFT(C2446,1)="L",INDEX('Leads Pipeline'!$E$5:$E$1004,MATCH(C2446,'Leads Pipeline'!$A$5:$A$1004,0)),INDEX('Active Clients'!$C$5:$C$504,MATCH(C2446,'Active Clients'!$A$5:$A$504,0)))&amp;"","ID not found"))</f>
        <v/>
      </c>
      <c r="G2446" s="16"/>
      <c r="H2446" s="16"/>
      <c r="I2446" s="16"/>
      <c r="J2446" s="16"/>
      <c r="K2446" s="16"/>
      <c r="L2446" s="18"/>
    </row>
    <row r="2447" customFormat="false" ht="15" hidden="false" customHeight="false" outlineLevel="0" collapsed="false">
      <c r="A2447" s="18"/>
      <c r="B2447" s="16"/>
      <c r="C2447" s="16"/>
      <c r="D2447" s="51" t="str">
        <f aca="false">IF(C2447="","",IFERROR(IF(LEFT(C2447,1)="L",INDEX('Leads Pipeline'!$F$5:$F$1004,MATCH(C2447,'Leads Pipeline'!$A$5:$A$1004,0)),INDEX('Active Clients'!$D$5:$D$504,MATCH(C2447,'Active Clients'!$A$5:$A$504,0)))&amp;"","ID not found"))</f>
        <v/>
      </c>
      <c r="E2447" s="51" t="str">
        <f aca="false">IF(C2447="","",IFERROR(IF(LEFT(C2447,1)="L",INDEX('Leads Pipeline'!$D$5:$D$1004,MATCH(C2447,'Leads Pipeline'!$A$5:$A$1004,0)),INDEX('Active Clients'!$B$5:$B$504,MATCH(C2447,'Active Clients'!$A$5:$A$504,0)))&amp;"","ID not found"))</f>
        <v/>
      </c>
      <c r="F2447" s="51" t="str">
        <f aca="false">IF(C2447="","",IFERROR(IF(LEFT(C2447,1)="L",INDEX('Leads Pipeline'!$E$5:$E$1004,MATCH(C2447,'Leads Pipeline'!$A$5:$A$1004,0)),INDEX('Active Clients'!$C$5:$C$504,MATCH(C2447,'Active Clients'!$A$5:$A$504,0)))&amp;"","ID not found"))</f>
        <v/>
      </c>
      <c r="G2447" s="16"/>
      <c r="H2447" s="16"/>
      <c r="I2447" s="16"/>
      <c r="J2447" s="16"/>
      <c r="K2447" s="16"/>
      <c r="L2447" s="18"/>
    </row>
    <row r="2448" customFormat="false" ht="15" hidden="false" customHeight="false" outlineLevel="0" collapsed="false">
      <c r="A2448" s="18"/>
      <c r="B2448" s="16"/>
      <c r="C2448" s="16"/>
      <c r="D2448" s="51" t="str">
        <f aca="false">IF(C2448="","",IFERROR(IF(LEFT(C2448,1)="L",INDEX('Leads Pipeline'!$F$5:$F$1004,MATCH(C2448,'Leads Pipeline'!$A$5:$A$1004,0)),INDEX('Active Clients'!$D$5:$D$504,MATCH(C2448,'Active Clients'!$A$5:$A$504,0)))&amp;"","ID not found"))</f>
        <v/>
      </c>
      <c r="E2448" s="51" t="str">
        <f aca="false">IF(C2448="","",IFERROR(IF(LEFT(C2448,1)="L",INDEX('Leads Pipeline'!$D$5:$D$1004,MATCH(C2448,'Leads Pipeline'!$A$5:$A$1004,0)),INDEX('Active Clients'!$B$5:$B$504,MATCH(C2448,'Active Clients'!$A$5:$A$504,0)))&amp;"","ID not found"))</f>
        <v/>
      </c>
      <c r="F2448" s="51" t="str">
        <f aca="false">IF(C2448="","",IFERROR(IF(LEFT(C2448,1)="L",INDEX('Leads Pipeline'!$E$5:$E$1004,MATCH(C2448,'Leads Pipeline'!$A$5:$A$1004,0)),INDEX('Active Clients'!$C$5:$C$504,MATCH(C2448,'Active Clients'!$A$5:$A$504,0)))&amp;"","ID not found"))</f>
        <v/>
      </c>
      <c r="G2448" s="16"/>
      <c r="H2448" s="16"/>
      <c r="I2448" s="16"/>
      <c r="J2448" s="16"/>
      <c r="K2448" s="16"/>
      <c r="L2448" s="18"/>
    </row>
    <row r="2449" customFormat="false" ht="15" hidden="false" customHeight="false" outlineLevel="0" collapsed="false">
      <c r="A2449" s="18"/>
      <c r="B2449" s="16"/>
      <c r="C2449" s="16"/>
      <c r="D2449" s="51" t="str">
        <f aca="false">IF(C2449="","",IFERROR(IF(LEFT(C2449,1)="L",INDEX('Leads Pipeline'!$F$5:$F$1004,MATCH(C2449,'Leads Pipeline'!$A$5:$A$1004,0)),INDEX('Active Clients'!$D$5:$D$504,MATCH(C2449,'Active Clients'!$A$5:$A$504,0)))&amp;"","ID not found"))</f>
        <v/>
      </c>
      <c r="E2449" s="51" t="str">
        <f aca="false">IF(C2449="","",IFERROR(IF(LEFT(C2449,1)="L",INDEX('Leads Pipeline'!$D$5:$D$1004,MATCH(C2449,'Leads Pipeline'!$A$5:$A$1004,0)),INDEX('Active Clients'!$B$5:$B$504,MATCH(C2449,'Active Clients'!$A$5:$A$504,0)))&amp;"","ID not found"))</f>
        <v/>
      </c>
      <c r="F2449" s="51" t="str">
        <f aca="false">IF(C2449="","",IFERROR(IF(LEFT(C2449,1)="L",INDEX('Leads Pipeline'!$E$5:$E$1004,MATCH(C2449,'Leads Pipeline'!$A$5:$A$1004,0)),INDEX('Active Clients'!$C$5:$C$504,MATCH(C2449,'Active Clients'!$A$5:$A$504,0)))&amp;"","ID not found"))</f>
        <v/>
      </c>
      <c r="G2449" s="16"/>
      <c r="H2449" s="16"/>
      <c r="I2449" s="16"/>
      <c r="J2449" s="16"/>
      <c r="K2449" s="16"/>
      <c r="L2449" s="18"/>
    </row>
    <row r="2450" customFormat="false" ht="15" hidden="false" customHeight="false" outlineLevel="0" collapsed="false">
      <c r="A2450" s="18"/>
      <c r="B2450" s="16"/>
      <c r="C2450" s="16"/>
      <c r="D2450" s="51" t="str">
        <f aca="false">IF(C2450="","",IFERROR(IF(LEFT(C2450,1)="L",INDEX('Leads Pipeline'!$F$5:$F$1004,MATCH(C2450,'Leads Pipeline'!$A$5:$A$1004,0)),INDEX('Active Clients'!$D$5:$D$504,MATCH(C2450,'Active Clients'!$A$5:$A$504,0)))&amp;"","ID not found"))</f>
        <v/>
      </c>
      <c r="E2450" s="51" t="str">
        <f aca="false">IF(C2450="","",IFERROR(IF(LEFT(C2450,1)="L",INDEX('Leads Pipeline'!$D$5:$D$1004,MATCH(C2450,'Leads Pipeline'!$A$5:$A$1004,0)),INDEX('Active Clients'!$B$5:$B$504,MATCH(C2450,'Active Clients'!$A$5:$A$504,0)))&amp;"","ID not found"))</f>
        <v/>
      </c>
      <c r="F2450" s="51" t="str">
        <f aca="false">IF(C2450="","",IFERROR(IF(LEFT(C2450,1)="L",INDEX('Leads Pipeline'!$E$5:$E$1004,MATCH(C2450,'Leads Pipeline'!$A$5:$A$1004,0)),INDEX('Active Clients'!$C$5:$C$504,MATCH(C2450,'Active Clients'!$A$5:$A$504,0)))&amp;"","ID not found"))</f>
        <v/>
      </c>
      <c r="G2450" s="16"/>
      <c r="H2450" s="16"/>
      <c r="I2450" s="16"/>
      <c r="J2450" s="16"/>
      <c r="K2450" s="16"/>
      <c r="L2450" s="18"/>
    </row>
    <row r="2451" customFormat="false" ht="15" hidden="false" customHeight="false" outlineLevel="0" collapsed="false">
      <c r="A2451" s="18"/>
      <c r="B2451" s="16"/>
      <c r="C2451" s="16"/>
      <c r="D2451" s="51" t="str">
        <f aca="false">IF(C2451="","",IFERROR(IF(LEFT(C2451,1)="L",INDEX('Leads Pipeline'!$F$5:$F$1004,MATCH(C2451,'Leads Pipeline'!$A$5:$A$1004,0)),INDEX('Active Clients'!$D$5:$D$504,MATCH(C2451,'Active Clients'!$A$5:$A$504,0)))&amp;"","ID not found"))</f>
        <v/>
      </c>
      <c r="E2451" s="51" t="str">
        <f aca="false">IF(C2451="","",IFERROR(IF(LEFT(C2451,1)="L",INDEX('Leads Pipeline'!$D$5:$D$1004,MATCH(C2451,'Leads Pipeline'!$A$5:$A$1004,0)),INDEX('Active Clients'!$B$5:$B$504,MATCH(C2451,'Active Clients'!$A$5:$A$504,0)))&amp;"","ID not found"))</f>
        <v/>
      </c>
      <c r="F2451" s="51" t="str">
        <f aca="false">IF(C2451="","",IFERROR(IF(LEFT(C2451,1)="L",INDEX('Leads Pipeline'!$E$5:$E$1004,MATCH(C2451,'Leads Pipeline'!$A$5:$A$1004,0)),INDEX('Active Clients'!$C$5:$C$504,MATCH(C2451,'Active Clients'!$A$5:$A$504,0)))&amp;"","ID not found"))</f>
        <v/>
      </c>
      <c r="G2451" s="16"/>
      <c r="H2451" s="16"/>
      <c r="I2451" s="16"/>
      <c r="J2451" s="16"/>
      <c r="K2451" s="16"/>
      <c r="L2451" s="18"/>
    </row>
    <row r="2452" customFormat="false" ht="15" hidden="false" customHeight="false" outlineLevel="0" collapsed="false">
      <c r="A2452" s="18"/>
      <c r="B2452" s="16"/>
      <c r="C2452" s="16"/>
      <c r="D2452" s="51" t="str">
        <f aca="false">IF(C2452="","",IFERROR(IF(LEFT(C2452,1)="L",INDEX('Leads Pipeline'!$F$5:$F$1004,MATCH(C2452,'Leads Pipeline'!$A$5:$A$1004,0)),INDEX('Active Clients'!$D$5:$D$504,MATCH(C2452,'Active Clients'!$A$5:$A$504,0)))&amp;"","ID not found"))</f>
        <v/>
      </c>
      <c r="E2452" s="51" t="str">
        <f aca="false">IF(C2452="","",IFERROR(IF(LEFT(C2452,1)="L",INDEX('Leads Pipeline'!$D$5:$D$1004,MATCH(C2452,'Leads Pipeline'!$A$5:$A$1004,0)),INDEX('Active Clients'!$B$5:$B$504,MATCH(C2452,'Active Clients'!$A$5:$A$504,0)))&amp;"","ID not found"))</f>
        <v/>
      </c>
      <c r="F2452" s="51" t="str">
        <f aca="false">IF(C2452="","",IFERROR(IF(LEFT(C2452,1)="L",INDEX('Leads Pipeline'!$E$5:$E$1004,MATCH(C2452,'Leads Pipeline'!$A$5:$A$1004,0)),INDEX('Active Clients'!$C$5:$C$504,MATCH(C2452,'Active Clients'!$A$5:$A$504,0)))&amp;"","ID not found"))</f>
        <v/>
      </c>
      <c r="G2452" s="16"/>
      <c r="H2452" s="16"/>
      <c r="I2452" s="16"/>
      <c r="J2452" s="16"/>
      <c r="K2452" s="16"/>
      <c r="L2452" s="18"/>
    </row>
    <row r="2453" customFormat="false" ht="15" hidden="false" customHeight="false" outlineLevel="0" collapsed="false">
      <c r="A2453" s="18"/>
      <c r="B2453" s="16"/>
      <c r="C2453" s="16"/>
      <c r="D2453" s="51" t="str">
        <f aca="false">IF(C2453="","",IFERROR(IF(LEFT(C2453,1)="L",INDEX('Leads Pipeline'!$F$5:$F$1004,MATCH(C2453,'Leads Pipeline'!$A$5:$A$1004,0)),INDEX('Active Clients'!$D$5:$D$504,MATCH(C2453,'Active Clients'!$A$5:$A$504,0)))&amp;"","ID not found"))</f>
        <v/>
      </c>
      <c r="E2453" s="51" t="str">
        <f aca="false">IF(C2453="","",IFERROR(IF(LEFT(C2453,1)="L",INDEX('Leads Pipeline'!$D$5:$D$1004,MATCH(C2453,'Leads Pipeline'!$A$5:$A$1004,0)),INDEX('Active Clients'!$B$5:$B$504,MATCH(C2453,'Active Clients'!$A$5:$A$504,0)))&amp;"","ID not found"))</f>
        <v/>
      </c>
      <c r="F2453" s="51" t="str">
        <f aca="false">IF(C2453="","",IFERROR(IF(LEFT(C2453,1)="L",INDEX('Leads Pipeline'!$E$5:$E$1004,MATCH(C2453,'Leads Pipeline'!$A$5:$A$1004,0)),INDEX('Active Clients'!$C$5:$C$504,MATCH(C2453,'Active Clients'!$A$5:$A$504,0)))&amp;"","ID not found"))</f>
        <v/>
      </c>
      <c r="G2453" s="16"/>
      <c r="H2453" s="16"/>
      <c r="I2453" s="16"/>
      <c r="J2453" s="16"/>
      <c r="K2453" s="16"/>
      <c r="L2453" s="18"/>
    </row>
    <row r="2454" customFormat="false" ht="15" hidden="false" customHeight="false" outlineLevel="0" collapsed="false">
      <c r="A2454" s="18"/>
      <c r="B2454" s="16"/>
      <c r="C2454" s="16"/>
      <c r="D2454" s="51" t="str">
        <f aca="false">IF(C2454="","",IFERROR(IF(LEFT(C2454,1)="L",INDEX('Leads Pipeline'!$F$5:$F$1004,MATCH(C2454,'Leads Pipeline'!$A$5:$A$1004,0)),INDEX('Active Clients'!$D$5:$D$504,MATCH(C2454,'Active Clients'!$A$5:$A$504,0)))&amp;"","ID not found"))</f>
        <v/>
      </c>
      <c r="E2454" s="51" t="str">
        <f aca="false">IF(C2454="","",IFERROR(IF(LEFT(C2454,1)="L",INDEX('Leads Pipeline'!$D$5:$D$1004,MATCH(C2454,'Leads Pipeline'!$A$5:$A$1004,0)),INDEX('Active Clients'!$B$5:$B$504,MATCH(C2454,'Active Clients'!$A$5:$A$504,0)))&amp;"","ID not found"))</f>
        <v/>
      </c>
      <c r="F2454" s="51" t="str">
        <f aca="false">IF(C2454="","",IFERROR(IF(LEFT(C2454,1)="L",INDEX('Leads Pipeline'!$E$5:$E$1004,MATCH(C2454,'Leads Pipeline'!$A$5:$A$1004,0)),INDEX('Active Clients'!$C$5:$C$504,MATCH(C2454,'Active Clients'!$A$5:$A$504,0)))&amp;"","ID not found"))</f>
        <v/>
      </c>
      <c r="G2454" s="16"/>
      <c r="H2454" s="16"/>
      <c r="I2454" s="16"/>
      <c r="J2454" s="16"/>
      <c r="K2454" s="16"/>
      <c r="L2454" s="18"/>
    </row>
    <row r="2455" customFormat="false" ht="15" hidden="false" customHeight="false" outlineLevel="0" collapsed="false">
      <c r="A2455" s="18"/>
      <c r="B2455" s="16"/>
      <c r="C2455" s="16"/>
      <c r="D2455" s="51" t="str">
        <f aca="false">IF(C2455="","",IFERROR(IF(LEFT(C2455,1)="L",INDEX('Leads Pipeline'!$F$5:$F$1004,MATCH(C2455,'Leads Pipeline'!$A$5:$A$1004,0)),INDEX('Active Clients'!$D$5:$D$504,MATCH(C2455,'Active Clients'!$A$5:$A$504,0)))&amp;"","ID not found"))</f>
        <v/>
      </c>
      <c r="E2455" s="51" t="str">
        <f aca="false">IF(C2455="","",IFERROR(IF(LEFT(C2455,1)="L",INDEX('Leads Pipeline'!$D$5:$D$1004,MATCH(C2455,'Leads Pipeline'!$A$5:$A$1004,0)),INDEX('Active Clients'!$B$5:$B$504,MATCH(C2455,'Active Clients'!$A$5:$A$504,0)))&amp;"","ID not found"))</f>
        <v/>
      </c>
      <c r="F2455" s="51" t="str">
        <f aca="false">IF(C2455="","",IFERROR(IF(LEFT(C2455,1)="L",INDEX('Leads Pipeline'!$E$5:$E$1004,MATCH(C2455,'Leads Pipeline'!$A$5:$A$1004,0)),INDEX('Active Clients'!$C$5:$C$504,MATCH(C2455,'Active Clients'!$A$5:$A$504,0)))&amp;"","ID not found"))</f>
        <v/>
      </c>
      <c r="G2455" s="16"/>
      <c r="H2455" s="16"/>
      <c r="I2455" s="16"/>
      <c r="J2455" s="16"/>
      <c r="K2455" s="16"/>
      <c r="L2455" s="18"/>
    </row>
    <row r="2456" customFormat="false" ht="15" hidden="false" customHeight="false" outlineLevel="0" collapsed="false">
      <c r="A2456" s="18"/>
      <c r="B2456" s="16"/>
      <c r="C2456" s="16"/>
      <c r="D2456" s="51" t="str">
        <f aca="false">IF(C2456="","",IFERROR(IF(LEFT(C2456,1)="L",INDEX('Leads Pipeline'!$F$5:$F$1004,MATCH(C2456,'Leads Pipeline'!$A$5:$A$1004,0)),INDEX('Active Clients'!$D$5:$D$504,MATCH(C2456,'Active Clients'!$A$5:$A$504,0)))&amp;"","ID not found"))</f>
        <v/>
      </c>
      <c r="E2456" s="51" t="str">
        <f aca="false">IF(C2456="","",IFERROR(IF(LEFT(C2456,1)="L",INDEX('Leads Pipeline'!$D$5:$D$1004,MATCH(C2456,'Leads Pipeline'!$A$5:$A$1004,0)),INDEX('Active Clients'!$B$5:$B$504,MATCH(C2456,'Active Clients'!$A$5:$A$504,0)))&amp;"","ID not found"))</f>
        <v/>
      </c>
      <c r="F2456" s="51" t="str">
        <f aca="false">IF(C2456="","",IFERROR(IF(LEFT(C2456,1)="L",INDEX('Leads Pipeline'!$E$5:$E$1004,MATCH(C2456,'Leads Pipeline'!$A$5:$A$1004,0)),INDEX('Active Clients'!$C$5:$C$504,MATCH(C2456,'Active Clients'!$A$5:$A$504,0)))&amp;"","ID not found"))</f>
        <v/>
      </c>
      <c r="G2456" s="16"/>
      <c r="H2456" s="16"/>
      <c r="I2456" s="16"/>
      <c r="J2456" s="16"/>
      <c r="K2456" s="16"/>
      <c r="L2456" s="18"/>
    </row>
    <row r="2457" customFormat="false" ht="15" hidden="false" customHeight="false" outlineLevel="0" collapsed="false">
      <c r="A2457" s="18"/>
      <c r="B2457" s="16"/>
      <c r="C2457" s="16"/>
      <c r="D2457" s="51" t="str">
        <f aca="false">IF(C2457="","",IFERROR(IF(LEFT(C2457,1)="L",INDEX('Leads Pipeline'!$F$5:$F$1004,MATCH(C2457,'Leads Pipeline'!$A$5:$A$1004,0)),INDEX('Active Clients'!$D$5:$D$504,MATCH(C2457,'Active Clients'!$A$5:$A$504,0)))&amp;"","ID not found"))</f>
        <v/>
      </c>
      <c r="E2457" s="51" t="str">
        <f aca="false">IF(C2457="","",IFERROR(IF(LEFT(C2457,1)="L",INDEX('Leads Pipeline'!$D$5:$D$1004,MATCH(C2457,'Leads Pipeline'!$A$5:$A$1004,0)),INDEX('Active Clients'!$B$5:$B$504,MATCH(C2457,'Active Clients'!$A$5:$A$504,0)))&amp;"","ID not found"))</f>
        <v/>
      </c>
      <c r="F2457" s="51" t="str">
        <f aca="false">IF(C2457="","",IFERROR(IF(LEFT(C2457,1)="L",INDEX('Leads Pipeline'!$E$5:$E$1004,MATCH(C2457,'Leads Pipeline'!$A$5:$A$1004,0)),INDEX('Active Clients'!$C$5:$C$504,MATCH(C2457,'Active Clients'!$A$5:$A$504,0)))&amp;"","ID not found"))</f>
        <v/>
      </c>
      <c r="G2457" s="16"/>
      <c r="H2457" s="16"/>
      <c r="I2457" s="16"/>
      <c r="J2457" s="16"/>
      <c r="K2457" s="16"/>
      <c r="L2457" s="18"/>
    </row>
    <row r="2458" customFormat="false" ht="15" hidden="false" customHeight="false" outlineLevel="0" collapsed="false">
      <c r="A2458" s="18"/>
      <c r="B2458" s="16"/>
      <c r="C2458" s="16"/>
      <c r="D2458" s="51" t="str">
        <f aca="false">IF(C2458="","",IFERROR(IF(LEFT(C2458,1)="L",INDEX('Leads Pipeline'!$F$5:$F$1004,MATCH(C2458,'Leads Pipeline'!$A$5:$A$1004,0)),INDEX('Active Clients'!$D$5:$D$504,MATCH(C2458,'Active Clients'!$A$5:$A$504,0)))&amp;"","ID not found"))</f>
        <v/>
      </c>
      <c r="E2458" s="51" t="str">
        <f aca="false">IF(C2458="","",IFERROR(IF(LEFT(C2458,1)="L",INDEX('Leads Pipeline'!$D$5:$D$1004,MATCH(C2458,'Leads Pipeline'!$A$5:$A$1004,0)),INDEX('Active Clients'!$B$5:$B$504,MATCH(C2458,'Active Clients'!$A$5:$A$504,0)))&amp;"","ID not found"))</f>
        <v/>
      </c>
      <c r="F2458" s="51" t="str">
        <f aca="false">IF(C2458="","",IFERROR(IF(LEFT(C2458,1)="L",INDEX('Leads Pipeline'!$E$5:$E$1004,MATCH(C2458,'Leads Pipeline'!$A$5:$A$1004,0)),INDEX('Active Clients'!$C$5:$C$504,MATCH(C2458,'Active Clients'!$A$5:$A$504,0)))&amp;"","ID not found"))</f>
        <v/>
      </c>
      <c r="G2458" s="16"/>
      <c r="H2458" s="16"/>
      <c r="I2458" s="16"/>
      <c r="J2458" s="16"/>
      <c r="K2458" s="16"/>
      <c r="L2458" s="18"/>
    </row>
    <row r="2459" customFormat="false" ht="15" hidden="false" customHeight="false" outlineLevel="0" collapsed="false">
      <c r="A2459" s="18"/>
      <c r="B2459" s="16"/>
      <c r="C2459" s="16"/>
      <c r="D2459" s="51" t="str">
        <f aca="false">IF(C2459="","",IFERROR(IF(LEFT(C2459,1)="L",INDEX('Leads Pipeline'!$F$5:$F$1004,MATCH(C2459,'Leads Pipeline'!$A$5:$A$1004,0)),INDEX('Active Clients'!$D$5:$D$504,MATCH(C2459,'Active Clients'!$A$5:$A$504,0)))&amp;"","ID not found"))</f>
        <v/>
      </c>
      <c r="E2459" s="51" t="str">
        <f aca="false">IF(C2459="","",IFERROR(IF(LEFT(C2459,1)="L",INDEX('Leads Pipeline'!$D$5:$D$1004,MATCH(C2459,'Leads Pipeline'!$A$5:$A$1004,0)),INDEX('Active Clients'!$B$5:$B$504,MATCH(C2459,'Active Clients'!$A$5:$A$504,0)))&amp;"","ID not found"))</f>
        <v/>
      </c>
      <c r="F2459" s="51" t="str">
        <f aca="false">IF(C2459="","",IFERROR(IF(LEFT(C2459,1)="L",INDEX('Leads Pipeline'!$E$5:$E$1004,MATCH(C2459,'Leads Pipeline'!$A$5:$A$1004,0)),INDEX('Active Clients'!$C$5:$C$504,MATCH(C2459,'Active Clients'!$A$5:$A$504,0)))&amp;"","ID not found"))</f>
        <v/>
      </c>
      <c r="G2459" s="16"/>
      <c r="H2459" s="16"/>
      <c r="I2459" s="16"/>
      <c r="J2459" s="16"/>
      <c r="K2459" s="16"/>
      <c r="L2459" s="18"/>
    </row>
    <row r="2460" customFormat="false" ht="15" hidden="false" customHeight="false" outlineLevel="0" collapsed="false">
      <c r="A2460" s="18"/>
      <c r="B2460" s="16"/>
      <c r="C2460" s="16"/>
      <c r="D2460" s="51" t="str">
        <f aca="false">IF(C2460="","",IFERROR(IF(LEFT(C2460,1)="L",INDEX('Leads Pipeline'!$F$5:$F$1004,MATCH(C2460,'Leads Pipeline'!$A$5:$A$1004,0)),INDEX('Active Clients'!$D$5:$D$504,MATCH(C2460,'Active Clients'!$A$5:$A$504,0)))&amp;"","ID not found"))</f>
        <v/>
      </c>
      <c r="E2460" s="51" t="str">
        <f aca="false">IF(C2460="","",IFERROR(IF(LEFT(C2460,1)="L",INDEX('Leads Pipeline'!$D$5:$D$1004,MATCH(C2460,'Leads Pipeline'!$A$5:$A$1004,0)),INDEX('Active Clients'!$B$5:$B$504,MATCH(C2460,'Active Clients'!$A$5:$A$504,0)))&amp;"","ID not found"))</f>
        <v/>
      </c>
      <c r="F2460" s="51" t="str">
        <f aca="false">IF(C2460="","",IFERROR(IF(LEFT(C2460,1)="L",INDEX('Leads Pipeline'!$E$5:$E$1004,MATCH(C2460,'Leads Pipeline'!$A$5:$A$1004,0)),INDEX('Active Clients'!$C$5:$C$504,MATCH(C2460,'Active Clients'!$A$5:$A$504,0)))&amp;"","ID not found"))</f>
        <v/>
      </c>
      <c r="G2460" s="16"/>
      <c r="H2460" s="16"/>
      <c r="I2460" s="16"/>
      <c r="J2460" s="16"/>
      <c r="K2460" s="16"/>
      <c r="L2460" s="18"/>
    </row>
    <row r="2461" customFormat="false" ht="15" hidden="false" customHeight="false" outlineLevel="0" collapsed="false">
      <c r="A2461" s="18"/>
      <c r="B2461" s="16"/>
      <c r="C2461" s="16"/>
      <c r="D2461" s="51" t="str">
        <f aca="false">IF(C2461="","",IFERROR(IF(LEFT(C2461,1)="L",INDEX('Leads Pipeline'!$F$5:$F$1004,MATCH(C2461,'Leads Pipeline'!$A$5:$A$1004,0)),INDEX('Active Clients'!$D$5:$D$504,MATCH(C2461,'Active Clients'!$A$5:$A$504,0)))&amp;"","ID not found"))</f>
        <v/>
      </c>
      <c r="E2461" s="51" t="str">
        <f aca="false">IF(C2461="","",IFERROR(IF(LEFT(C2461,1)="L",INDEX('Leads Pipeline'!$D$5:$D$1004,MATCH(C2461,'Leads Pipeline'!$A$5:$A$1004,0)),INDEX('Active Clients'!$B$5:$B$504,MATCH(C2461,'Active Clients'!$A$5:$A$504,0)))&amp;"","ID not found"))</f>
        <v/>
      </c>
      <c r="F2461" s="51" t="str">
        <f aca="false">IF(C2461="","",IFERROR(IF(LEFT(C2461,1)="L",INDEX('Leads Pipeline'!$E$5:$E$1004,MATCH(C2461,'Leads Pipeline'!$A$5:$A$1004,0)),INDEX('Active Clients'!$C$5:$C$504,MATCH(C2461,'Active Clients'!$A$5:$A$504,0)))&amp;"","ID not found"))</f>
        <v/>
      </c>
      <c r="G2461" s="16"/>
      <c r="H2461" s="16"/>
      <c r="I2461" s="16"/>
      <c r="J2461" s="16"/>
      <c r="K2461" s="16"/>
      <c r="L2461" s="18"/>
    </row>
    <row r="2462" customFormat="false" ht="15" hidden="false" customHeight="false" outlineLevel="0" collapsed="false">
      <c r="A2462" s="18"/>
      <c r="B2462" s="16"/>
      <c r="C2462" s="16"/>
      <c r="D2462" s="51" t="str">
        <f aca="false">IF(C2462="","",IFERROR(IF(LEFT(C2462,1)="L",INDEX('Leads Pipeline'!$F$5:$F$1004,MATCH(C2462,'Leads Pipeline'!$A$5:$A$1004,0)),INDEX('Active Clients'!$D$5:$D$504,MATCH(C2462,'Active Clients'!$A$5:$A$504,0)))&amp;"","ID not found"))</f>
        <v/>
      </c>
      <c r="E2462" s="51" t="str">
        <f aca="false">IF(C2462="","",IFERROR(IF(LEFT(C2462,1)="L",INDEX('Leads Pipeline'!$D$5:$D$1004,MATCH(C2462,'Leads Pipeline'!$A$5:$A$1004,0)),INDEX('Active Clients'!$B$5:$B$504,MATCH(C2462,'Active Clients'!$A$5:$A$504,0)))&amp;"","ID not found"))</f>
        <v/>
      </c>
      <c r="F2462" s="51" t="str">
        <f aca="false">IF(C2462="","",IFERROR(IF(LEFT(C2462,1)="L",INDEX('Leads Pipeline'!$E$5:$E$1004,MATCH(C2462,'Leads Pipeline'!$A$5:$A$1004,0)),INDEX('Active Clients'!$C$5:$C$504,MATCH(C2462,'Active Clients'!$A$5:$A$504,0)))&amp;"","ID not found"))</f>
        <v/>
      </c>
      <c r="G2462" s="16"/>
      <c r="H2462" s="16"/>
      <c r="I2462" s="16"/>
      <c r="J2462" s="16"/>
      <c r="K2462" s="16"/>
      <c r="L2462" s="18"/>
    </row>
    <row r="2463" customFormat="false" ht="15" hidden="false" customHeight="false" outlineLevel="0" collapsed="false">
      <c r="A2463" s="18"/>
      <c r="B2463" s="16"/>
      <c r="C2463" s="16"/>
      <c r="D2463" s="51" t="str">
        <f aca="false">IF(C2463="","",IFERROR(IF(LEFT(C2463,1)="L",INDEX('Leads Pipeline'!$F$5:$F$1004,MATCH(C2463,'Leads Pipeline'!$A$5:$A$1004,0)),INDEX('Active Clients'!$D$5:$D$504,MATCH(C2463,'Active Clients'!$A$5:$A$504,0)))&amp;"","ID not found"))</f>
        <v/>
      </c>
      <c r="E2463" s="51" t="str">
        <f aca="false">IF(C2463="","",IFERROR(IF(LEFT(C2463,1)="L",INDEX('Leads Pipeline'!$D$5:$D$1004,MATCH(C2463,'Leads Pipeline'!$A$5:$A$1004,0)),INDEX('Active Clients'!$B$5:$B$504,MATCH(C2463,'Active Clients'!$A$5:$A$504,0)))&amp;"","ID not found"))</f>
        <v/>
      </c>
      <c r="F2463" s="51" t="str">
        <f aca="false">IF(C2463="","",IFERROR(IF(LEFT(C2463,1)="L",INDEX('Leads Pipeline'!$E$5:$E$1004,MATCH(C2463,'Leads Pipeline'!$A$5:$A$1004,0)),INDEX('Active Clients'!$C$5:$C$504,MATCH(C2463,'Active Clients'!$A$5:$A$504,0)))&amp;"","ID not found"))</f>
        <v/>
      </c>
      <c r="G2463" s="16"/>
      <c r="H2463" s="16"/>
      <c r="I2463" s="16"/>
      <c r="J2463" s="16"/>
      <c r="K2463" s="16"/>
      <c r="L2463" s="18"/>
    </row>
    <row r="2464" customFormat="false" ht="15" hidden="false" customHeight="false" outlineLevel="0" collapsed="false">
      <c r="A2464" s="18"/>
      <c r="B2464" s="16"/>
      <c r="C2464" s="16"/>
      <c r="D2464" s="51" t="str">
        <f aca="false">IF(C2464="","",IFERROR(IF(LEFT(C2464,1)="L",INDEX('Leads Pipeline'!$F$5:$F$1004,MATCH(C2464,'Leads Pipeline'!$A$5:$A$1004,0)),INDEX('Active Clients'!$D$5:$D$504,MATCH(C2464,'Active Clients'!$A$5:$A$504,0)))&amp;"","ID not found"))</f>
        <v/>
      </c>
      <c r="E2464" s="51" t="str">
        <f aca="false">IF(C2464="","",IFERROR(IF(LEFT(C2464,1)="L",INDEX('Leads Pipeline'!$D$5:$D$1004,MATCH(C2464,'Leads Pipeline'!$A$5:$A$1004,0)),INDEX('Active Clients'!$B$5:$B$504,MATCH(C2464,'Active Clients'!$A$5:$A$504,0)))&amp;"","ID not found"))</f>
        <v/>
      </c>
      <c r="F2464" s="51" t="str">
        <f aca="false">IF(C2464="","",IFERROR(IF(LEFT(C2464,1)="L",INDEX('Leads Pipeline'!$E$5:$E$1004,MATCH(C2464,'Leads Pipeline'!$A$5:$A$1004,0)),INDEX('Active Clients'!$C$5:$C$504,MATCH(C2464,'Active Clients'!$A$5:$A$504,0)))&amp;"","ID not found"))</f>
        <v/>
      </c>
      <c r="G2464" s="16"/>
      <c r="H2464" s="16"/>
      <c r="I2464" s="16"/>
      <c r="J2464" s="16"/>
      <c r="K2464" s="16"/>
      <c r="L2464" s="18"/>
    </row>
    <row r="2465" customFormat="false" ht="15" hidden="false" customHeight="false" outlineLevel="0" collapsed="false">
      <c r="A2465" s="18"/>
      <c r="B2465" s="16"/>
      <c r="C2465" s="16"/>
      <c r="D2465" s="51" t="str">
        <f aca="false">IF(C2465="","",IFERROR(IF(LEFT(C2465,1)="L",INDEX('Leads Pipeline'!$F$5:$F$1004,MATCH(C2465,'Leads Pipeline'!$A$5:$A$1004,0)),INDEX('Active Clients'!$D$5:$D$504,MATCH(C2465,'Active Clients'!$A$5:$A$504,0)))&amp;"","ID not found"))</f>
        <v/>
      </c>
      <c r="E2465" s="51" t="str">
        <f aca="false">IF(C2465="","",IFERROR(IF(LEFT(C2465,1)="L",INDEX('Leads Pipeline'!$D$5:$D$1004,MATCH(C2465,'Leads Pipeline'!$A$5:$A$1004,0)),INDEX('Active Clients'!$B$5:$B$504,MATCH(C2465,'Active Clients'!$A$5:$A$504,0)))&amp;"","ID not found"))</f>
        <v/>
      </c>
      <c r="F2465" s="51" t="str">
        <f aca="false">IF(C2465="","",IFERROR(IF(LEFT(C2465,1)="L",INDEX('Leads Pipeline'!$E$5:$E$1004,MATCH(C2465,'Leads Pipeline'!$A$5:$A$1004,0)),INDEX('Active Clients'!$C$5:$C$504,MATCH(C2465,'Active Clients'!$A$5:$A$504,0)))&amp;"","ID not found"))</f>
        <v/>
      </c>
      <c r="G2465" s="16"/>
      <c r="H2465" s="16"/>
      <c r="I2465" s="16"/>
      <c r="J2465" s="16"/>
      <c r="K2465" s="16"/>
      <c r="L2465" s="18"/>
    </row>
    <row r="2466" customFormat="false" ht="15" hidden="false" customHeight="false" outlineLevel="0" collapsed="false">
      <c r="A2466" s="18"/>
      <c r="B2466" s="16"/>
      <c r="C2466" s="16"/>
      <c r="D2466" s="51" t="str">
        <f aca="false">IF(C2466="","",IFERROR(IF(LEFT(C2466,1)="L",INDEX('Leads Pipeline'!$F$5:$F$1004,MATCH(C2466,'Leads Pipeline'!$A$5:$A$1004,0)),INDEX('Active Clients'!$D$5:$D$504,MATCH(C2466,'Active Clients'!$A$5:$A$504,0)))&amp;"","ID not found"))</f>
        <v/>
      </c>
      <c r="E2466" s="51" t="str">
        <f aca="false">IF(C2466="","",IFERROR(IF(LEFT(C2466,1)="L",INDEX('Leads Pipeline'!$D$5:$D$1004,MATCH(C2466,'Leads Pipeline'!$A$5:$A$1004,0)),INDEX('Active Clients'!$B$5:$B$504,MATCH(C2466,'Active Clients'!$A$5:$A$504,0)))&amp;"","ID not found"))</f>
        <v/>
      </c>
      <c r="F2466" s="51" t="str">
        <f aca="false">IF(C2466="","",IFERROR(IF(LEFT(C2466,1)="L",INDEX('Leads Pipeline'!$E$5:$E$1004,MATCH(C2466,'Leads Pipeline'!$A$5:$A$1004,0)),INDEX('Active Clients'!$C$5:$C$504,MATCH(C2466,'Active Clients'!$A$5:$A$504,0)))&amp;"","ID not found"))</f>
        <v/>
      </c>
      <c r="G2466" s="16"/>
      <c r="H2466" s="16"/>
      <c r="I2466" s="16"/>
      <c r="J2466" s="16"/>
      <c r="K2466" s="16"/>
      <c r="L2466" s="18"/>
    </row>
    <row r="2467" customFormat="false" ht="15" hidden="false" customHeight="false" outlineLevel="0" collapsed="false">
      <c r="A2467" s="18"/>
      <c r="B2467" s="16"/>
      <c r="C2467" s="16"/>
      <c r="D2467" s="51" t="str">
        <f aca="false">IF(C2467="","",IFERROR(IF(LEFT(C2467,1)="L",INDEX('Leads Pipeline'!$F$5:$F$1004,MATCH(C2467,'Leads Pipeline'!$A$5:$A$1004,0)),INDEX('Active Clients'!$D$5:$D$504,MATCH(C2467,'Active Clients'!$A$5:$A$504,0)))&amp;"","ID not found"))</f>
        <v/>
      </c>
      <c r="E2467" s="51" t="str">
        <f aca="false">IF(C2467="","",IFERROR(IF(LEFT(C2467,1)="L",INDEX('Leads Pipeline'!$D$5:$D$1004,MATCH(C2467,'Leads Pipeline'!$A$5:$A$1004,0)),INDEX('Active Clients'!$B$5:$B$504,MATCH(C2467,'Active Clients'!$A$5:$A$504,0)))&amp;"","ID not found"))</f>
        <v/>
      </c>
      <c r="F2467" s="51" t="str">
        <f aca="false">IF(C2467="","",IFERROR(IF(LEFT(C2467,1)="L",INDEX('Leads Pipeline'!$E$5:$E$1004,MATCH(C2467,'Leads Pipeline'!$A$5:$A$1004,0)),INDEX('Active Clients'!$C$5:$C$504,MATCH(C2467,'Active Clients'!$A$5:$A$504,0)))&amp;"","ID not found"))</f>
        <v/>
      </c>
      <c r="G2467" s="16"/>
      <c r="H2467" s="16"/>
      <c r="I2467" s="16"/>
      <c r="J2467" s="16"/>
      <c r="K2467" s="16"/>
      <c r="L2467" s="18"/>
    </row>
    <row r="2468" customFormat="false" ht="15" hidden="false" customHeight="false" outlineLevel="0" collapsed="false">
      <c r="A2468" s="18"/>
      <c r="B2468" s="16"/>
      <c r="C2468" s="16"/>
      <c r="D2468" s="51" t="str">
        <f aca="false">IF(C2468="","",IFERROR(IF(LEFT(C2468,1)="L",INDEX('Leads Pipeline'!$F$5:$F$1004,MATCH(C2468,'Leads Pipeline'!$A$5:$A$1004,0)),INDEX('Active Clients'!$D$5:$D$504,MATCH(C2468,'Active Clients'!$A$5:$A$504,0)))&amp;"","ID not found"))</f>
        <v/>
      </c>
      <c r="E2468" s="51" t="str">
        <f aca="false">IF(C2468="","",IFERROR(IF(LEFT(C2468,1)="L",INDEX('Leads Pipeline'!$D$5:$D$1004,MATCH(C2468,'Leads Pipeline'!$A$5:$A$1004,0)),INDEX('Active Clients'!$B$5:$B$504,MATCH(C2468,'Active Clients'!$A$5:$A$504,0)))&amp;"","ID not found"))</f>
        <v/>
      </c>
      <c r="F2468" s="51" t="str">
        <f aca="false">IF(C2468="","",IFERROR(IF(LEFT(C2468,1)="L",INDEX('Leads Pipeline'!$E$5:$E$1004,MATCH(C2468,'Leads Pipeline'!$A$5:$A$1004,0)),INDEX('Active Clients'!$C$5:$C$504,MATCH(C2468,'Active Clients'!$A$5:$A$504,0)))&amp;"","ID not found"))</f>
        <v/>
      </c>
      <c r="G2468" s="16"/>
      <c r="H2468" s="16"/>
      <c r="I2468" s="16"/>
      <c r="J2468" s="16"/>
      <c r="K2468" s="16"/>
      <c r="L2468" s="18"/>
    </row>
    <row r="2469" customFormat="false" ht="15" hidden="false" customHeight="false" outlineLevel="0" collapsed="false">
      <c r="A2469" s="18"/>
      <c r="B2469" s="16"/>
      <c r="C2469" s="16"/>
      <c r="D2469" s="51" t="str">
        <f aca="false">IF(C2469="","",IFERROR(IF(LEFT(C2469,1)="L",INDEX('Leads Pipeline'!$F$5:$F$1004,MATCH(C2469,'Leads Pipeline'!$A$5:$A$1004,0)),INDEX('Active Clients'!$D$5:$D$504,MATCH(C2469,'Active Clients'!$A$5:$A$504,0)))&amp;"","ID not found"))</f>
        <v/>
      </c>
      <c r="E2469" s="51" t="str">
        <f aca="false">IF(C2469="","",IFERROR(IF(LEFT(C2469,1)="L",INDEX('Leads Pipeline'!$D$5:$D$1004,MATCH(C2469,'Leads Pipeline'!$A$5:$A$1004,0)),INDEX('Active Clients'!$B$5:$B$504,MATCH(C2469,'Active Clients'!$A$5:$A$504,0)))&amp;"","ID not found"))</f>
        <v/>
      </c>
      <c r="F2469" s="51" t="str">
        <f aca="false">IF(C2469="","",IFERROR(IF(LEFT(C2469,1)="L",INDEX('Leads Pipeline'!$E$5:$E$1004,MATCH(C2469,'Leads Pipeline'!$A$5:$A$1004,0)),INDEX('Active Clients'!$C$5:$C$504,MATCH(C2469,'Active Clients'!$A$5:$A$504,0)))&amp;"","ID not found"))</f>
        <v/>
      </c>
      <c r="G2469" s="16"/>
      <c r="H2469" s="16"/>
      <c r="I2469" s="16"/>
      <c r="J2469" s="16"/>
      <c r="K2469" s="16"/>
      <c r="L2469" s="18"/>
    </row>
    <row r="2470" customFormat="false" ht="15" hidden="false" customHeight="false" outlineLevel="0" collapsed="false">
      <c r="A2470" s="18"/>
      <c r="B2470" s="16"/>
      <c r="C2470" s="16"/>
      <c r="D2470" s="51" t="str">
        <f aca="false">IF(C2470="","",IFERROR(IF(LEFT(C2470,1)="L",INDEX('Leads Pipeline'!$F$5:$F$1004,MATCH(C2470,'Leads Pipeline'!$A$5:$A$1004,0)),INDEX('Active Clients'!$D$5:$D$504,MATCH(C2470,'Active Clients'!$A$5:$A$504,0)))&amp;"","ID not found"))</f>
        <v/>
      </c>
      <c r="E2470" s="51" t="str">
        <f aca="false">IF(C2470="","",IFERROR(IF(LEFT(C2470,1)="L",INDEX('Leads Pipeline'!$D$5:$D$1004,MATCH(C2470,'Leads Pipeline'!$A$5:$A$1004,0)),INDEX('Active Clients'!$B$5:$B$504,MATCH(C2470,'Active Clients'!$A$5:$A$504,0)))&amp;"","ID not found"))</f>
        <v/>
      </c>
      <c r="F2470" s="51" t="str">
        <f aca="false">IF(C2470="","",IFERROR(IF(LEFT(C2470,1)="L",INDEX('Leads Pipeline'!$E$5:$E$1004,MATCH(C2470,'Leads Pipeline'!$A$5:$A$1004,0)),INDEX('Active Clients'!$C$5:$C$504,MATCH(C2470,'Active Clients'!$A$5:$A$504,0)))&amp;"","ID not found"))</f>
        <v/>
      </c>
      <c r="G2470" s="16"/>
      <c r="H2470" s="16"/>
      <c r="I2470" s="16"/>
      <c r="J2470" s="16"/>
      <c r="K2470" s="16"/>
      <c r="L2470" s="18"/>
    </row>
    <row r="2471" customFormat="false" ht="15" hidden="false" customHeight="false" outlineLevel="0" collapsed="false">
      <c r="A2471" s="18"/>
      <c r="B2471" s="16"/>
      <c r="C2471" s="16"/>
      <c r="D2471" s="51" t="str">
        <f aca="false">IF(C2471="","",IFERROR(IF(LEFT(C2471,1)="L",INDEX('Leads Pipeline'!$F$5:$F$1004,MATCH(C2471,'Leads Pipeline'!$A$5:$A$1004,0)),INDEX('Active Clients'!$D$5:$D$504,MATCH(C2471,'Active Clients'!$A$5:$A$504,0)))&amp;"","ID not found"))</f>
        <v/>
      </c>
      <c r="E2471" s="51" t="str">
        <f aca="false">IF(C2471="","",IFERROR(IF(LEFT(C2471,1)="L",INDEX('Leads Pipeline'!$D$5:$D$1004,MATCH(C2471,'Leads Pipeline'!$A$5:$A$1004,0)),INDEX('Active Clients'!$B$5:$B$504,MATCH(C2471,'Active Clients'!$A$5:$A$504,0)))&amp;"","ID not found"))</f>
        <v/>
      </c>
      <c r="F2471" s="51" t="str">
        <f aca="false">IF(C2471="","",IFERROR(IF(LEFT(C2471,1)="L",INDEX('Leads Pipeline'!$E$5:$E$1004,MATCH(C2471,'Leads Pipeline'!$A$5:$A$1004,0)),INDEX('Active Clients'!$C$5:$C$504,MATCH(C2471,'Active Clients'!$A$5:$A$504,0)))&amp;"","ID not found"))</f>
        <v/>
      </c>
      <c r="G2471" s="16"/>
      <c r="H2471" s="16"/>
      <c r="I2471" s="16"/>
      <c r="J2471" s="16"/>
      <c r="K2471" s="16"/>
      <c r="L2471" s="18"/>
    </row>
    <row r="2472" customFormat="false" ht="15" hidden="false" customHeight="false" outlineLevel="0" collapsed="false">
      <c r="A2472" s="18"/>
      <c r="B2472" s="16"/>
      <c r="C2472" s="16"/>
      <c r="D2472" s="51" t="str">
        <f aca="false">IF(C2472="","",IFERROR(IF(LEFT(C2472,1)="L",INDEX('Leads Pipeline'!$F$5:$F$1004,MATCH(C2472,'Leads Pipeline'!$A$5:$A$1004,0)),INDEX('Active Clients'!$D$5:$D$504,MATCH(C2472,'Active Clients'!$A$5:$A$504,0)))&amp;"","ID not found"))</f>
        <v/>
      </c>
      <c r="E2472" s="51" t="str">
        <f aca="false">IF(C2472="","",IFERROR(IF(LEFT(C2472,1)="L",INDEX('Leads Pipeline'!$D$5:$D$1004,MATCH(C2472,'Leads Pipeline'!$A$5:$A$1004,0)),INDEX('Active Clients'!$B$5:$B$504,MATCH(C2472,'Active Clients'!$A$5:$A$504,0)))&amp;"","ID not found"))</f>
        <v/>
      </c>
      <c r="F2472" s="51" t="str">
        <f aca="false">IF(C2472="","",IFERROR(IF(LEFT(C2472,1)="L",INDEX('Leads Pipeline'!$E$5:$E$1004,MATCH(C2472,'Leads Pipeline'!$A$5:$A$1004,0)),INDEX('Active Clients'!$C$5:$C$504,MATCH(C2472,'Active Clients'!$A$5:$A$504,0)))&amp;"","ID not found"))</f>
        <v/>
      </c>
      <c r="G2472" s="16"/>
      <c r="H2472" s="16"/>
      <c r="I2472" s="16"/>
      <c r="J2472" s="16"/>
      <c r="K2472" s="16"/>
      <c r="L2472" s="18"/>
    </row>
    <row r="2473" customFormat="false" ht="15" hidden="false" customHeight="false" outlineLevel="0" collapsed="false">
      <c r="A2473" s="18"/>
      <c r="B2473" s="16"/>
      <c r="C2473" s="16"/>
      <c r="D2473" s="51" t="str">
        <f aca="false">IF(C2473="","",IFERROR(IF(LEFT(C2473,1)="L",INDEX('Leads Pipeline'!$F$5:$F$1004,MATCH(C2473,'Leads Pipeline'!$A$5:$A$1004,0)),INDEX('Active Clients'!$D$5:$D$504,MATCH(C2473,'Active Clients'!$A$5:$A$504,0)))&amp;"","ID not found"))</f>
        <v/>
      </c>
      <c r="E2473" s="51" t="str">
        <f aca="false">IF(C2473="","",IFERROR(IF(LEFT(C2473,1)="L",INDEX('Leads Pipeline'!$D$5:$D$1004,MATCH(C2473,'Leads Pipeline'!$A$5:$A$1004,0)),INDEX('Active Clients'!$B$5:$B$504,MATCH(C2473,'Active Clients'!$A$5:$A$504,0)))&amp;"","ID not found"))</f>
        <v/>
      </c>
      <c r="F2473" s="51" t="str">
        <f aca="false">IF(C2473="","",IFERROR(IF(LEFT(C2473,1)="L",INDEX('Leads Pipeline'!$E$5:$E$1004,MATCH(C2473,'Leads Pipeline'!$A$5:$A$1004,0)),INDEX('Active Clients'!$C$5:$C$504,MATCH(C2473,'Active Clients'!$A$5:$A$504,0)))&amp;"","ID not found"))</f>
        <v/>
      </c>
      <c r="G2473" s="16"/>
      <c r="H2473" s="16"/>
      <c r="I2473" s="16"/>
      <c r="J2473" s="16"/>
      <c r="K2473" s="16"/>
      <c r="L2473" s="18"/>
    </row>
    <row r="2474" customFormat="false" ht="15" hidden="false" customHeight="false" outlineLevel="0" collapsed="false">
      <c r="A2474" s="18"/>
      <c r="B2474" s="16"/>
      <c r="C2474" s="16"/>
      <c r="D2474" s="51" t="str">
        <f aca="false">IF(C2474="","",IFERROR(IF(LEFT(C2474,1)="L",INDEX('Leads Pipeline'!$F$5:$F$1004,MATCH(C2474,'Leads Pipeline'!$A$5:$A$1004,0)),INDEX('Active Clients'!$D$5:$D$504,MATCH(C2474,'Active Clients'!$A$5:$A$504,0)))&amp;"","ID not found"))</f>
        <v/>
      </c>
      <c r="E2474" s="51" t="str">
        <f aca="false">IF(C2474="","",IFERROR(IF(LEFT(C2474,1)="L",INDEX('Leads Pipeline'!$D$5:$D$1004,MATCH(C2474,'Leads Pipeline'!$A$5:$A$1004,0)),INDEX('Active Clients'!$B$5:$B$504,MATCH(C2474,'Active Clients'!$A$5:$A$504,0)))&amp;"","ID not found"))</f>
        <v/>
      </c>
      <c r="F2474" s="51" t="str">
        <f aca="false">IF(C2474="","",IFERROR(IF(LEFT(C2474,1)="L",INDEX('Leads Pipeline'!$E$5:$E$1004,MATCH(C2474,'Leads Pipeline'!$A$5:$A$1004,0)),INDEX('Active Clients'!$C$5:$C$504,MATCH(C2474,'Active Clients'!$A$5:$A$504,0)))&amp;"","ID not found"))</f>
        <v/>
      </c>
      <c r="G2474" s="16"/>
      <c r="H2474" s="16"/>
      <c r="I2474" s="16"/>
      <c r="J2474" s="16"/>
      <c r="K2474" s="16"/>
      <c r="L2474" s="18"/>
    </row>
    <row r="2475" customFormat="false" ht="15" hidden="false" customHeight="false" outlineLevel="0" collapsed="false">
      <c r="A2475" s="18"/>
      <c r="B2475" s="16"/>
      <c r="C2475" s="16"/>
      <c r="D2475" s="51" t="str">
        <f aca="false">IF(C2475="","",IFERROR(IF(LEFT(C2475,1)="L",INDEX('Leads Pipeline'!$F$5:$F$1004,MATCH(C2475,'Leads Pipeline'!$A$5:$A$1004,0)),INDEX('Active Clients'!$D$5:$D$504,MATCH(C2475,'Active Clients'!$A$5:$A$504,0)))&amp;"","ID not found"))</f>
        <v/>
      </c>
      <c r="E2475" s="51" t="str">
        <f aca="false">IF(C2475="","",IFERROR(IF(LEFT(C2475,1)="L",INDEX('Leads Pipeline'!$D$5:$D$1004,MATCH(C2475,'Leads Pipeline'!$A$5:$A$1004,0)),INDEX('Active Clients'!$B$5:$B$504,MATCH(C2475,'Active Clients'!$A$5:$A$504,0)))&amp;"","ID not found"))</f>
        <v/>
      </c>
      <c r="F2475" s="51" t="str">
        <f aca="false">IF(C2475="","",IFERROR(IF(LEFT(C2475,1)="L",INDEX('Leads Pipeline'!$E$5:$E$1004,MATCH(C2475,'Leads Pipeline'!$A$5:$A$1004,0)),INDEX('Active Clients'!$C$5:$C$504,MATCH(C2475,'Active Clients'!$A$5:$A$504,0)))&amp;"","ID not found"))</f>
        <v/>
      </c>
      <c r="G2475" s="16"/>
      <c r="H2475" s="16"/>
      <c r="I2475" s="16"/>
      <c r="J2475" s="16"/>
      <c r="K2475" s="16"/>
      <c r="L2475" s="18"/>
    </row>
    <row r="2476" customFormat="false" ht="15" hidden="false" customHeight="false" outlineLevel="0" collapsed="false">
      <c r="A2476" s="18"/>
      <c r="B2476" s="16"/>
      <c r="C2476" s="16"/>
      <c r="D2476" s="51" t="str">
        <f aca="false">IF(C2476="","",IFERROR(IF(LEFT(C2476,1)="L",INDEX('Leads Pipeline'!$F$5:$F$1004,MATCH(C2476,'Leads Pipeline'!$A$5:$A$1004,0)),INDEX('Active Clients'!$D$5:$D$504,MATCH(C2476,'Active Clients'!$A$5:$A$504,0)))&amp;"","ID not found"))</f>
        <v/>
      </c>
      <c r="E2476" s="51" t="str">
        <f aca="false">IF(C2476="","",IFERROR(IF(LEFT(C2476,1)="L",INDEX('Leads Pipeline'!$D$5:$D$1004,MATCH(C2476,'Leads Pipeline'!$A$5:$A$1004,0)),INDEX('Active Clients'!$B$5:$B$504,MATCH(C2476,'Active Clients'!$A$5:$A$504,0)))&amp;"","ID not found"))</f>
        <v/>
      </c>
      <c r="F2476" s="51" t="str">
        <f aca="false">IF(C2476="","",IFERROR(IF(LEFT(C2476,1)="L",INDEX('Leads Pipeline'!$E$5:$E$1004,MATCH(C2476,'Leads Pipeline'!$A$5:$A$1004,0)),INDEX('Active Clients'!$C$5:$C$504,MATCH(C2476,'Active Clients'!$A$5:$A$504,0)))&amp;"","ID not found"))</f>
        <v/>
      </c>
      <c r="G2476" s="16"/>
      <c r="H2476" s="16"/>
      <c r="I2476" s="16"/>
      <c r="J2476" s="16"/>
      <c r="K2476" s="16"/>
      <c r="L2476" s="18"/>
    </row>
    <row r="2477" customFormat="false" ht="15" hidden="false" customHeight="false" outlineLevel="0" collapsed="false">
      <c r="A2477" s="18"/>
      <c r="B2477" s="16"/>
      <c r="C2477" s="16"/>
      <c r="D2477" s="51" t="str">
        <f aca="false">IF(C2477="","",IFERROR(IF(LEFT(C2477,1)="L",INDEX('Leads Pipeline'!$F$5:$F$1004,MATCH(C2477,'Leads Pipeline'!$A$5:$A$1004,0)),INDEX('Active Clients'!$D$5:$D$504,MATCH(C2477,'Active Clients'!$A$5:$A$504,0)))&amp;"","ID not found"))</f>
        <v/>
      </c>
      <c r="E2477" s="51" t="str">
        <f aca="false">IF(C2477="","",IFERROR(IF(LEFT(C2477,1)="L",INDEX('Leads Pipeline'!$D$5:$D$1004,MATCH(C2477,'Leads Pipeline'!$A$5:$A$1004,0)),INDEX('Active Clients'!$B$5:$B$504,MATCH(C2477,'Active Clients'!$A$5:$A$504,0)))&amp;"","ID not found"))</f>
        <v/>
      </c>
      <c r="F2477" s="51" t="str">
        <f aca="false">IF(C2477="","",IFERROR(IF(LEFT(C2477,1)="L",INDEX('Leads Pipeline'!$E$5:$E$1004,MATCH(C2477,'Leads Pipeline'!$A$5:$A$1004,0)),INDEX('Active Clients'!$C$5:$C$504,MATCH(C2477,'Active Clients'!$A$5:$A$504,0)))&amp;"","ID not found"))</f>
        <v/>
      </c>
      <c r="G2477" s="16"/>
      <c r="H2477" s="16"/>
      <c r="I2477" s="16"/>
      <c r="J2477" s="16"/>
      <c r="K2477" s="16"/>
      <c r="L2477" s="18"/>
    </row>
    <row r="2478" customFormat="false" ht="15" hidden="false" customHeight="false" outlineLevel="0" collapsed="false">
      <c r="A2478" s="18"/>
      <c r="B2478" s="16"/>
      <c r="C2478" s="16"/>
      <c r="D2478" s="51" t="str">
        <f aca="false">IF(C2478="","",IFERROR(IF(LEFT(C2478,1)="L",INDEX('Leads Pipeline'!$F$5:$F$1004,MATCH(C2478,'Leads Pipeline'!$A$5:$A$1004,0)),INDEX('Active Clients'!$D$5:$D$504,MATCH(C2478,'Active Clients'!$A$5:$A$504,0)))&amp;"","ID not found"))</f>
        <v/>
      </c>
      <c r="E2478" s="51" t="str">
        <f aca="false">IF(C2478="","",IFERROR(IF(LEFT(C2478,1)="L",INDEX('Leads Pipeline'!$D$5:$D$1004,MATCH(C2478,'Leads Pipeline'!$A$5:$A$1004,0)),INDEX('Active Clients'!$B$5:$B$504,MATCH(C2478,'Active Clients'!$A$5:$A$504,0)))&amp;"","ID not found"))</f>
        <v/>
      </c>
      <c r="F2478" s="51" t="str">
        <f aca="false">IF(C2478="","",IFERROR(IF(LEFT(C2478,1)="L",INDEX('Leads Pipeline'!$E$5:$E$1004,MATCH(C2478,'Leads Pipeline'!$A$5:$A$1004,0)),INDEX('Active Clients'!$C$5:$C$504,MATCH(C2478,'Active Clients'!$A$5:$A$504,0)))&amp;"","ID not found"))</f>
        <v/>
      </c>
      <c r="G2478" s="16"/>
      <c r="H2478" s="16"/>
      <c r="I2478" s="16"/>
      <c r="J2478" s="16"/>
      <c r="K2478" s="16"/>
      <c r="L2478" s="18"/>
    </row>
    <row r="2479" customFormat="false" ht="15" hidden="false" customHeight="false" outlineLevel="0" collapsed="false">
      <c r="A2479" s="18"/>
      <c r="B2479" s="16"/>
      <c r="C2479" s="16"/>
      <c r="D2479" s="51" t="str">
        <f aca="false">IF(C2479="","",IFERROR(IF(LEFT(C2479,1)="L",INDEX('Leads Pipeline'!$F$5:$F$1004,MATCH(C2479,'Leads Pipeline'!$A$5:$A$1004,0)),INDEX('Active Clients'!$D$5:$D$504,MATCH(C2479,'Active Clients'!$A$5:$A$504,0)))&amp;"","ID not found"))</f>
        <v/>
      </c>
      <c r="E2479" s="51" t="str">
        <f aca="false">IF(C2479="","",IFERROR(IF(LEFT(C2479,1)="L",INDEX('Leads Pipeline'!$D$5:$D$1004,MATCH(C2479,'Leads Pipeline'!$A$5:$A$1004,0)),INDEX('Active Clients'!$B$5:$B$504,MATCH(C2479,'Active Clients'!$A$5:$A$504,0)))&amp;"","ID not found"))</f>
        <v/>
      </c>
      <c r="F2479" s="51" t="str">
        <f aca="false">IF(C2479="","",IFERROR(IF(LEFT(C2479,1)="L",INDEX('Leads Pipeline'!$E$5:$E$1004,MATCH(C2479,'Leads Pipeline'!$A$5:$A$1004,0)),INDEX('Active Clients'!$C$5:$C$504,MATCH(C2479,'Active Clients'!$A$5:$A$504,0)))&amp;"","ID not found"))</f>
        <v/>
      </c>
      <c r="G2479" s="16"/>
      <c r="H2479" s="16"/>
      <c r="I2479" s="16"/>
      <c r="J2479" s="16"/>
      <c r="K2479" s="16"/>
      <c r="L2479" s="18"/>
    </row>
    <row r="2480" customFormat="false" ht="15" hidden="false" customHeight="false" outlineLevel="0" collapsed="false">
      <c r="A2480" s="18"/>
      <c r="B2480" s="16"/>
      <c r="C2480" s="16"/>
      <c r="D2480" s="51" t="str">
        <f aca="false">IF(C2480="","",IFERROR(IF(LEFT(C2480,1)="L",INDEX('Leads Pipeline'!$F$5:$F$1004,MATCH(C2480,'Leads Pipeline'!$A$5:$A$1004,0)),INDEX('Active Clients'!$D$5:$D$504,MATCH(C2480,'Active Clients'!$A$5:$A$504,0)))&amp;"","ID not found"))</f>
        <v/>
      </c>
      <c r="E2480" s="51" t="str">
        <f aca="false">IF(C2480="","",IFERROR(IF(LEFT(C2480,1)="L",INDEX('Leads Pipeline'!$D$5:$D$1004,MATCH(C2480,'Leads Pipeline'!$A$5:$A$1004,0)),INDEX('Active Clients'!$B$5:$B$504,MATCH(C2480,'Active Clients'!$A$5:$A$504,0)))&amp;"","ID not found"))</f>
        <v/>
      </c>
      <c r="F2480" s="51" t="str">
        <f aca="false">IF(C2480="","",IFERROR(IF(LEFT(C2480,1)="L",INDEX('Leads Pipeline'!$E$5:$E$1004,MATCH(C2480,'Leads Pipeline'!$A$5:$A$1004,0)),INDEX('Active Clients'!$C$5:$C$504,MATCH(C2480,'Active Clients'!$A$5:$A$504,0)))&amp;"","ID not found"))</f>
        <v/>
      </c>
      <c r="G2480" s="16"/>
      <c r="H2480" s="16"/>
      <c r="I2480" s="16"/>
      <c r="J2480" s="16"/>
      <c r="K2480" s="16"/>
      <c r="L2480" s="18"/>
    </row>
    <row r="2481" customFormat="false" ht="15" hidden="false" customHeight="false" outlineLevel="0" collapsed="false">
      <c r="A2481" s="18"/>
      <c r="B2481" s="16"/>
      <c r="C2481" s="16"/>
      <c r="D2481" s="51" t="str">
        <f aca="false">IF(C2481="","",IFERROR(IF(LEFT(C2481,1)="L",INDEX('Leads Pipeline'!$F$5:$F$1004,MATCH(C2481,'Leads Pipeline'!$A$5:$A$1004,0)),INDEX('Active Clients'!$D$5:$D$504,MATCH(C2481,'Active Clients'!$A$5:$A$504,0)))&amp;"","ID not found"))</f>
        <v/>
      </c>
      <c r="E2481" s="51" t="str">
        <f aca="false">IF(C2481="","",IFERROR(IF(LEFT(C2481,1)="L",INDEX('Leads Pipeline'!$D$5:$D$1004,MATCH(C2481,'Leads Pipeline'!$A$5:$A$1004,0)),INDEX('Active Clients'!$B$5:$B$504,MATCH(C2481,'Active Clients'!$A$5:$A$504,0)))&amp;"","ID not found"))</f>
        <v/>
      </c>
      <c r="F2481" s="51" t="str">
        <f aca="false">IF(C2481="","",IFERROR(IF(LEFT(C2481,1)="L",INDEX('Leads Pipeline'!$E$5:$E$1004,MATCH(C2481,'Leads Pipeline'!$A$5:$A$1004,0)),INDEX('Active Clients'!$C$5:$C$504,MATCH(C2481,'Active Clients'!$A$5:$A$504,0)))&amp;"","ID not found"))</f>
        <v/>
      </c>
      <c r="G2481" s="16"/>
      <c r="H2481" s="16"/>
      <c r="I2481" s="16"/>
      <c r="J2481" s="16"/>
      <c r="K2481" s="16"/>
      <c r="L2481" s="18"/>
    </row>
    <row r="2482" customFormat="false" ht="15" hidden="false" customHeight="false" outlineLevel="0" collapsed="false">
      <c r="A2482" s="18"/>
      <c r="B2482" s="16"/>
      <c r="C2482" s="16"/>
      <c r="D2482" s="51" t="str">
        <f aca="false">IF(C2482="","",IFERROR(IF(LEFT(C2482,1)="L",INDEX('Leads Pipeline'!$F$5:$F$1004,MATCH(C2482,'Leads Pipeline'!$A$5:$A$1004,0)),INDEX('Active Clients'!$D$5:$D$504,MATCH(C2482,'Active Clients'!$A$5:$A$504,0)))&amp;"","ID not found"))</f>
        <v/>
      </c>
      <c r="E2482" s="51" t="str">
        <f aca="false">IF(C2482="","",IFERROR(IF(LEFT(C2482,1)="L",INDEX('Leads Pipeline'!$D$5:$D$1004,MATCH(C2482,'Leads Pipeline'!$A$5:$A$1004,0)),INDEX('Active Clients'!$B$5:$B$504,MATCH(C2482,'Active Clients'!$A$5:$A$504,0)))&amp;"","ID not found"))</f>
        <v/>
      </c>
      <c r="F2482" s="51" t="str">
        <f aca="false">IF(C2482="","",IFERROR(IF(LEFT(C2482,1)="L",INDEX('Leads Pipeline'!$E$5:$E$1004,MATCH(C2482,'Leads Pipeline'!$A$5:$A$1004,0)),INDEX('Active Clients'!$C$5:$C$504,MATCH(C2482,'Active Clients'!$A$5:$A$504,0)))&amp;"","ID not found"))</f>
        <v/>
      </c>
      <c r="G2482" s="16"/>
      <c r="H2482" s="16"/>
      <c r="I2482" s="16"/>
      <c r="J2482" s="16"/>
      <c r="K2482" s="16"/>
      <c r="L2482" s="18"/>
    </row>
    <row r="2483" customFormat="false" ht="15" hidden="false" customHeight="false" outlineLevel="0" collapsed="false">
      <c r="A2483" s="18"/>
      <c r="B2483" s="16"/>
      <c r="C2483" s="16"/>
      <c r="D2483" s="51" t="str">
        <f aca="false">IF(C2483="","",IFERROR(IF(LEFT(C2483,1)="L",INDEX('Leads Pipeline'!$F$5:$F$1004,MATCH(C2483,'Leads Pipeline'!$A$5:$A$1004,0)),INDEX('Active Clients'!$D$5:$D$504,MATCH(C2483,'Active Clients'!$A$5:$A$504,0)))&amp;"","ID not found"))</f>
        <v/>
      </c>
      <c r="E2483" s="51" t="str">
        <f aca="false">IF(C2483="","",IFERROR(IF(LEFT(C2483,1)="L",INDEX('Leads Pipeline'!$D$5:$D$1004,MATCH(C2483,'Leads Pipeline'!$A$5:$A$1004,0)),INDEX('Active Clients'!$B$5:$B$504,MATCH(C2483,'Active Clients'!$A$5:$A$504,0)))&amp;"","ID not found"))</f>
        <v/>
      </c>
      <c r="F2483" s="51" t="str">
        <f aca="false">IF(C2483="","",IFERROR(IF(LEFT(C2483,1)="L",INDEX('Leads Pipeline'!$E$5:$E$1004,MATCH(C2483,'Leads Pipeline'!$A$5:$A$1004,0)),INDEX('Active Clients'!$C$5:$C$504,MATCH(C2483,'Active Clients'!$A$5:$A$504,0)))&amp;"","ID not found"))</f>
        <v/>
      </c>
      <c r="G2483" s="16"/>
      <c r="H2483" s="16"/>
      <c r="I2483" s="16"/>
      <c r="J2483" s="16"/>
      <c r="K2483" s="16"/>
      <c r="L2483" s="18"/>
    </row>
    <row r="2484" customFormat="false" ht="15" hidden="false" customHeight="false" outlineLevel="0" collapsed="false">
      <c r="A2484" s="18"/>
      <c r="B2484" s="16"/>
      <c r="C2484" s="16"/>
      <c r="D2484" s="51" t="str">
        <f aca="false">IF(C2484="","",IFERROR(IF(LEFT(C2484,1)="L",INDEX('Leads Pipeline'!$F$5:$F$1004,MATCH(C2484,'Leads Pipeline'!$A$5:$A$1004,0)),INDEX('Active Clients'!$D$5:$D$504,MATCH(C2484,'Active Clients'!$A$5:$A$504,0)))&amp;"","ID not found"))</f>
        <v/>
      </c>
      <c r="E2484" s="51" t="str">
        <f aca="false">IF(C2484="","",IFERROR(IF(LEFT(C2484,1)="L",INDEX('Leads Pipeline'!$D$5:$D$1004,MATCH(C2484,'Leads Pipeline'!$A$5:$A$1004,0)),INDEX('Active Clients'!$B$5:$B$504,MATCH(C2484,'Active Clients'!$A$5:$A$504,0)))&amp;"","ID not found"))</f>
        <v/>
      </c>
      <c r="F2484" s="51" t="str">
        <f aca="false">IF(C2484="","",IFERROR(IF(LEFT(C2484,1)="L",INDEX('Leads Pipeline'!$E$5:$E$1004,MATCH(C2484,'Leads Pipeline'!$A$5:$A$1004,0)),INDEX('Active Clients'!$C$5:$C$504,MATCH(C2484,'Active Clients'!$A$5:$A$504,0)))&amp;"","ID not found"))</f>
        <v/>
      </c>
      <c r="G2484" s="16"/>
      <c r="H2484" s="16"/>
      <c r="I2484" s="16"/>
      <c r="J2484" s="16"/>
      <c r="K2484" s="16"/>
      <c r="L2484" s="18"/>
    </row>
    <row r="2485" customFormat="false" ht="15" hidden="false" customHeight="false" outlineLevel="0" collapsed="false">
      <c r="A2485" s="18"/>
      <c r="B2485" s="16"/>
      <c r="C2485" s="16"/>
      <c r="D2485" s="51" t="str">
        <f aca="false">IF(C2485="","",IFERROR(IF(LEFT(C2485,1)="L",INDEX('Leads Pipeline'!$F$5:$F$1004,MATCH(C2485,'Leads Pipeline'!$A$5:$A$1004,0)),INDEX('Active Clients'!$D$5:$D$504,MATCH(C2485,'Active Clients'!$A$5:$A$504,0)))&amp;"","ID not found"))</f>
        <v/>
      </c>
      <c r="E2485" s="51" t="str">
        <f aca="false">IF(C2485="","",IFERROR(IF(LEFT(C2485,1)="L",INDEX('Leads Pipeline'!$D$5:$D$1004,MATCH(C2485,'Leads Pipeline'!$A$5:$A$1004,0)),INDEX('Active Clients'!$B$5:$B$504,MATCH(C2485,'Active Clients'!$A$5:$A$504,0)))&amp;"","ID not found"))</f>
        <v/>
      </c>
      <c r="F2485" s="51" t="str">
        <f aca="false">IF(C2485="","",IFERROR(IF(LEFT(C2485,1)="L",INDEX('Leads Pipeline'!$E$5:$E$1004,MATCH(C2485,'Leads Pipeline'!$A$5:$A$1004,0)),INDEX('Active Clients'!$C$5:$C$504,MATCH(C2485,'Active Clients'!$A$5:$A$504,0)))&amp;"","ID not found"))</f>
        <v/>
      </c>
      <c r="G2485" s="16"/>
      <c r="H2485" s="16"/>
      <c r="I2485" s="16"/>
      <c r="J2485" s="16"/>
      <c r="K2485" s="16"/>
      <c r="L2485" s="18"/>
    </row>
    <row r="2486" customFormat="false" ht="15" hidden="false" customHeight="false" outlineLevel="0" collapsed="false">
      <c r="A2486" s="18"/>
      <c r="B2486" s="16"/>
      <c r="C2486" s="16"/>
      <c r="D2486" s="51" t="str">
        <f aca="false">IF(C2486="","",IFERROR(IF(LEFT(C2486,1)="L",INDEX('Leads Pipeline'!$F$5:$F$1004,MATCH(C2486,'Leads Pipeline'!$A$5:$A$1004,0)),INDEX('Active Clients'!$D$5:$D$504,MATCH(C2486,'Active Clients'!$A$5:$A$504,0)))&amp;"","ID not found"))</f>
        <v/>
      </c>
      <c r="E2486" s="51" t="str">
        <f aca="false">IF(C2486="","",IFERROR(IF(LEFT(C2486,1)="L",INDEX('Leads Pipeline'!$D$5:$D$1004,MATCH(C2486,'Leads Pipeline'!$A$5:$A$1004,0)),INDEX('Active Clients'!$B$5:$B$504,MATCH(C2486,'Active Clients'!$A$5:$A$504,0)))&amp;"","ID not found"))</f>
        <v/>
      </c>
      <c r="F2486" s="51" t="str">
        <f aca="false">IF(C2486="","",IFERROR(IF(LEFT(C2486,1)="L",INDEX('Leads Pipeline'!$E$5:$E$1004,MATCH(C2486,'Leads Pipeline'!$A$5:$A$1004,0)),INDEX('Active Clients'!$C$5:$C$504,MATCH(C2486,'Active Clients'!$A$5:$A$504,0)))&amp;"","ID not found"))</f>
        <v/>
      </c>
      <c r="G2486" s="16"/>
      <c r="H2486" s="16"/>
      <c r="I2486" s="16"/>
      <c r="J2486" s="16"/>
      <c r="K2486" s="16"/>
      <c r="L2486" s="18"/>
    </row>
    <row r="2487" customFormat="false" ht="15" hidden="false" customHeight="false" outlineLevel="0" collapsed="false">
      <c r="A2487" s="18"/>
      <c r="B2487" s="16"/>
      <c r="C2487" s="16"/>
      <c r="D2487" s="51" t="str">
        <f aca="false">IF(C2487="","",IFERROR(IF(LEFT(C2487,1)="L",INDEX('Leads Pipeline'!$F$5:$F$1004,MATCH(C2487,'Leads Pipeline'!$A$5:$A$1004,0)),INDEX('Active Clients'!$D$5:$D$504,MATCH(C2487,'Active Clients'!$A$5:$A$504,0)))&amp;"","ID not found"))</f>
        <v/>
      </c>
      <c r="E2487" s="51" t="str">
        <f aca="false">IF(C2487="","",IFERROR(IF(LEFT(C2487,1)="L",INDEX('Leads Pipeline'!$D$5:$D$1004,MATCH(C2487,'Leads Pipeline'!$A$5:$A$1004,0)),INDEX('Active Clients'!$B$5:$B$504,MATCH(C2487,'Active Clients'!$A$5:$A$504,0)))&amp;"","ID not found"))</f>
        <v/>
      </c>
      <c r="F2487" s="51" t="str">
        <f aca="false">IF(C2487="","",IFERROR(IF(LEFT(C2487,1)="L",INDEX('Leads Pipeline'!$E$5:$E$1004,MATCH(C2487,'Leads Pipeline'!$A$5:$A$1004,0)),INDEX('Active Clients'!$C$5:$C$504,MATCH(C2487,'Active Clients'!$A$5:$A$504,0)))&amp;"","ID not found"))</f>
        <v/>
      </c>
      <c r="G2487" s="16"/>
      <c r="H2487" s="16"/>
      <c r="I2487" s="16"/>
      <c r="J2487" s="16"/>
      <c r="K2487" s="16"/>
      <c r="L2487" s="18"/>
    </row>
    <row r="2488" customFormat="false" ht="15" hidden="false" customHeight="false" outlineLevel="0" collapsed="false">
      <c r="A2488" s="18"/>
      <c r="B2488" s="16"/>
      <c r="C2488" s="16"/>
      <c r="D2488" s="51" t="str">
        <f aca="false">IF(C2488="","",IFERROR(IF(LEFT(C2488,1)="L",INDEX('Leads Pipeline'!$F$5:$F$1004,MATCH(C2488,'Leads Pipeline'!$A$5:$A$1004,0)),INDEX('Active Clients'!$D$5:$D$504,MATCH(C2488,'Active Clients'!$A$5:$A$504,0)))&amp;"","ID not found"))</f>
        <v/>
      </c>
      <c r="E2488" s="51" t="str">
        <f aca="false">IF(C2488="","",IFERROR(IF(LEFT(C2488,1)="L",INDEX('Leads Pipeline'!$D$5:$D$1004,MATCH(C2488,'Leads Pipeline'!$A$5:$A$1004,0)),INDEX('Active Clients'!$B$5:$B$504,MATCH(C2488,'Active Clients'!$A$5:$A$504,0)))&amp;"","ID not found"))</f>
        <v/>
      </c>
      <c r="F2488" s="51" t="str">
        <f aca="false">IF(C2488="","",IFERROR(IF(LEFT(C2488,1)="L",INDEX('Leads Pipeline'!$E$5:$E$1004,MATCH(C2488,'Leads Pipeline'!$A$5:$A$1004,0)),INDEX('Active Clients'!$C$5:$C$504,MATCH(C2488,'Active Clients'!$A$5:$A$504,0)))&amp;"","ID not found"))</f>
        <v/>
      </c>
      <c r="G2488" s="16"/>
      <c r="H2488" s="16"/>
      <c r="I2488" s="16"/>
      <c r="J2488" s="16"/>
      <c r="K2488" s="16"/>
      <c r="L2488" s="18"/>
    </row>
    <row r="2489" customFormat="false" ht="15" hidden="false" customHeight="false" outlineLevel="0" collapsed="false">
      <c r="A2489" s="18"/>
      <c r="B2489" s="16"/>
      <c r="C2489" s="16"/>
      <c r="D2489" s="51" t="str">
        <f aca="false">IF(C2489="","",IFERROR(IF(LEFT(C2489,1)="L",INDEX('Leads Pipeline'!$F$5:$F$1004,MATCH(C2489,'Leads Pipeline'!$A$5:$A$1004,0)),INDEX('Active Clients'!$D$5:$D$504,MATCH(C2489,'Active Clients'!$A$5:$A$504,0)))&amp;"","ID not found"))</f>
        <v/>
      </c>
      <c r="E2489" s="51" t="str">
        <f aca="false">IF(C2489="","",IFERROR(IF(LEFT(C2489,1)="L",INDEX('Leads Pipeline'!$D$5:$D$1004,MATCH(C2489,'Leads Pipeline'!$A$5:$A$1004,0)),INDEX('Active Clients'!$B$5:$B$504,MATCH(C2489,'Active Clients'!$A$5:$A$504,0)))&amp;"","ID not found"))</f>
        <v/>
      </c>
      <c r="F2489" s="51" t="str">
        <f aca="false">IF(C2489="","",IFERROR(IF(LEFT(C2489,1)="L",INDEX('Leads Pipeline'!$E$5:$E$1004,MATCH(C2489,'Leads Pipeline'!$A$5:$A$1004,0)),INDEX('Active Clients'!$C$5:$C$504,MATCH(C2489,'Active Clients'!$A$5:$A$504,0)))&amp;"","ID not found"))</f>
        <v/>
      </c>
      <c r="G2489" s="16"/>
      <c r="H2489" s="16"/>
      <c r="I2489" s="16"/>
      <c r="J2489" s="16"/>
      <c r="K2489" s="16"/>
      <c r="L2489" s="18"/>
    </row>
    <row r="2490" customFormat="false" ht="15" hidden="false" customHeight="false" outlineLevel="0" collapsed="false">
      <c r="A2490" s="18"/>
      <c r="B2490" s="16"/>
      <c r="C2490" s="16"/>
      <c r="D2490" s="51" t="str">
        <f aca="false">IF(C2490="","",IFERROR(IF(LEFT(C2490,1)="L",INDEX('Leads Pipeline'!$F$5:$F$1004,MATCH(C2490,'Leads Pipeline'!$A$5:$A$1004,0)),INDEX('Active Clients'!$D$5:$D$504,MATCH(C2490,'Active Clients'!$A$5:$A$504,0)))&amp;"","ID not found"))</f>
        <v/>
      </c>
      <c r="E2490" s="51" t="str">
        <f aca="false">IF(C2490="","",IFERROR(IF(LEFT(C2490,1)="L",INDEX('Leads Pipeline'!$D$5:$D$1004,MATCH(C2490,'Leads Pipeline'!$A$5:$A$1004,0)),INDEX('Active Clients'!$B$5:$B$504,MATCH(C2490,'Active Clients'!$A$5:$A$504,0)))&amp;"","ID not found"))</f>
        <v/>
      </c>
      <c r="F2490" s="51" t="str">
        <f aca="false">IF(C2490="","",IFERROR(IF(LEFT(C2490,1)="L",INDEX('Leads Pipeline'!$E$5:$E$1004,MATCH(C2490,'Leads Pipeline'!$A$5:$A$1004,0)),INDEX('Active Clients'!$C$5:$C$504,MATCH(C2490,'Active Clients'!$A$5:$A$504,0)))&amp;"","ID not found"))</f>
        <v/>
      </c>
      <c r="G2490" s="16"/>
      <c r="H2490" s="16"/>
      <c r="I2490" s="16"/>
      <c r="J2490" s="16"/>
      <c r="K2490" s="16"/>
      <c r="L2490" s="18"/>
    </row>
    <row r="2491" customFormat="false" ht="15" hidden="false" customHeight="false" outlineLevel="0" collapsed="false">
      <c r="A2491" s="18"/>
      <c r="B2491" s="16"/>
      <c r="C2491" s="16"/>
      <c r="D2491" s="51" t="str">
        <f aca="false">IF(C2491="","",IFERROR(IF(LEFT(C2491,1)="L",INDEX('Leads Pipeline'!$F$5:$F$1004,MATCH(C2491,'Leads Pipeline'!$A$5:$A$1004,0)),INDEX('Active Clients'!$D$5:$D$504,MATCH(C2491,'Active Clients'!$A$5:$A$504,0)))&amp;"","ID not found"))</f>
        <v/>
      </c>
      <c r="E2491" s="51" t="str">
        <f aca="false">IF(C2491="","",IFERROR(IF(LEFT(C2491,1)="L",INDEX('Leads Pipeline'!$D$5:$D$1004,MATCH(C2491,'Leads Pipeline'!$A$5:$A$1004,0)),INDEX('Active Clients'!$B$5:$B$504,MATCH(C2491,'Active Clients'!$A$5:$A$504,0)))&amp;"","ID not found"))</f>
        <v/>
      </c>
      <c r="F2491" s="51" t="str">
        <f aca="false">IF(C2491="","",IFERROR(IF(LEFT(C2491,1)="L",INDEX('Leads Pipeline'!$E$5:$E$1004,MATCH(C2491,'Leads Pipeline'!$A$5:$A$1004,0)),INDEX('Active Clients'!$C$5:$C$504,MATCH(C2491,'Active Clients'!$A$5:$A$504,0)))&amp;"","ID not found"))</f>
        <v/>
      </c>
      <c r="G2491" s="16"/>
      <c r="H2491" s="16"/>
      <c r="I2491" s="16"/>
      <c r="J2491" s="16"/>
      <c r="K2491" s="16"/>
      <c r="L2491" s="18"/>
    </row>
    <row r="2492" customFormat="false" ht="15" hidden="false" customHeight="false" outlineLevel="0" collapsed="false">
      <c r="A2492" s="18"/>
      <c r="B2492" s="16"/>
      <c r="C2492" s="16"/>
      <c r="D2492" s="51" t="str">
        <f aca="false">IF(C2492="","",IFERROR(IF(LEFT(C2492,1)="L",INDEX('Leads Pipeline'!$F$5:$F$1004,MATCH(C2492,'Leads Pipeline'!$A$5:$A$1004,0)),INDEX('Active Clients'!$D$5:$D$504,MATCH(C2492,'Active Clients'!$A$5:$A$504,0)))&amp;"","ID not found"))</f>
        <v/>
      </c>
      <c r="E2492" s="51" t="str">
        <f aca="false">IF(C2492="","",IFERROR(IF(LEFT(C2492,1)="L",INDEX('Leads Pipeline'!$D$5:$D$1004,MATCH(C2492,'Leads Pipeline'!$A$5:$A$1004,0)),INDEX('Active Clients'!$B$5:$B$504,MATCH(C2492,'Active Clients'!$A$5:$A$504,0)))&amp;"","ID not found"))</f>
        <v/>
      </c>
      <c r="F2492" s="51" t="str">
        <f aca="false">IF(C2492="","",IFERROR(IF(LEFT(C2492,1)="L",INDEX('Leads Pipeline'!$E$5:$E$1004,MATCH(C2492,'Leads Pipeline'!$A$5:$A$1004,0)),INDEX('Active Clients'!$C$5:$C$504,MATCH(C2492,'Active Clients'!$A$5:$A$504,0)))&amp;"","ID not found"))</f>
        <v/>
      </c>
      <c r="G2492" s="16"/>
      <c r="H2492" s="16"/>
      <c r="I2492" s="16"/>
      <c r="J2492" s="16"/>
      <c r="K2492" s="16"/>
      <c r="L2492" s="18"/>
    </row>
    <row r="2493" customFormat="false" ht="15" hidden="false" customHeight="false" outlineLevel="0" collapsed="false">
      <c r="A2493" s="18"/>
      <c r="B2493" s="16"/>
      <c r="C2493" s="16"/>
      <c r="D2493" s="51" t="str">
        <f aca="false">IF(C2493="","",IFERROR(IF(LEFT(C2493,1)="L",INDEX('Leads Pipeline'!$F$5:$F$1004,MATCH(C2493,'Leads Pipeline'!$A$5:$A$1004,0)),INDEX('Active Clients'!$D$5:$D$504,MATCH(C2493,'Active Clients'!$A$5:$A$504,0)))&amp;"","ID not found"))</f>
        <v/>
      </c>
      <c r="E2493" s="51" t="str">
        <f aca="false">IF(C2493="","",IFERROR(IF(LEFT(C2493,1)="L",INDEX('Leads Pipeline'!$D$5:$D$1004,MATCH(C2493,'Leads Pipeline'!$A$5:$A$1004,0)),INDEX('Active Clients'!$B$5:$B$504,MATCH(C2493,'Active Clients'!$A$5:$A$504,0)))&amp;"","ID not found"))</f>
        <v/>
      </c>
      <c r="F2493" s="51" t="str">
        <f aca="false">IF(C2493="","",IFERROR(IF(LEFT(C2493,1)="L",INDEX('Leads Pipeline'!$E$5:$E$1004,MATCH(C2493,'Leads Pipeline'!$A$5:$A$1004,0)),INDEX('Active Clients'!$C$5:$C$504,MATCH(C2493,'Active Clients'!$A$5:$A$504,0)))&amp;"","ID not found"))</f>
        <v/>
      </c>
      <c r="G2493" s="16"/>
      <c r="H2493" s="16"/>
      <c r="I2493" s="16"/>
      <c r="J2493" s="16"/>
      <c r="K2493" s="16"/>
      <c r="L2493" s="18"/>
    </row>
    <row r="2494" customFormat="false" ht="15" hidden="false" customHeight="false" outlineLevel="0" collapsed="false">
      <c r="A2494" s="18"/>
      <c r="B2494" s="16"/>
      <c r="C2494" s="16"/>
      <c r="D2494" s="51" t="str">
        <f aca="false">IF(C2494="","",IFERROR(IF(LEFT(C2494,1)="L",INDEX('Leads Pipeline'!$F$5:$F$1004,MATCH(C2494,'Leads Pipeline'!$A$5:$A$1004,0)),INDEX('Active Clients'!$D$5:$D$504,MATCH(C2494,'Active Clients'!$A$5:$A$504,0)))&amp;"","ID not found"))</f>
        <v/>
      </c>
      <c r="E2494" s="51" t="str">
        <f aca="false">IF(C2494="","",IFERROR(IF(LEFT(C2494,1)="L",INDEX('Leads Pipeline'!$D$5:$D$1004,MATCH(C2494,'Leads Pipeline'!$A$5:$A$1004,0)),INDEX('Active Clients'!$B$5:$B$504,MATCH(C2494,'Active Clients'!$A$5:$A$504,0)))&amp;"","ID not found"))</f>
        <v/>
      </c>
      <c r="F2494" s="51" t="str">
        <f aca="false">IF(C2494="","",IFERROR(IF(LEFT(C2494,1)="L",INDEX('Leads Pipeline'!$E$5:$E$1004,MATCH(C2494,'Leads Pipeline'!$A$5:$A$1004,0)),INDEX('Active Clients'!$C$5:$C$504,MATCH(C2494,'Active Clients'!$A$5:$A$504,0)))&amp;"","ID not found"))</f>
        <v/>
      </c>
      <c r="G2494" s="16"/>
      <c r="H2494" s="16"/>
      <c r="I2494" s="16"/>
      <c r="J2494" s="16"/>
      <c r="K2494" s="16"/>
      <c r="L2494" s="18"/>
    </row>
    <row r="2495" customFormat="false" ht="15" hidden="false" customHeight="false" outlineLevel="0" collapsed="false">
      <c r="A2495" s="18"/>
      <c r="B2495" s="16"/>
      <c r="C2495" s="16"/>
      <c r="D2495" s="51" t="str">
        <f aca="false">IF(C2495="","",IFERROR(IF(LEFT(C2495,1)="L",INDEX('Leads Pipeline'!$F$5:$F$1004,MATCH(C2495,'Leads Pipeline'!$A$5:$A$1004,0)),INDEX('Active Clients'!$D$5:$D$504,MATCH(C2495,'Active Clients'!$A$5:$A$504,0)))&amp;"","ID not found"))</f>
        <v/>
      </c>
      <c r="E2495" s="51" t="str">
        <f aca="false">IF(C2495="","",IFERROR(IF(LEFT(C2495,1)="L",INDEX('Leads Pipeline'!$D$5:$D$1004,MATCH(C2495,'Leads Pipeline'!$A$5:$A$1004,0)),INDEX('Active Clients'!$B$5:$B$504,MATCH(C2495,'Active Clients'!$A$5:$A$504,0)))&amp;"","ID not found"))</f>
        <v/>
      </c>
      <c r="F2495" s="51" t="str">
        <f aca="false">IF(C2495="","",IFERROR(IF(LEFT(C2495,1)="L",INDEX('Leads Pipeline'!$E$5:$E$1004,MATCH(C2495,'Leads Pipeline'!$A$5:$A$1004,0)),INDEX('Active Clients'!$C$5:$C$504,MATCH(C2495,'Active Clients'!$A$5:$A$504,0)))&amp;"","ID not found"))</f>
        <v/>
      </c>
      <c r="G2495" s="16"/>
      <c r="H2495" s="16"/>
      <c r="I2495" s="16"/>
      <c r="J2495" s="16"/>
      <c r="K2495" s="16"/>
      <c r="L2495" s="18"/>
    </row>
    <row r="2496" customFormat="false" ht="15" hidden="false" customHeight="false" outlineLevel="0" collapsed="false">
      <c r="A2496" s="18"/>
      <c r="B2496" s="16"/>
      <c r="C2496" s="16"/>
      <c r="D2496" s="51" t="str">
        <f aca="false">IF(C2496="","",IFERROR(IF(LEFT(C2496,1)="L",INDEX('Leads Pipeline'!$F$5:$F$1004,MATCH(C2496,'Leads Pipeline'!$A$5:$A$1004,0)),INDEX('Active Clients'!$D$5:$D$504,MATCH(C2496,'Active Clients'!$A$5:$A$504,0)))&amp;"","ID not found"))</f>
        <v/>
      </c>
      <c r="E2496" s="51" t="str">
        <f aca="false">IF(C2496="","",IFERROR(IF(LEFT(C2496,1)="L",INDEX('Leads Pipeline'!$D$5:$D$1004,MATCH(C2496,'Leads Pipeline'!$A$5:$A$1004,0)),INDEX('Active Clients'!$B$5:$B$504,MATCH(C2496,'Active Clients'!$A$5:$A$504,0)))&amp;"","ID not found"))</f>
        <v/>
      </c>
      <c r="F2496" s="51" t="str">
        <f aca="false">IF(C2496="","",IFERROR(IF(LEFT(C2496,1)="L",INDEX('Leads Pipeline'!$E$5:$E$1004,MATCH(C2496,'Leads Pipeline'!$A$5:$A$1004,0)),INDEX('Active Clients'!$C$5:$C$504,MATCH(C2496,'Active Clients'!$A$5:$A$504,0)))&amp;"","ID not found"))</f>
        <v/>
      </c>
      <c r="G2496" s="16"/>
      <c r="H2496" s="16"/>
      <c r="I2496" s="16"/>
      <c r="J2496" s="16"/>
      <c r="K2496" s="16"/>
      <c r="L2496" s="18"/>
    </row>
    <row r="2497" customFormat="false" ht="15" hidden="false" customHeight="false" outlineLevel="0" collapsed="false">
      <c r="A2497" s="18"/>
      <c r="B2497" s="16"/>
      <c r="C2497" s="16"/>
      <c r="D2497" s="51" t="str">
        <f aca="false">IF(C2497="","",IFERROR(IF(LEFT(C2497,1)="L",INDEX('Leads Pipeline'!$F$5:$F$1004,MATCH(C2497,'Leads Pipeline'!$A$5:$A$1004,0)),INDEX('Active Clients'!$D$5:$D$504,MATCH(C2497,'Active Clients'!$A$5:$A$504,0)))&amp;"","ID not found"))</f>
        <v/>
      </c>
      <c r="E2497" s="51" t="str">
        <f aca="false">IF(C2497="","",IFERROR(IF(LEFT(C2497,1)="L",INDEX('Leads Pipeline'!$D$5:$D$1004,MATCH(C2497,'Leads Pipeline'!$A$5:$A$1004,0)),INDEX('Active Clients'!$B$5:$B$504,MATCH(C2497,'Active Clients'!$A$5:$A$504,0)))&amp;"","ID not found"))</f>
        <v/>
      </c>
      <c r="F2497" s="51" t="str">
        <f aca="false">IF(C2497="","",IFERROR(IF(LEFT(C2497,1)="L",INDEX('Leads Pipeline'!$E$5:$E$1004,MATCH(C2497,'Leads Pipeline'!$A$5:$A$1004,0)),INDEX('Active Clients'!$C$5:$C$504,MATCH(C2497,'Active Clients'!$A$5:$A$504,0)))&amp;"","ID not found"))</f>
        <v/>
      </c>
      <c r="G2497" s="16"/>
      <c r="H2497" s="16"/>
      <c r="I2497" s="16"/>
      <c r="J2497" s="16"/>
      <c r="K2497" s="16"/>
      <c r="L2497" s="18"/>
    </row>
    <row r="2498" customFormat="false" ht="15" hidden="false" customHeight="false" outlineLevel="0" collapsed="false">
      <c r="A2498" s="18"/>
      <c r="B2498" s="16"/>
      <c r="C2498" s="16"/>
      <c r="D2498" s="51" t="str">
        <f aca="false">IF(C2498="","",IFERROR(IF(LEFT(C2498,1)="L",INDEX('Leads Pipeline'!$F$5:$F$1004,MATCH(C2498,'Leads Pipeline'!$A$5:$A$1004,0)),INDEX('Active Clients'!$D$5:$D$504,MATCH(C2498,'Active Clients'!$A$5:$A$504,0)))&amp;"","ID not found"))</f>
        <v/>
      </c>
      <c r="E2498" s="51" t="str">
        <f aca="false">IF(C2498="","",IFERROR(IF(LEFT(C2498,1)="L",INDEX('Leads Pipeline'!$D$5:$D$1004,MATCH(C2498,'Leads Pipeline'!$A$5:$A$1004,0)),INDEX('Active Clients'!$B$5:$B$504,MATCH(C2498,'Active Clients'!$A$5:$A$504,0)))&amp;"","ID not found"))</f>
        <v/>
      </c>
      <c r="F2498" s="51" t="str">
        <f aca="false">IF(C2498="","",IFERROR(IF(LEFT(C2498,1)="L",INDEX('Leads Pipeline'!$E$5:$E$1004,MATCH(C2498,'Leads Pipeline'!$A$5:$A$1004,0)),INDEX('Active Clients'!$C$5:$C$504,MATCH(C2498,'Active Clients'!$A$5:$A$504,0)))&amp;"","ID not found"))</f>
        <v/>
      </c>
      <c r="G2498" s="16"/>
      <c r="H2498" s="16"/>
      <c r="I2498" s="16"/>
      <c r="J2498" s="16"/>
      <c r="K2498" s="16"/>
      <c r="L2498" s="18"/>
    </row>
    <row r="2499" customFormat="false" ht="15" hidden="false" customHeight="false" outlineLevel="0" collapsed="false">
      <c r="A2499" s="18"/>
      <c r="B2499" s="16"/>
      <c r="C2499" s="16"/>
      <c r="D2499" s="51" t="str">
        <f aca="false">IF(C2499="","",IFERROR(IF(LEFT(C2499,1)="L",INDEX('Leads Pipeline'!$F$5:$F$1004,MATCH(C2499,'Leads Pipeline'!$A$5:$A$1004,0)),INDEX('Active Clients'!$D$5:$D$504,MATCH(C2499,'Active Clients'!$A$5:$A$504,0)))&amp;"","ID not found"))</f>
        <v/>
      </c>
      <c r="E2499" s="51" t="str">
        <f aca="false">IF(C2499="","",IFERROR(IF(LEFT(C2499,1)="L",INDEX('Leads Pipeline'!$D$5:$D$1004,MATCH(C2499,'Leads Pipeline'!$A$5:$A$1004,0)),INDEX('Active Clients'!$B$5:$B$504,MATCH(C2499,'Active Clients'!$A$5:$A$504,0)))&amp;"","ID not found"))</f>
        <v/>
      </c>
      <c r="F2499" s="51" t="str">
        <f aca="false">IF(C2499="","",IFERROR(IF(LEFT(C2499,1)="L",INDEX('Leads Pipeline'!$E$5:$E$1004,MATCH(C2499,'Leads Pipeline'!$A$5:$A$1004,0)),INDEX('Active Clients'!$C$5:$C$504,MATCH(C2499,'Active Clients'!$A$5:$A$504,0)))&amp;"","ID not found"))</f>
        <v/>
      </c>
      <c r="G2499" s="16"/>
      <c r="H2499" s="16"/>
      <c r="I2499" s="16"/>
      <c r="J2499" s="16"/>
      <c r="K2499" s="16"/>
      <c r="L2499" s="18"/>
    </row>
    <row r="2500" customFormat="false" ht="15" hidden="false" customHeight="false" outlineLevel="0" collapsed="false">
      <c r="A2500" s="18"/>
      <c r="B2500" s="16"/>
      <c r="C2500" s="16"/>
      <c r="D2500" s="51" t="str">
        <f aca="false">IF(C2500="","",IFERROR(IF(LEFT(C2500,1)="L",INDEX('Leads Pipeline'!$F$5:$F$1004,MATCH(C2500,'Leads Pipeline'!$A$5:$A$1004,0)),INDEX('Active Clients'!$D$5:$D$504,MATCH(C2500,'Active Clients'!$A$5:$A$504,0)))&amp;"","ID not found"))</f>
        <v/>
      </c>
      <c r="E2500" s="51" t="str">
        <f aca="false">IF(C2500="","",IFERROR(IF(LEFT(C2500,1)="L",INDEX('Leads Pipeline'!$D$5:$D$1004,MATCH(C2500,'Leads Pipeline'!$A$5:$A$1004,0)),INDEX('Active Clients'!$B$5:$B$504,MATCH(C2500,'Active Clients'!$A$5:$A$504,0)))&amp;"","ID not found"))</f>
        <v/>
      </c>
      <c r="F2500" s="51" t="str">
        <f aca="false">IF(C2500="","",IFERROR(IF(LEFT(C2500,1)="L",INDEX('Leads Pipeline'!$E$5:$E$1004,MATCH(C2500,'Leads Pipeline'!$A$5:$A$1004,0)),INDEX('Active Clients'!$C$5:$C$504,MATCH(C2500,'Active Clients'!$A$5:$A$504,0)))&amp;"","ID not found"))</f>
        <v/>
      </c>
      <c r="G2500" s="16"/>
      <c r="H2500" s="16"/>
      <c r="I2500" s="16"/>
      <c r="J2500" s="16"/>
      <c r="K2500" s="16"/>
      <c r="L2500" s="18"/>
    </row>
    <row r="2501" customFormat="false" ht="15" hidden="false" customHeight="false" outlineLevel="0" collapsed="false">
      <c r="A2501" s="18"/>
      <c r="B2501" s="16"/>
      <c r="C2501" s="16"/>
      <c r="D2501" s="51" t="str">
        <f aca="false">IF(C2501="","",IFERROR(IF(LEFT(C2501,1)="L",INDEX('Leads Pipeline'!$F$5:$F$1004,MATCH(C2501,'Leads Pipeline'!$A$5:$A$1004,0)),INDEX('Active Clients'!$D$5:$D$504,MATCH(C2501,'Active Clients'!$A$5:$A$504,0)))&amp;"","ID not found"))</f>
        <v/>
      </c>
      <c r="E2501" s="51" t="str">
        <f aca="false">IF(C2501="","",IFERROR(IF(LEFT(C2501,1)="L",INDEX('Leads Pipeline'!$D$5:$D$1004,MATCH(C2501,'Leads Pipeline'!$A$5:$A$1004,0)),INDEX('Active Clients'!$B$5:$B$504,MATCH(C2501,'Active Clients'!$A$5:$A$504,0)))&amp;"","ID not found"))</f>
        <v/>
      </c>
      <c r="F2501" s="51" t="str">
        <f aca="false">IF(C2501="","",IFERROR(IF(LEFT(C2501,1)="L",INDEX('Leads Pipeline'!$E$5:$E$1004,MATCH(C2501,'Leads Pipeline'!$A$5:$A$1004,0)),INDEX('Active Clients'!$C$5:$C$504,MATCH(C2501,'Active Clients'!$A$5:$A$504,0)))&amp;"","ID not found"))</f>
        <v/>
      </c>
      <c r="G2501" s="16"/>
      <c r="H2501" s="16"/>
      <c r="I2501" s="16"/>
      <c r="J2501" s="16"/>
      <c r="K2501" s="16"/>
      <c r="L2501" s="18"/>
    </row>
    <row r="2502" customFormat="false" ht="15" hidden="false" customHeight="false" outlineLevel="0" collapsed="false">
      <c r="A2502" s="18"/>
      <c r="B2502" s="16"/>
      <c r="C2502" s="16"/>
      <c r="D2502" s="51" t="str">
        <f aca="false">IF(C2502="","",IFERROR(IF(LEFT(C2502,1)="L",INDEX('Leads Pipeline'!$F$5:$F$1004,MATCH(C2502,'Leads Pipeline'!$A$5:$A$1004,0)),INDEX('Active Clients'!$D$5:$D$504,MATCH(C2502,'Active Clients'!$A$5:$A$504,0)))&amp;"","ID not found"))</f>
        <v/>
      </c>
      <c r="E2502" s="51" t="str">
        <f aca="false">IF(C2502="","",IFERROR(IF(LEFT(C2502,1)="L",INDEX('Leads Pipeline'!$D$5:$D$1004,MATCH(C2502,'Leads Pipeline'!$A$5:$A$1004,0)),INDEX('Active Clients'!$B$5:$B$504,MATCH(C2502,'Active Clients'!$A$5:$A$504,0)))&amp;"","ID not found"))</f>
        <v/>
      </c>
      <c r="F2502" s="51" t="str">
        <f aca="false">IF(C2502="","",IFERROR(IF(LEFT(C2502,1)="L",INDEX('Leads Pipeline'!$E$5:$E$1004,MATCH(C2502,'Leads Pipeline'!$A$5:$A$1004,0)),INDEX('Active Clients'!$C$5:$C$504,MATCH(C2502,'Active Clients'!$A$5:$A$504,0)))&amp;"","ID not found"))</f>
        <v/>
      </c>
      <c r="G2502" s="16"/>
      <c r="H2502" s="16"/>
      <c r="I2502" s="16"/>
      <c r="J2502" s="16"/>
      <c r="K2502" s="16"/>
      <c r="L2502" s="18"/>
    </row>
    <row r="2503" customFormat="false" ht="15" hidden="false" customHeight="false" outlineLevel="0" collapsed="false">
      <c r="A2503" s="18"/>
      <c r="B2503" s="16"/>
      <c r="C2503" s="16"/>
      <c r="D2503" s="51" t="str">
        <f aca="false">IF(C2503="","",IFERROR(IF(LEFT(C2503,1)="L",INDEX('Leads Pipeline'!$F$5:$F$1004,MATCH(C2503,'Leads Pipeline'!$A$5:$A$1004,0)),INDEX('Active Clients'!$D$5:$D$504,MATCH(C2503,'Active Clients'!$A$5:$A$504,0)))&amp;"","ID not found"))</f>
        <v/>
      </c>
      <c r="E2503" s="51" t="str">
        <f aca="false">IF(C2503="","",IFERROR(IF(LEFT(C2503,1)="L",INDEX('Leads Pipeline'!$D$5:$D$1004,MATCH(C2503,'Leads Pipeline'!$A$5:$A$1004,0)),INDEX('Active Clients'!$B$5:$B$504,MATCH(C2503,'Active Clients'!$A$5:$A$504,0)))&amp;"","ID not found"))</f>
        <v/>
      </c>
      <c r="F2503" s="51" t="str">
        <f aca="false">IF(C2503="","",IFERROR(IF(LEFT(C2503,1)="L",INDEX('Leads Pipeline'!$E$5:$E$1004,MATCH(C2503,'Leads Pipeline'!$A$5:$A$1004,0)),INDEX('Active Clients'!$C$5:$C$504,MATCH(C2503,'Active Clients'!$A$5:$A$504,0)))&amp;"","ID not found"))</f>
        <v/>
      </c>
      <c r="G2503" s="16"/>
      <c r="H2503" s="16"/>
      <c r="I2503" s="16"/>
      <c r="J2503" s="16"/>
      <c r="K2503" s="16"/>
      <c r="L2503" s="18"/>
    </row>
    <row r="2504" customFormat="false" ht="15" hidden="false" customHeight="false" outlineLevel="0" collapsed="false">
      <c r="A2504" s="18"/>
      <c r="B2504" s="16"/>
      <c r="C2504" s="16"/>
      <c r="D2504" s="51" t="str">
        <f aca="false">IF(C2504="","",IFERROR(IF(LEFT(C2504,1)="L",INDEX('Leads Pipeline'!$F$5:$F$1004,MATCH(C2504,'Leads Pipeline'!$A$5:$A$1004,0)),INDEX('Active Clients'!$D$5:$D$504,MATCH(C2504,'Active Clients'!$A$5:$A$504,0)))&amp;"","ID not found"))</f>
        <v/>
      </c>
      <c r="E2504" s="51" t="str">
        <f aca="false">IF(C2504="","",IFERROR(IF(LEFT(C2504,1)="L",INDEX('Leads Pipeline'!$D$5:$D$1004,MATCH(C2504,'Leads Pipeline'!$A$5:$A$1004,0)),INDEX('Active Clients'!$B$5:$B$504,MATCH(C2504,'Active Clients'!$A$5:$A$504,0)))&amp;"","ID not found"))</f>
        <v/>
      </c>
      <c r="F2504" s="51" t="str">
        <f aca="false">IF(C2504="","",IFERROR(IF(LEFT(C2504,1)="L",INDEX('Leads Pipeline'!$E$5:$E$1004,MATCH(C2504,'Leads Pipeline'!$A$5:$A$1004,0)),INDEX('Active Clients'!$C$5:$C$504,MATCH(C2504,'Active Clients'!$A$5:$A$504,0)))&amp;"","ID not found"))</f>
        <v/>
      </c>
      <c r="G2504" s="16"/>
      <c r="H2504" s="16"/>
      <c r="I2504" s="16"/>
      <c r="J2504" s="16"/>
      <c r="K2504" s="16"/>
      <c r="L2504" s="18"/>
    </row>
    <row r="2505" customFormat="false" ht="15" hidden="false" customHeight="false" outlineLevel="0" collapsed="false">
      <c r="A2505" s="18"/>
      <c r="B2505" s="16"/>
      <c r="C2505" s="16"/>
      <c r="D2505" s="51" t="str">
        <f aca="false">IF(C2505="","",IFERROR(IF(LEFT(C2505,1)="L",INDEX('Leads Pipeline'!$F$5:$F$1004,MATCH(C2505,'Leads Pipeline'!$A$5:$A$1004,0)),INDEX('Active Clients'!$D$5:$D$504,MATCH(C2505,'Active Clients'!$A$5:$A$504,0)))&amp;"","ID not found"))</f>
        <v/>
      </c>
      <c r="E2505" s="51" t="str">
        <f aca="false">IF(C2505="","",IFERROR(IF(LEFT(C2505,1)="L",INDEX('Leads Pipeline'!$D$5:$D$1004,MATCH(C2505,'Leads Pipeline'!$A$5:$A$1004,0)),INDEX('Active Clients'!$B$5:$B$504,MATCH(C2505,'Active Clients'!$A$5:$A$504,0)))&amp;"","ID not found"))</f>
        <v/>
      </c>
      <c r="F2505" s="51" t="str">
        <f aca="false">IF(C2505="","",IFERROR(IF(LEFT(C2505,1)="L",INDEX('Leads Pipeline'!$E$5:$E$1004,MATCH(C2505,'Leads Pipeline'!$A$5:$A$1004,0)),INDEX('Active Clients'!$C$5:$C$504,MATCH(C2505,'Active Clients'!$A$5:$A$504,0)))&amp;"","ID not found"))</f>
        <v/>
      </c>
      <c r="G2505" s="16"/>
      <c r="H2505" s="16"/>
      <c r="I2505" s="16"/>
      <c r="J2505" s="16"/>
      <c r="K2505" s="16"/>
      <c r="L2505" s="18"/>
    </row>
    <row r="2506" customFormat="false" ht="15" hidden="false" customHeight="false" outlineLevel="0" collapsed="false">
      <c r="A2506" s="18"/>
      <c r="B2506" s="16"/>
      <c r="C2506" s="16"/>
      <c r="D2506" s="51" t="str">
        <f aca="false">IF(C2506="","",IFERROR(IF(LEFT(C2506,1)="L",INDEX('Leads Pipeline'!$F$5:$F$1004,MATCH(C2506,'Leads Pipeline'!$A$5:$A$1004,0)),INDEX('Active Clients'!$D$5:$D$504,MATCH(C2506,'Active Clients'!$A$5:$A$504,0)))&amp;"","ID not found"))</f>
        <v/>
      </c>
      <c r="E2506" s="51" t="str">
        <f aca="false">IF(C2506="","",IFERROR(IF(LEFT(C2506,1)="L",INDEX('Leads Pipeline'!$D$5:$D$1004,MATCH(C2506,'Leads Pipeline'!$A$5:$A$1004,0)),INDEX('Active Clients'!$B$5:$B$504,MATCH(C2506,'Active Clients'!$A$5:$A$504,0)))&amp;"","ID not found"))</f>
        <v/>
      </c>
      <c r="F2506" s="51" t="str">
        <f aca="false">IF(C2506="","",IFERROR(IF(LEFT(C2506,1)="L",INDEX('Leads Pipeline'!$E$5:$E$1004,MATCH(C2506,'Leads Pipeline'!$A$5:$A$1004,0)),INDEX('Active Clients'!$C$5:$C$504,MATCH(C2506,'Active Clients'!$A$5:$A$504,0)))&amp;"","ID not found"))</f>
        <v/>
      </c>
      <c r="G2506" s="16"/>
      <c r="H2506" s="16"/>
      <c r="I2506" s="16"/>
      <c r="J2506" s="16"/>
      <c r="K2506" s="16"/>
      <c r="L2506" s="18"/>
    </row>
    <row r="2507" customFormat="false" ht="15" hidden="false" customHeight="false" outlineLevel="0" collapsed="false">
      <c r="A2507" s="18"/>
      <c r="B2507" s="16"/>
      <c r="C2507" s="16"/>
      <c r="D2507" s="51" t="str">
        <f aca="false">IF(C2507="","",IFERROR(IF(LEFT(C2507,1)="L",INDEX('Leads Pipeline'!$F$5:$F$1004,MATCH(C2507,'Leads Pipeline'!$A$5:$A$1004,0)),INDEX('Active Clients'!$D$5:$D$504,MATCH(C2507,'Active Clients'!$A$5:$A$504,0)))&amp;"","ID not found"))</f>
        <v/>
      </c>
      <c r="E2507" s="51" t="str">
        <f aca="false">IF(C2507="","",IFERROR(IF(LEFT(C2507,1)="L",INDEX('Leads Pipeline'!$D$5:$D$1004,MATCH(C2507,'Leads Pipeline'!$A$5:$A$1004,0)),INDEX('Active Clients'!$B$5:$B$504,MATCH(C2507,'Active Clients'!$A$5:$A$504,0)))&amp;"","ID not found"))</f>
        <v/>
      </c>
      <c r="F2507" s="51" t="str">
        <f aca="false">IF(C2507="","",IFERROR(IF(LEFT(C2507,1)="L",INDEX('Leads Pipeline'!$E$5:$E$1004,MATCH(C2507,'Leads Pipeline'!$A$5:$A$1004,0)),INDEX('Active Clients'!$C$5:$C$504,MATCH(C2507,'Active Clients'!$A$5:$A$504,0)))&amp;"","ID not found"))</f>
        <v/>
      </c>
      <c r="G2507" s="16"/>
      <c r="H2507" s="16"/>
      <c r="I2507" s="16"/>
      <c r="J2507" s="16"/>
      <c r="K2507" s="16"/>
      <c r="L2507" s="18"/>
    </row>
    <row r="2508" customFormat="false" ht="15" hidden="false" customHeight="false" outlineLevel="0" collapsed="false">
      <c r="A2508" s="18"/>
      <c r="B2508" s="16"/>
      <c r="C2508" s="16"/>
      <c r="D2508" s="51" t="str">
        <f aca="false">IF(C2508="","",IFERROR(IF(LEFT(C2508,1)="L",INDEX('Leads Pipeline'!$F$5:$F$1004,MATCH(C2508,'Leads Pipeline'!$A$5:$A$1004,0)),INDEX('Active Clients'!$D$5:$D$504,MATCH(C2508,'Active Clients'!$A$5:$A$504,0)))&amp;"","ID not found"))</f>
        <v/>
      </c>
      <c r="E2508" s="51" t="str">
        <f aca="false">IF(C2508="","",IFERROR(IF(LEFT(C2508,1)="L",INDEX('Leads Pipeline'!$D$5:$D$1004,MATCH(C2508,'Leads Pipeline'!$A$5:$A$1004,0)),INDEX('Active Clients'!$B$5:$B$504,MATCH(C2508,'Active Clients'!$A$5:$A$504,0)))&amp;"","ID not found"))</f>
        <v/>
      </c>
      <c r="F2508" s="51" t="str">
        <f aca="false">IF(C2508="","",IFERROR(IF(LEFT(C2508,1)="L",INDEX('Leads Pipeline'!$E$5:$E$1004,MATCH(C2508,'Leads Pipeline'!$A$5:$A$1004,0)),INDEX('Active Clients'!$C$5:$C$504,MATCH(C2508,'Active Clients'!$A$5:$A$504,0)))&amp;"","ID not found"))</f>
        <v/>
      </c>
      <c r="G2508" s="16"/>
      <c r="H2508" s="16"/>
      <c r="I2508" s="16"/>
      <c r="J2508" s="16"/>
      <c r="K2508" s="16"/>
      <c r="L2508" s="18"/>
    </row>
    <row r="2509" customFormat="false" ht="15" hidden="false" customHeight="false" outlineLevel="0" collapsed="false">
      <c r="A2509" s="18"/>
      <c r="B2509" s="16"/>
      <c r="C2509" s="16"/>
      <c r="D2509" s="51" t="str">
        <f aca="false">IF(C2509="","",IFERROR(IF(LEFT(C2509,1)="L",INDEX('Leads Pipeline'!$F$5:$F$1004,MATCH(C2509,'Leads Pipeline'!$A$5:$A$1004,0)),INDEX('Active Clients'!$D$5:$D$504,MATCH(C2509,'Active Clients'!$A$5:$A$504,0)))&amp;"","ID not found"))</f>
        <v/>
      </c>
      <c r="E2509" s="51" t="str">
        <f aca="false">IF(C2509="","",IFERROR(IF(LEFT(C2509,1)="L",INDEX('Leads Pipeline'!$D$5:$D$1004,MATCH(C2509,'Leads Pipeline'!$A$5:$A$1004,0)),INDEX('Active Clients'!$B$5:$B$504,MATCH(C2509,'Active Clients'!$A$5:$A$504,0)))&amp;"","ID not found"))</f>
        <v/>
      </c>
      <c r="F2509" s="51" t="str">
        <f aca="false">IF(C2509="","",IFERROR(IF(LEFT(C2509,1)="L",INDEX('Leads Pipeline'!$E$5:$E$1004,MATCH(C2509,'Leads Pipeline'!$A$5:$A$1004,0)),INDEX('Active Clients'!$C$5:$C$504,MATCH(C2509,'Active Clients'!$A$5:$A$504,0)))&amp;"","ID not found"))</f>
        <v/>
      </c>
      <c r="G2509" s="16"/>
      <c r="H2509" s="16"/>
      <c r="I2509" s="16"/>
      <c r="J2509" s="16"/>
      <c r="K2509" s="16"/>
      <c r="L2509" s="18"/>
    </row>
    <row r="2510" customFormat="false" ht="15" hidden="false" customHeight="false" outlineLevel="0" collapsed="false">
      <c r="A2510" s="18"/>
      <c r="B2510" s="16"/>
      <c r="C2510" s="16"/>
      <c r="D2510" s="51" t="str">
        <f aca="false">IF(C2510="","",IFERROR(IF(LEFT(C2510,1)="L",INDEX('Leads Pipeline'!$F$5:$F$1004,MATCH(C2510,'Leads Pipeline'!$A$5:$A$1004,0)),INDEX('Active Clients'!$D$5:$D$504,MATCH(C2510,'Active Clients'!$A$5:$A$504,0)))&amp;"","ID not found"))</f>
        <v/>
      </c>
      <c r="E2510" s="51" t="str">
        <f aca="false">IF(C2510="","",IFERROR(IF(LEFT(C2510,1)="L",INDEX('Leads Pipeline'!$D$5:$D$1004,MATCH(C2510,'Leads Pipeline'!$A$5:$A$1004,0)),INDEX('Active Clients'!$B$5:$B$504,MATCH(C2510,'Active Clients'!$A$5:$A$504,0)))&amp;"","ID not found"))</f>
        <v/>
      </c>
      <c r="F2510" s="51" t="str">
        <f aca="false">IF(C2510="","",IFERROR(IF(LEFT(C2510,1)="L",INDEX('Leads Pipeline'!$E$5:$E$1004,MATCH(C2510,'Leads Pipeline'!$A$5:$A$1004,0)),INDEX('Active Clients'!$C$5:$C$504,MATCH(C2510,'Active Clients'!$A$5:$A$504,0)))&amp;"","ID not found"))</f>
        <v/>
      </c>
      <c r="G2510" s="16"/>
      <c r="H2510" s="16"/>
      <c r="I2510" s="16"/>
      <c r="J2510" s="16"/>
      <c r="K2510" s="16"/>
      <c r="L2510" s="18"/>
    </row>
    <row r="2511" customFormat="false" ht="15" hidden="false" customHeight="false" outlineLevel="0" collapsed="false">
      <c r="A2511" s="18"/>
      <c r="B2511" s="16"/>
      <c r="C2511" s="16"/>
      <c r="D2511" s="51" t="str">
        <f aca="false">IF(C2511="","",IFERROR(IF(LEFT(C2511,1)="L",INDEX('Leads Pipeline'!$F$5:$F$1004,MATCH(C2511,'Leads Pipeline'!$A$5:$A$1004,0)),INDEX('Active Clients'!$D$5:$D$504,MATCH(C2511,'Active Clients'!$A$5:$A$504,0)))&amp;"","ID not found"))</f>
        <v/>
      </c>
      <c r="E2511" s="51" t="str">
        <f aca="false">IF(C2511="","",IFERROR(IF(LEFT(C2511,1)="L",INDEX('Leads Pipeline'!$D$5:$D$1004,MATCH(C2511,'Leads Pipeline'!$A$5:$A$1004,0)),INDEX('Active Clients'!$B$5:$B$504,MATCH(C2511,'Active Clients'!$A$5:$A$504,0)))&amp;"","ID not found"))</f>
        <v/>
      </c>
      <c r="F2511" s="51" t="str">
        <f aca="false">IF(C2511="","",IFERROR(IF(LEFT(C2511,1)="L",INDEX('Leads Pipeline'!$E$5:$E$1004,MATCH(C2511,'Leads Pipeline'!$A$5:$A$1004,0)),INDEX('Active Clients'!$C$5:$C$504,MATCH(C2511,'Active Clients'!$A$5:$A$504,0)))&amp;"","ID not found"))</f>
        <v/>
      </c>
      <c r="G2511" s="16"/>
      <c r="H2511" s="16"/>
      <c r="I2511" s="16"/>
      <c r="J2511" s="16"/>
      <c r="K2511" s="16"/>
      <c r="L2511" s="18"/>
    </row>
    <row r="2512" customFormat="false" ht="15" hidden="false" customHeight="false" outlineLevel="0" collapsed="false">
      <c r="A2512" s="18"/>
      <c r="B2512" s="16"/>
      <c r="C2512" s="16"/>
      <c r="D2512" s="51" t="str">
        <f aca="false">IF(C2512="","",IFERROR(IF(LEFT(C2512,1)="L",INDEX('Leads Pipeline'!$F$5:$F$1004,MATCH(C2512,'Leads Pipeline'!$A$5:$A$1004,0)),INDEX('Active Clients'!$D$5:$D$504,MATCH(C2512,'Active Clients'!$A$5:$A$504,0)))&amp;"","ID not found"))</f>
        <v/>
      </c>
      <c r="E2512" s="51" t="str">
        <f aca="false">IF(C2512="","",IFERROR(IF(LEFT(C2512,1)="L",INDEX('Leads Pipeline'!$D$5:$D$1004,MATCH(C2512,'Leads Pipeline'!$A$5:$A$1004,0)),INDEX('Active Clients'!$B$5:$B$504,MATCH(C2512,'Active Clients'!$A$5:$A$504,0)))&amp;"","ID not found"))</f>
        <v/>
      </c>
      <c r="F2512" s="51" t="str">
        <f aca="false">IF(C2512="","",IFERROR(IF(LEFT(C2512,1)="L",INDEX('Leads Pipeline'!$E$5:$E$1004,MATCH(C2512,'Leads Pipeline'!$A$5:$A$1004,0)),INDEX('Active Clients'!$C$5:$C$504,MATCH(C2512,'Active Clients'!$A$5:$A$504,0)))&amp;"","ID not found"))</f>
        <v/>
      </c>
      <c r="G2512" s="16"/>
      <c r="H2512" s="16"/>
      <c r="I2512" s="16"/>
      <c r="J2512" s="16"/>
      <c r="K2512" s="16"/>
      <c r="L2512" s="18"/>
    </row>
    <row r="2513" customFormat="false" ht="15" hidden="false" customHeight="false" outlineLevel="0" collapsed="false">
      <c r="A2513" s="18"/>
      <c r="B2513" s="16"/>
      <c r="C2513" s="16"/>
      <c r="D2513" s="51" t="str">
        <f aca="false">IF(C2513="","",IFERROR(IF(LEFT(C2513,1)="L",INDEX('Leads Pipeline'!$F$5:$F$1004,MATCH(C2513,'Leads Pipeline'!$A$5:$A$1004,0)),INDEX('Active Clients'!$D$5:$D$504,MATCH(C2513,'Active Clients'!$A$5:$A$504,0)))&amp;"","ID not found"))</f>
        <v/>
      </c>
      <c r="E2513" s="51" t="str">
        <f aca="false">IF(C2513="","",IFERROR(IF(LEFT(C2513,1)="L",INDEX('Leads Pipeline'!$D$5:$D$1004,MATCH(C2513,'Leads Pipeline'!$A$5:$A$1004,0)),INDEX('Active Clients'!$B$5:$B$504,MATCH(C2513,'Active Clients'!$A$5:$A$504,0)))&amp;"","ID not found"))</f>
        <v/>
      </c>
      <c r="F2513" s="51" t="str">
        <f aca="false">IF(C2513="","",IFERROR(IF(LEFT(C2513,1)="L",INDEX('Leads Pipeline'!$E$5:$E$1004,MATCH(C2513,'Leads Pipeline'!$A$5:$A$1004,0)),INDEX('Active Clients'!$C$5:$C$504,MATCH(C2513,'Active Clients'!$A$5:$A$504,0)))&amp;"","ID not found"))</f>
        <v/>
      </c>
      <c r="G2513" s="16"/>
      <c r="H2513" s="16"/>
      <c r="I2513" s="16"/>
      <c r="J2513" s="16"/>
      <c r="K2513" s="16"/>
      <c r="L2513" s="18"/>
    </row>
    <row r="2514" customFormat="false" ht="15" hidden="false" customHeight="false" outlineLevel="0" collapsed="false">
      <c r="A2514" s="18"/>
      <c r="B2514" s="16"/>
      <c r="C2514" s="16"/>
      <c r="D2514" s="51" t="str">
        <f aca="false">IF(C2514="","",IFERROR(IF(LEFT(C2514,1)="L",INDEX('Leads Pipeline'!$F$5:$F$1004,MATCH(C2514,'Leads Pipeline'!$A$5:$A$1004,0)),INDEX('Active Clients'!$D$5:$D$504,MATCH(C2514,'Active Clients'!$A$5:$A$504,0)))&amp;"","ID not found"))</f>
        <v/>
      </c>
      <c r="E2514" s="51" t="str">
        <f aca="false">IF(C2514="","",IFERROR(IF(LEFT(C2514,1)="L",INDEX('Leads Pipeline'!$D$5:$D$1004,MATCH(C2514,'Leads Pipeline'!$A$5:$A$1004,0)),INDEX('Active Clients'!$B$5:$B$504,MATCH(C2514,'Active Clients'!$A$5:$A$504,0)))&amp;"","ID not found"))</f>
        <v/>
      </c>
      <c r="F2514" s="51" t="str">
        <f aca="false">IF(C2514="","",IFERROR(IF(LEFT(C2514,1)="L",INDEX('Leads Pipeline'!$E$5:$E$1004,MATCH(C2514,'Leads Pipeline'!$A$5:$A$1004,0)),INDEX('Active Clients'!$C$5:$C$504,MATCH(C2514,'Active Clients'!$A$5:$A$504,0)))&amp;"","ID not found"))</f>
        <v/>
      </c>
      <c r="G2514" s="16"/>
      <c r="H2514" s="16"/>
      <c r="I2514" s="16"/>
      <c r="J2514" s="16"/>
      <c r="K2514" s="16"/>
      <c r="L2514" s="18"/>
    </row>
    <row r="2515" customFormat="false" ht="15" hidden="false" customHeight="false" outlineLevel="0" collapsed="false">
      <c r="A2515" s="18"/>
      <c r="B2515" s="16"/>
      <c r="C2515" s="16"/>
      <c r="D2515" s="51" t="str">
        <f aca="false">IF(C2515="","",IFERROR(IF(LEFT(C2515,1)="L",INDEX('Leads Pipeline'!$F$5:$F$1004,MATCH(C2515,'Leads Pipeline'!$A$5:$A$1004,0)),INDEX('Active Clients'!$D$5:$D$504,MATCH(C2515,'Active Clients'!$A$5:$A$504,0)))&amp;"","ID not found"))</f>
        <v/>
      </c>
      <c r="E2515" s="51" t="str">
        <f aca="false">IF(C2515="","",IFERROR(IF(LEFT(C2515,1)="L",INDEX('Leads Pipeline'!$D$5:$D$1004,MATCH(C2515,'Leads Pipeline'!$A$5:$A$1004,0)),INDEX('Active Clients'!$B$5:$B$504,MATCH(C2515,'Active Clients'!$A$5:$A$504,0)))&amp;"","ID not found"))</f>
        <v/>
      </c>
      <c r="F2515" s="51" t="str">
        <f aca="false">IF(C2515="","",IFERROR(IF(LEFT(C2515,1)="L",INDEX('Leads Pipeline'!$E$5:$E$1004,MATCH(C2515,'Leads Pipeline'!$A$5:$A$1004,0)),INDEX('Active Clients'!$C$5:$C$504,MATCH(C2515,'Active Clients'!$A$5:$A$504,0)))&amp;"","ID not found"))</f>
        <v/>
      </c>
      <c r="G2515" s="16"/>
      <c r="H2515" s="16"/>
      <c r="I2515" s="16"/>
      <c r="J2515" s="16"/>
      <c r="K2515" s="16"/>
      <c r="L2515" s="18"/>
    </row>
    <row r="2516" customFormat="false" ht="15" hidden="false" customHeight="false" outlineLevel="0" collapsed="false">
      <c r="A2516" s="18"/>
      <c r="B2516" s="16"/>
      <c r="C2516" s="16"/>
      <c r="D2516" s="51" t="str">
        <f aca="false">IF(C2516="","",IFERROR(IF(LEFT(C2516,1)="L",INDEX('Leads Pipeline'!$F$5:$F$1004,MATCH(C2516,'Leads Pipeline'!$A$5:$A$1004,0)),INDEX('Active Clients'!$D$5:$D$504,MATCH(C2516,'Active Clients'!$A$5:$A$504,0)))&amp;"","ID not found"))</f>
        <v/>
      </c>
      <c r="E2516" s="51" t="str">
        <f aca="false">IF(C2516="","",IFERROR(IF(LEFT(C2516,1)="L",INDEX('Leads Pipeline'!$D$5:$D$1004,MATCH(C2516,'Leads Pipeline'!$A$5:$A$1004,0)),INDEX('Active Clients'!$B$5:$B$504,MATCH(C2516,'Active Clients'!$A$5:$A$504,0)))&amp;"","ID not found"))</f>
        <v/>
      </c>
      <c r="F2516" s="51" t="str">
        <f aca="false">IF(C2516="","",IFERROR(IF(LEFT(C2516,1)="L",INDEX('Leads Pipeline'!$E$5:$E$1004,MATCH(C2516,'Leads Pipeline'!$A$5:$A$1004,0)),INDEX('Active Clients'!$C$5:$C$504,MATCH(C2516,'Active Clients'!$A$5:$A$504,0)))&amp;"","ID not found"))</f>
        <v/>
      </c>
      <c r="G2516" s="16"/>
      <c r="H2516" s="16"/>
      <c r="I2516" s="16"/>
      <c r="J2516" s="16"/>
      <c r="K2516" s="16"/>
      <c r="L2516" s="18"/>
    </row>
    <row r="2517" customFormat="false" ht="15" hidden="false" customHeight="false" outlineLevel="0" collapsed="false">
      <c r="A2517" s="18"/>
      <c r="B2517" s="16"/>
      <c r="C2517" s="16"/>
      <c r="D2517" s="51" t="str">
        <f aca="false">IF(C2517="","",IFERROR(IF(LEFT(C2517,1)="L",INDEX('Leads Pipeline'!$F$5:$F$1004,MATCH(C2517,'Leads Pipeline'!$A$5:$A$1004,0)),INDEX('Active Clients'!$D$5:$D$504,MATCH(C2517,'Active Clients'!$A$5:$A$504,0)))&amp;"","ID not found"))</f>
        <v/>
      </c>
      <c r="E2517" s="51" t="str">
        <f aca="false">IF(C2517="","",IFERROR(IF(LEFT(C2517,1)="L",INDEX('Leads Pipeline'!$D$5:$D$1004,MATCH(C2517,'Leads Pipeline'!$A$5:$A$1004,0)),INDEX('Active Clients'!$B$5:$B$504,MATCH(C2517,'Active Clients'!$A$5:$A$504,0)))&amp;"","ID not found"))</f>
        <v/>
      </c>
      <c r="F2517" s="51" t="str">
        <f aca="false">IF(C2517="","",IFERROR(IF(LEFT(C2517,1)="L",INDEX('Leads Pipeline'!$E$5:$E$1004,MATCH(C2517,'Leads Pipeline'!$A$5:$A$1004,0)),INDEX('Active Clients'!$C$5:$C$504,MATCH(C2517,'Active Clients'!$A$5:$A$504,0)))&amp;"","ID not found"))</f>
        <v/>
      </c>
      <c r="G2517" s="16"/>
      <c r="H2517" s="16"/>
      <c r="I2517" s="16"/>
      <c r="J2517" s="16"/>
      <c r="K2517" s="16"/>
      <c r="L2517" s="18"/>
    </row>
    <row r="2518" customFormat="false" ht="15" hidden="false" customHeight="false" outlineLevel="0" collapsed="false">
      <c r="A2518" s="18"/>
      <c r="B2518" s="16"/>
      <c r="C2518" s="16"/>
      <c r="D2518" s="51" t="str">
        <f aca="false">IF(C2518="","",IFERROR(IF(LEFT(C2518,1)="L",INDEX('Leads Pipeline'!$F$5:$F$1004,MATCH(C2518,'Leads Pipeline'!$A$5:$A$1004,0)),INDEX('Active Clients'!$D$5:$D$504,MATCH(C2518,'Active Clients'!$A$5:$A$504,0)))&amp;"","ID not found"))</f>
        <v/>
      </c>
      <c r="E2518" s="51" t="str">
        <f aca="false">IF(C2518="","",IFERROR(IF(LEFT(C2518,1)="L",INDEX('Leads Pipeline'!$D$5:$D$1004,MATCH(C2518,'Leads Pipeline'!$A$5:$A$1004,0)),INDEX('Active Clients'!$B$5:$B$504,MATCH(C2518,'Active Clients'!$A$5:$A$504,0)))&amp;"","ID not found"))</f>
        <v/>
      </c>
      <c r="F2518" s="51" t="str">
        <f aca="false">IF(C2518="","",IFERROR(IF(LEFT(C2518,1)="L",INDEX('Leads Pipeline'!$E$5:$E$1004,MATCH(C2518,'Leads Pipeline'!$A$5:$A$1004,0)),INDEX('Active Clients'!$C$5:$C$504,MATCH(C2518,'Active Clients'!$A$5:$A$504,0)))&amp;"","ID not found"))</f>
        <v/>
      </c>
      <c r="G2518" s="16"/>
      <c r="H2518" s="16"/>
      <c r="I2518" s="16"/>
      <c r="J2518" s="16"/>
      <c r="K2518" s="16"/>
      <c r="L2518" s="18"/>
    </row>
    <row r="2519" customFormat="false" ht="15" hidden="false" customHeight="false" outlineLevel="0" collapsed="false">
      <c r="A2519" s="18"/>
      <c r="B2519" s="16"/>
      <c r="C2519" s="16"/>
      <c r="D2519" s="51" t="str">
        <f aca="false">IF(C2519="","",IFERROR(IF(LEFT(C2519,1)="L",INDEX('Leads Pipeline'!$F$5:$F$1004,MATCH(C2519,'Leads Pipeline'!$A$5:$A$1004,0)),INDEX('Active Clients'!$D$5:$D$504,MATCH(C2519,'Active Clients'!$A$5:$A$504,0)))&amp;"","ID not found"))</f>
        <v/>
      </c>
      <c r="E2519" s="51" t="str">
        <f aca="false">IF(C2519="","",IFERROR(IF(LEFT(C2519,1)="L",INDEX('Leads Pipeline'!$D$5:$D$1004,MATCH(C2519,'Leads Pipeline'!$A$5:$A$1004,0)),INDEX('Active Clients'!$B$5:$B$504,MATCH(C2519,'Active Clients'!$A$5:$A$504,0)))&amp;"","ID not found"))</f>
        <v/>
      </c>
      <c r="F2519" s="51" t="str">
        <f aca="false">IF(C2519="","",IFERROR(IF(LEFT(C2519,1)="L",INDEX('Leads Pipeline'!$E$5:$E$1004,MATCH(C2519,'Leads Pipeline'!$A$5:$A$1004,0)),INDEX('Active Clients'!$C$5:$C$504,MATCH(C2519,'Active Clients'!$A$5:$A$504,0)))&amp;"","ID not found"))</f>
        <v/>
      </c>
      <c r="G2519" s="16"/>
      <c r="H2519" s="16"/>
      <c r="I2519" s="16"/>
      <c r="J2519" s="16"/>
      <c r="K2519" s="16"/>
      <c r="L2519" s="18"/>
    </row>
    <row r="2520" customFormat="false" ht="15" hidden="false" customHeight="false" outlineLevel="0" collapsed="false">
      <c r="A2520" s="18"/>
      <c r="B2520" s="16"/>
      <c r="C2520" s="16"/>
      <c r="D2520" s="51" t="str">
        <f aca="false">IF(C2520="","",IFERROR(IF(LEFT(C2520,1)="L",INDEX('Leads Pipeline'!$F$5:$F$1004,MATCH(C2520,'Leads Pipeline'!$A$5:$A$1004,0)),INDEX('Active Clients'!$D$5:$D$504,MATCH(C2520,'Active Clients'!$A$5:$A$504,0)))&amp;"","ID not found"))</f>
        <v/>
      </c>
      <c r="E2520" s="51" t="str">
        <f aca="false">IF(C2520="","",IFERROR(IF(LEFT(C2520,1)="L",INDEX('Leads Pipeline'!$D$5:$D$1004,MATCH(C2520,'Leads Pipeline'!$A$5:$A$1004,0)),INDEX('Active Clients'!$B$5:$B$504,MATCH(C2520,'Active Clients'!$A$5:$A$504,0)))&amp;"","ID not found"))</f>
        <v/>
      </c>
      <c r="F2520" s="51" t="str">
        <f aca="false">IF(C2520="","",IFERROR(IF(LEFT(C2520,1)="L",INDEX('Leads Pipeline'!$E$5:$E$1004,MATCH(C2520,'Leads Pipeline'!$A$5:$A$1004,0)),INDEX('Active Clients'!$C$5:$C$504,MATCH(C2520,'Active Clients'!$A$5:$A$504,0)))&amp;"","ID not found"))</f>
        <v/>
      </c>
      <c r="G2520" s="16"/>
      <c r="H2520" s="16"/>
      <c r="I2520" s="16"/>
      <c r="J2520" s="16"/>
      <c r="K2520" s="16"/>
      <c r="L2520" s="18"/>
    </row>
    <row r="2521" customFormat="false" ht="15" hidden="false" customHeight="false" outlineLevel="0" collapsed="false">
      <c r="A2521" s="18"/>
      <c r="B2521" s="16"/>
      <c r="C2521" s="16"/>
      <c r="D2521" s="51" t="str">
        <f aca="false">IF(C2521="","",IFERROR(IF(LEFT(C2521,1)="L",INDEX('Leads Pipeline'!$F$5:$F$1004,MATCH(C2521,'Leads Pipeline'!$A$5:$A$1004,0)),INDEX('Active Clients'!$D$5:$D$504,MATCH(C2521,'Active Clients'!$A$5:$A$504,0)))&amp;"","ID not found"))</f>
        <v/>
      </c>
      <c r="E2521" s="51" t="str">
        <f aca="false">IF(C2521="","",IFERROR(IF(LEFT(C2521,1)="L",INDEX('Leads Pipeline'!$D$5:$D$1004,MATCH(C2521,'Leads Pipeline'!$A$5:$A$1004,0)),INDEX('Active Clients'!$B$5:$B$504,MATCH(C2521,'Active Clients'!$A$5:$A$504,0)))&amp;"","ID not found"))</f>
        <v/>
      </c>
      <c r="F2521" s="51" t="str">
        <f aca="false">IF(C2521="","",IFERROR(IF(LEFT(C2521,1)="L",INDEX('Leads Pipeline'!$E$5:$E$1004,MATCH(C2521,'Leads Pipeline'!$A$5:$A$1004,0)),INDEX('Active Clients'!$C$5:$C$504,MATCH(C2521,'Active Clients'!$A$5:$A$504,0)))&amp;"","ID not found"))</f>
        <v/>
      </c>
      <c r="G2521" s="16"/>
      <c r="H2521" s="16"/>
      <c r="I2521" s="16"/>
      <c r="J2521" s="16"/>
      <c r="K2521" s="16"/>
      <c r="L2521" s="18"/>
    </row>
    <row r="2522" customFormat="false" ht="15" hidden="false" customHeight="false" outlineLevel="0" collapsed="false">
      <c r="A2522" s="18"/>
      <c r="B2522" s="16"/>
      <c r="C2522" s="16"/>
      <c r="D2522" s="51" t="str">
        <f aca="false">IF(C2522="","",IFERROR(IF(LEFT(C2522,1)="L",INDEX('Leads Pipeline'!$F$5:$F$1004,MATCH(C2522,'Leads Pipeline'!$A$5:$A$1004,0)),INDEX('Active Clients'!$D$5:$D$504,MATCH(C2522,'Active Clients'!$A$5:$A$504,0)))&amp;"","ID not found"))</f>
        <v/>
      </c>
      <c r="E2522" s="51" t="str">
        <f aca="false">IF(C2522="","",IFERROR(IF(LEFT(C2522,1)="L",INDEX('Leads Pipeline'!$D$5:$D$1004,MATCH(C2522,'Leads Pipeline'!$A$5:$A$1004,0)),INDEX('Active Clients'!$B$5:$B$504,MATCH(C2522,'Active Clients'!$A$5:$A$504,0)))&amp;"","ID not found"))</f>
        <v/>
      </c>
      <c r="F2522" s="51" t="str">
        <f aca="false">IF(C2522="","",IFERROR(IF(LEFT(C2522,1)="L",INDEX('Leads Pipeline'!$E$5:$E$1004,MATCH(C2522,'Leads Pipeline'!$A$5:$A$1004,0)),INDEX('Active Clients'!$C$5:$C$504,MATCH(C2522,'Active Clients'!$A$5:$A$504,0)))&amp;"","ID not found"))</f>
        <v/>
      </c>
      <c r="G2522" s="16"/>
      <c r="H2522" s="16"/>
      <c r="I2522" s="16"/>
      <c r="J2522" s="16"/>
      <c r="K2522" s="16"/>
      <c r="L2522" s="18"/>
    </row>
    <row r="2523" customFormat="false" ht="15" hidden="false" customHeight="false" outlineLevel="0" collapsed="false">
      <c r="A2523" s="18"/>
      <c r="B2523" s="16"/>
      <c r="C2523" s="16"/>
      <c r="D2523" s="51" t="str">
        <f aca="false">IF(C2523="","",IFERROR(IF(LEFT(C2523,1)="L",INDEX('Leads Pipeline'!$F$5:$F$1004,MATCH(C2523,'Leads Pipeline'!$A$5:$A$1004,0)),INDEX('Active Clients'!$D$5:$D$504,MATCH(C2523,'Active Clients'!$A$5:$A$504,0)))&amp;"","ID not found"))</f>
        <v/>
      </c>
      <c r="E2523" s="51" t="str">
        <f aca="false">IF(C2523="","",IFERROR(IF(LEFT(C2523,1)="L",INDEX('Leads Pipeline'!$D$5:$D$1004,MATCH(C2523,'Leads Pipeline'!$A$5:$A$1004,0)),INDEX('Active Clients'!$B$5:$B$504,MATCH(C2523,'Active Clients'!$A$5:$A$504,0)))&amp;"","ID not found"))</f>
        <v/>
      </c>
      <c r="F2523" s="51" t="str">
        <f aca="false">IF(C2523="","",IFERROR(IF(LEFT(C2523,1)="L",INDEX('Leads Pipeline'!$E$5:$E$1004,MATCH(C2523,'Leads Pipeline'!$A$5:$A$1004,0)),INDEX('Active Clients'!$C$5:$C$504,MATCH(C2523,'Active Clients'!$A$5:$A$504,0)))&amp;"","ID not found"))</f>
        <v/>
      </c>
      <c r="G2523" s="16"/>
      <c r="H2523" s="16"/>
      <c r="I2523" s="16"/>
      <c r="J2523" s="16"/>
      <c r="K2523" s="16"/>
      <c r="L2523" s="18"/>
    </row>
    <row r="2524" customFormat="false" ht="15" hidden="false" customHeight="false" outlineLevel="0" collapsed="false">
      <c r="A2524" s="18"/>
      <c r="B2524" s="16"/>
      <c r="C2524" s="16"/>
      <c r="D2524" s="51" t="str">
        <f aca="false">IF(C2524="","",IFERROR(IF(LEFT(C2524,1)="L",INDEX('Leads Pipeline'!$F$5:$F$1004,MATCH(C2524,'Leads Pipeline'!$A$5:$A$1004,0)),INDEX('Active Clients'!$D$5:$D$504,MATCH(C2524,'Active Clients'!$A$5:$A$504,0)))&amp;"","ID not found"))</f>
        <v/>
      </c>
      <c r="E2524" s="51" t="str">
        <f aca="false">IF(C2524="","",IFERROR(IF(LEFT(C2524,1)="L",INDEX('Leads Pipeline'!$D$5:$D$1004,MATCH(C2524,'Leads Pipeline'!$A$5:$A$1004,0)),INDEX('Active Clients'!$B$5:$B$504,MATCH(C2524,'Active Clients'!$A$5:$A$504,0)))&amp;"","ID not found"))</f>
        <v/>
      </c>
      <c r="F2524" s="51" t="str">
        <f aca="false">IF(C2524="","",IFERROR(IF(LEFT(C2524,1)="L",INDEX('Leads Pipeline'!$E$5:$E$1004,MATCH(C2524,'Leads Pipeline'!$A$5:$A$1004,0)),INDEX('Active Clients'!$C$5:$C$504,MATCH(C2524,'Active Clients'!$A$5:$A$504,0)))&amp;"","ID not found"))</f>
        <v/>
      </c>
      <c r="G2524" s="16"/>
      <c r="H2524" s="16"/>
      <c r="I2524" s="16"/>
      <c r="J2524" s="16"/>
      <c r="K2524" s="16"/>
      <c r="L2524" s="18"/>
    </row>
    <row r="2525" customFormat="false" ht="15" hidden="false" customHeight="false" outlineLevel="0" collapsed="false">
      <c r="A2525" s="18"/>
      <c r="B2525" s="16"/>
      <c r="C2525" s="16"/>
      <c r="D2525" s="51" t="str">
        <f aca="false">IF(C2525="","",IFERROR(IF(LEFT(C2525,1)="L",INDEX('Leads Pipeline'!$F$5:$F$1004,MATCH(C2525,'Leads Pipeline'!$A$5:$A$1004,0)),INDEX('Active Clients'!$D$5:$D$504,MATCH(C2525,'Active Clients'!$A$5:$A$504,0)))&amp;"","ID not found"))</f>
        <v/>
      </c>
      <c r="E2525" s="51" t="str">
        <f aca="false">IF(C2525="","",IFERROR(IF(LEFT(C2525,1)="L",INDEX('Leads Pipeline'!$D$5:$D$1004,MATCH(C2525,'Leads Pipeline'!$A$5:$A$1004,0)),INDEX('Active Clients'!$B$5:$B$504,MATCH(C2525,'Active Clients'!$A$5:$A$504,0)))&amp;"","ID not found"))</f>
        <v/>
      </c>
      <c r="F2525" s="51" t="str">
        <f aca="false">IF(C2525="","",IFERROR(IF(LEFT(C2525,1)="L",INDEX('Leads Pipeline'!$E$5:$E$1004,MATCH(C2525,'Leads Pipeline'!$A$5:$A$1004,0)),INDEX('Active Clients'!$C$5:$C$504,MATCH(C2525,'Active Clients'!$A$5:$A$504,0)))&amp;"","ID not found"))</f>
        <v/>
      </c>
      <c r="G2525" s="16"/>
      <c r="H2525" s="16"/>
      <c r="I2525" s="16"/>
      <c r="J2525" s="16"/>
      <c r="K2525" s="16"/>
      <c r="L2525" s="18"/>
    </row>
    <row r="2526" customFormat="false" ht="15" hidden="false" customHeight="false" outlineLevel="0" collapsed="false">
      <c r="A2526" s="18"/>
      <c r="B2526" s="16"/>
      <c r="C2526" s="16"/>
      <c r="D2526" s="51" t="str">
        <f aca="false">IF(C2526="","",IFERROR(IF(LEFT(C2526,1)="L",INDEX('Leads Pipeline'!$F$5:$F$1004,MATCH(C2526,'Leads Pipeline'!$A$5:$A$1004,0)),INDEX('Active Clients'!$D$5:$D$504,MATCH(C2526,'Active Clients'!$A$5:$A$504,0)))&amp;"","ID not found"))</f>
        <v/>
      </c>
      <c r="E2526" s="51" t="str">
        <f aca="false">IF(C2526="","",IFERROR(IF(LEFT(C2526,1)="L",INDEX('Leads Pipeline'!$D$5:$D$1004,MATCH(C2526,'Leads Pipeline'!$A$5:$A$1004,0)),INDEX('Active Clients'!$B$5:$B$504,MATCH(C2526,'Active Clients'!$A$5:$A$504,0)))&amp;"","ID not found"))</f>
        <v/>
      </c>
      <c r="F2526" s="51" t="str">
        <f aca="false">IF(C2526="","",IFERROR(IF(LEFT(C2526,1)="L",INDEX('Leads Pipeline'!$E$5:$E$1004,MATCH(C2526,'Leads Pipeline'!$A$5:$A$1004,0)),INDEX('Active Clients'!$C$5:$C$504,MATCH(C2526,'Active Clients'!$A$5:$A$504,0)))&amp;"","ID not found"))</f>
        <v/>
      </c>
      <c r="G2526" s="16"/>
      <c r="H2526" s="16"/>
      <c r="I2526" s="16"/>
      <c r="J2526" s="16"/>
      <c r="K2526" s="16"/>
      <c r="L2526" s="18"/>
    </row>
    <row r="2527" customFormat="false" ht="15" hidden="false" customHeight="false" outlineLevel="0" collapsed="false">
      <c r="A2527" s="18"/>
      <c r="B2527" s="16"/>
      <c r="C2527" s="16"/>
      <c r="D2527" s="51" t="str">
        <f aca="false">IF(C2527="","",IFERROR(IF(LEFT(C2527,1)="L",INDEX('Leads Pipeline'!$F$5:$F$1004,MATCH(C2527,'Leads Pipeline'!$A$5:$A$1004,0)),INDEX('Active Clients'!$D$5:$D$504,MATCH(C2527,'Active Clients'!$A$5:$A$504,0)))&amp;"","ID not found"))</f>
        <v/>
      </c>
      <c r="E2527" s="51" t="str">
        <f aca="false">IF(C2527="","",IFERROR(IF(LEFT(C2527,1)="L",INDEX('Leads Pipeline'!$D$5:$D$1004,MATCH(C2527,'Leads Pipeline'!$A$5:$A$1004,0)),INDEX('Active Clients'!$B$5:$B$504,MATCH(C2527,'Active Clients'!$A$5:$A$504,0)))&amp;"","ID not found"))</f>
        <v/>
      </c>
      <c r="F2527" s="51" t="str">
        <f aca="false">IF(C2527="","",IFERROR(IF(LEFT(C2527,1)="L",INDEX('Leads Pipeline'!$E$5:$E$1004,MATCH(C2527,'Leads Pipeline'!$A$5:$A$1004,0)),INDEX('Active Clients'!$C$5:$C$504,MATCH(C2527,'Active Clients'!$A$5:$A$504,0)))&amp;"","ID not found"))</f>
        <v/>
      </c>
      <c r="G2527" s="16"/>
      <c r="H2527" s="16"/>
      <c r="I2527" s="16"/>
      <c r="J2527" s="16"/>
      <c r="K2527" s="16"/>
      <c r="L2527" s="18"/>
    </row>
    <row r="2528" customFormat="false" ht="15" hidden="false" customHeight="false" outlineLevel="0" collapsed="false">
      <c r="A2528" s="18"/>
      <c r="B2528" s="16"/>
      <c r="C2528" s="16"/>
      <c r="D2528" s="51" t="str">
        <f aca="false">IF(C2528="","",IFERROR(IF(LEFT(C2528,1)="L",INDEX('Leads Pipeline'!$F$5:$F$1004,MATCH(C2528,'Leads Pipeline'!$A$5:$A$1004,0)),INDEX('Active Clients'!$D$5:$D$504,MATCH(C2528,'Active Clients'!$A$5:$A$504,0)))&amp;"","ID not found"))</f>
        <v/>
      </c>
      <c r="E2528" s="51" t="str">
        <f aca="false">IF(C2528="","",IFERROR(IF(LEFT(C2528,1)="L",INDEX('Leads Pipeline'!$D$5:$D$1004,MATCH(C2528,'Leads Pipeline'!$A$5:$A$1004,0)),INDEX('Active Clients'!$B$5:$B$504,MATCH(C2528,'Active Clients'!$A$5:$A$504,0)))&amp;"","ID not found"))</f>
        <v/>
      </c>
      <c r="F2528" s="51" t="str">
        <f aca="false">IF(C2528="","",IFERROR(IF(LEFT(C2528,1)="L",INDEX('Leads Pipeline'!$E$5:$E$1004,MATCH(C2528,'Leads Pipeline'!$A$5:$A$1004,0)),INDEX('Active Clients'!$C$5:$C$504,MATCH(C2528,'Active Clients'!$A$5:$A$504,0)))&amp;"","ID not found"))</f>
        <v/>
      </c>
      <c r="G2528" s="16"/>
      <c r="H2528" s="16"/>
      <c r="I2528" s="16"/>
      <c r="J2528" s="16"/>
      <c r="K2528" s="16"/>
      <c r="L2528" s="18"/>
    </row>
    <row r="2529" customFormat="false" ht="15" hidden="false" customHeight="false" outlineLevel="0" collapsed="false">
      <c r="A2529" s="18"/>
      <c r="B2529" s="16"/>
      <c r="C2529" s="16"/>
      <c r="D2529" s="51" t="str">
        <f aca="false">IF(C2529="","",IFERROR(IF(LEFT(C2529,1)="L",INDEX('Leads Pipeline'!$F$5:$F$1004,MATCH(C2529,'Leads Pipeline'!$A$5:$A$1004,0)),INDEX('Active Clients'!$D$5:$D$504,MATCH(C2529,'Active Clients'!$A$5:$A$504,0)))&amp;"","ID not found"))</f>
        <v/>
      </c>
      <c r="E2529" s="51" t="str">
        <f aca="false">IF(C2529="","",IFERROR(IF(LEFT(C2529,1)="L",INDEX('Leads Pipeline'!$D$5:$D$1004,MATCH(C2529,'Leads Pipeline'!$A$5:$A$1004,0)),INDEX('Active Clients'!$B$5:$B$504,MATCH(C2529,'Active Clients'!$A$5:$A$504,0)))&amp;"","ID not found"))</f>
        <v/>
      </c>
      <c r="F2529" s="51" t="str">
        <f aca="false">IF(C2529="","",IFERROR(IF(LEFT(C2529,1)="L",INDEX('Leads Pipeline'!$E$5:$E$1004,MATCH(C2529,'Leads Pipeline'!$A$5:$A$1004,0)),INDEX('Active Clients'!$C$5:$C$504,MATCH(C2529,'Active Clients'!$A$5:$A$504,0)))&amp;"","ID not found"))</f>
        <v/>
      </c>
      <c r="G2529" s="16"/>
      <c r="H2529" s="16"/>
      <c r="I2529" s="16"/>
      <c r="J2529" s="16"/>
      <c r="K2529" s="16"/>
      <c r="L2529" s="18"/>
    </row>
    <row r="2530" customFormat="false" ht="15" hidden="false" customHeight="false" outlineLevel="0" collapsed="false">
      <c r="A2530" s="18"/>
      <c r="B2530" s="16"/>
      <c r="C2530" s="16"/>
      <c r="D2530" s="51" t="str">
        <f aca="false">IF(C2530="","",IFERROR(IF(LEFT(C2530,1)="L",INDEX('Leads Pipeline'!$F$5:$F$1004,MATCH(C2530,'Leads Pipeline'!$A$5:$A$1004,0)),INDEX('Active Clients'!$D$5:$D$504,MATCH(C2530,'Active Clients'!$A$5:$A$504,0)))&amp;"","ID not found"))</f>
        <v/>
      </c>
      <c r="E2530" s="51" t="str">
        <f aca="false">IF(C2530="","",IFERROR(IF(LEFT(C2530,1)="L",INDEX('Leads Pipeline'!$D$5:$D$1004,MATCH(C2530,'Leads Pipeline'!$A$5:$A$1004,0)),INDEX('Active Clients'!$B$5:$B$504,MATCH(C2530,'Active Clients'!$A$5:$A$504,0)))&amp;"","ID not found"))</f>
        <v/>
      </c>
      <c r="F2530" s="51" t="str">
        <f aca="false">IF(C2530="","",IFERROR(IF(LEFT(C2530,1)="L",INDEX('Leads Pipeline'!$E$5:$E$1004,MATCH(C2530,'Leads Pipeline'!$A$5:$A$1004,0)),INDEX('Active Clients'!$C$5:$C$504,MATCH(C2530,'Active Clients'!$A$5:$A$504,0)))&amp;"","ID not found"))</f>
        <v/>
      </c>
      <c r="G2530" s="16"/>
      <c r="H2530" s="16"/>
      <c r="I2530" s="16"/>
      <c r="J2530" s="16"/>
      <c r="K2530" s="16"/>
      <c r="L2530" s="18"/>
    </row>
    <row r="2531" customFormat="false" ht="15" hidden="false" customHeight="false" outlineLevel="0" collapsed="false">
      <c r="A2531" s="18"/>
      <c r="B2531" s="16"/>
      <c r="C2531" s="16"/>
      <c r="D2531" s="51" t="str">
        <f aca="false">IF(C2531="","",IFERROR(IF(LEFT(C2531,1)="L",INDEX('Leads Pipeline'!$F$5:$F$1004,MATCH(C2531,'Leads Pipeline'!$A$5:$A$1004,0)),INDEX('Active Clients'!$D$5:$D$504,MATCH(C2531,'Active Clients'!$A$5:$A$504,0)))&amp;"","ID not found"))</f>
        <v/>
      </c>
      <c r="E2531" s="51" t="str">
        <f aca="false">IF(C2531="","",IFERROR(IF(LEFT(C2531,1)="L",INDEX('Leads Pipeline'!$D$5:$D$1004,MATCH(C2531,'Leads Pipeline'!$A$5:$A$1004,0)),INDEX('Active Clients'!$B$5:$B$504,MATCH(C2531,'Active Clients'!$A$5:$A$504,0)))&amp;"","ID not found"))</f>
        <v/>
      </c>
      <c r="F2531" s="51" t="str">
        <f aca="false">IF(C2531="","",IFERROR(IF(LEFT(C2531,1)="L",INDEX('Leads Pipeline'!$E$5:$E$1004,MATCH(C2531,'Leads Pipeline'!$A$5:$A$1004,0)),INDEX('Active Clients'!$C$5:$C$504,MATCH(C2531,'Active Clients'!$A$5:$A$504,0)))&amp;"","ID not found"))</f>
        <v/>
      </c>
      <c r="G2531" s="16"/>
      <c r="H2531" s="16"/>
      <c r="I2531" s="16"/>
      <c r="J2531" s="16"/>
      <c r="K2531" s="16"/>
      <c r="L2531" s="18"/>
    </row>
    <row r="2532" customFormat="false" ht="15" hidden="false" customHeight="false" outlineLevel="0" collapsed="false">
      <c r="A2532" s="18"/>
      <c r="B2532" s="16"/>
      <c r="C2532" s="16"/>
      <c r="D2532" s="51" t="str">
        <f aca="false">IF(C2532="","",IFERROR(IF(LEFT(C2532,1)="L",INDEX('Leads Pipeline'!$F$5:$F$1004,MATCH(C2532,'Leads Pipeline'!$A$5:$A$1004,0)),INDEX('Active Clients'!$D$5:$D$504,MATCH(C2532,'Active Clients'!$A$5:$A$504,0)))&amp;"","ID not found"))</f>
        <v/>
      </c>
      <c r="E2532" s="51" t="str">
        <f aca="false">IF(C2532="","",IFERROR(IF(LEFT(C2532,1)="L",INDEX('Leads Pipeline'!$D$5:$D$1004,MATCH(C2532,'Leads Pipeline'!$A$5:$A$1004,0)),INDEX('Active Clients'!$B$5:$B$504,MATCH(C2532,'Active Clients'!$A$5:$A$504,0)))&amp;"","ID not found"))</f>
        <v/>
      </c>
      <c r="F2532" s="51" t="str">
        <f aca="false">IF(C2532="","",IFERROR(IF(LEFT(C2532,1)="L",INDEX('Leads Pipeline'!$E$5:$E$1004,MATCH(C2532,'Leads Pipeline'!$A$5:$A$1004,0)),INDEX('Active Clients'!$C$5:$C$504,MATCH(C2532,'Active Clients'!$A$5:$A$504,0)))&amp;"","ID not found"))</f>
        <v/>
      </c>
      <c r="G2532" s="16"/>
      <c r="H2532" s="16"/>
      <c r="I2532" s="16"/>
      <c r="J2532" s="16"/>
      <c r="K2532" s="16"/>
      <c r="L2532" s="18"/>
    </row>
    <row r="2533" customFormat="false" ht="15" hidden="false" customHeight="false" outlineLevel="0" collapsed="false">
      <c r="A2533" s="18"/>
      <c r="B2533" s="16"/>
      <c r="C2533" s="16"/>
      <c r="D2533" s="51" t="str">
        <f aca="false">IF(C2533="","",IFERROR(IF(LEFT(C2533,1)="L",INDEX('Leads Pipeline'!$F$5:$F$1004,MATCH(C2533,'Leads Pipeline'!$A$5:$A$1004,0)),INDEX('Active Clients'!$D$5:$D$504,MATCH(C2533,'Active Clients'!$A$5:$A$504,0)))&amp;"","ID not found"))</f>
        <v/>
      </c>
      <c r="E2533" s="51" t="str">
        <f aca="false">IF(C2533="","",IFERROR(IF(LEFT(C2533,1)="L",INDEX('Leads Pipeline'!$D$5:$D$1004,MATCH(C2533,'Leads Pipeline'!$A$5:$A$1004,0)),INDEX('Active Clients'!$B$5:$B$504,MATCH(C2533,'Active Clients'!$A$5:$A$504,0)))&amp;"","ID not found"))</f>
        <v/>
      </c>
      <c r="F2533" s="51" t="str">
        <f aca="false">IF(C2533="","",IFERROR(IF(LEFT(C2533,1)="L",INDEX('Leads Pipeline'!$E$5:$E$1004,MATCH(C2533,'Leads Pipeline'!$A$5:$A$1004,0)),INDEX('Active Clients'!$C$5:$C$504,MATCH(C2533,'Active Clients'!$A$5:$A$504,0)))&amp;"","ID not found"))</f>
        <v/>
      </c>
      <c r="G2533" s="16"/>
      <c r="H2533" s="16"/>
      <c r="I2533" s="16"/>
      <c r="J2533" s="16"/>
      <c r="K2533" s="16"/>
      <c r="L2533" s="18"/>
    </row>
    <row r="2534" customFormat="false" ht="15" hidden="false" customHeight="false" outlineLevel="0" collapsed="false">
      <c r="A2534" s="18"/>
      <c r="B2534" s="16"/>
      <c r="C2534" s="16"/>
      <c r="D2534" s="51" t="str">
        <f aca="false">IF(C2534="","",IFERROR(IF(LEFT(C2534,1)="L",INDEX('Leads Pipeline'!$F$5:$F$1004,MATCH(C2534,'Leads Pipeline'!$A$5:$A$1004,0)),INDEX('Active Clients'!$D$5:$D$504,MATCH(C2534,'Active Clients'!$A$5:$A$504,0)))&amp;"","ID not found"))</f>
        <v/>
      </c>
      <c r="E2534" s="51" t="str">
        <f aca="false">IF(C2534="","",IFERROR(IF(LEFT(C2534,1)="L",INDEX('Leads Pipeline'!$D$5:$D$1004,MATCH(C2534,'Leads Pipeline'!$A$5:$A$1004,0)),INDEX('Active Clients'!$B$5:$B$504,MATCH(C2534,'Active Clients'!$A$5:$A$504,0)))&amp;"","ID not found"))</f>
        <v/>
      </c>
      <c r="F2534" s="51" t="str">
        <f aca="false">IF(C2534="","",IFERROR(IF(LEFT(C2534,1)="L",INDEX('Leads Pipeline'!$E$5:$E$1004,MATCH(C2534,'Leads Pipeline'!$A$5:$A$1004,0)),INDEX('Active Clients'!$C$5:$C$504,MATCH(C2534,'Active Clients'!$A$5:$A$504,0)))&amp;"","ID not found"))</f>
        <v/>
      </c>
      <c r="G2534" s="16"/>
      <c r="H2534" s="16"/>
      <c r="I2534" s="16"/>
      <c r="J2534" s="16"/>
      <c r="K2534" s="16"/>
      <c r="L2534" s="18"/>
    </row>
    <row r="2535" customFormat="false" ht="15" hidden="false" customHeight="false" outlineLevel="0" collapsed="false">
      <c r="A2535" s="18"/>
      <c r="B2535" s="16"/>
      <c r="C2535" s="16"/>
      <c r="D2535" s="51" t="str">
        <f aca="false">IF(C2535="","",IFERROR(IF(LEFT(C2535,1)="L",INDEX('Leads Pipeline'!$F$5:$F$1004,MATCH(C2535,'Leads Pipeline'!$A$5:$A$1004,0)),INDEX('Active Clients'!$D$5:$D$504,MATCH(C2535,'Active Clients'!$A$5:$A$504,0)))&amp;"","ID not found"))</f>
        <v/>
      </c>
      <c r="E2535" s="51" t="str">
        <f aca="false">IF(C2535="","",IFERROR(IF(LEFT(C2535,1)="L",INDEX('Leads Pipeline'!$D$5:$D$1004,MATCH(C2535,'Leads Pipeline'!$A$5:$A$1004,0)),INDEX('Active Clients'!$B$5:$B$504,MATCH(C2535,'Active Clients'!$A$5:$A$504,0)))&amp;"","ID not found"))</f>
        <v/>
      </c>
      <c r="F2535" s="51" t="str">
        <f aca="false">IF(C2535="","",IFERROR(IF(LEFT(C2535,1)="L",INDEX('Leads Pipeline'!$E$5:$E$1004,MATCH(C2535,'Leads Pipeline'!$A$5:$A$1004,0)),INDEX('Active Clients'!$C$5:$C$504,MATCH(C2535,'Active Clients'!$A$5:$A$504,0)))&amp;"","ID not found"))</f>
        <v/>
      </c>
      <c r="G2535" s="16"/>
      <c r="H2535" s="16"/>
      <c r="I2535" s="16"/>
      <c r="J2535" s="16"/>
      <c r="K2535" s="16"/>
      <c r="L2535" s="18"/>
    </row>
    <row r="2536" customFormat="false" ht="15" hidden="false" customHeight="false" outlineLevel="0" collapsed="false">
      <c r="A2536" s="18"/>
      <c r="B2536" s="16"/>
      <c r="C2536" s="16"/>
      <c r="D2536" s="51" t="str">
        <f aca="false">IF(C2536="","",IFERROR(IF(LEFT(C2536,1)="L",INDEX('Leads Pipeline'!$F$5:$F$1004,MATCH(C2536,'Leads Pipeline'!$A$5:$A$1004,0)),INDEX('Active Clients'!$D$5:$D$504,MATCH(C2536,'Active Clients'!$A$5:$A$504,0)))&amp;"","ID not found"))</f>
        <v/>
      </c>
      <c r="E2536" s="51" t="str">
        <f aca="false">IF(C2536="","",IFERROR(IF(LEFT(C2536,1)="L",INDEX('Leads Pipeline'!$D$5:$D$1004,MATCH(C2536,'Leads Pipeline'!$A$5:$A$1004,0)),INDEX('Active Clients'!$B$5:$B$504,MATCH(C2536,'Active Clients'!$A$5:$A$504,0)))&amp;"","ID not found"))</f>
        <v/>
      </c>
      <c r="F2536" s="51" t="str">
        <f aca="false">IF(C2536="","",IFERROR(IF(LEFT(C2536,1)="L",INDEX('Leads Pipeline'!$E$5:$E$1004,MATCH(C2536,'Leads Pipeline'!$A$5:$A$1004,0)),INDEX('Active Clients'!$C$5:$C$504,MATCH(C2536,'Active Clients'!$A$5:$A$504,0)))&amp;"","ID not found"))</f>
        <v/>
      </c>
      <c r="G2536" s="16"/>
      <c r="H2536" s="16"/>
      <c r="I2536" s="16"/>
      <c r="J2536" s="16"/>
      <c r="K2536" s="16"/>
      <c r="L2536" s="18"/>
    </row>
    <row r="2537" customFormat="false" ht="15" hidden="false" customHeight="false" outlineLevel="0" collapsed="false">
      <c r="A2537" s="18"/>
      <c r="B2537" s="16"/>
      <c r="C2537" s="16"/>
      <c r="D2537" s="51" t="str">
        <f aca="false">IF(C2537="","",IFERROR(IF(LEFT(C2537,1)="L",INDEX('Leads Pipeline'!$F$5:$F$1004,MATCH(C2537,'Leads Pipeline'!$A$5:$A$1004,0)),INDEX('Active Clients'!$D$5:$D$504,MATCH(C2537,'Active Clients'!$A$5:$A$504,0)))&amp;"","ID not found"))</f>
        <v/>
      </c>
      <c r="E2537" s="51" t="str">
        <f aca="false">IF(C2537="","",IFERROR(IF(LEFT(C2537,1)="L",INDEX('Leads Pipeline'!$D$5:$D$1004,MATCH(C2537,'Leads Pipeline'!$A$5:$A$1004,0)),INDEX('Active Clients'!$B$5:$B$504,MATCH(C2537,'Active Clients'!$A$5:$A$504,0)))&amp;"","ID not found"))</f>
        <v/>
      </c>
      <c r="F2537" s="51" t="str">
        <f aca="false">IF(C2537="","",IFERROR(IF(LEFT(C2537,1)="L",INDEX('Leads Pipeline'!$E$5:$E$1004,MATCH(C2537,'Leads Pipeline'!$A$5:$A$1004,0)),INDEX('Active Clients'!$C$5:$C$504,MATCH(C2537,'Active Clients'!$A$5:$A$504,0)))&amp;"","ID not found"))</f>
        <v/>
      </c>
      <c r="G2537" s="16"/>
      <c r="H2537" s="16"/>
      <c r="I2537" s="16"/>
      <c r="J2537" s="16"/>
      <c r="K2537" s="16"/>
      <c r="L2537" s="18"/>
    </row>
    <row r="2538" customFormat="false" ht="15" hidden="false" customHeight="false" outlineLevel="0" collapsed="false">
      <c r="A2538" s="18"/>
      <c r="B2538" s="16"/>
      <c r="C2538" s="16"/>
      <c r="D2538" s="51" t="str">
        <f aca="false">IF(C2538="","",IFERROR(IF(LEFT(C2538,1)="L",INDEX('Leads Pipeline'!$F$5:$F$1004,MATCH(C2538,'Leads Pipeline'!$A$5:$A$1004,0)),INDEX('Active Clients'!$D$5:$D$504,MATCH(C2538,'Active Clients'!$A$5:$A$504,0)))&amp;"","ID not found"))</f>
        <v/>
      </c>
      <c r="E2538" s="51" t="str">
        <f aca="false">IF(C2538="","",IFERROR(IF(LEFT(C2538,1)="L",INDEX('Leads Pipeline'!$D$5:$D$1004,MATCH(C2538,'Leads Pipeline'!$A$5:$A$1004,0)),INDEX('Active Clients'!$B$5:$B$504,MATCH(C2538,'Active Clients'!$A$5:$A$504,0)))&amp;"","ID not found"))</f>
        <v/>
      </c>
      <c r="F2538" s="51" t="str">
        <f aca="false">IF(C2538="","",IFERROR(IF(LEFT(C2538,1)="L",INDEX('Leads Pipeline'!$E$5:$E$1004,MATCH(C2538,'Leads Pipeline'!$A$5:$A$1004,0)),INDEX('Active Clients'!$C$5:$C$504,MATCH(C2538,'Active Clients'!$A$5:$A$504,0)))&amp;"","ID not found"))</f>
        <v/>
      </c>
      <c r="G2538" s="16"/>
      <c r="H2538" s="16"/>
      <c r="I2538" s="16"/>
      <c r="J2538" s="16"/>
      <c r="K2538" s="16"/>
      <c r="L2538" s="18"/>
    </row>
    <row r="2539" customFormat="false" ht="15" hidden="false" customHeight="false" outlineLevel="0" collapsed="false">
      <c r="A2539" s="18"/>
      <c r="B2539" s="16"/>
      <c r="C2539" s="16"/>
      <c r="D2539" s="51" t="str">
        <f aca="false">IF(C2539="","",IFERROR(IF(LEFT(C2539,1)="L",INDEX('Leads Pipeline'!$F$5:$F$1004,MATCH(C2539,'Leads Pipeline'!$A$5:$A$1004,0)),INDEX('Active Clients'!$D$5:$D$504,MATCH(C2539,'Active Clients'!$A$5:$A$504,0)))&amp;"","ID not found"))</f>
        <v/>
      </c>
      <c r="E2539" s="51" t="str">
        <f aca="false">IF(C2539="","",IFERROR(IF(LEFT(C2539,1)="L",INDEX('Leads Pipeline'!$D$5:$D$1004,MATCH(C2539,'Leads Pipeline'!$A$5:$A$1004,0)),INDEX('Active Clients'!$B$5:$B$504,MATCH(C2539,'Active Clients'!$A$5:$A$504,0)))&amp;"","ID not found"))</f>
        <v/>
      </c>
      <c r="F2539" s="51" t="str">
        <f aca="false">IF(C2539="","",IFERROR(IF(LEFT(C2539,1)="L",INDEX('Leads Pipeline'!$E$5:$E$1004,MATCH(C2539,'Leads Pipeline'!$A$5:$A$1004,0)),INDEX('Active Clients'!$C$5:$C$504,MATCH(C2539,'Active Clients'!$A$5:$A$504,0)))&amp;"","ID not found"))</f>
        <v/>
      </c>
      <c r="G2539" s="16"/>
      <c r="H2539" s="16"/>
      <c r="I2539" s="16"/>
      <c r="J2539" s="16"/>
      <c r="K2539" s="16"/>
      <c r="L2539" s="18"/>
    </row>
    <row r="2540" customFormat="false" ht="15" hidden="false" customHeight="false" outlineLevel="0" collapsed="false">
      <c r="A2540" s="18"/>
      <c r="B2540" s="16"/>
      <c r="C2540" s="16"/>
      <c r="D2540" s="51" t="str">
        <f aca="false">IF(C2540="","",IFERROR(IF(LEFT(C2540,1)="L",INDEX('Leads Pipeline'!$F$5:$F$1004,MATCH(C2540,'Leads Pipeline'!$A$5:$A$1004,0)),INDEX('Active Clients'!$D$5:$D$504,MATCH(C2540,'Active Clients'!$A$5:$A$504,0)))&amp;"","ID not found"))</f>
        <v/>
      </c>
      <c r="E2540" s="51" t="str">
        <f aca="false">IF(C2540="","",IFERROR(IF(LEFT(C2540,1)="L",INDEX('Leads Pipeline'!$D$5:$D$1004,MATCH(C2540,'Leads Pipeline'!$A$5:$A$1004,0)),INDEX('Active Clients'!$B$5:$B$504,MATCH(C2540,'Active Clients'!$A$5:$A$504,0)))&amp;"","ID not found"))</f>
        <v/>
      </c>
      <c r="F2540" s="51" t="str">
        <f aca="false">IF(C2540="","",IFERROR(IF(LEFT(C2540,1)="L",INDEX('Leads Pipeline'!$E$5:$E$1004,MATCH(C2540,'Leads Pipeline'!$A$5:$A$1004,0)),INDEX('Active Clients'!$C$5:$C$504,MATCH(C2540,'Active Clients'!$A$5:$A$504,0)))&amp;"","ID not found"))</f>
        <v/>
      </c>
      <c r="G2540" s="16"/>
      <c r="H2540" s="16"/>
      <c r="I2540" s="16"/>
      <c r="J2540" s="16"/>
      <c r="K2540" s="16"/>
      <c r="L2540" s="18"/>
    </row>
    <row r="2541" customFormat="false" ht="15" hidden="false" customHeight="false" outlineLevel="0" collapsed="false">
      <c r="A2541" s="18"/>
      <c r="B2541" s="16"/>
      <c r="C2541" s="16"/>
      <c r="D2541" s="51" t="str">
        <f aca="false">IF(C2541="","",IFERROR(IF(LEFT(C2541,1)="L",INDEX('Leads Pipeline'!$F$5:$F$1004,MATCH(C2541,'Leads Pipeline'!$A$5:$A$1004,0)),INDEX('Active Clients'!$D$5:$D$504,MATCH(C2541,'Active Clients'!$A$5:$A$504,0)))&amp;"","ID not found"))</f>
        <v/>
      </c>
      <c r="E2541" s="51" t="str">
        <f aca="false">IF(C2541="","",IFERROR(IF(LEFT(C2541,1)="L",INDEX('Leads Pipeline'!$D$5:$D$1004,MATCH(C2541,'Leads Pipeline'!$A$5:$A$1004,0)),INDEX('Active Clients'!$B$5:$B$504,MATCH(C2541,'Active Clients'!$A$5:$A$504,0)))&amp;"","ID not found"))</f>
        <v/>
      </c>
      <c r="F2541" s="51" t="str">
        <f aca="false">IF(C2541="","",IFERROR(IF(LEFT(C2541,1)="L",INDEX('Leads Pipeline'!$E$5:$E$1004,MATCH(C2541,'Leads Pipeline'!$A$5:$A$1004,0)),INDEX('Active Clients'!$C$5:$C$504,MATCH(C2541,'Active Clients'!$A$5:$A$504,0)))&amp;"","ID not found"))</f>
        <v/>
      </c>
      <c r="G2541" s="16"/>
      <c r="H2541" s="16"/>
      <c r="I2541" s="16"/>
      <c r="J2541" s="16"/>
      <c r="K2541" s="16"/>
      <c r="L2541" s="18"/>
    </row>
    <row r="2542" customFormat="false" ht="15" hidden="false" customHeight="false" outlineLevel="0" collapsed="false">
      <c r="A2542" s="18"/>
      <c r="B2542" s="16"/>
      <c r="C2542" s="16"/>
      <c r="D2542" s="51" t="str">
        <f aca="false">IF(C2542="","",IFERROR(IF(LEFT(C2542,1)="L",INDEX('Leads Pipeline'!$F$5:$F$1004,MATCH(C2542,'Leads Pipeline'!$A$5:$A$1004,0)),INDEX('Active Clients'!$D$5:$D$504,MATCH(C2542,'Active Clients'!$A$5:$A$504,0)))&amp;"","ID not found"))</f>
        <v/>
      </c>
      <c r="E2542" s="51" t="str">
        <f aca="false">IF(C2542="","",IFERROR(IF(LEFT(C2542,1)="L",INDEX('Leads Pipeline'!$D$5:$D$1004,MATCH(C2542,'Leads Pipeline'!$A$5:$A$1004,0)),INDEX('Active Clients'!$B$5:$B$504,MATCH(C2542,'Active Clients'!$A$5:$A$504,0)))&amp;"","ID not found"))</f>
        <v/>
      </c>
      <c r="F2542" s="51" t="str">
        <f aca="false">IF(C2542="","",IFERROR(IF(LEFT(C2542,1)="L",INDEX('Leads Pipeline'!$E$5:$E$1004,MATCH(C2542,'Leads Pipeline'!$A$5:$A$1004,0)),INDEX('Active Clients'!$C$5:$C$504,MATCH(C2542,'Active Clients'!$A$5:$A$504,0)))&amp;"","ID not found"))</f>
        <v/>
      </c>
      <c r="G2542" s="16"/>
      <c r="H2542" s="16"/>
      <c r="I2542" s="16"/>
      <c r="J2542" s="16"/>
      <c r="K2542" s="16"/>
      <c r="L2542" s="18"/>
    </row>
    <row r="2543" customFormat="false" ht="15" hidden="false" customHeight="false" outlineLevel="0" collapsed="false">
      <c r="A2543" s="18"/>
      <c r="B2543" s="16"/>
      <c r="C2543" s="16"/>
      <c r="D2543" s="51" t="str">
        <f aca="false">IF(C2543="","",IFERROR(IF(LEFT(C2543,1)="L",INDEX('Leads Pipeline'!$F$5:$F$1004,MATCH(C2543,'Leads Pipeline'!$A$5:$A$1004,0)),INDEX('Active Clients'!$D$5:$D$504,MATCH(C2543,'Active Clients'!$A$5:$A$504,0)))&amp;"","ID not found"))</f>
        <v/>
      </c>
      <c r="E2543" s="51" t="str">
        <f aca="false">IF(C2543="","",IFERROR(IF(LEFT(C2543,1)="L",INDEX('Leads Pipeline'!$D$5:$D$1004,MATCH(C2543,'Leads Pipeline'!$A$5:$A$1004,0)),INDEX('Active Clients'!$B$5:$B$504,MATCH(C2543,'Active Clients'!$A$5:$A$504,0)))&amp;"","ID not found"))</f>
        <v/>
      </c>
      <c r="F2543" s="51" t="str">
        <f aca="false">IF(C2543="","",IFERROR(IF(LEFT(C2543,1)="L",INDEX('Leads Pipeline'!$E$5:$E$1004,MATCH(C2543,'Leads Pipeline'!$A$5:$A$1004,0)),INDEX('Active Clients'!$C$5:$C$504,MATCH(C2543,'Active Clients'!$A$5:$A$504,0)))&amp;"","ID not found"))</f>
        <v/>
      </c>
      <c r="G2543" s="16"/>
      <c r="H2543" s="16"/>
      <c r="I2543" s="16"/>
      <c r="J2543" s="16"/>
      <c r="K2543" s="16"/>
      <c r="L2543" s="18"/>
    </row>
    <row r="2544" customFormat="false" ht="15" hidden="false" customHeight="false" outlineLevel="0" collapsed="false">
      <c r="A2544" s="18"/>
      <c r="B2544" s="16"/>
      <c r="C2544" s="16"/>
      <c r="D2544" s="51" t="str">
        <f aca="false">IF(C2544="","",IFERROR(IF(LEFT(C2544,1)="L",INDEX('Leads Pipeline'!$F$5:$F$1004,MATCH(C2544,'Leads Pipeline'!$A$5:$A$1004,0)),INDEX('Active Clients'!$D$5:$D$504,MATCH(C2544,'Active Clients'!$A$5:$A$504,0)))&amp;"","ID not found"))</f>
        <v/>
      </c>
      <c r="E2544" s="51" t="str">
        <f aca="false">IF(C2544="","",IFERROR(IF(LEFT(C2544,1)="L",INDEX('Leads Pipeline'!$D$5:$D$1004,MATCH(C2544,'Leads Pipeline'!$A$5:$A$1004,0)),INDEX('Active Clients'!$B$5:$B$504,MATCH(C2544,'Active Clients'!$A$5:$A$504,0)))&amp;"","ID not found"))</f>
        <v/>
      </c>
      <c r="F2544" s="51" t="str">
        <f aca="false">IF(C2544="","",IFERROR(IF(LEFT(C2544,1)="L",INDEX('Leads Pipeline'!$E$5:$E$1004,MATCH(C2544,'Leads Pipeline'!$A$5:$A$1004,0)),INDEX('Active Clients'!$C$5:$C$504,MATCH(C2544,'Active Clients'!$A$5:$A$504,0)))&amp;"","ID not found"))</f>
        <v/>
      </c>
      <c r="G2544" s="16"/>
      <c r="H2544" s="16"/>
      <c r="I2544" s="16"/>
      <c r="J2544" s="16"/>
      <c r="K2544" s="16"/>
      <c r="L2544" s="18"/>
    </row>
    <row r="2545" customFormat="false" ht="15" hidden="false" customHeight="false" outlineLevel="0" collapsed="false">
      <c r="A2545" s="18"/>
      <c r="B2545" s="16"/>
      <c r="C2545" s="16"/>
      <c r="D2545" s="51" t="str">
        <f aca="false">IF(C2545="","",IFERROR(IF(LEFT(C2545,1)="L",INDEX('Leads Pipeline'!$F$5:$F$1004,MATCH(C2545,'Leads Pipeline'!$A$5:$A$1004,0)),INDEX('Active Clients'!$D$5:$D$504,MATCH(C2545,'Active Clients'!$A$5:$A$504,0)))&amp;"","ID not found"))</f>
        <v/>
      </c>
      <c r="E2545" s="51" t="str">
        <f aca="false">IF(C2545="","",IFERROR(IF(LEFT(C2545,1)="L",INDEX('Leads Pipeline'!$D$5:$D$1004,MATCH(C2545,'Leads Pipeline'!$A$5:$A$1004,0)),INDEX('Active Clients'!$B$5:$B$504,MATCH(C2545,'Active Clients'!$A$5:$A$504,0)))&amp;"","ID not found"))</f>
        <v/>
      </c>
      <c r="F2545" s="51" t="str">
        <f aca="false">IF(C2545="","",IFERROR(IF(LEFT(C2545,1)="L",INDEX('Leads Pipeline'!$E$5:$E$1004,MATCH(C2545,'Leads Pipeline'!$A$5:$A$1004,0)),INDEX('Active Clients'!$C$5:$C$504,MATCH(C2545,'Active Clients'!$A$5:$A$504,0)))&amp;"","ID not found"))</f>
        <v/>
      </c>
      <c r="G2545" s="16"/>
      <c r="H2545" s="16"/>
      <c r="I2545" s="16"/>
      <c r="J2545" s="16"/>
      <c r="K2545" s="16"/>
      <c r="L2545" s="18"/>
    </row>
    <row r="2546" customFormat="false" ht="15" hidden="false" customHeight="false" outlineLevel="0" collapsed="false">
      <c r="A2546" s="18"/>
      <c r="B2546" s="16"/>
      <c r="C2546" s="16"/>
      <c r="D2546" s="51" t="str">
        <f aca="false">IF(C2546="","",IFERROR(IF(LEFT(C2546,1)="L",INDEX('Leads Pipeline'!$F$5:$F$1004,MATCH(C2546,'Leads Pipeline'!$A$5:$A$1004,0)),INDEX('Active Clients'!$D$5:$D$504,MATCH(C2546,'Active Clients'!$A$5:$A$504,0)))&amp;"","ID not found"))</f>
        <v/>
      </c>
      <c r="E2546" s="51" t="str">
        <f aca="false">IF(C2546="","",IFERROR(IF(LEFT(C2546,1)="L",INDEX('Leads Pipeline'!$D$5:$D$1004,MATCH(C2546,'Leads Pipeline'!$A$5:$A$1004,0)),INDEX('Active Clients'!$B$5:$B$504,MATCH(C2546,'Active Clients'!$A$5:$A$504,0)))&amp;"","ID not found"))</f>
        <v/>
      </c>
      <c r="F2546" s="51" t="str">
        <f aca="false">IF(C2546="","",IFERROR(IF(LEFT(C2546,1)="L",INDEX('Leads Pipeline'!$E$5:$E$1004,MATCH(C2546,'Leads Pipeline'!$A$5:$A$1004,0)),INDEX('Active Clients'!$C$5:$C$504,MATCH(C2546,'Active Clients'!$A$5:$A$504,0)))&amp;"","ID not found"))</f>
        <v/>
      </c>
      <c r="G2546" s="16"/>
      <c r="H2546" s="16"/>
      <c r="I2546" s="16"/>
      <c r="J2546" s="16"/>
      <c r="K2546" s="16"/>
      <c r="L2546" s="18"/>
    </row>
    <row r="2547" customFormat="false" ht="15" hidden="false" customHeight="false" outlineLevel="0" collapsed="false">
      <c r="A2547" s="18"/>
      <c r="B2547" s="16"/>
      <c r="C2547" s="16"/>
      <c r="D2547" s="51" t="str">
        <f aca="false">IF(C2547="","",IFERROR(IF(LEFT(C2547,1)="L",INDEX('Leads Pipeline'!$F$5:$F$1004,MATCH(C2547,'Leads Pipeline'!$A$5:$A$1004,0)),INDEX('Active Clients'!$D$5:$D$504,MATCH(C2547,'Active Clients'!$A$5:$A$504,0)))&amp;"","ID not found"))</f>
        <v/>
      </c>
      <c r="E2547" s="51" t="str">
        <f aca="false">IF(C2547="","",IFERROR(IF(LEFT(C2547,1)="L",INDEX('Leads Pipeline'!$D$5:$D$1004,MATCH(C2547,'Leads Pipeline'!$A$5:$A$1004,0)),INDEX('Active Clients'!$B$5:$B$504,MATCH(C2547,'Active Clients'!$A$5:$A$504,0)))&amp;"","ID not found"))</f>
        <v/>
      </c>
      <c r="F2547" s="51" t="str">
        <f aca="false">IF(C2547="","",IFERROR(IF(LEFT(C2547,1)="L",INDEX('Leads Pipeline'!$E$5:$E$1004,MATCH(C2547,'Leads Pipeline'!$A$5:$A$1004,0)),INDEX('Active Clients'!$C$5:$C$504,MATCH(C2547,'Active Clients'!$A$5:$A$504,0)))&amp;"","ID not found"))</f>
        <v/>
      </c>
      <c r="G2547" s="16"/>
      <c r="H2547" s="16"/>
      <c r="I2547" s="16"/>
      <c r="J2547" s="16"/>
      <c r="K2547" s="16"/>
      <c r="L2547" s="18"/>
    </row>
    <row r="2548" customFormat="false" ht="15" hidden="false" customHeight="false" outlineLevel="0" collapsed="false">
      <c r="A2548" s="18"/>
      <c r="B2548" s="16"/>
      <c r="C2548" s="16"/>
      <c r="D2548" s="51" t="str">
        <f aca="false">IF(C2548="","",IFERROR(IF(LEFT(C2548,1)="L",INDEX('Leads Pipeline'!$F$5:$F$1004,MATCH(C2548,'Leads Pipeline'!$A$5:$A$1004,0)),INDEX('Active Clients'!$D$5:$D$504,MATCH(C2548,'Active Clients'!$A$5:$A$504,0)))&amp;"","ID not found"))</f>
        <v/>
      </c>
      <c r="E2548" s="51" t="str">
        <f aca="false">IF(C2548="","",IFERROR(IF(LEFT(C2548,1)="L",INDEX('Leads Pipeline'!$D$5:$D$1004,MATCH(C2548,'Leads Pipeline'!$A$5:$A$1004,0)),INDEX('Active Clients'!$B$5:$B$504,MATCH(C2548,'Active Clients'!$A$5:$A$504,0)))&amp;"","ID not found"))</f>
        <v/>
      </c>
      <c r="F2548" s="51" t="str">
        <f aca="false">IF(C2548="","",IFERROR(IF(LEFT(C2548,1)="L",INDEX('Leads Pipeline'!$E$5:$E$1004,MATCH(C2548,'Leads Pipeline'!$A$5:$A$1004,0)),INDEX('Active Clients'!$C$5:$C$504,MATCH(C2548,'Active Clients'!$A$5:$A$504,0)))&amp;"","ID not found"))</f>
        <v/>
      </c>
      <c r="G2548" s="16"/>
      <c r="H2548" s="16"/>
      <c r="I2548" s="16"/>
      <c r="J2548" s="16"/>
      <c r="K2548" s="16"/>
      <c r="L2548" s="18"/>
    </row>
    <row r="2549" customFormat="false" ht="15" hidden="false" customHeight="false" outlineLevel="0" collapsed="false">
      <c r="A2549" s="18"/>
      <c r="B2549" s="16"/>
      <c r="C2549" s="16"/>
      <c r="D2549" s="51" t="str">
        <f aca="false">IF(C2549="","",IFERROR(IF(LEFT(C2549,1)="L",INDEX('Leads Pipeline'!$F$5:$F$1004,MATCH(C2549,'Leads Pipeline'!$A$5:$A$1004,0)),INDEX('Active Clients'!$D$5:$D$504,MATCH(C2549,'Active Clients'!$A$5:$A$504,0)))&amp;"","ID not found"))</f>
        <v/>
      </c>
      <c r="E2549" s="51" t="str">
        <f aca="false">IF(C2549="","",IFERROR(IF(LEFT(C2549,1)="L",INDEX('Leads Pipeline'!$D$5:$D$1004,MATCH(C2549,'Leads Pipeline'!$A$5:$A$1004,0)),INDEX('Active Clients'!$B$5:$B$504,MATCH(C2549,'Active Clients'!$A$5:$A$504,0)))&amp;"","ID not found"))</f>
        <v/>
      </c>
      <c r="F2549" s="51" t="str">
        <f aca="false">IF(C2549="","",IFERROR(IF(LEFT(C2549,1)="L",INDEX('Leads Pipeline'!$E$5:$E$1004,MATCH(C2549,'Leads Pipeline'!$A$5:$A$1004,0)),INDEX('Active Clients'!$C$5:$C$504,MATCH(C2549,'Active Clients'!$A$5:$A$504,0)))&amp;"","ID not found"))</f>
        <v/>
      </c>
      <c r="G2549" s="16"/>
      <c r="H2549" s="16"/>
      <c r="I2549" s="16"/>
      <c r="J2549" s="16"/>
      <c r="K2549" s="16"/>
      <c r="L2549" s="18"/>
    </row>
    <row r="2550" customFormat="false" ht="15" hidden="false" customHeight="false" outlineLevel="0" collapsed="false">
      <c r="A2550" s="18"/>
      <c r="B2550" s="16"/>
      <c r="C2550" s="16"/>
      <c r="D2550" s="51" t="str">
        <f aca="false">IF(C2550="","",IFERROR(IF(LEFT(C2550,1)="L",INDEX('Leads Pipeline'!$F$5:$F$1004,MATCH(C2550,'Leads Pipeline'!$A$5:$A$1004,0)),INDEX('Active Clients'!$D$5:$D$504,MATCH(C2550,'Active Clients'!$A$5:$A$504,0)))&amp;"","ID not found"))</f>
        <v/>
      </c>
      <c r="E2550" s="51" t="str">
        <f aca="false">IF(C2550="","",IFERROR(IF(LEFT(C2550,1)="L",INDEX('Leads Pipeline'!$D$5:$D$1004,MATCH(C2550,'Leads Pipeline'!$A$5:$A$1004,0)),INDEX('Active Clients'!$B$5:$B$504,MATCH(C2550,'Active Clients'!$A$5:$A$504,0)))&amp;"","ID not found"))</f>
        <v/>
      </c>
      <c r="F2550" s="51" t="str">
        <f aca="false">IF(C2550="","",IFERROR(IF(LEFT(C2550,1)="L",INDEX('Leads Pipeline'!$E$5:$E$1004,MATCH(C2550,'Leads Pipeline'!$A$5:$A$1004,0)),INDEX('Active Clients'!$C$5:$C$504,MATCH(C2550,'Active Clients'!$A$5:$A$504,0)))&amp;"","ID not found"))</f>
        <v/>
      </c>
      <c r="G2550" s="16"/>
      <c r="H2550" s="16"/>
      <c r="I2550" s="16"/>
      <c r="J2550" s="16"/>
      <c r="K2550" s="16"/>
      <c r="L2550" s="18"/>
    </row>
    <row r="2551" customFormat="false" ht="15" hidden="false" customHeight="false" outlineLevel="0" collapsed="false">
      <c r="A2551" s="18"/>
      <c r="B2551" s="16"/>
      <c r="C2551" s="16"/>
      <c r="D2551" s="51" t="str">
        <f aca="false">IF(C2551="","",IFERROR(IF(LEFT(C2551,1)="L",INDEX('Leads Pipeline'!$F$5:$F$1004,MATCH(C2551,'Leads Pipeline'!$A$5:$A$1004,0)),INDEX('Active Clients'!$D$5:$D$504,MATCH(C2551,'Active Clients'!$A$5:$A$504,0)))&amp;"","ID not found"))</f>
        <v/>
      </c>
      <c r="E2551" s="51" t="str">
        <f aca="false">IF(C2551="","",IFERROR(IF(LEFT(C2551,1)="L",INDEX('Leads Pipeline'!$D$5:$D$1004,MATCH(C2551,'Leads Pipeline'!$A$5:$A$1004,0)),INDEX('Active Clients'!$B$5:$B$504,MATCH(C2551,'Active Clients'!$A$5:$A$504,0)))&amp;"","ID not found"))</f>
        <v/>
      </c>
      <c r="F2551" s="51" t="str">
        <f aca="false">IF(C2551="","",IFERROR(IF(LEFT(C2551,1)="L",INDEX('Leads Pipeline'!$E$5:$E$1004,MATCH(C2551,'Leads Pipeline'!$A$5:$A$1004,0)),INDEX('Active Clients'!$C$5:$C$504,MATCH(C2551,'Active Clients'!$A$5:$A$504,0)))&amp;"","ID not found"))</f>
        <v/>
      </c>
      <c r="G2551" s="16"/>
      <c r="H2551" s="16"/>
      <c r="I2551" s="16"/>
      <c r="J2551" s="16"/>
      <c r="K2551" s="16"/>
      <c r="L2551" s="18"/>
    </row>
    <row r="2552" customFormat="false" ht="15" hidden="false" customHeight="false" outlineLevel="0" collapsed="false">
      <c r="A2552" s="18"/>
      <c r="B2552" s="16"/>
      <c r="C2552" s="16"/>
      <c r="D2552" s="51" t="str">
        <f aca="false">IF(C2552="","",IFERROR(IF(LEFT(C2552,1)="L",INDEX('Leads Pipeline'!$F$5:$F$1004,MATCH(C2552,'Leads Pipeline'!$A$5:$A$1004,0)),INDEX('Active Clients'!$D$5:$D$504,MATCH(C2552,'Active Clients'!$A$5:$A$504,0)))&amp;"","ID not found"))</f>
        <v/>
      </c>
      <c r="E2552" s="51" t="str">
        <f aca="false">IF(C2552="","",IFERROR(IF(LEFT(C2552,1)="L",INDEX('Leads Pipeline'!$D$5:$D$1004,MATCH(C2552,'Leads Pipeline'!$A$5:$A$1004,0)),INDEX('Active Clients'!$B$5:$B$504,MATCH(C2552,'Active Clients'!$A$5:$A$504,0)))&amp;"","ID not found"))</f>
        <v/>
      </c>
      <c r="F2552" s="51" t="str">
        <f aca="false">IF(C2552="","",IFERROR(IF(LEFT(C2552,1)="L",INDEX('Leads Pipeline'!$E$5:$E$1004,MATCH(C2552,'Leads Pipeline'!$A$5:$A$1004,0)),INDEX('Active Clients'!$C$5:$C$504,MATCH(C2552,'Active Clients'!$A$5:$A$504,0)))&amp;"","ID not found"))</f>
        <v/>
      </c>
      <c r="G2552" s="16"/>
      <c r="H2552" s="16"/>
      <c r="I2552" s="16"/>
      <c r="J2552" s="16"/>
      <c r="K2552" s="16"/>
      <c r="L2552" s="18"/>
    </row>
    <row r="2553" customFormat="false" ht="15" hidden="false" customHeight="false" outlineLevel="0" collapsed="false">
      <c r="A2553" s="18"/>
      <c r="B2553" s="16"/>
      <c r="C2553" s="16"/>
      <c r="D2553" s="51" t="str">
        <f aca="false">IF(C2553="","",IFERROR(IF(LEFT(C2553,1)="L",INDEX('Leads Pipeline'!$F$5:$F$1004,MATCH(C2553,'Leads Pipeline'!$A$5:$A$1004,0)),INDEX('Active Clients'!$D$5:$D$504,MATCH(C2553,'Active Clients'!$A$5:$A$504,0)))&amp;"","ID not found"))</f>
        <v/>
      </c>
      <c r="E2553" s="51" t="str">
        <f aca="false">IF(C2553="","",IFERROR(IF(LEFT(C2553,1)="L",INDEX('Leads Pipeline'!$D$5:$D$1004,MATCH(C2553,'Leads Pipeline'!$A$5:$A$1004,0)),INDEX('Active Clients'!$B$5:$B$504,MATCH(C2553,'Active Clients'!$A$5:$A$504,0)))&amp;"","ID not found"))</f>
        <v/>
      </c>
      <c r="F2553" s="51" t="str">
        <f aca="false">IF(C2553="","",IFERROR(IF(LEFT(C2553,1)="L",INDEX('Leads Pipeline'!$E$5:$E$1004,MATCH(C2553,'Leads Pipeline'!$A$5:$A$1004,0)),INDEX('Active Clients'!$C$5:$C$504,MATCH(C2553,'Active Clients'!$A$5:$A$504,0)))&amp;"","ID not found"))</f>
        <v/>
      </c>
      <c r="G2553" s="16"/>
      <c r="H2553" s="16"/>
      <c r="I2553" s="16"/>
      <c r="J2553" s="16"/>
      <c r="K2553" s="16"/>
      <c r="L2553" s="18"/>
    </row>
    <row r="2554" customFormat="false" ht="15" hidden="false" customHeight="false" outlineLevel="0" collapsed="false">
      <c r="A2554" s="18"/>
      <c r="B2554" s="16"/>
      <c r="C2554" s="16"/>
      <c r="D2554" s="51" t="str">
        <f aca="false">IF(C2554="","",IFERROR(IF(LEFT(C2554,1)="L",INDEX('Leads Pipeline'!$F$5:$F$1004,MATCH(C2554,'Leads Pipeline'!$A$5:$A$1004,0)),INDEX('Active Clients'!$D$5:$D$504,MATCH(C2554,'Active Clients'!$A$5:$A$504,0)))&amp;"","ID not found"))</f>
        <v/>
      </c>
      <c r="E2554" s="51" t="str">
        <f aca="false">IF(C2554="","",IFERROR(IF(LEFT(C2554,1)="L",INDEX('Leads Pipeline'!$D$5:$D$1004,MATCH(C2554,'Leads Pipeline'!$A$5:$A$1004,0)),INDEX('Active Clients'!$B$5:$B$504,MATCH(C2554,'Active Clients'!$A$5:$A$504,0)))&amp;"","ID not found"))</f>
        <v/>
      </c>
      <c r="F2554" s="51" t="str">
        <f aca="false">IF(C2554="","",IFERROR(IF(LEFT(C2554,1)="L",INDEX('Leads Pipeline'!$E$5:$E$1004,MATCH(C2554,'Leads Pipeline'!$A$5:$A$1004,0)),INDEX('Active Clients'!$C$5:$C$504,MATCH(C2554,'Active Clients'!$A$5:$A$504,0)))&amp;"","ID not found"))</f>
        <v/>
      </c>
      <c r="G2554" s="16"/>
      <c r="H2554" s="16"/>
      <c r="I2554" s="16"/>
      <c r="J2554" s="16"/>
      <c r="K2554" s="16"/>
      <c r="L2554" s="18"/>
    </row>
    <row r="2555" customFormat="false" ht="15" hidden="false" customHeight="false" outlineLevel="0" collapsed="false">
      <c r="A2555" s="18"/>
      <c r="B2555" s="16"/>
      <c r="C2555" s="16"/>
      <c r="D2555" s="51" t="str">
        <f aca="false">IF(C2555="","",IFERROR(IF(LEFT(C2555,1)="L",INDEX('Leads Pipeline'!$F$5:$F$1004,MATCH(C2555,'Leads Pipeline'!$A$5:$A$1004,0)),INDEX('Active Clients'!$D$5:$D$504,MATCH(C2555,'Active Clients'!$A$5:$A$504,0)))&amp;"","ID not found"))</f>
        <v/>
      </c>
      <c r="E2555" s="51" t="str">
        <f aca="false">IF(C2555="","",IFERROR(IF(LEFT(C2555,1)="L",INDEX('Leads Pipeline'!$D$5:$D$1004,MATCH(C2555,'Leads Pipeline'!$A$5:$A$1004,0)),INDEX('Active Clients'!$B$5:$B$504,MATCH(C2555,'Active Clients'!$A$5:$A$504,0)))&amp;"","ID not found"))</f>
        <v/>
      </c>
      <c r="F2555" s="51" t="str">
        <f aca="false">IF(C2555="","",IFERROR(IF(LEFT(C2555,1)="L",INDEX('Leads Pipeline'!$E$5:$E$1004,MATCH(C2555,'Leads Pipeline'!$A$5:$A$1004,0)),INDEX('Active Clients'!$C$5:$C$504,MATCH(C2555,'Active Clients'!$A$5:$A$504,0)))&amp;"","ID not found"))</f>
        <v/>
      </c>
      <c r="G2555" s="16"/>
      <c r="H2555" s="16"/>
      <c r="I2555" s="16"/>
      <c r="J2555" s="16"/>
      <c r="K2555" s="16"/>
      <c r="L2555" s="18"/>
    </row>
    <row r="2556" customFormat="false" ht="15" hidden="false" customHeight="false" outlineLevel="0" collapsed="false">
      <c r="A2556" s="18"/>
      <c r="B2556" s="16"/>
      <c r="C2556" s="16"/>
      <c r="D2556" s="51" t="str">
        <f aca="false">IF(C2556="","",IFERROR(IF(LEFT(C2556,1)="L",INDEX('Leads Pipeline'!$F$5:$F$1004,MATCH(C2556,'Leads Pipeline'!$A$5:$A$1004,0)),INDEX('Active Clients'!$D$5:$D$504,MATCH(C2556,'Active Clients'!$A$5:$A$504,0)))&amp;"","ID not found"))</f>
        <v/>
      </c>
      <c r="E2556" s="51" t="str">
        <f aca="false">IF(C2556="","",IFERROR(IF(LEFT(C2556,1)="L",INDEX('Leads Pipeline'!$D$5:$D$1004,MATCH(C2556,'Leads Pipeline'!$A$5:$A$1004,0)),INDEX('Active Clients'!$B$5:$B$504,MATCH(C2556,'Active Clients'!$A$5:$A$504,0)))&amp;"","ID not found"))</f>
        <v/>
      </c>
      <c r="F2556" s="51" t="str">
        <f aca="false">IF(C2556="","",IFERROR(IF(LEFT(C2556,1)="L",INDEX('Leads Pipeline'!$E$5:$E$1004,MATCH(C2556,'Leads Pipeline'!$A$5:$A$1004,0)),INDEX('Active Clients'!$C$5:$C$504,MATCH(C2556,'Active Clients'!$A$5:$A$504,0)))&amp;"","ID not found"))</f>
        <v/>
      </c>
      <c r="G2556" s="16"/>
      <c r="H2556" s="16"/>
      <c r="I2556" s="16"/>
      <c r="J2556" s="16"/>
      <c r="K2556" s="16"/>
      <c r="L2556" s="18"/>
    </row>
    <row r="2557" customFormat="false" ht="15" hidden="false" customHeight="false" outlineLevel="0" collapsed="false">
      <c r="A2557" s="18"/>
      <c r="B2557" s="16"/>
      <c r="C2557" s="16"/>
      <c r="D2557" s="51" t="str">
        <f aca="false">IF(C2557="","",IFERROR(IF(LEFT(C2557,1)="L",INDEX('Leads Pipeline'!$F$5:$F$1004,MATCH(C2557,'Leads Pipeline'!$A$5:$A$1004,0)),INDEX('Active Clients'!$D$5:$D$504,MATCH(C2557,'Active Clients'!$A$5:$A$504,0)))&amp;"","ID not found"))</f>
        <v/>
      </c>
      <c r="E2557" s="51" t="str">
        <f aca="false">IF(C2557="","",IFERROR(IF(LEFT(C2557,1)="L",INDEX('Leads Pipeline'!$D$5:$D$1004,MATCH(C2557,'Leads Pipeline'!$A$5:$A$1004,0)),INDEX('Active Clients'!$B$5:$B$504,MATCH(C2557,'Active Clients'!$A$5:$A$504,0)))&amp;"","ID not found"))</f>
        <v/>
      </c>
      <c r="F2557" s="51" t="str">
        <f aca="false">IF(C2557="","",IFERROR(IF(LEFT(C2557,1)="L",INDEX('Leads Pipeline'!$E$5:$E$1004,MATCH(C2557,'Leads Pipeline'!$A$5:$A$1004,0)),INDEX('Active Clients'!$C$5:$C$504,MATCH(C2557,'Active Clients'!$A$5:$A$504,0)))&amp;"","ID not found"))</f>
        <v/>
      </c>
      <c r="G2557" s="16"/>
      <c r="H2557" s="16"/>
      <c r="I2557" s="16"/>
      <c r="J2557" s="16"/>
      <c r="K2557" s="16"/>
      <c r="L2557" s="18"/>
    </row>
    <row r="2558" customFormat="false" ht="15" hidden="false" customHeight="false" outlineLevel="0" collapsed="false">
      <c r="A2558" s="18"/>
      <c r="B2558" s="16"/>
      <c r="C2558" s="16"/>
      <c r="D2558" s="51" t="str">
        <f aca="false">IF(C2558="","",IFERROR(IF(LEFT(C2558,1)="L",INDEX('Leads Pipeline'!$F$5:$F$1004,MATCH(C2558,'Leads Pipeline'!$A$5:$A$1004,0)),INDEX('Active Clients'!$D$5:$D$504,MATCH(C2558,'Active Clients'!$A$5:$A$504,0)))&amp;"","ID not found"))</f>
        <v/>
      </c>
      <c r="E2558" s="51" t="str">
        <f aca="false">IF(C2558="","",IFERROR(IF(LEFT(C2558,1)="L",INDEX('Leads Pipeline'!$D$5:$D$1004,MATCH(C2558,'Leads Pipeline'!$A$5:$A$1004,0)),INDEX('Active Clients'!$B$5:$B$504,MATCH(C2558,'Active Clients'!$A$5:$A$504,0)))&amp;"","ID not found"))</f>
        <v/>
      </c>
      <c r="F2558" s="51" t="str">
        <f aca="false">IF(C2558="","",IFERROR(IF(LEFT(C2558,1)="L",INDEX('Leads Pipeline'!$E$5:$E$1004,MATCH(C2558,'Leads Pipeline'!$A$5:$A$1004,0)),INDEX('Active Clients'!$C$5:$C$504,MATCH(C2558,'Active Clients'!$A$5:$A$504,0)))&amp;"","ID not found"))</f>
        <v/>
      </c>
      <c r="G2558" s="16"/>
      <c r="H2558" s="16"/>
      <c r="I2558" s="16"/>
      <c r="J2558" s="16"/>
      <c r="K2558" s="16"/>
      <c r="L2558" s="18"/>
    </row>
    <row r="2559" customFormat="false" ht="15" hidden="false" customHeight="false" outlineLevel="0" collapsed="false">
      <c r="A2559" s="18"/>
      <c r="B2559" s="16"/>
      <c r="C2559" s="16"/>
      <c r="D2559" s="51" t="str">
        <f aca="false">IF(C2559="","",IFERROR(IF(LEFT(C2559,1)="L",INDEX('Leads Pipeline'!$F$5:$F$1004,MATCH(C2559,'Leads Pipeline'!$A$5:$A$1004,0)),INDEX('Active Clients'!$D$5:$D$504,MATCH(C2559,'Active Clients'!$A$5:$A$504,0)))&amp;"","ID not found"))</f>
        <v/>
      </c>
      <c r="E2559" s="51" t="str">
        <f aca="false">IF(C2559="","",IFERROR(IF(LEFT(C2559,1)="L",INDEX('Leads Pipeline'!$D$5:$D$1004,MATCH(C2559,'Leads Pipeline'!$A$5:$A$1004,0)),INDEX('Active Clients'!$B$5:$B$504,MATCH(C2559,'Active Clients'!$A$5:$A$504,0)))&amp;"","ID not found"))</f>
        <v/>
      </c>
      <c r="F2559" s="51" t="str">
        <f aca="false">IF(C2559="","",IFERROR(IF(LEFT(C2559,1)="L",INDEX('Leads Pipeline'!$E$5:$E$1004,MATCH(C2559,'Leads Pipeline'!$A$5:$A$1004,0)),INDEX('Active Clients'!$C$5:$C$504,MATCH(C2559,'Active Clients'!$A$5:$A$504,0)))&amp;"","ID not found"))</f>
        <v/>
      </c>
      <c r="G2559" s="16"/>
      <c r="H2559" s="16"/>
      <c r="I2559" s="16"/>
      <c r="J2559" s="16"/>
      <c r="K2559" s="16"/>
      <c r="L2559" s="18"/>
    </row>
    <row r="2560" customFormat="false" ht="15" hidden="false" customHeight="false" outlineLevel="0" collapsed="false">
      <c r="A2560" s="18"/>
      <c r="B2560" s="16"/>
      <c r="C2560" s="16"/>
      <c r="D2560" s="51" t="str">
        <f aca="false">IF(C2560="","",IFERROR(IF(LEFT(C2560,1)="L",INDEX('Leads Pipeline'!$F$5:$F$1004,MATCH(C2560,'Leads Pipeline'!$A$5:$A$1004,0)),INDEX('Active Clients'!$D$5:$D$504,MATCH(C2560,'Active Clients'!$A$5:$A$504,0)))&amp;"","ID not found"))</f>
        <v/>
      </c>
      <c r="E2560" s="51" t="str">
        <f aca="false">IF(C2560="","",IFERROR(IF(LEFT(C2560,1)="L",INDEX('Leads Pipeline'!$D$5:$D$1004,MATCH(C2560,'Leads Pipeline'!$A$5:$A$1004,0)),INDEX('Active Clients'!$B$5:$B$504,MATCH(C2560,'Active Clients'!$A$5:$A$504,0)))&amp;"","ID not found"))</f>
        <v/>
      </c>
      <c r="F2560" s="51" t="str">
        <f aca="false">IF(C2560="","",IFERROR(IF(LEFT(C2560,1)="L",INDEX('Leads Pipeline'!$E$5:$E$1004,MATCH(C2560,'Leads Pipeline'!$A$5:$A$1004,0)),INDEX('Active Clients'!$C$5:$C$504,MATCH(C2560,'Active Clients'!$A$5:$A$504,0)))&amp;"","ID not found"))</f>
        <v/>
      </c>
      <c r="G2560" s="16"/>
      <c r="H2560" s="16"/>
      <c r="I2560" s="16"/>
      <c r="J2560" s="16"/>
      <c r="K2560" s="16"/>
      <c r="L2560" s="18"/>
    </row>
    <row r="2561" customFormat="false" ht="15" hidden="false" customHeight="false" outlineLevel="0" collapsed="false">
      <c r="A2561" s="18"/>
      <c r="B2561" s="16"/>
      <c r="C2561" s="16"/>
      <c r="D2561" s="51" t="str">
        <f aca="false">IF(C2561="","",IFERROR(IF(LEFT(C2561,1)="L",INDEX('Leads Pipeline'!$F$5:$F$1004,MATCH(C2561,'Leads Pipeline'!$A$5:$A$1004,0)),INDEX('Active Clients'!$D$5:$D$504,MATCH(C2561,'Active Clients'!$A$5:$A$504,0)))&amp;"","ID not found"))</f>
        <v/>
      </c>
      <c r="E2561" s="51" t="str">
        <f aca="false">IF(C2561="","",IFERROR(IF(LEFT(C2561,1)="L",INDEX('Leads Pipeline'!$D$5:$D$1004,MATCH(C2561,'Leads Pipeline'!$A$5:$A$1004,0)),INDEX('Active Clients'!$B$5:$B$504,MATCH(C2561,'Active Clients'!$A$5:$A$504,0)))&amp;"","ID not found"))</f>
        <v/>
      </c>
      <c r="F2561" s="51" t="str">
        <f aca="false">IF(C2561="","",IFERROR(IF(LEFT(C2561,1)="L",INDEX('Leads Pipeline'!$E$5:$E$1004,MATCH(C2561,'Leads Pipeline'!$A$5:$A$1004,0)),INDEX('Active Clients'!$C$5:$C$504,MATCH(C2561,'Active Clients'!$A$5:$A$504,0)))&amp;"","ID not found"))</f>
        <v/>
      </c>
      <c r="G2561" s="16"/>
      <c r="H2561" s="16"/>
      <c r="I2561" s="16"/>
      <c r="J2561" s="16"/>
      <c r="K2561" s="16"/>
      <c r="L2561" s="18"/>
    </row>
    <row r="2562" customFormat="false" ht="15" hidden="false" customHeight="false" outlineLevel="0" collapsed="false">
      <c r="A2562" s="18"/>
      <c r="B2562" s="16"/>
      <c r="C2562" s="16"/>
      <c r="D2562" s="51" t="str">
        <f aca="false">IF(C2562="","",IFERROR(IF(LEFT(C2562,1)="L",INDEX('Leads Pipeline'!$F$5:$F$1004,MATCH(C2562,'Leads Pipeline'!$A$5:$A$1004,0)),INDEX('Active Clients'!$D$5:$D$504,MATCH(C2562,'Active Clients'!$A$5:$A$504,0)))&amp;"","ID not found"))</f>
        <v/>
      </c>
      <c r="E2562" s="51" t="str">
        <f aca="false">IF(C2562="","",IFERROR(IF(LEFT(C2562,1)="L",INDEX('Leads Pipeline'!$D$5:$D$1004,MATCH(C2562,'Leads Pipeline'!$A$5:$A$1004,0)),INDEX('Active Clients'!$B$5:$B$504,MATCH(C2562,'Active Clients'!$A$5:$A$504,0)))&amp;"","ID not found"))</f>
        <v/>
      </c>
      <c r="F2562" s="51" t="str">
        <f aca="false">IF(C2562="","",IFERROR(IF(LEFT(C2562,1)="L",INDEX('Leads Pipeline'!$E$5:$E$1004,MATCH(C2562,'Leads Pipeline'!$A$5:$A$1004,0)),INDEX('Active Clients'!$C$5:$C$504,MATCH(C2562,'Active Clients'!$A$5:$A$504,0)))&amp;"","ID not found"))</f>
        <v/>
      </c>
      <c r="G2562" s="16"/>
      <c r="H2562" s="16"/>
      <c r="I2562" s="16"/>
      <c r="J2562" s="16"/>
      <c r="K2562" s="16"/>
      <c r="L2562" s="18"/>
    </row>
    <row r="2563" customFormat="false" ht="15" hidden="false" customHeight="false" outlineLevel="0" collapsed="false">
      <c r="A2563" s="18"/>
      <c r="B2563" s="16"/>
      <c r="C2563" s="16"/>
      <c r="D2563" s="51" t="str">
        <f aca="false">IF(C2563="","",IFERROR(IF(LEFT(C2563,1)="L",INDEX('Leads Pipeline'!$F$5:$F$1004,MATCH(C2563,'Leads Pipeline'!$A$5:$A$1004,0)),INDEX('Active Clients'!$D$5:$D$504,MATCH(C2563,'Active Clients'!$A$5:$A$504,0)))&amp;"","ID not found"))</f>
        <v/>
      </c>
      <c r="E2563" s="51" t="str">
        <f aca="false">IF(C2563="","",IFERROR(IF(LEFT(C2563,1)="L",INDEX('Leads Pipeline'!$D$5:$D$1004,MATCH(C2563,'Leads Pipeline'!$A$5:$A$1004,0)),INDEX('Active Clients'!$B$5:$B$504,MATCH(C2563,'Active Clients'!$A$5:$A$504,0)))&amp;"","ID not found"))</f>
        <v/>
      </c>
      <c r="F2563" s="51" t="str">
        <f aca="false">IF(C2563="","",IFERROR(IF(LEFT(C2563,1)="L",INDEX('Leads Pipeline'!$E$5:$E$1004,MATCH(C2563,'Leads Pipeline'!$A$5:$A$1004,0)),INDEX('Active Clients'!$C$5:$C$504,MATCH(C2563,'Active Clients'!$A$5:$A$504,0)))&amp;"","ID not found"))</f>
        <v/>
      </c>
      <c r="G2563" s="16"/>
      <c r="H2563" s="16"/>
      <c r="I2563" s="16"/>
      <c r="J2563" s="16"/>
      <c r="K2563" s="16"/>
      <c r="L2563" s="18"/>
    </row>
    <row r="2564" customFormat="false" ht="15" hidden="false" customHeight="false" outlineLevel="0" collapsed="false">
      <c r="A2564" s="18"/>
      <c r="B2564" s="16"/>
      <c r="C2564" s="16"/>
      <c r="D2564" s="51" t="str">
        <f aca="false">IF(C2564="","",IFERROR(IF(LEFT(C2564,1)="L",INDEX('Leads Pipeline'!$F$5:$F$1004,MATCH(C2564,'Leads Pipeline'!$A$5:$A$1004,0)),INDEX('Active Clients'!$D$5:$D$504,MATCH(C2564,'Active Clients'!$A$5:$A$504,0)))&amp;"","ID not found"))</f>
        <v/>
      </c>
      <c r="E2564" s="51" t="str">
        <f aca="false">IF(C2564="","",IFERROR(IF(LEFT(C2564,1)="L",INDEX('Leads Pipeline'!$D$5:$D$1004,MATCH(C2564,'Leads Pipeline'!$A$5:$A$1004,0)),INDEX('Active Clients'!$B$5:$B$504,MATCH(C2564,'Active Clients'!$A$5:$A$504,0)))&amp;"","ID not found"))</f>
        <v/>
      </c>
      <c r="F2564" s="51" t="str">
        <f aca="false">IF(C2564="","",IFERROR(IF(LEFT(C2564,1)="L",INDEX('Leads Pipeline'!$E$5:$E$1004,MATCH(C2564,'Leads Pipeline'!$A$5:$A$1004,0)),INDEX('Active Clients'!$C$5:$C$504,MATCH(C2564,'Active Clients'!$A$5:$A$504,0)))&amp;"","ID not found"))</f>
        <v/>
      </c>
      <c r="G2564" s="16"/>
      <c r="H2564" s="16"/>
      <c r="I2564" s="16"/>
      <c r="J2564" s="16"/>
      <c r="K2564" s="16"/>
      <c r="L2564" s="18"/>
    </row>
    <row r="2565" customFormat="false" ht="15" hidden="false" customHeight="false" outlineLevel="0" collapsed="false">
      <c r="A2565" s="18"/>
      <c r="B2565" s="16"/>
      <c r="C2565" s="16"/>
      <c r="D2565" s="51" t="str">
        <f aca="false">IF(C2565="","",IFERROR(IF(LEFT(C2565,1)="L",INDEX('Leads Pipeline'!$F$5:$F$1004,MATCH(C2565,'Leads Pipeline'!$A$5:$A$1004,0)),INDEX('Active Clients'!$D$5:$D$504,MATCH(C2565,'Active Clients'!$A$5:$A$504,0)))&amp;"","ID not found"))</f>
        <v/>
      </c>
      <c r="E2565" s="51" t="str">
        <f aca="false">IF(C2565="","",IFERROR(IF(LEFT(C2565,1)="L",INDEX('Leads Pipeline'!$D$5:$D$1004,MATCH(C2565,'Leads Pipeline'!$A$5:$A$1004,0)),INDEX('Active Clients'!$B$5:$B$504,MATCH(C2565,'Active Clients'!$A$5:$A$504,0)))&amp;"","ID not found"))</f>
        <v/>
      </c>
      <c r="F2565" s="51" t="str">
        <f aca="false">IF(C2565="","",IFERROR(IF(LEFT(C2565,1)="L",INDEX('Leads Pipeline'!$E$5:$E$1004,MATCH(C2565,'Leads Pipeline'!$A$5:$A$1004,0)),INDEX('Active Clients'!$C$5:$C$504,MATCH(C2565,'Active Clients'!$A$5:$A$504,0)))&amp;"","ID not found"))</f>
        <v/>
      </c>
      <c r="G2565" s="16"/>
      <c r="H2565" s="16"/>
      <c r="I2565" s="16"/>
      <c r="J2565" s="16"/>
      <c r="K2565" s="16"/>
      <c r="L2565" s="18"/>
    </row>
    <row r="2566" customFormat="false" ht="15" hidden="false" customHeight="false" outlineLevel="0" collapsed="false">
      <c r="A2566" s="18"/>
      <c r="B2566" s="16"/>
      <c r="C2566" s="16"/>
      <c r="D2566" s="51" t="str">
        <f aca="false">IF(C2566="","",IFERROR(IF(LEFT(C2566,1)="L",INDEX('Leads Pipeline'!$F$5:$F$1004,MATCH(C2566,'Leads Pipeline'!$A$5:$A$1004,0)),INDEX('Active Clients'!$D$5:$D$504,MATCH(C2566,'Active Clients'!$A$5:$A$504,0)))&amp;"","ID not found"))</f>
        <v/>
      </c>
      <c r="E2566" s="51" t="str">
        <f aca="false">IF(C2566="","",IFERROR(IF(LEFT(C2566,1)="L",INDEX('Leads Pipeline'!$D$5:$D$1004,MATCH(C2566,'Leads Pipeline'!$A$5:$A$1004,0)),INDEX('Active Clients'!$B$5:$B$504,MATCH(C2566,'Active Clients'!$A$5:$A$504,0)))&amp;"","ID not found"))</f>
        <v/>
      </c>
      <c r="F2566" s="51" t="str">
        <f aca="false">IF(C2566="","",IFERROR(IF(LEFT(C2566,1)="L",INDEX('Leads Pipeline'!$E$5:$E$1004,MATCH(C2566,'Leads Pipeline'!$A$5:$A$1004,0)),INDEX('Active Clients'!$C$5:$C$504,MATCH(C2566,'Active Clients'!$A$5:$A$504,0)))&amp;"","ID not found"))</f>
        <v/>
      </c>
      <c r="G2566" s="16"/>
      <c r="H2566" s="16"/>
      <c r="I2566" s="16"/>
      <c r="J2566" s="16"/>
      <c r="K2566" s="16"/>
      <c r="L2566" s="18"/>
    </row>
    <row r="2567" customFormat="false" ht="15" hidden="false" customHeight="false" outlineLevel="0" collapsed="false">
      <c r="A2567" s="18"/>
      <c r="B2567" s="16"/>
      <c r="C2567" s="16"/>
      <c r="D2567" s="51" t="str">
        <f aca="false">IF(C2567="","",IFERROR(IF(LEFT(C2567,1)="L",INDEX('Leads Pipeline'!$F$5:$F$1004,MATCH(C2567,'Leads Pipeline'!$A$5:$A$1004,0)),INDEX('Active Clients'!$D$5:$D$504,MATCH(C2567,'Active Clients'!$A$5:$A$504,0)))&amp;"","ID not found"))</f>
        <v/>
      </c>
      <c r="E2567" s="51" t="str">
        <f aca="false">IF(C2567="","",IFERROR(IF(LEFT(C2567,1)="L",INDEX('Leads Pipeline'!$D$5:$D$1004,MATCH(C2567,'Leads Pipeline'!$A$5:$A$1004,0)),INDEX('Active Clients'!$B$5:$B$504,MATCH(C2567,'Active Clients'!$A$5:$A$504,0)))&amp;"","ID not found"))</f>
        <v/>
      </c>
      <c r="F2567" s="51" t="str">
        <f aca="false">IF(C2567="","",IFERROR(IF(LEFT(C2567,1)="L",INDEX('Leads Pipeline'!$E$5:$E$1004,MATCH(C2567,'Leads Pipeline'!$A$5:$A$1004,0)),INDEX('Active Clients'!$C$5:$C$504,MATCH(C2567,'Active Clients'!$A$5:$A$504,0)))&amp;"","ID not found"))</f>
        <v/>
      </c>
      <c r="G2567" s="16"/>
      <c r="H2567" s="16"/>
      <c r="I2567" s="16"/>
      <c r="J2567" s="16"/>
      <c r="K2567" s="16"/>
      <c r="L2567" s="18"/>
    </row>
    <row r="2568" customFormat="false" ht="15" hidden="false" customHeight="false" outlineLevel="0" collapsed="false">
      <c r="A2568" s="18"/>
      <c r="B2568" s="16"/>
      <c r="C2568" s="16"/>
      <c r="D2568" s="51" t="str">
        <f aca="false">IF(C2568="","",IFERROR(IF(LEFT(C2568,1)="L",INDEX('Leads Pipeline'!$F$5:$F$1004,MATCH(C2568,'Leads Pipeline'!$A$5:$A$1004,0)),INDEX('Active Clients'!$D$5:$D$504,MATCH(C2568,'Active Clients'!$A$5:$A$504,0)))&amp;"","ID not found"))</f>
        <v/>
      </c>
      <c r="E2568" s="51" t="str">
        <f aca="false">IF(C2568="","",IFERROR(IF(LEFT(C2568,1)="L",INDEX('Leads Pipeline'!$D$5:$D$1004,MATCH(C2568,'Leads Pipeline'!$A$5:$A$1004,0)),INDEX('Active Clients'!$B$5:$B$504,MATCH(C2568,'Active Clients'!$A$5:$A$504,0)))&amp;"","ID not found"))</f>
        <v/>
      </c>
      <c r="F2568" s="51" t="str">
        <f aca="false">IF(C2568="","",IFERROR(IF(LEFT(C2568,1)="L",INDEX('Leads Pipeline'!$E$5:$E$1004,MATCH(C2568,'Leads Pipeline'!$A$5:$A$1004,0)),INDEX('Active Clients'!$C$5:$C$504,MATCH(C2568,'Active Clients'!$A$5:$A$504,0)))&amp;"","ID not found"))</f>
        <v/>
      </c>
      <c r="G2568" s="16"/>
      <c r="H2568" s="16"/>
      <c r="I2568" s="16"/>
      <c r="J2568" s="16"/>
      <c r="K2568" s="16"/>
      <c r="L2568" s="18"/>
    </row>
    <row r="2569" customFormat="false" ht="15" hidden="false" customHeight="false" outlineLevel="0" collapsed="false">
      <c r="A2569" s="18"/>
      <c r="B2569" s="16"/>
      <c r="C2569" s="16"/>
      <c r="D2569" s="51" t="str">
        <f aca="false">IF(C2569="","",IFERROR(IF(LEFT(C2569,1)="L",INDEX('Leads Pipeline'!$F$5:$F$1004,MATCH(C2569,'Leads Pipeline'!$A$5:$A$1004,0)),INDEX('Active Clients'!$D$5:$D$504,MATCH(C2569,'Active Clients'!$A$5:$A$504,0)))&amp;"","ID not found"))</f>
        <v/>
      </c>
      <c r="E2569" s="51" t="str">
        <f aca="false">IF(C2569="","",IFERROR(IF(LEFT(C2569,1)="L",INDEX('Leads Pipeline'!$D$5:$D$1004,MATCH(C2569,'Leads Pipeline'!$A$5:$A$1004,0)),INDEX('Active Clients'!$B$5:$B$504,MATCH(C2569,'Active Clients'!$A$5:$A$504,0)))&amp;"","ID not found"))</f>
        <v/>
      </c>
      <c r="F2569" s="51" t="str">
        <f aca="false">IF(C2569="","",IFERROR(IF(LEFT(C2569,1)="L",INDEX('Leads Pipeline'!$E$5:$E$1004,MATCH(C2569,'Leads Pipeline'!$A$5:$A$1004,0)),INDEX('Active Clients'!$C$5:$C$504,MATCH(C2569,'Active Clients'!$A$5:$A$504,0)))&amp;"","ID not found"))</f>
        <v/>
      </c>
      <c r="G2569" s="16"/>
      <c r="H2569" s="16"/>
      <c r="I2569" s="16"/>
      <c r="J2569" s="16"/>
      <c r="K2569" s="16"/>
      <c r="L2569" s="18"/>
    </row>
    <row r="2570" customFormat="false" ht="15" hidden="false" customHeight="false" outlineLevel="0" collapsed="false">
      <c r="A2570" s="18"/>
      <c r="B2570" s="16"/>
      <c r="C2570" s="16"/>
      <c r="D2570" s="51" t="str">
        <f aca="false">IF(C2570="","",IFERROR(IF(LEFT(C2570,1)="L",INDEX('Leads Pipeline'!$F$5:$F$1004,MATCH(C2570,'Leads Pipeline'!$A$5:$A$1004,0)),INDEX('Active Clients'!$D$5:$D$504,MATCH(C2570,'Active Clients'!$A$5:$A$504,0)))&amp;"","ID not found"))</f>
        <v/>
      </c>
      <c r="E2570" s="51" t="str">
        <f aca="false">IF(C2570="","",IFERROR(IF(LEFT(C2570,1)="L",INDEX('Leads Pipeline'!$D$5:$D$1004,MATCH(C2570,'Leads Pipeline'!$A$5:$A$1004,0)),INDEX('Active Clients'!$B$5:$B$504,MATCH(C2570,'Active Clients'!$A$5:$A$504,0)))&amp;"","ID not found"))</f>
        <v/>
      </c>
      <c r="F2570" s="51" t="str">
        <f aca="false">IF(C2570="","",IFERROR(IF(LEFT(C2570,1)="L",INDEX('Leads Pipeline'!$E$5:$E$1004,MATCH(C2570,'Leads Pipeline'!$A$5:$A$1004,0)),INDEX('Active Clients'!$C$5:$C$504,MATCH(C2570,'Active Clients'!$A$5:$A$504,0)))&amp;"","ID not found"))</f>
        <v/>
      </c>
      <c r="G2570" s="16"/>
      <c r="H2570" s="16"/>
      <c r="I2570" s="16"/>
      <c r="J2570" s="16"/>
      <c r="K2570" s="16"/>
      <c r="L2570" s="18"/>
    </row>
    <row r="2571" customFormat="false" ht="15" hidden="false" customHeight="false" outlineLevel="0" collapsed="false">
      <c r="A2571" s="18"/>
      <c r="B2571" s="16"/>
      <c r="C2571" s="16"/>
      <c r="D2571" s="51" t="str">
        <f aca="false">IF(C2571="","",IFERROR(IF(LEFT(C2571,1)="L",INDEX('Leads Pipeline'!$F$5:$F$1004,MATCH(C2571,'Leads Pipeline'!$A$5:$A$1004,0)),INDEX('Active Clients'!$D$5:$D$504,MATCH(C2571,'Active Clients'!$A$5:$A$504,0)))&amp;"","ID not found"))</f>
        <v/>
      </c>
      <c r="E2571" s="51" t="str">
        <f aca="false">IF(C2571="","",IFERROR(IF(LEFT(C2571,1)="L",INDEX('Leads Pipeline'!$D$5:$D$1004,MATCH(C2571,'Leads Pipeline'!$A$5:$A$1004,0)),INDEX('Active Clients'!$B$5:$B$504,MATCH(C2571,'Active Clients'!$A$5:$A$504,0)))&amp;"","ID not found"))</f>
        <v/>
      </c>
      <c r="F2571" s="51" t="str">
        <f aca="false">IF(C2571="","",IFERROR(IF(LEFT(C2571,1)="L",INDEX('Leads Pipeline'!$E$5:$E$1004,MATCH(C2571,'Leads Pipeline'!$A$5:$A$1004,0)),INDEX('Active Clients'!$C$5:$C$504,MATCH(C2571,'Active Clients'!$A$5:$A$504,0)))&amp;"","ID not found"))</f>
        <v/>
      </c>
      <c r="G2571" s="16"/>
      <c r="H2571" s="16"/>
      <c r="I2571" s="16"/>
      <c r="J2571" s="16"/>
      <c r="K2571" s="16"/>
      <c r="L2571" s="18"/>
    </row>
    <row r="2572" customFormat="false" ht="15" hidden="false" customHeight="false" outlineLevel="0" collapsed="false">
      <c r="A2572" s="18"/>
      <c r="B2572" s="16"/>
      <c r="C2572" s="16"/>
      <c r="D2572" s="51" t="str">
        <f aca="false">IF(C2572="","",IFERROR(IF(LEFT(C2572,1)="L",INDEX('Leads Pipeline'!$F$5:$F$1004,MATCH(C2572,'Leads Pipeline'!$A$5:$A$1004,0)),INDEX('Active Clients'!$D$5:$D$504,MATCH(C2572,'Active Clients'!$A$5:$A$504,0)))&amp;"","ID not found"))</f>
        <v/>
      </c>
      <c r="E2572" s="51" t="str">
        <f aca="false">IF(C2572="","",IFERROR(IF(LEFT(C2572,1)="L",INDEX('Leads Pipeline'!$D$5:$D$1004,MATCH(C2572,'Leads Pipeline'!$A$5:$A$1004,0)),INDEX('Active Clients'!$B$5:$B$504,MATCH(C2572,'Active Clients'!$A$5:$A$504,0)))&amp;"","ID not found"))</f>
        <v/>
      </c>
      <c r="F2572" s="51" t="str">
        <f aca="false">IF(C2572="","",IFERROR(IF(LEFT(C2572,1)="L",INDEX('Leads Pipeline'!$E$5:$E$1004,MATCH(C2572,'Leads Pipeline'!$A$5:$A$1004,0)),INDEX('Active Clients'!$C$5:$C$504,MATCH(C2572,'Active Clients'!$A$5:$A$504,0)))&amp;"","ID not found"))</f>
        <v/>
      </c>
      <c r="G2572" s="16"/>
      <c r="H2572" s="16"/>
      <c r="I2572" s="16"/>
      <c r="J2572" s="16"/>
      <c r="K2572" s="16"/>
      <c r="L2572" s="18"/>
    </row>
    <row r="2573" customFormat="false" ht="15" hidden="false" customHeight="false" outlineLevel="0" collapsed="false">
      <c r="A2573" s="18"/>
      <c r="B2573" s="16"/>
      <c r="C2573" s="16"/>
      <c r="D2573" s="51" t="str">
        <f aca="false">IF(C2573="","",IFERROR(IF(LEFT(C2573,1)="L",INDEX('Leads Pipeline'!$F$5:$F$1004,MATCH(C2573,'Leads Pipeline'!$A$5:$A$1004,0)),INDEX('Active Clients'!$D$5:$D$504,MATCH(C2573,'Active Clients'!$A$5:$A$504,0)))&amp;"","ID not found"))</f>
        <v/>
      </c>
      <c r="E2573" s="51" t="str">
        <f aca="false">IF(C2573="","",IFERROR(IF(LEFT(C2573,1)="L",INDEX('Leads Pipeline'!$D$5:$D$1004,MATCH(C2573,'Leads Pipeline'!$A$5:$A$1004,0)),INDEX('Active Clients'!$B$5:$B$504,MATCH(C2573,'Active Clients'!$A$5:$A$504,0)))&amp;"","ID not found"))</f>
        <v/>
      </c>
      <c r="F2573" s="51" t="str">
        <f aca="false">IF(C2573="","",IFERROR(IF(LEFT(C2573,1)="L",INDEX('Leads Pipeline'!$E$5:$E$1004,MATCH(C2573,'Leads Pipeline'!$A$5:$A$1004,0)),INDEX('Active Clients'!$C$5:$C$504,MATCH(C2573,'Active Clients'!$A$5:$A$504,0)))&amp;"","ID not found"))</f>
        <v/>
      </c>
      <c r="G2573" s="16"/>
      <c r="H2573" s="16"/>
      <c r="I2573" s="16"/>
      <c r="J2573" s="16"/>
      <c r="K2573" s="16"/>
      <c r="L2573" s="18"/>
    </row>
    <row r="2574" customFormat="false" ht="15" hidden="false" customHeight="false" outlineLevel="0" collapsed="false">
      <c r="A2574" s="18"/>
      <c r="B2574" s="16"/>
      <c r="C2574" s="16"/>
      <c r="D2574" s="51" t="str">
        <f aca="false">IF(C2574="","",IFERROR(IF(LEFT(C2574,1)="L",INDEX('Leads Pipeline'!$F$5:$F$1004,MATCH(C2574,'Leads Pipeline'!$A$5:$A$1004,0)),INDEX('Active Clients'!$D$5:$D$504,MATCH(C2574,'Active Clients'!$A$5:$A$504,0)))&amp;"","ID not found"))</f>
        <v/>
      </c>
      <c r="E2574" s="51" t="str">
        <f aca="false">IF(C2574="","",IFERROR(IF(LEFT(C2574,1)="L",INDEX('Leads Pipeline'!$D$5:$D$1004,MATCH(C2574,'Leads Pipeline'!$A$5:$A$1004,0)),INDEX('Active Clients'!$B$5:$B$504,MATCH(C2574,'Active Clients'!$A$5:$A$504,0)))&amp;"","ID not found"))</f>
        <v/>
      </c>
      <c r="F2574" s="51" t="str">
        <f aca="false">IF(C2574="","",IFERROR(IF(LEFT(C2574,1)="L",INDEX('Leads Pipeline'!$E$5:$E$1004,MATCH(C2574,'Leads Pipeline'!$A$5:$A$1004,0)),INDEX('Active Clients'!$C$5:$C$504,MATCH(C2574,'Active Clients'!$A$5:$A$504,0)))&amp;"","ID not found"))</f>
        <v/>
      </c>
      <c r="G2574" s="16"/>
      <c r="H2574" s="16"/>
      <c r="I2574" s="16"/>
      <c r="J2574" s="16"/>
      <c r="K2574" s="16"/>
      <c r="L2574" s="18"/>
    </row>
    <row r="2575" customFormat="false" ht="15" hidden="false" customHeight="false" outlineLevel="0" collapsed="false">
      <c r="A2575" s="18"/>
      <c r="B2575" s="16"/>
      <c r="C2575" s="16"/>
      <c r="D2575" s="51" t="str">
        <f aca="false">IF(C2575="","",IFERROR(IF(LEFT(C2575,1)="L",INDEX('Leads Pipeline'!$F$5:$F$1004,MATCH(C2575,'Leads Pipeline'!$A$5:$A$1004,0)),INDEX('Active Clients'!$D$5:$D$504,MATCH(C2575,'Active Clients'!$A$5:$A$504,0)))&amp;"","ID not found"))</f>
        <v/>
      </c>
      <c r="E2575" s="51" t="str">
        <f aca="false">IF(C2575="","",IFERROR(IF(LEFT(C2575,1)="L",INDEX('Leads Pipeline'!$D$5:$D$1004,MATCH(C2575,'Leads Pipeline'!$A$5:$A$1004,0)),INDEX('Active Clients'!$B$5:$B$504,MATCH(C2575,'Active Clients'!$A$5:$A$504,0)))&amp;"","ID not found"))</f>
        <v/>
      </c>
      <c r="F2575" s="51" t="str">
        <f aca="false">IF(C2575="","",IFERROR(IF(LEFT(C2575,1)="L",INDEX('Leads Pipeline'!$E$5:$E$1004,MATCH(C2575,'Leads Pipeline'!$A$5:$A$1004,0)),INDEX('Active Clients'!$C$5:$C$504,MATCH(C2575,'Active Clients'!$A$5:$A$504,0)))&amp;"","ID not found"))</f>
        <v/>
      </c>
      <c r="G2575" s="16"/>
      <c r="H2575" s="16"/>
      <c r="I2575" s="16"/>
      <c r="J2575" s="16"/>
      <c r="K2575" s="16"/>
      <c r="L2575" s="18"/>
    </row>
    <row r="2576" customFormat="false" ht="15" hidden="false" customHeight="false" outlineLevel="0" collapsed="false">
      <c r="A2576" s="18"/>
      <c r="B2576" s="16"/>
      <c r="C2576" s="16"/>
      <c r="D2576" s="51" t="str">
        <f aca="false">IF(C2576="","",IFERROR(IF(LEFT(C2576,1)="L",INDEX('Leads Pipeline'!$F$5:$F$1004,MATCH(C2576,'Leads Pipeline'!$A$5:$A$1004,0)),INDEX('Active Clients'!$D$5:$D$504,MATCH(C2576,'Active Clients'!$A$5:$A$504,0)))&amp;"","ID not found"))</f>
        <v/>
      </c>
      <c r="E2576" s="51" t="str">
        <f aca="false">IF(C2576="","",IFERROR(IF(LEFT(C2576,1)="L",INDEX('Leads Pipeline'!$D$5:$D$1004,MATCH(C2576,'Leads Pipeline'!$A$5:$A$1004,0)),INDEX('Active Clients'!$B$5:$B$504,MATCH(C2576,'Active Clients'!$A$5:$A$504,0)))&amp;"","ID not found"))</f>
        <v/>
      </c>
      <c r="F2576" s="51" t="str">
        <f aca="false">IF(C2576="","",IFERROR(IF(LEFT(C2576,1)="L",INDEX('Leads Pipeline'!$E$5:$E$1004,MATCH(C2576,'Leads Pipeline'!$A$5:$A$1004,0)),INDEX('Active Clients'!$C$5:$C$504,MATCH(C2576,'Active Clients'!$A$5:$A$504,0)))&amp;"","ID not found"))</f>
        <v/>
      </c>
      <c r="G2576" s="16"/>
      <c r="H2576" s="16"/>
      <c r="I2576" s="16"/>
      <c r="J2576" s="16"/>
      <c r="K2576" s="16"/>
      <c r="L2576" s="18"/>
    </row>
    <row r="2577" customFormat="false" ht="15" hidden="false" customHeight="false" outlineLevel="0" collapsed="false">
      <c r="A2577" s="18"/>
      <c r="B2577" s="16"/>
      <c r="C2577" s="16"/>
      <c r="D2577" s="51" t="str">
        <f aca="false">IF(C2577="","",IFERROR(IF(LEFT(C2577,1)="L",INDEX('Leads Pipeline'!$F$5:$F$1004,MATCH(C2577,'Leads Pipeline'!$A$5:$A$1004,0)),INDEX('Active Clients'!$D$5:$D$504,MATCH(C2577,'Active Clients'!$A$5:$A$504,0)))&amp;"","ID not found"))</f>
        <v/>
      </c>
      <c r="E2577" s="51" t="str">
        <f aca="false">IF(C2577="","",IFERROR(IF(LEFT(C2577,1)="L",INDEX('Leads Pipeline'!$D$5:$D$1004,MATCH(C2577,'Leads Pipeline'!$A$5:$A$1004,0)),INDEX('Active Clients'!$B$5:$B$504,MATCH(C2577,'Active Clients'!$A$5:$A$504,0)))&amp;"","ID not found"))</f>
        <v/>
      </c>
      <c r="F2577" s="51" t="str">
        <f aca="false">IF(C2577="","",IFERROR(IF(LEFT(C2577,1)="L",INDEX('Leads Pipeline'!$E$5:$E$1004,MATCH(C2577,'Leads Pipeline'!$A$5:$A$1004,0)),INDEX('Active Clients'!$C$5:$C$504,MATCH(C2577,'Active Clients'!$A$5:$A$504,0)))&amp;"","ID not found"))</f>
        <v/>
      </c>
      <c r="G2577" s="16"/>
      <c r="H2577" s="16"/>
      <c r="I2577" s="16"/>
      <c r="J2577" s="16"/>
      <c r="K2577" s="16"/>
      <c r="L2577" s="18"/>
    </row>
    <row r="2578" customFormat="false" ht="15" hidden="false" customHeight="false" outlineLevel="0" collapsed="false">
      <c r="A2578" s="18"/>
      <c r="B2578" s="16"/>
      <c r="C2578" s="16"/>
      <c r="D2578" s="51" t="str">
        <f aca="false">IF(C2578="","",IFERROR(IF(LEFT(C2578,1)="L",INDEX('Leads Pipeline'!$F$5:$F$1004,MATCH(C2578,'Leads Pipeline'!$A$5:$A$1004,0)),INDEX('Active Clients'!$D$5:$D$504,MATCH(C2578,'Active Clients'!$A$5:$A$504,0)))&amp;"","ID not found"))</f>
        <v/>
      </c>
      <c r="E2578" s="51" t="str">
        <f aca="false">IF(C2578="","",IFERROR(IF(LEFT(C2578,1)="L",INDEX('Leads Pipeline'!$D$5:$D$1004,MATCH(C2578,'Leads Pipeline'!$A$5:$A$1004,0)),INDEX('Active Clients'!$B$5:$B$504,MATCH(C2578,'Active Clients'!$A$5:$A$504,0)))&amp;"","ID not found"))</f>
        <v/>
      </c>
      <c r="F2578" s="51" t="str">
        <f aca="false">IF(C2578="","",IFERROR(IF(LEFT(C2578,1)="L",INDEX('Leads Pipeline'!$E$5:$E$1004,MATCH(C2578,'Leads Pipeline'!$A$5:$A$1004,0)),INDEX('Active Clients'!$C$5:$C$504,MATCH(C2578,'Active Clients'!$A$5:$A$504,0)))&amp;"","ID not found"))</f>
        <v/>
      </c>
      <c r="G2578" s="16"/>
      <c r="H2578" s="16"/>
      <c r="I2578" s="16"/>
      <c r="J2578" s="16"/>
      <c r="K2578" s="16"/>
      <c r="L2578" s="18"/>
    </row>
    <row r="2579" customFormat="false" ht="15" hidden="false" customHeight="false" outlineLevel="0" collapsed="false">
      <c r="A2579" s="18"/>
      <c r="B2579" s="16"/>
      <c r="C2579" s="16"/>
      <c r="D2579" s="51" t="str">
        <f aca="false">IF(C2579="","",IFERROR(IF(LEFT(C2579,1)="L",INDEX('Leads Pipeline'!$F$5:$F$1004,MATCH(C2579,'Leads Pipeline'!$A$5:$A$1004,0)),INDEX('Active Clients'!$D$5:$D$504,MATCH(C2579,'Active Clients'!$A$5:$A$504,0)))&amp;"","ID not found"))</f>
        <v/>
      </c>
      <c r="E2579" s="51" t="str">
        <f aca="false">IF(C2579="","",IFERROR(IF(LEFT(C2579,1)="L",INDEX('Leads Pipeline'!$D$5:$D$1004,MATCH(C2579,'Leads Pipeline'!$A$5:$A$1004,0)),INDEX('Active Clients'!$B$5:$B$504,MATCH(C2579,'Active Clients'!$A$5:$A$504,0)))&amp;"","ID not found"))</f>
        <v/>
      </c>
      <c r="F2579" s="51" t="str">
        <f aca="false">IF(C2579="","",IFERROR(IF(LEFT(C2579,1)="L",INDEX('Leads Pipeline'!$E$5:$E$1004,MATCH(C2579,'Leads Pipeline'!$A$5:$A$1004,0)),INDEX('Active Clients'!$C$5:$C$504,MATCH(C2579,'Active Clients'!$A$5:$A$504,0)))&amp;"","ID not found"))</f>
        <v/>
      </c>
      <c r="G2579" s="16"/>
      <c r="H2579" s="16"/>
      <c r="I2579" s="16"/>
      <c r="J2579" s="16"/>
      <c r="K2579" s="16"/>
      <c r="L2579" s="18"/>
    </row>
    <row r="2580" customFormat="false" ht="15" hidden="false" customHeight="false" outlineLevel="0" collapsed="false">
      <c r="A2580" s="18"/>
      <c r="B2580" s="16"/>
      <c r="C2580" s="16"/>
      <c r="D2580" s="51" t="str">
        <f aca="false">IF(C2580="","",IFERROR(IF(LEFT(C2580,1)="L",INDEX('Leads Pipeline'!$F$5:$F$1004,MATCH(C2580,'Leads Pipeline'!$A$5:$A$1004,0)),INDEX('Active Clients'!$D$5:$D$504,MATCH(C2580,'Active Clients'!$A$5:$A$504,0)))&amp;"","ID not found"))</f>
        <v/>
      </c>
      <c r="E2580" s="51" t="str">
        <f aca="false">IF(C2580="","",IFERROR(IF(LEFT(C2580,1)="L",INDEX('Leads Pipeline'!$D$5:$D$1004,MATCH(C2580,'Leads Pipeline'!$A$5:$A$1004,0)),INDEX('Active Clients'!$B$5:$B$504,MATCH(C2580,'Active Clients'!$A$5:$A$504,0)))&amp;"","ID not found"))</f>
        <v/>
      </c>
      <c r="F2580" s="51" t="str">
        <f aca="false">IF(C2580="","",IFERROR(IF(LEFT(C2580,1)="L",INDEX('Leads Pipeline'!$E$5:$E$1004,MATCH(C2580,'Leads Pipeline'!$A$5:$A$1004,0)),INDEX('Active Clients'!$C$5:$C$504,MATCH(C2580,'Active Clients'!$A$5:$A$504,0)))&amp;"","ID not found"))</f>
        <v/>
      </c>
      <c r="G2580" s="16"/>
      <c r="H2580" s="16"/>
      <c r="I2580" s="16"/>
      <c r="J2580" s="16"/>
      <c r="K2580" s="16"/>
      <c r="L2580" s="18"/>
    </row>
    <row r="2581" customFormat="false" ht="15" hidden="false" customHeight="false" outlineLevel="0" collapsed="false">
      <c r="A2581" s="18"/>
      <c r="B2581" s="16"/>
      <c r="C2581" s="16"/>
      <c r="D2581" s="51" t="str">
        <f aca="false">IF(C2581="","",IFERROR(IF(LEFT(C2581,1)="L",INDEX('Leads Pipeline'!$F$5:$F$1004,MATCH(C2581,'Leads Pipeline'!$A$5:$A$1004,0)),INDEX('Active Clients'!$D$5:$D$504,MATCH(C2581,'Active Clients'!$A$5:$A$504,0)))&amp;"","ID not found"))</f>
        <v/>
      </c>
      <c r="E2581" s="51" t="str">
        <f aca="false">IF(C2581="","",IFERROR(IF(LEFT(C2581,1)="L",INDEX('Leads Pipeline'!$D$5:$D$1004,MATCH(C2581,'Leads Pipeline'!$A$5:$A$1004,0)),INDEX('Active Clients'!$B$5:$B$504,MATCH(C2581,'Active Clients'!$A$5:$A$504,0)))&amp;"","ID not found"))</f>
        <v/>
      </c>
      <c r="F2581" s="51" t="str">
        <f aca="false">IF(C2581="","",IFERROR(IF(LEFT(C2581,1)="L",INDEX('Leads Pipeline'!$E$5:$E$1004,MATCH(C2581,'Leads Pipeline'!$A$5:$A$1004,0)),INDEX('Active Clients'!$C$5:$C$504,MATCH(C2581,'Active Clients'!$A$5:$A$504,0)))&amp;"","ID not found"))</f>
        <v/>
      </c>
      <c r="G2581" s="16"/>
      <c r="H2581" s="16"/>
      <c r="I2581" s="16"/>
      <c r="J2581" s="16"/>
      <c r="K2581" s="16"/>
      <c r="L2581" s="18"/>
    </row>
    <row r="2582" customFormat="false" ht="15" hidden="false" customHeight="false" outlineLevel="0" collapsed="false">
      <c r="A2582" s="18"/>
      <c r="B2582" s="16"/>
      <c r="C2582" s="16"/>
      <c r="D2582" s="51" t="str">
        <f aca="false">IF(C2582="","",IFERROR(IF(LEFT(C2582,1)="L",INDEX('Leads Pipeline'!$F$5:$F$1004,MATCH(C2582,'Leads Pipeline'!$A$5:$A$1004,0)),INDEX('Active Clients'!$D$5:$D$504,MATCH(C2582,'Active Clients'!$A$5:$A$504,0)))&amp;"","ID not found"))</f>
        <v/>
      </c>
      <c r="E2582" s="51" t="str">
        <f aca="false">IF(C2582="","",IFERROR(IF(LEFT(C2582,1)="L",INDEX('Leads Pipeline'!$D$5:$D$1004,MATCH(C2582,'Leads Pipeline'!$A$5:$A$1004,0)),INDEX('Active Clients'!$B$5:$B$504,MATCH(C2582,'Active Clients'!$A$5:$A$504,0)))&amp;"","ID not found"))</f>
        <v/>
      </c>
      <c r="F2582" s="51" t="str">
        <f aca="false">IF(C2582="","",IFERROR(IF(LEFT(C2582,1)="L",INDEX('Leads Pipeline'!$E$5:$E$1004,MATCH(C2582,'Leads Pipeline'!$A$5:$A$1004,0)),INDEX('Active Clients'!$C$5:$C$504,MATCH(C2582,'Active Clients'!$A$5:$A$504,0)))&amp;"","ID not found"))</f>
        <v/>
      </c>
      <c r="G2582" s="16"/>
      <c r="H2582" s="16"/>
      <c r="I2582" s="16"/>
      <c r="J2582" s="16"/>
      <c r="K2582" s="16"/>
      <c r="L2582" s="18"/>
    </row>
    <row r="2583" customFormat="false" ht="15" hidden="false" customHeight="false" outlineLevel="0" collapsed="false">
      <c r="A2583" s="18"/>
      <c r="B2583" s="16"/>
      <c r="C2583" s="16"/>
      <c r="D2583" s="51" t="str">
        <f aca="false">IF(C2583="","",IFERROR(IF(LEFT(C2583,1)="L",INDEX('Leads Pipeline'!$F$5:$F$1004,MATCH(C2583,'Leads Pipeline'!$A$5:$A$1004,0)),INDEX('Active Clients'!$D$5:$D$504,MATCH(C2583,'Active Clients'!$A$5:$A$504,0)))&amp;"","ID not found"))</f>
        <v/>
      </c>
      <c r="E2583" s="51" t="str">
        <f aca="false">IF(C2583="","",IFERROR(IF(LEFT(C2583,1)="L",INDEX('Leads Pipeline'!$D$5:$D$1004,MATCH(C2583,'Leads Pipeline'!$A$5:$A$1004,0)),INDEX('Active Clients'!$B$5:$B$504,MATCH(C2583,'Active Clients'!$A$5:$A$504,0)))&amp;"","ID not found"))</f>
        <v/>
      </c>
      <c r="F2583" s="51" t="str">
        <f aca="false">IF(C2583="","",IFERROR(IF(LEFT(C2583,1)="L",INDEX('Leads Pipeline'!$E$5:$E$1004,MATCH(C2583,'Leads Pipeline'!$A$5:$A$1004,0)),INDEX('Active Clients'!$C$5:$C$504,MATCH(C2583,'Active Clients'!$A$5:$A$504,0)))&amp;"","ID not found"))</f>
        <v/>
      </c>
      <c r="G2583" s="16"/>
      <c r="H2583" s="16"/>
      <c r="I2583" s="16"/>
      <c r="J2583" s="16"/>
      <c r="K2583" s="16"/>
      <c r="L2583" s="18"/>
    </row>
    <row r="2584" customFormat="false" ht="15" hidden="false" customHeight="false" outlineLevel="0" collapsed="false">
      <c r="A2584" s="18"/>
      <c r="B2584" s="16"/>
      <c r="C2584" s="16"/>
      <c r="D2584" s="51" t="str">
        <f aca="false">IF(C2584="","",IFERROR(IF(LEFT(C2584,1)="L",INDEX('Leads Pipeline'!$F$5:$F$1004,MATCH(C2584,'Leads Pipeline'!$A$5:$A$1004,0)),INDEX('Active Clients'!$D$5:$D$504,MATCH(C2584,'Active Clients'!$A$5:$A$504,0)))&amp;"","ID not found"))</f>
        <v/>
      </c>
      <c r="E2584" s="51" t="str">
        <f aca="false">IF(C2584="","",IFERROR(IF(LEFT(C2584,1)="L",INDEX('Leads Pipeline'!$D$5:$D$1004,MATCH(C2584,'Leads Pipeline'!$A$5:$A$1004,0)),INDEX('Active Clients'!$B$5:$B$504,MATCH(C2584,'Active Clients'!$A$5:$A$504,0)))&amp;"","ID not found"))</f>
        <v/>
      </c>
      <c r="F2584" s="51" t="str">
        <f aca="false">IF(C2584="","",IFERROR(IF(LEFT(C2584,1)="L",INDEX('Leads Pipeline'!$E$5:$E$1004,MATCH(C2584,'Leads Pipeline'!$A$5:$A$1004,0)),INDEX('Active Clients'!$C$5:$C$504,MATCH(C2584,'Active Clients'!$A$5:$A$504,0)))&amp;"","ID not found"))</f>
        <v/>
      </c>
      <c r="G2584" s="16"/>
      <c r="H2584" s="16"/>
      <c r="I2584" s="16"/>
      <c r="J2584" s="16"/>
      <c r="K2584" s="16"/>
      <c r="L2584" s="18"/>
    </row>
    <row r="2585" customFormat="false" ht="15" hidden="false" customHeight="false" outlineLevel="0" collapsed="false">
      <c r="A2585" s="18"/>
      <c r="B2585" s="16"/>
      <c r="C2585" s="16"/>
      <c r="D2585" s="51" t="str">
        <f aca="false">IF(C2585="","",IFERROR(IF(LEFT(C2585,1)="L",INDEX('Leads Pipeline'!$F$5:$F$1004,MATCH(C2585,'Leads Pipeline'!$A$5:$A$1004,0)),INDEX('Active Clients'!$D$5:$D$504,MATCH(C2585,'Active Clients'!$A$5:$A$504,0)))&amp;"","ID not found"))</f>
        <v/>
      </c>
      <c r="E2585" s="51" t="str">
        <f aca="false">IF(C2585="","",IFERROR(IF(LEFT(C2585,1)="L",INDEX('Leads Pipeline'!$D$5:$D$1004,MATCH(C2585,'Leads Pipeline'!$A$5:$A$1004,0)),INDEX('Active Clients'!$B$5:$B$504,MATCH(C2585,'Active Clients'!$A$5:$A$504,0)))&amp;"","ID not found"))</f>
        <v/>
      </c>
      <c r="F2585" s="51" t="str">
        <f aca="false">IF(C2585="","",IFERROR(IF(LEFT(C2585,1)="L",INDEX('Leads Pipeline'!$E$5:$E$1004,MATCH(C2585,'Leads Pipeline'!$A$5:$A$1004,0)),INDEX('Active Clients'!$C$5:$C$504,MATCH(C2585,'Active Clients'!$A$5:$A$504,0)))&amp;"","ID not found"))</f>
        <v/>
      </c>
      <c r="G2585" s="16"/>
      <c r="H2585" s="16"/>
      <c r="I2585" s="16"/>
      <c r="J2585" s="16"/>
      <c r="K2585" s="16"/>
      <c r="L2585" s="18"/>
    </row>
    <row r="2586" customFormat="false" ht="15" hidden="false" customHeight="false" outlineLevel="0" collapsed="false">
      <c r="A2586" s="18"/>
      <c r="B2586" s="16"/>
      <c r="C2586" s="16"/>
      <c r="D2586" s="51" t="str">
        <f aca="false">IF(C2586="","",IFERROR(IF(LEFT(C2586,1)="L",INDEX('Leads Pipeline'!$F$5:$F$1004,MATCH(C2586,'Leads Pipeline'!$A$5:$A$1004,0)),INDEX('Active Clients'!$D$5:$D$504,MATCH(C2586,'Active Clients'!$A$5:$A$504,0)))&amp;"","ID not found"))</f>
        <v/>
      </c>
      <c r="E2586" s="51" t="str">
        <f aca="false">IF(C2586="","",IFERROR(IF(LEFT(C2586,1)="L",INDEX('Leads Pipeline'!$D$5:$D$1004,MATCH(C2586,'Leads Pipeline'!$A$5:$A$1004,0)),INDEX('Active Clients'!$B$5:$B$504,MATCH(C2586,'Active Clients'!$A$5:$A$504,0)))&amp;"","ID not found"))</f>
        <v/>
      </c>
      <c r="F2586" s="51" t="str">
        <f aca="false">IF(C2586="","",IFERROR(IF(LEFT(C2586,1)="L",INDEX('Leads Pipeline'!$E$5:$E$1004,MATCH(C2586,'Leads Pipeline'!$A$5:$A$1004,0)),INDEX('Active Clients'!$C$5:$C$504,MATCH(C2586,'Active Clients'!$A$5:$A$504,0)))&amp;"","ID not found"))</f>
        <v/>
      </c>
      <c r="G2586" s="16"/>
      <c r="H2586" s="16"/>
      <c r="I2586" s="16"/>
      <c r="J2586" s="16"/>
      <c r="K2586" s="16"/>
      <c r="L2586" s="18"/>
    </row>
    <row r="2587" customFormat="false" ht="15" hidden="false" customHeight="false" outlineLevel="0" collapsed="false">
      <c r="A2587" s="18"/>
      <c r="B2587" s="16"/>
      <c r="C2587" s="16"/>
      <c r="D2587" s="51" t="str">
        <f aca="false">IF(C2587="","",IFERROR(IF(LEFT(C2587,1)="L",INDEX('Leads Pipeline'!$F$5:$F$1004,MATCH(C2587,'Leads Pipeline'!$A$5:$A$1004,0)),INDEX('Active Clients'!$D$5:$D$504,MATCH(C2587,'Active Clients'!$A$5:$A$504,0)))&amp;"","ID not found"))</f>
        <v/>
      </c>
      <c r="E2587" s="51" t="str">
        <f aca="false">IF(C2587="","",IFERROR(IF(LEFT(C2587,1)="L",INDEX('Leads Pipeline'!$D$5:$D$1004,MATCH(C2587,'Leads Pipeline'!$A$5:$A$1004,0)),INDEX('Active Clients'!$B$5:$B$504,MATCH(C2587,'Active Clients'!$A$5:$A$504,0)))&amp;"","ID not found"))</f>
        <v/>
      </c>
      <c r="F2587" s="51" t="str">
        <f aca="false">IF(C2587="","",IFERROR(IF(LEFT(C2587,1)="L",INDEX('Leads Pipeline'!$E$5:$E$1004,MATCH(C2587,'Leads Pipeline'!$A$5:$A$1004,0)),INDEX('Active Clients'!$C$5:$C$504,MATCH(C2587,'Active Clients'!$A$5:$A$504,0)))&amp;"","ID not found"))</f>
        <v/>
      </c>
      <c r="G2587" s="16"/>
      <c r="H2587" s="16"/>
      <c r="I2587" s="16"/>
      <c r="J2587" s="16"/>
      <c r="K2587" s="16"/>
      <c r="L2587" s="18"/>
    </row>
    <row r="2588" customFormat="false" ht="15" hidden="false" customHeight="false" outlineLevel="0" collapsed="false">
      <c r="A2588" s="18"/>
      <c r="B2588" s="16"/>
      <c r="C2588" s="16"/>
      <c r="D2588" s="51" t="str">
        <f aca="false">IF(C2588="","",IFERROR(IF(LEFT(C2588,1)="L",INDEX('Leads Pipeline'!$F$5:$F$1004,MATCH(C2588,'Leads Pipeline'!$A$5:$A$1004,0)),INDEX('Active Clients'!$D$5:$D$504,MATCH(C2588,'Active Clients'!$A$5:$A$504,0)))&amp;"","ID not found"))</f>
        <v/>
      </c>
      <c r="E2588" s="51" t="str">
        <f aca="false">IF(C2588="","",IFERROR(IF(LEFT(C2588,1)="L",INDEX('Leads Pipeline'!$D$5:$D$1004,MATCH(C2588,'Leads Pipeline'!$A$5:$A$1004,0)),INDEX('Active Clients'!$B$5:$B$504,MATCH(C2588,'Active Clients'!$A$5:$A$504,0)))&amp;"","ID not found"))</f>
        <v/>
      </c>
      <c r="F2588" s="51" t="str">
        <f aca="false">IF(C2588="","",IFERROR(IF(LEFT(C2588,1)="L",INDEX('Leads Pipeline'!$E$5:$E$1004,MATCH(C2588,'Leads Pipeline'!$A$5:$A$1004,0)),INDEX('Active Clients'!$C$5:$C$504,MATCH(C2588,'Active Clients'!$A$5:$A$504,0)))&amp;"","ID not found"))</f>
        <v/>
      </c>
      <c r="G2588" s="16"/>
      <c r="H2588" s="16"/>
      <c r="I2588" s="16"/>
      <c r="J2588" s="16"/>
      <c r="K2588" s="16"/>
      <c r="L2588" s="18"/>
    </row>
    <row r="2589" customFormat="false" ht="15" hidden="false" customHeight="false" outlineLevel="0" collapsed="false">
      <c r="A2589" s="18"/>
      <c r="B2589" s="16"/>
      <c r="C2589" s="16"/>
      <c r="D2589" s="51" t="str">
        <f aca="false">IF(C2589="","",IFERROR(IF(LEFT(C2589,1)="L",INDEX('Leads Pipeline'!$F$5:$F$1004,MATCH(C2589,'Leads Pipeline'!$A$5:$A$1004,0)),INDEX('Active Clients'!$D$5:$D$504,MATCH(C2589,'Active Clients'!$A$5:$A$504,0)))&amp;"","ID not found"))</f>
        <v/>
      </c>
      <c r="E2589" s="51" t="str">
        <f aca="false">IF(C2589="","",IFERROR(IF(LEFT(C2589,1)="L",INDEX('Leads Pipeline'!$D$5:$D$1004,MATCH(C2589,'Leads Pipeline'!$A$5:$A$1004,0)),INDEX('Active Clients'!$B$5:$B$504,MATCH(C2589,'Active Clients'!$A$5:$A$504,0)))&amp;"","ID not found"))</f>
        <v/>
      </c>
      <c r="F2589" s="51" t="str">
        <f aca="false">IF(C2589="","",IFERROR(IF(LEFT(C2589,1)="L",INDEX('Leads Pipeline'!$E$5:$E$1004,MATCH(C2589,'Leads Pipeline'!$A$5:$A$1004,0)),INDEX('Active Clients'!$C$5:$C$504,MATCH(C2589,'Active Clients'!$A$5:$A$504,0)))&amp;"","ID not found"))</f>
        <v/>
      </c>
      <c r="G2589" s="16"/>
      <c r="H2589" s="16"/>
      <c r="I2589" s="16"/>
      <c r="J2589" s="16"/>
      <c r="K2589" s="16"/>
      <c r="L2589" s="18"/>
    </row>
    <row r="2590" customFormat="false" ht="15" hidden="false" customHeight="false" outlineLevel="0" collapsed="false">
      <c r="A2590" s="18"/>
      <c r="B2590" s="16"/>
      <c r="C2590" s="16"/>
      <c r="D2590" s="51" t="str">
        <f aca="false">IF(C2590="","",IFERROR(IF(LEFT(C2590,1)="L",INDEX('Leads Pipeline'!$F$5:$F$1004,MATCH(C2590,'Leads Pipeline'!$A$5:$A$1004,0)),INDEX('Active Clients'!$D$5:$D$504,MATCH(C2590,'Active Clients'!$A$5:$A$504,0)))&amp;"","ID not found"))</f>
        <v/>
      </c>
      <c r="E2590" s="51" t="str">
        <f aca="false">IF(C2590="","",IFERROR(IF(LEFT(C2590,1)="L",INDEX('Leads Pipeline'!$D$5:$D$1004,MATCH(C2590,'Leads Pipeline'!$A$5:$A$1004,0)),INDEX('Active Clients'!$B$5:$B$504,MATCH(C2590,'Active Clients'!$A$5:$A$504,0)))&amp;"","ID not found"))</f>
        <v/>
      </c>
      <c r="F2590" s="51" t="str">
        <f aca="false">IF(C2590="","",IFERROR(IF(LEFT(C2590,1)="L",INDEX('Leads Pipeline'!$E$5:$E$1004,MATCH(C2590,'Leads Pipeline'!$A$5:$A$1004,0)),INDEX('Active Clients'!$C$5:$C$504,MATCH(C2590,'Active Clients'!$A$5:$A$504,0)))&amp;"","ID not found"))</f>
        <v/>
      </c>
      <c r="G2590" s="16"/>
      <c r="H2590" s="16"/>
      <c r="I2590" s="16"/>
      <c r="J2590" s="16"/>
      <c r="K2590" s="16"/>
      <c r="L2590" s="18"/>
    </row>
    <row r="2591" customFormat="false" ht="15" hidden="false" customHeight="false" outlineLevel="0" collapsed="false">
      <c r="A2591" s="18"/>
      <c r="B2591" s="16"/>
      <c r="C2591" s="16"/>
      <c r="D2591" s="51" t="str">
        <f aca="false">IF(C2591="","",IFERROR(IF(LEFT(C2591,1)="L",INDEX('Leads Pipeline'!$F$5:$F$1004,MATCH(C2591,'Leads Pipeline'!$A$5:$A$1004,0)),INDEX('Active Clients'!$D$5:$D$504,MATCH(C2591,'Active Clients'!$A$5:$A$504,0)))&amp;"","ID not found"))</f>
        <v/>
      </c>
      <c r="E2591" s="51" t="str">
        <f aca="false">IF(C2591="","",IFERROR(IF(LEFT(C2591,1)="L",INDEX('Leads Pipeline'!$D$5:$D$1004,MATCH(C2591,'Leads Pipeline'!$A$5:$A$1004,0)),INDEX('Active Clients'!$B$5:$B$504,MATCH(C2591,'Active Clients'!$A$5:$A$504,0)))&amp;"","ID not found"))</f>
        <v/>
      </c>
      <c r="F2591" s="51" t="str">
        <f aca="false">IF(C2591="","",IFERROR(IF(LEFT(C2591,1)="L",INDEX('Leads Pipeline'!$E$5:$E$1004,MATCH(C2591,'Leads Pipeline'!$A$5:$A$1004,0)),INDEX('Active Clients'!$C$5:$C$504,MATCH(C2591,'Active Clients'!$A$5:$A$504,0)))&amp;"","ID not found"))</f>
        <v/>
      </c>
      <c r="G2591" s="16"/>
      <c r="H2591" s="16"/>
      <c r="I2591" s="16"/>
      <c r="J2591" s="16"/>
      <c r="K2591" s="16"/>
      <c r="L2591" s="18"/>
    </row>
    <row r="2592" customFormat="false" ht="15" hidden="false" customHeight="false" outlineLevel="0" collapsed="false">
      <c r="A2592" s="18"/>
      <c r="B2592" s="16"/>
      <c r="C2592" s="16"/>
      <c r="D2592" s="51" t="str">
        <f aca="false">IF(C2592="","",IFERROR(IF(LEFT(C2592,1)="L",INDEX('Leads Pipeline'!$F$5:$F$1004,MATCH(C2592,'Leads Pipeline'!$A$5:$A$1004,0)),INDEX('Active Clients'!$D$5:$D$504,MATCH(C2592,'Active Clients'!$A$5:$A$504,0)))&amp;"","ID not found"))</f>
        <v/>
      </c>
      <c r="E2592" s="51" t="str">
        <f aca="false">IF(C2592="","",IFERROR(IF(LEFT(C2592,1)="L",INDEX('Leads Pipeline'!$D$5:$D$1004,MATCH(C2592,'Leads Pipeline'!$A$5:$A$1004,0)),INDEX('Active Clients'!$B$5:$B$504,MATCH(C2592,'Active Clients'!$A$5:$A$504,0)))&amp;"","ID not found"))</f>
        <v/>
      </c>
      <c r="F2592" s="51" t="str">
        <f aca="false">IF(C2592="","",IFERROR(IF(LEFT(C2592,1)="L",INDEX('Leads Pipeline'!$E$5:$E$1004,MATCH(C2592,'Leads Pipeline'!$A$5:$A$1004,0)),INDEX('Active Clients'!$C$5:$C$504,MATCH(C2592,'Active Clients'!$A$5:$A$504,0)))&amp;"","ID not found"))</f>
        <v/>
      </c>
      <c r="G2592" s="16"/>
      <c r="H2592" s="16"/>
      <c r="I2592" s="16"/>
      <c r="J2592" s="16"/>
      <c r="K2592" s="16"/>
      <c r="L2592" s="18"/>
    </row>
    <row r="2593" customFormat="false" ht="15" hidden="false" customHeight="false" outlineLevel="0" collapsed="false">
      <c r="A2593" s="18"/>
      <c r="B2593" s="16"/>
      <c r="C2593" s="16"/>
      <c r="D2593" s="51" t="str">
        <f aca="false">IF(C2593="","",IFERROR(IF(LEFT(C2593,1)="L",INDEX('Leads Pipeline'!$F$5:$F$1004,MATCH(C2593,'Leads Pipeline'!$A$5:$A$1004,0)),INDEX('Active Clients'!$D$5:$D$504,MATCH(C2593,'Active Clients'!$A$5:$A$504,0)))&amp;"","ID not found"))</f>
        <v/>
      </c>
      <c r="E2593" s="51" t="str">
        <f aca="false">IF(C2593="","",IFERROR(IF(LEFT(C2593,1)="L",INDEX('Leads Pipeline'!$D$5:$D$1004,MATCH(C2593,'Leads Pipeline'!$A$5:$A$1004,0)),INDEX('Active Clients'!$B$5:$B$504,MATCH(C2593,'Active Clients'!$A$5:$A$504,0)))&amp;"","ID not found"))</f>
        <v/>
      </c>
      <c r="F2593" s="51" t="str">
        <f aca="false">IF(C2593="","",IFERROR(IF(LEFT(C2593,1)="L",INDEX('Leads Pipeline'!$E$5:$E$1004,MATCH(C2593,'Leads Pipeline'!$A$5:$A$1004,0)),INDEX('Active Clients'!$C$5:$C$504,MATCH(C2593,'Active Clients'!$A$5:$A$504,0)))&amp;"","ID not found"))</f>
        <v/>
      </c>
      <c r="G2593" s="16"/>
      <c r="H2593" s="16"/>
      <c r="I2593" s="16"/>
      <c r="J2593" s="16"/>
      <c r="K2593" s="16"/>
      <c r="L2593" s="18"/>
    </row>
    <row r="2594" customFormat="false" ht="15" hidden="false" customHeight="false" outlineLevel="0" collapsed="false">
      <c r="A2594" s="18"/>
      <c r="B2594" s="16"/>
      <c r="C2594" s="16"/>
      <c r="D2594" s="51" t="str">
        <f aca="false">IF(C2594="","",IFERROR(IF(LEFT(C2594,1)="L",INDEX('Leads Pipeline'!$F$5:$F$1004,MATCH(C2594,'Leads Pipeline'!$A$5:$A$1004,0)),INDEX('Active Clients'!$D$5:$D$504,MATCH(C2594,'Active Clients'!$A$5:$A$504,0)))&amp;"","ID not found"))</f>
        <v/>
      </c>
      <c r="E2594" s="51" t="str">
        <f aca="false">IF(C2594="","",IFERROR(IF(LEFT(C2594,1)="L",INDEX('Leads Pipeline'!$D$5:$D$1004,MATCH(C2594,'Leads Pipeline'!$A$5:$A$1004,0)),INDEX('Active Clients'!$B$5:$B$504,MATCH(C2594,'Active Clients'!$A$5:$A$504,0)))&amp;"","ID not found"))</f>
        <v/>
      </c>
      <c r="F2594" s="51" t="str">
        <f aca="false">IF(C2594="","",IFERROR(IF(LEFT(C2594,1)="L",INDEX('Leads Pipeline'!$E$5:$E$1004,MATCH(C2594,'Leads Pipeline'!$A$5:$A$1004,0)),INDEX('Active Clients'!$C$5:$C$504,MATCH(C2594,'Active Clients'!$A$5:$A$504,0)))&amp;"","ID not found"))</f>
        <v/>
      </c>
      <c r="G2594" s="16"/>
      <c r="H2594" s="16"/>
      <c r="I2594" s="16"/>
      <c r="J2594" s="16"/>
      <c r="K2594" s="16"/>
      <c r="L2594" s="18"/>
    </row>
    <row r="2595" customFormat="false" ht="15" hidden="false" customHeight="false" outlineLevel="0" collapsed="false">
      <c r="A2595" s="18"/>
      <c r="B2595" s="16"/>
      <c r="C2595" s="16"/>
      <c r="D2595" s="51" t="str">
        <f aca="false">IF(C2595="","",IFERROR(IF(LEFT(C2595,1)="L",INDEX('Leads Pipeline'!$F$5:$F$1004,MATCH(C2595,'Leads Pipeline'!$A$5:$A$1004,0)),INDEX('Active Clients'!$D$5:$D$504,MATCH(C2595,'Active Clients'!$A$5:$A$504,0)))&amp;"","ID not found"))</f>
        <v/>
      </c>
      <c r="E2595" s="51" t="str">
        <f aca="false">IF(C2595="","",IFERROR(IF(LEFT(C2595,1)="L",INDEX('Leads Pipeline'!$D$5:$D$1004,MATCH(C2595,'Leads Pipeline'!$A$5:$A$1004,0)),INDEX('Active Clients'!$B$5:$B$504,MATCH(C2595,'Active Clients'!$A$5:$A$504,0)))&amp;"","ID not found"))</f>
        <v/>
      </c>
      <c r="F2595" s="51" t="str">
        <f aca="false">IF(C2595="","",IFERROR(IF(LEFT(C2595,1)="L",INDEX('Leads Pipeline'!$E$5:$E$1004,MATCH(C2595,'Leads Pipeline'!$A$5:$A$1004,0)),INDEX('Active Clients'!$C$5:$C$504,MATCH(C2595,'Active Clients'!$A$5:$A$504,0)))&amp;"","ID not found"))</f>
        <v/>
      </c>
      <c r="G2595" s="16"/>
      <c r="H2595" s="16"/>
      <c r="I2595" s="16"/>
      <c r="J2595" s="16"/>
      <c r="K2595" s="16"/>
      <c r="L2595" s="18"/>
    </row>
    <row r="2596" customFormat="false" ht="15" hidden="false" customHeight="false" outlineLevel="0" collapsed="false">
      <c r="A2596" s="18"/>
      <c r="B2596" s="16"/>
      <c r="C2596" s="16"/>
      <c r="D2596" s="51" t="str">
        <f aca="false">IF(C2596="","",IFERROR(IF(LEFT(C2596,1)="L",INDEX('Leads Pipeline'!$F$5:$F$1004,MATCH(C2596,'Leads Pipeline'!$A$5:$A$1004,0)),INDEX('Active Clients'!$D$5:$D$504,MATCH(C2596,'Active Clients'!$A$5:$A$504,0)))&amp;"","ID not found"))</f>
        <v/>
      </c>
      <c r="E2596" s="51" t="str">
        <f aca="false">IF(C2596="","",IFERROR(IF(LEFT(C2596,1)="L",INDEX('Leads Pipeline'!$D$5:$D$1004,MATCH(C2596,'Leads Pipeline'!$A$5:$A$1004,0)),INDEX('Active Clients'!$B$5:$B$504,MATCH(C2596,'Active Clients'!$A$5:$A$504,0)))&amp;"","ID not found"))</f>
        <v/>
      </c>
      <c r="F2596" s="51" t="str">
        <f aca="false">IF(C2596="","",IFERROR(IF(LEFT(C2596,1)="L",INDEX('Leads Pipeline'!$E$5:$E$1004,MATCH(C2596,'Leads Pipeline'!$A$5:$A$1004,0)),INDEX('Active Clients'!$C$5:$C$504,MATCH(C2596,'Active Clients'!$A$5:$A$504,0)))&amp;"","ID not found"))</f>
        <v/>
      </c>
      <c r="G2596" s="16"/>
      <c r="H2596" s="16"/>
      <c r="I2596" s="16"/>
      <c r="J2596" s="16"/>
      <c r="K2596" s="16"/>
      <c r="L2596" s="18"/>
    </row>
    <row r="2597" customFormat="false" ht="15" hidden="false" customHeight="false" outlineLevel="0" collapsed="false">
      <c r="A2597" s="18"/>
      <c r="B2597" s="16"/>
      <c r="C2597" s="16"/>
      <c r="D2597" s="51" t="str">
        <f aca="false">IF(C2597="","",IFERROR(IF(LEFT(C2597,1)="L",INDEX('Leads Pipeline'!$F$5:$F$1004,MATCH(C2597,'Leads Pipeline'!$A$5:$A$1004,0)),INDEX('Active Clients'!$D$5:$D$504,MATCH(C2597,'Active Clients'!$A$5:$A$504,0)))&amp;"","ID not found"))</f>
        <v/>
      </c>
      <c r="E2597" s="51" t="str">
        <f aca="false">IF(C2597="","",IFERROR(IF(LEFT(C2597,1)="L",INDEX('Leads Pipeline'!$D$5:$D$1004,MATCH(C2597,'Leads Pipeline'!$A$5:$A$1004,0)),INDEX('Active Clients'!$B$5:$B$504,MATCH(C2597,'Active Clients'!$A$5:$A$504,0)))&amp;"","ID not found"))</f>
        <v/>
      </c>
      <c r="F2597" s="51" t="str">
        <f aca="false">IF(C2597="","",IFERROR(IF(LEFT(C2597,1)="L",INDEX('Leads Pipeline'!$E$5:$E$1004,MATCH(C2597,'Leads Pipeline'!$A$5:$A$1004,0)),INDEX('Active Clients'!$C$5:$C$504,MATCH(C2597,'Active Clients'!$A$5:$A$504,0)))&amp;"","ID not found"))</f>
        <v/>
      </c>
      <c r="G2597" s="16"/>
      <c r="H2597" s="16"/>
      <c r="I2597" s="16"/>
      <c r="J2597" s="16"/>
      <c r="K2597" s="16"/>
      <c r="L2597" s="18"/>
    </row>
    <row r="2598" customFormat="false" ht="15" hidden="false" customHeight="false" outlineLevel="0" collapsed="false">
      <c r="A2598" s="18"/>
      <c r="B2598" s="16"/>
      <c r="C2598" s="16"/>
      <c r="D2598" s="51" t="str">
        <f aca="false">IF(C2598="","",IFERROR(IF(LEFT(C2598,1)="L",INDEX('Leads Pipeline'!$F$5:$F$1004,MATCH(C2598,'Leads Pipeline'!$A$5:$A$1004,0)),INDEX('Active Clients'!$D$5:$D$504,MATCH(C2598,'Active Clients'!$A$5:$A$504,0)))&amp;"","ID not found"))</f>
        <v/>
      </c>
      <c r="E2598" s="51" t="str">
        <f aca="false">IF(C2598="","",IFERROR(IF(LEFT(C2598,1)="L",INDEX('Leads Pipeline'!$D$5:$D$1004,MATCH(C2598,'Leads Pipeline'!$A$5:$A$1004,0)),INDEX('Active Clients'!$B$5:$B$504,MATCH(C2598,'Active Clients'!$A$5:$A$504,0)))&amp;"","ID not found"))</f>
        <v/>
      </c>
      <c r="F2598" s="51" t="str">
        <f aca="false">IF(C2598="","",IFERROR(IF(LEFT(C2598,1)="L",INDEX('Leads Pipeline'!$E$5:$E$1004,MATCH(C2598,'Leads Pipeline'!$A$5:$A$1004,0)),INDEX('Active Clients'!$C$5:$C$504,MATCH(C2598,'Active Clients'!$A$5:$A$504,0)))&amp;"","ID not found"))</f>
        <v/>
      </c>
      <c r="G2598" s="16"/>
      <c r="H2598" s="16"/>
      <c r="I2598" s="16"/>
      <c r="J2598" s="16"/>
      <c r="K2598" s="16"/>
      <c r="L2598" s="18"/>
    </row>
    <row r="2599" customFormat="false" ht="15" hidden="false" customHeight="false" outlineLevel="0" collapsed="false">
      <c r="A2599" s="18"/>
      <c r="B2599" s="16"/>
      <c r="C2599" s="16"/>
      <c r="D2599" s="51" t="str">
        <f aca="false">IF(C2599="","",IFERROR(IF(LEFT(C2599,1)="L",INDEX('Leads Pipeline'!$F$5:$F$1004,MATCH(C2599,'Leads Pipeline'!$A$5:$A$1004,0)),INDEX('Active Clients'!$D$5:$D$504,MATCH(C2599,'Active Clients'!$A$5:$A$504,0)))&amp;"","ID not found"))</f>
        <v/>
      </c>
      <c r="E2599" s="51" t="str">
        <f aca="false">IF(C2599="","",IFERROR(IF(LEFT(C2599,1)="L",INDEX('Leads Pipeline'!$D$5:$D$1004,MATCH(C2599,'Leads Pipeline'!$A$5:$A$1004,0)),INDEX('Active Clients'!$B$5:$B$504,MATCH(C2599,'Active Clients'!$A$5:$A$504,0)))&amp;"","ID not found"))</f>
        <v/>
      </c>
      <c r="F2599" s="51" t="str">
        <f aca="false">IF(C2599="","",IFERROR(IF(LEFT(C2599,1)="L",INDEX('Leads Pipeline'!$E$5:$E$1004,MATCH(C2599,'Leads Pipeline'!$A$5:$A$1004,0)),INDEX('Active Clients'!$C$5:$C$504,MATCH(C2599,'Active Clients'!$A$5:$A$504,0)))&amp;"","ID not found"))</f>
        <v/>
      </c>
      <c r="G2599" s="16"/>
      <c r="H2599" s="16"/>
      <c r="I2599" s="16"/>
      <c r="J2599" s="16"/>
      <c r="K2599" s="16"/>
      <c r="L2599" s="18"/>
    </row>
    <row r="2600" customFormat="false" ht="15" hidden="false" customHeight="false" outlineLevel="0" collapsed="false">
      <c r="A2600" s="18"/>
      <c r="B2600" s="16"/>
      <c r="C2600" s="16"/>
      <c r="D2600" s="51" t="str">
        <f aca="false">IF(C2600="","",IFERROR(IF(LEFT(C2600,1)="L",INDEX('Leads Pipeline'!$F$5:$F$1004,MATCH(C2600,'Leads Pipeline'!$A$5:$A$1004,0)),INDEX('Active Clients'!$D$5:$D$504,MATCH(C2600,'Active Clients'!$A$5:$A$504,0)))&amp;"","ID not found"))</f>
        <v/>
      </c>
      <c r="E2600" s="51" t="str">
        <f aca="false">IF(C2600="","",IFERROR(IF(LEFT(C2600,1)="L",INDEX('Leads Pipeline'!$D$5:$D$1004,MATCH(C2600,'Leads Pipeline'!$A$5:$A$1004,0)),INDEX('Active Clients'!$B$5:$B$504,MATCH(C2600,'Active Clients'!$A$5:$A$504,0)))&amp;"","ID not found"))</f>
        <v/>
      </c>
      <c r="F2600" s="51" t="str">
        <f aca="false">IF(C2600="","",IFERROR(IF(LEFT(C2600,1)="L",INDEX('Leads Pipeline'!$E$5:$E$1004,MATCH(C2600,'Leads Pipeline'!$A$5:$A$1004,0)),INDEX('Active Clients'!$C$5:$C$504,MATCH(C2600,'Active Clients'!$A$5:$A$504,0)))&amp;"","ID not found"))</f>
        <v/>
      </c>
      <c r="G2600" s="16"/>
      <c r="H2600" s="16"/>
      <c r="I2600" s="16"/>
      <c r="J2600" s="16"/>
      <c r="K2600" s="16"/>
      <c r="L2600" s="18"/>
    </row>
    <row r="2601" customFormat="false" ht="15" hidden="false" customHeight="false" outlineLevel="0" collapsed="false">
      <c r="A2601" s="18"/>
      <c r="B2601" s="16"/>
      <c r="C2601" s="16"/>
      <c r="D2601" s="51" t="str">
        <f aca="false">IF(C2601="","",IFERROR(IF(LEFT(C2601,1)="L",INDEX('Leads Pipeline'!$F$5:$F$1004,MATCH(C2601,'Leads Pipeline'!$A$5:$A$1004,0)),INDEX('Active Clients'!$D$5:$D$504,MATCH(C2601,'Active Clients'!$A$5:$A$504,0)))&amp;"","ID not found"))</f>
        <v/>
      </c>
      <c r="E2601" s="51" t="str">
        <f aca="false">IF(C2601="","",IFERROR(IF(LEFT(C2601,1)="L",INDEX('Leads Pipeline'!$D$5:$D$1004,MATCH(C2601,'Leads Pipeline'!$A$5:$A$1004,0)),INDEX('Active Clients'!$B$5:$B$504,MATCH(C2601,'Active Clients'!$A$5:$A$504,0)))&amp;"","ID not found"))</f>
        <v/>
      </c>
      <c r="F2601" s="51" t="str">
        <f aca="false">IF(C2601="","",IFERROR(IF(LEFT(C2601,1)="L",INDEX('Leads Pipeline'!$E$5:$E$1004,MATCH(C2601,'Leads Pipeline'!$A$5:$A$1004,0)),INDEX('Active Clients'!$C$5:$C$504,MATCH(C2601,'Active Clients'!$A$5:$A$504,0)))&amp;"","ID not found"))</f>
        <v/>
      </c>
      <c r="G2601" s="16"/>
      <c r="H2601" s="16"/>
      <c r="I2601" s="16"/>
      <c r="J2601" s="16"/>
      <c r="K2601" s="16"/>
      <c r="L2601" s="18"/>
    </row>
    <row r="2602" customFormat="false" ht="15" hidden="false" customHeight="false" outlineLevel="0" collapsed="false">
      <c r="A2602" s="18"/>
      <c r="B2602" s="16"/>
      <c r="C2602" s="16"/>
      <c r="D2602" s="51" t="str">
        <f aca="false">IF(C2602="","",IFERROR(IF(LEFT(C2602,1)="L",INDEX('Leads Pipeline'!$F$5:$F$1004,MATCH(C2602,'Leads Pipeline'!$A$5:$A$1004,0)),INDEX('Active Clients'!$D$5:$D$504,MATCH(C2602,'Active Clients'!$A$5:$A$504,0)))&amp;"","ID not found"))</f>
        <v/>
      </c>
      <c r="E2602" s="51" t="str">
        <f aca="false">IF(C2602="","",IFERROR(IF(LEFT(C2602,1)="L",INDEX('Leads Pipeline'!$D$5:$D$1004,MATCH(C2602,'Leads Pipeline'!$A$5:$A$1004,0)),INDEX('Active Clients'!$B$5:$B$504,MATCH(C2602,'Active Clients'!$A$5:$A$504,0)))&amp;"","ID not found"))</f>
        <v/>
      </c>
      <c r="F2602" s="51" t="str">
        <f aca="false">IF(C2602="","",IFERROR(IF(LEFT(C2602,1)="L",INDEX('Leads Pipeline'!$E$5:$E$1004,MATCH(C2602,'Leads Pipeline'!$A$5:$A$1004,0)),INDEX('Active Clients'!$C$5:$C$504,MATCH(C2602,'Active Clients'!$A$5:$A$504,0)))&amp;"","ID not found"))</f>
        <v/>
      </c>
      <c r="G2602" s="16"/>
      <c r="H2602" s="16"/>
      <c r="I2602" s="16"/>
      <c r="J2602" s="16"/>
      <c r="K2602" s="16"/>
      <c r="L2602" s="18"/>
    </row>
    <row r="2603" customFormat="false" ht="15" hidden="false" customHeight="false" outlineLevel="0" collapsed="false">
      <c r="A2603" s="18"/>
      <c r="B2603" s="16"/>
      <c r="C2603" s="16"/>
      <c r="D2603" s="51" t="str">
        <f aca="false">IF(C2603="","",IFERROR(IF(LEFT(C2603,1)="L",INDEX('Leads Pipeline'!$F$5:$F$1004,MATCH(C2603,'Leads Pipeline'!$A$5:$A$1004,0)),INDEX('Active Clients'!$D$5:$D$504,MATCH(C2603,'Active Clients'!$A$5:$A$504,0)))&amp;"","ID not found"))</f>
        <v/>
      </c>
      <c r="E2603" s="51" t="str">
        <f aca="false">IF(C2603="","",IFERROR(IF(LEFT(C2603,1)="L",INDEX('Leads Pipeline'!$D$5:$D$1004,MATCH(C2603,'Leads Pipeline'!$A$5:$A$1004,0)),INDEX('Active Clients'!$B$5:$B$504,MATCH(C2603,'Active Clients'!$A$5:$A$504,0)))&amp;"","ID not found"))</f>
        <v/>
      </c>
      <c r="F2603" s="51" t="str">
        <f aca="false">IF(C2603="","",IFERROR(IF(LEFT(C2603,1)="L",INDEX('Leads Pipeline'!$E$5:$E$1004,MATCH(C2603,'Leads Pipeline'!$A$5:$A$1004,0)),INDEX('Active Clients'!$C$5:$C$504,MATCH(C2603,'Active Clients'!$A$5:$A$504,0)))&amp;"","ID not found"))</f>
        <v/>
      </c>
      <c r="G2603" s="16"/>
      <c r="H2603" s="16"/>
      <c r="I2603" s="16"/>
      <c r="J2603" s="16"/>
      <c r="K2603" s="16"/>
      <c r="L2603" s="18"/>
    </row>
    <row r="2604" customFormat="false" ht="15" hidden="false" customHeight="false" outlineLevel="0" collapsed="false">
      <c r="A2604" s="18"/>
      <c r="B2604" s="16"/>
      <c r="C2604" s="16"/>
      <c r="D2604" s="51" t="str">
        <f aca="false">IF(C2604="","",IFERROR(IF(LEFT(C2604,1)="L",INDEX('Leads Pipeline'!$F$5:$F$1004,MATCH(C2604,'Leads Pipeline'!$A$5:$A$1004,0)),INDEX('Active Clients'!$D$5:$D$504,MATCH(C2604,'Active Clients'!$A$5:$A$504,0)))&amp;"","ID not found"))</f>
        <v/>
      </c>
      <c r="E2604" s="51" t="str">
        <f aca="false">IF(C2604="","",IFERROR(IF(LEFT(C2604,1)="L",INDEX('Leads Pipeline'!$D$5:$D$1004,MATCH(C2604,'Leads Pipeline'!$A$5:$A$1004,0)),INDEX('Active Clients'!$B$5:$B$504,MATCH(C2604,'Active Clients'!$A$5:$A$504,0)))&amp;"","ID not found"))</f>
        <v/>
      </c>
      <c r="F2604" s="51" t="str">
        <f aca="false">IF(C2604="","",IFERROR(IF(LEFT(C2604,1)="L",INDEX('Leads Pipeline'!$E$5:$E$1004,MATCH(C2604,'Leads Pipeline'!$A$5:$A$1004,0)),INDEX('Active Clients'!$C$5:$C$504,MATCH(C2604,'Active Clients'!$A$5:$A$504,0)))&amp;"","ID not found"))</f>
        <v/>
      </c>
      <c r="G2604" s="16"/>
      <c r="H2604" s="16"/>
      <c r="I2604" s="16"/>
      <c r="J2604" s="16"/>
      <c r="K2604" s="16"/>
      <c r="L2604" s="18"/>
    </row>
    <row r="2605" customFormat="false" ht="15" hidden="false" customHeight="false" outlineLevel="0" collapsed="false">
      <c r="A2605" s="18"/>
      <c r="B2605" s="16"/>
      <c r="C2605" s="16"/>
      <c r="D2605" s="51" t="str">
        <f aca="false">IF(C2605="","",IFERROR(IF(LEFT(C2605,1)="L",INDEX('Leads Pipeline'!$F$5:$F$1004,MATCH(C2605,'Leads Pipeline'!$A$5:$A$1004,0)),INDEX('Active Clients'!$D$5:$D$504,MATCH(C2605,'Active Clients'!$A$5:$A$504,0)))&amp;"","ID not found"))</f>
        <v/>
      </c>
      <c r="E2605" s="51" t="str">
        <f aca="false">IF(C2605="","",IFERROR(IF(LEFT(C2605,1)="L",INDEX('Leads Pipeline'!$D$5:$D$1004,MATCH(C2605,'Leads Pipeline'!$A$5:$A$1004,0)),INDEX('Active Clients'!$B$5:$B$504,MATCH(C2605,'Active Clients'!$A$5:$A$504,0)))&amp;"","ID not found"))</f>
        <v/>
      </c>
      <c r="F2605" s="51" t="str">
        <f aca="false">IF(C2605="","",IFERROR(IF(LEFT(C2605,1)="L",INDEX('Leads Pipeline'!$E$5:$E$1004,MATCH(C2605,'Leads Pipeline'!$A$5:$A$1004,0)),INDEX('Active Clients'!$C$5:$C$504,MATCH(C2605,'Active Clients'!$A$5:$A$504,0)))&amp;"","ID not found"))</f>
        <v/>
      </c>
      <c r="G2605" s="16"/>
      <c r="H2605" s="16"/>
      <c r="I2605" s="16"/>
      <c r="J2605" s="16"/>
      <c r="K2605" s="16"/>
      <c r="L2605" s="18"/>
    </row>
    <row r="2606" customFormat="false" ht="15" hidden="false" customHeight="false" outlineLevel="0" collapsed="false">
      <c r="A2606" s="18"/>
      <c r="B2606" s="16"/>
      <c r="C2606" s="16"/>
      <c r="D2606" s="51" t="str">
        <f aca="false">IF(C2606="","",IFERROR(IF(LEFT(C2606,1)="L",INDEX('Leads Pipeline'!$F$5:$F$1004,MATCH(C2606,'Leads Pipeline'!$A$5:$A$1004,0)),INDEX('Active Clients'!$D$5:$D$504,MATCH(C2606,'Active Clients'!$A$5:$A$504,0)))&amp;"","ID not found"))</f>
        <v/>
      </c>
      <c r="E2606" s="51" t="str">
        <f aca="false">IF(C2606="","",IFERROR(IF(LEFT(C2606,1)="L",INDEX('Leads Pipeline'!$D$5:$D$1004,MATCH(C2606,'Leads Pipeline'!$A$5:$A$1004,0)),INDEX('Active Clients'!$B$5:$B$504,MATCH(C2606,'Active Clients'!$A$5:$A$504,0)))&amp;"","ID not found"))</f>
        <v/>
      </c>
      <c r="F2606" s="51" t="str">
        <f aca="false">IF(C2606="","",IFERROR(IF(LEFT(C2606,1)="L",INDEX('Leads Pipeline'!$E$5:$E$1004,MATCH(C2606,'Leads Pipeline'!$A$5:$A$1004,0)),INDEX('Active Clients'!$C$5:$C$504,MATCH(C2606,'Active Clients'!$A$5:$A$504,0)))&amp;"","ID not found"))</f>
        <v/>
      </c>
      <c r="G2606" s="16"/>
      <c r="H2606" s="16"/>
      <c r="I2606" s="16"/>
      <c r="J2606" s="16"/>
      <c r="K2606" s="16"/>
      <c r="L2606" s="18"/>
    </row>
    <row r="2607" customFormat="false" ht="15" hidden="false" customHeight="false" outlineLevel="0" collapsed="false">
      <c r="A2607" s="18"/>
      <c r="B2607" s="16"/>
      <c r="C2607" s="16"/>
      <c r="D2607" s="51" t="str">
        <f aca="false">IF(C2607="","",IFERROR(IF(LEFT(C2607,1)="L",INDEX('Leads Pipeline'!$F$5:$F$1004,MATCH(C2607,'Leads Pipeline'!$A$5:$A$1004,0)),INDEX('Active Clients'!$D$5:$D$504,MATCH(C2607,'Active Clients'!$A$5:$A$504,0)))&amp;"","ID not found"))</f>
        <v/>
      </c>
      <c r="E2607" s="51" t="str">
        <f aca="false">IF(C2607="","",IFERROR(IF(LEFT(C2607,1)="L",INDEX('Leads Pipeline'!$D$5:$D$1004,MATCH(C2607,'Leads Pipeline'!$A$5:$A$1004,0)),INDEX('Active Clients'!$B$5:$B$504,MATCH(C2607,'Active Clients'!$A$5:$A$504,0)))&amp;"","ID not found"))</f>
        <v/>
      </c>
      <c r="F2607" s="51" t="str">
        <f aca="false">IF(C2607="","",IFERROR(IF(LEFT(C2607,1)="L",INDEX('Leads Pipeline'!$E$5:$E$1004,MATCH(C2607,'Leads Pipeline'!$A$5:$A$1004,0)),INDEX('Active Clients'!$C$5:$C$504,MATCH(C2607,'Active Clients'!$A$5:$A$504,0)))&amp;"","ID not found"))</f>
        <v/>
      </c>
      <c r="G2607" s="16"/>
      <c r="H2607" s="16"/>
      <c r="I2607" s="16"/>
      <c r="J2607" s="16"/>
      <c r="K2607" s="16"/>
      <c r="L2607" s="18"/>
    </row>
    <row r="2608" customFormat="false" ht="15" hidden="false" customHeight="false" outlineLevel="0" collapsed="false">
      <c r="A2608" s="18"/>
      <c r="B2608" s="16"/>
      <c r="C2608" s="16"/>
      <c r="D2608" s="51" t="str">
        <f aca="false">IF(C2608="","",IFERROR(IF(LEFT(C2608,1)="L",INDEX('Leads Pipeline'!$F$5:$F$1004,MATCH(C2608,'Leads Pipeline'!$A$5:$A$1004,0)),INDEX('Active Clients'!$D$5:$D$504,MATCH(C2608,'Active Clients'!$A$5:$A$504,0)))&amp;"","ID not found"))</f>
        <v/>
      </c>
      <c r="E2608" s="51" t="str">
        <f aca="false">IF(C2608="","",IFERROR(IF(LEFT(C2608,1)="L",INDEX('Leads Pipeline'!$D$5:$D$1004,MATCH(C2608,'Leads Pipeline'!$A$5:$A$1004,0)),INDEX('Active Clients'!$B$5:$B$504,MATCH(C2608,'Active Clients'!$A$5:$A$504,0)))&amp;"","ID not found"))</f>
        <v/>
      </c>
      <c r="F2608" s="51" t="str">
        <f aca="false">IF(C2608="","",IFERROR(IF(LEFT(C2608,1)="L",INDEX('Leads Pipeline'!$E$5:$E$1004,MATCH(C2608,'Leads Pipeline'!$A$5:$A$1004,0)),INDEX('Active Clients'!$C$5:$C$504,MATCH(C2608,'Active Clients'!$A$5:$A$504,0)))&amp;"","ID not found"))</f>
        <v/>
      </c>
      <c r="G2608" s="16"/>
      <c r="H2608" s="16"/>
      <c r="I2608" s="16"/>
      <c r="J2608" s="16"/>
      <c r="K2608" s="16"/>
      <c r="L2608" s="18"/>
    </row>
    <row r="2609" customFormat="false" ht="15" hidden="false" customHeight="false" outlineLevel="0" collapsed="false">
      <c r="A2609" s="18"/>
      <c r="B2609" s="16"/>
      <c r="C2609" s="16"/>
      <c r="D2609" s="51" t="str">
        <f aca="false">IF(C2609="","",IFERROR(IF(LEFT(C2609,1)="L",INDEX('Leads Pipeline'!$F$5:$F$1004,MATCH(C2609,'Leads Pipeline'!$A$5:$A$1004,0)),INDEX('Active Clients'!$D$5:$D$504,MATCH(C2609,'Active Clients'!$A$5:$A$504,0)))&amp;"","ID not found"))</f>
        <v/>
      </c>
      <c r="E2609" s="51" t="str">
        <f aca="false">IF(C2609="","",IFERROR(IF(LEFT(C2609,1)="L",INDEX('Leads Pipeline'!$D$5:$D$1004,MATCH(C2609,'Leads Pipeline'!$A$5:$A$1004,0)),INDEX('Active Clients'!$B$5:$B$504,MATCH(C2609,'Active Clients'!$A$5:$A$504,0)))&amp;"","ID not found"))</f>
        <v/>
      </c>
      <c r="F2609" s="51" t="str">
        <f aca="false">IF(C2609="","",IFERROR(IF(LEFT(C2609,1)="L",INDEX('Leads Pipeline'!$E$5:$E$1004,MATCH(C2609,'Leads Pipeline'!$A$5:$A$1004,0)),INDEX('Active Clients'!$C$5:$C$504,MATCH(C2609,'Active Clients'!$A$5:$A$504,0)))&amp;"","ID not found"))</f>
        <v/>
      </c>
      <c r="G2609" s="16"/>
      <c r="H2609" s="16"/>
      <c r="I2609" s="16"/>
      <c r="J2609" s="16"/>
      <c r="K2609" s="16"/>
      <c r="L2609" s="18"/>
    </row>
    <row r="2610" customFormat="false" ht="15" hidden="false" customHeight="false" outlineLevel="0" collapsed="false">
      <c r="A2610" s="18"/>
      <c r="B2610" s="16"/>
      <c r="C2610" s="16"/>
      <c r="D2610" s="51" t="str">
        <f aca="false">IF(C2610="","",IFERROR(IF(LEFT(C2610,1)="L",INDEX('Leads Pipeline'!$F$5:$F$1004,MATCH(C2610,'Leads Pipeline'!$A$5:$A$1004,0)),INDEX('Active Clients'!$D$5:$D$504,MATCH(C2610,'Active Clients'!$A$5:$A$504,0)))&amp;"","ID not found"))</f>
        <v/>
      </c>
      <c r="E2610" s="51" t="str">
        <f aca="false">IF(C2610="","",IFERROR(IF(LEFT(C2610,1)="L",INDEX('Leads Pipeline'!$D$5:$D$1004,MATCH(C2610,'Leads Pipeline'!$A$5:$A$1004,0)),INDEX('Active Clients'!$B$5:$B$504,MATCH(C2610,'Active Clients'!$A$5:$A$504,0)))&amp;"","ID not found"))</f>
        <v/>
      </c>
      <c r="F2610" s="51" t="str">
        <f aca="false">IF(C2610="","",IFERROR(IF(LEFT(C2610,1)="L",INDEX('Leads Pipeline'!$E$5:$E$1004,MATCH(C2610,'Leads Pipeline'!$A$5:$A$1004,0)),INDEX('Active Clients'!$C$5:$C$504,MATCH(C2610,'Active Clients'!$A$5:$A$504,0)))&amp;"","ID not found"))</f>
        <v/>
      </c>
      <c r="G2610" s="16"/>
      <c r="H2610" s="16"/>
      <c r="I2610" s="16"/>
      <c r="J2610" s="16"/>
      <c r="K2610" s="16"/>
      <c r="L2610" s="18"/>
    </row>
    <row r="2611" customFormat="false" ht="15" hidden="false" customHeight="false" outlineLevel="0" collapsed="false">
      <c r="A2611" s="18"/>
      <c r="B2611" s="16"/>
      <c r="C2611" s="16"/>
      <c r="D2611" s="51" t="str">
        <f aca="false">IF(C2611="","",IFERROR(IF(LEFT(C2611,1)="L",INDEX('Leads Pipeline'!$F$5:$F$1004,MATCH(C2611,'Leads Pipeline'!$A$5:$A$1004,0)),INDEX('Active Clients'!$D$5:$D$504,MATCH(C2611,'Active Clients'!$A$5:$A$504,0)))&amp;"","ID not found"))</f>
        <v/>
      </c>
      <c r="E2611" s="51" t="str">
        <f aca="false">IF(C2611="","",IFERROR(IF(LEFT(C2611,1)="L",INDEX('Leads Pipeline'!$D$5:$D$1004,MATCH(C2611,'Leads Pipeline'!$A$5:$A$1004,0)),INDEX('Active Clients'!$B$5:$B$504,MATCH(C2611,'Active Clients'!$A$5:$A$504,0)))&amp;"","ID not found"))</f>
        <v/>
      </c>
      <c r="F2611" s="51" t="str">
        <f aca="false">IF(C2611="","",IFERROR(IF(LEFT(C2611,1)="L",INDEX('Leads Pipeline'!$E$5:$E$1004,MATCH(C2611,'Leads Pipeline'!$A$5:$A$1004,0)),INDEX('Active Clients'!$C$5:$C$504,MATCH(C2611,'Active Clients'!$A$5:$A$504,0)))&amp;"","ID not found"))</f>
        <v/>
      </c>
      <c r="G2611" s="16"/>
      <c r="H2611" s="16"/>
      <c r="I2611" s="16"/>
      <c r="J2611" s="16"/>
      <c r="K2611" s="16"/>
      <c r="L2611" s="18"/>
    </row>
    <row r="2612" customFormat="false" ht="15" hidden="false" customHeight="false" outlineLevel="0" collapsed="false">
      <c r="A2612" s="18"/>
      <c r="B2612" s="16"/>
      <c r="C2612" s="16"/>
      <c r="D2612" s="51" t="str">
        <f aca="false">IF(C2612="","",IFERROR(IF(LEFT(C2612,1)="L",INDEX('Leads Pipeline'!$F$5:$F$1004,MATCH(C2612,'Leads Pipeline'!$A$5:$A$1004,0)),INDEX('Active Clients'!$D$5:$D$504,MATCH(C2612,'Active Clients'!$A$5:$A$504,0)))&amp;"","ID not found"))</f>
        <v/>
      </c>
      <c r="E2612" s="51" t="str">
        <f aca="false">IF(C2612="","",IFERROR(IF(LEFT(C2612,1)="L",INDEX('Leads Pipeline'!$D$5:$D$1004,MATCH(C2612,'Leads Pipeline'!$A$5:$A$1004,0)),INDEX('Active Clients'!$B$5:$B$504,MATCH(C2612,'Active Clients'!$A$5:$A$504,0)))&amp;"","ID not found"))</f>
        <v/>
      </c>
      <c r="F2612" s="51" t="str">
        <f aca="false">IF(C2612="","",IFERROR(IF(LEFT(C2612,1)="L",INDEX('Leads Pipeline'!$E$5:$E$1004,MATCH(C2612,'Leads Pipeline'!$A$5:$A$1004,0)),INDEX('Active Clients'!$C$5:$C$504,MATCH(C2612,'Active Clients'!$A$5:$A$504,0)))&amp;"","ID not found"))</f>
        <v/>
      </c>
      <c r="G2612" s="16"/>
      <c r="H2612" s="16"/>
      <c r="I2612" s="16"/>
      <c r="J2612" s="16"/>
      <c r="K2612" s="16"/>
      <c r="L2612" s="18"/>
    </row>
    <row r="2613" customFormat="false" ht="15" hidden="false" customHeight="false" outlineLevel="0" collapsed="false">
      <c r="A2613" s="18"/>
      <c r="B2613" s="16"/>
      <c r="C2613" s="16"/>
      <c r="D2613" s="51" t="str">
        <f aca="false">IF(C2613="","",IFERROR(IF(LEFT(C2613,1)="L",INDEX('Leads Pipeline'!$F$5:$F$1004,MATCH(C2613,'Leads Pipeline'!$A$5:$A$1004,0)),INDEX('Active Clients'!$D$5:$D$504,MATCH(C2613,'Active Clients'!$A$5:$A$504,0)))&amp;"","ID not found"))</f>
        <v/>
      </c>
      <c r="E2613" s="51" t="str">
        <f aca="false">IF(C2613="","",IFERROR(IF(LEFT(C2613,1)="L",INDEX('Leads Pipeline'!$D$5:$D$1004,MATCH(C2613,'Leads Pipeline'!$A$5:$A$1004,0)),INDEX('Active Clients'!$B$5:$B$504,MATCH(C2613,'Active Clients'!$A$5:$A$504,0)))&amp;"","ID not found"))</f>
        <v/>
      </c>
      <c r="F2613" s="51" t="str">
        <f aca="false">IF(C2613="","",IFERROR(IF(LEFT(C2613,1)="L",INDEX('Leads Pipeline'!$E$5:$E$1004,MATCH(C2613,'Leads Pipeline'!$A$5:$A$1004,0)),INDEX('Active Clients'!$C$5:$C$504,MATCH(C2613,'Active Clients'!$A$5:$A$504,0)))&amp;"","ID not found"))</f>
        <v/>
      </c>
      <c r="G2613" s="16"/>
      <c r="H2613" s="16"/>
      <c r="I2613" s="16"/>
      <c r="J2613" s="16"/>
      <c r="K2613" s="16"/>
      <c r="L2613" s="18"/>
    </row>
    <row r="2614" customFormat="false" ht="15" hidden="false" customHeight="false" outlineLevel="0" collapsed="false">
      <c r="A2614" s="18"/>
      <c r="B2614" s="16"/>
      <c r="C2614" s="16"/>
      <c r="D2614" s="51" t="str">
        <f aca="false">IF(C2614="","",IFERROR(IF(LEFT(C2614,1)="L",INDEX('Leads Pipeline'!$F$5:$F$1004,MATCH(C2614,'Leads Pipeline'!$A$5:$A$1004,0)),INDEX('Active Clients'!$D$5:$D$504,MATCH(C2614,'Active Clients'!$A$5:$A$504,0)))&amp;"","ID not found"))</f>
        <v/>
      </c>
      <c r="E2614" s="51" t="str">
        <f aca="false">IF(C2614="","",IFERROR(IF(LEFT(C2614,1)="L",INDEX('Leads Pipeline'!$D$5:$D$1004,MATCH(C2614,'Leads Pipeline'!$A$5:$A$1004,0)),INDEX('Active Clients'!$B$5:$B$504,MATCH(C2614,'Active Clients'!$A$5:$A$504,0)))&amp;"","ID not found"))</f>
        <v/>
      </c>
      <c r="F2614" s="51" t="str">
        <f aca="false">IF(C2614="","",IFERROR(IF(LEFT(C2614,1)="L",INDEX('Leads Pipeline'!$E$5:$E$1004,MATCH(C2614,'Leads Pipeline'!$A$5:$A$1004,0)),INDEX('Active Clients'!$C$5:$C$504,MATCH(C2614,'Active Clients'!$A$5:$A$504,0)))&amp;"","ID not found"))</f>
        <v/>
      </c>
      <c r="G2614" s="16"/>
      <c r="H2614" s="16"/>
      <c r="I2614" s="16"/>
      <c r="J2614" s="16"/>
      <c r="K2614" s="16"/>
      <c r="L2614" s="18"/>
    </row>
    <row r="2615" customFormat="false" ht="15" hidden="false" customHeight="false" outlineLevel="0" collapsed="false">
      <c r="A2615" s="18"/>
      <c r="B2615" s="16"/>
      <c r="C2615" s="16"/>
      <c r="D2615" s="51" t="str">
        <f aca="false">IF(C2615="","",IFERROR(IF(LEFT(C2615,1)="L",INDEX('Leads Pipeline'!$F$5:$F$1004,MATCH(C2615,'Leads Pipeline'!$A$5:$A$1004,0)),INDEX('Active Clients'!$D$5:$D$504,MATCH(C2615,'Active Clients'!$A$5:$A$504,0)))&amp;"","ID not found"))</f>
        <v/>
      </c>
      <c r="E2615" s="51" t="str">
        <f aca="false">IF(C2615="","",IFERROR(IF(LEFT(C2615,1)="L",INDEX('Leads Pipeline'!$D$5:$D$1004,MATCH(C2615,'Leads Pipeline'!$A$5:$A$1004,0)),INDEX('Active Clients'!$B$5:$B$504,MATCH(C2615,'Active Clients'!$A$5:$A$504,0)))&amp;"","ID not found"))</f>
        <v/>
      </c>
      <c r="F2615" s="51" t="str">
        <f aca="false">IF(C2615="","",IFERROR(IF(LEFT(C2615,1)="L",INDEX('Leads Pipeline'!$E$5:$E$1004,MATCH(C2615,'Leads Pipeline'!$A$5:$A$1004,0)),INDEX('Active Clients'!$C$5:$C$504,MATCH(C2615,'Active Clients'!$A$5:$A$504,0)))&amp;"","ID not found"))</f>
        <v/>
      </c>
      <c r="G2615" s="16"/>
      <c r="H2615" s="16"/>
      <c r="I2615" s="16"/>
      <c r="J2615" s="16"/>
      <c r="K2615" s="16"/>
      <c r="L2615" s="18"/>
    </row>
    <row r="2616" customFormat="false" ht="15" hidden="false" customHeight="false" outlineLevel="0" collapsed="false">
      <c r="A2616" s="18"/>
      <c r="B2616" s="16"/>
      <c r="C2616" s="16"/>
      <c r="D2616" s="51" t="str">
        <f aca="false">IF(C2616="","",IFERROR(IF(LEFT(C2616,1)="L",INDEX('Leads Pipeline'!$F$5:$F$1004,MATCH(C2616,'Leads Pipeline'!$A$5:$A$1004,0)),INDEX('Active Clients'!$D$5:$D$504,MATCH(C2616,'Active Clients'!$A$5:$A$504,0)))&amp;"","ID not found"))</f>
        <v/>
      </c>
      <c r="E2616" s="51" t="str">
        <f aca="false">IF(C2616="","",IFERROR(IF(LEFT(C2616,1)="L",INDEX('Leads Pipeline'!$D$5:$D$1004,MATCH(C2616,'Leads Pipeline'!$A$5:$A$1004,0)),INDEX('Active Clients'!$B$5:$B$504,MATCH(C2616,'Active Clients'!$A$5:$A$504,0)))&amp;"","ID not found"))</f>
        <v/>
      </c>
      <c r="F2616" s="51" t="str">
        <f aca="false">IF(C2616="","",IFERROR(IF(LEFT(C2616,1)="L",INDEX('Leads Pipeline'!$E$5:$E$1004,MATCH(C2616,'Leads Pipeline'!$A$5:$A$1004,0)),INDEX('Active Clients'!$C$5:$C$504,MATCH(C2616,'Active Clients'!$A$5:$A$504,0)))&amp;"","ID not found"))</f>
        <v/>
      </c>
      <c r="G2616" s="16"/>
      <c r="H2616" s="16"/>
      <c r="I2616" s="16"/>
      <c r="J2616" s="16"/>
      <c r="K2616" s="16"/>
      <c r="L2616" s="18"/>
    </row>
    <row r="2617" customFormat="false" ht="15" hidden="false" customHeight="false" outlineLevel="0" collapsed="false">
      <c r="A2617" s="18"/>
      <c r="B2617" s="16"/>
      <c r="C2617" s="16"/>
      <c r="D2617" s="51" t="str">
        <f aca="false">IF(C2617="","",IFERROR(IF(LEFT(C2617,1)="L",INDEX('Leads Pipeline'!$F$5:$F$1004,MATCH(C2617,'Leads Pipeline'!$A$5:$A$1004,0)),INDEX('Active Clients'!$D$5:$D$504,MATCH(C2617,'Active Clients'!$A$5:$A$504,0)))&amp;"","ID not found"))</f>
        <v/>
      </c>
      <c r="E2617" s="51" t="str">
        <f aca="false">IF(C2617="","",IFERROR(IF(LEFT(C2617,1)="L",INDEX('Leads Pipeline'!$D$5:$D$1004,MATCH(C2617,'Leads Pipeline'!$A$5:$A$1004,0)),INDEX('Active Clients'!$B$5:$B$504,MATCH(C2617,'Active Clients'!$A$5:$A$504,0)))&amp;"","ID not found"))</f>
        <v/>
      </c>
      <c r="F2617" s="51" t="str">
        <f aca="false">IF(C2617="","",IFERROR(IF(LEFT(C2617,1)="L",INDEX('Leads Pipeline'!$E$5:$E$1004,MATCH(C2617,'Leads Pipeline'!$A$5:$A$1004,0)),INDEX('Active Clients'!$C$5:$C$504,MATCH(C2617,'Active Clients'!$A$5:$A$504,0)))&amp;"","ID not found"))</f>
        <v/>
      </c>
      <c r="G2617" s="16"/>
      <c r="H2617" s="16"/>
      <c r="I2617" s="16"/>
      <c r="J2617" s="16"/>
      <c r="K2617" s="16"/>
      <c r="L2617" s="18"/>
    </row>
    <row r="2618" customFormat="false" ht="15" hidden="false" customHeight="false" outlineLevel="0" collapsed="false">
      <c r="A2618" s="18"/>
      <c r="B2618" s="16"/>
      <c r="C2618" s="16"/>
      <c r="D2618" s="51" t="str">
        <f aca="false">IF(C2618="","",IFERROR(IF(LEFT(C2618,1)="L",INDEX('Leads Pipeline'!$F$5:$F$1004,MATCH(C2618,'Leads Pipeline'!$A$5:$A$1004,0)),INDEX('Active Clients'!$D$5:$D$504,MATCH(C2618,'Active Clients'!$A$5:$A$504,0)))&amp;"","ID not found"))</f>
        <v/>
      </c>
      <c r="E2618" s="51" t="str">
        <f aca="false">IF(C2618="","",IFERROR(IF(LEFT(C2618,1)="L",INDEX('Leads Pipeline'!$D$5:$D$1004,MATCH(C2618,'Leads Pipeline'!$A$5:$A$1004,0)),INDEX('Active Clients'!$B$5:$B$504,MATCH(C2618,'Active Clients'!$A$5:$A$504,0)))&amp;"","ID not found"))</f>
        <v/>
      </c>
      <c r="F2618" s="51" t="str">
        <f aca="false">IF(C2618="","",IFERROR(IF(LEFT(C2618,1)="L",INDEX('Leads Pipeline'!$E$5:$E$1004,MATCH(C2618,'Leads Pipeline'!$A$5:$A$1004,0)),INDEX('Active Clients'!$C$5:$C$504,MATCH(C2618,'Active Clients'!$A$5:$A$504,0)))&amp;"","ID not found"))</f>
        <v/>
      </c>
      <c r="G2618" s="16"/>
      <c r="H2618" s="16"/>
      <c r="I2618" s="16"/>
      <c r="J2618" s="16"/>
      <c r="K2618" s="16"/>
      <c r="L2618" s="18"/>
    </row>
    <row r="2619" customFormat="false" ht="15" hidden="false" customHeight="false" outlineLevel="0" collapsed="false">
      <c r="A2619" s="18"/>
      <c r="B2619" s="16"/>
      <c r="C2619" s="16"/>
      <c r="D2619" s="51" t="str">
        <f aca="false">IF(C2619="","",IFERROR(IF(LEFT(C2619,1)="L",INDEX('Leads Pipeline'!$F$5:$F$1004,MATCH(C2619,'Leads Pipeline'!$A$5:$A$1004,0)),INDEX('Active Clients'!$D$5:$D$504,MATCH(C2619,'Active Clients'!$A$5:$A$504,0)))&amp;"","ID not found"))</f>
        <v/>
      </c>
      <c r="E2619" s="51" t="str">
        <f aca="false">IF(C2619="","",IFERROR(IF(LEFT(C2619,1)="L",INDEX('Leads Pipeline'!$D$5:$D$1004,MATCH(C2619,'Leads Pipeline'!$A$5:$A$1004,0)),INDEX('Active Clients'!$B$5:$B$504,MATCH(C2619,'Active Clients'!$A$5:$A$504,0)))&amp;"","ID not found"))</f>
        <v/>
      </c>
      <c r="F2619" s="51" t="str">
        <f aca="false">IF(C2619="","",IFERROR(IF(LEFT(C2619,1)="L",INDEX('Leads Pipeline'!$E$5:$E$1004,MATCH(C2619,'Leads Pipeline'!$A$5:$A$1004,0)),INDEX('Active Clients'!$C$5:$C$504,MATCH(C2619,'Active Clients'!$A$5:$A$504,0)))&amp;"","ID not found"))</f>
        <v/>
      </c>
      <c r="G2619" s="16"/>
      <c r="H2619" s="16"/>
      <c r="I2619" s="16"/>
      <c r="J2619" s="16"/>
      <c r="K2619" s="16"/>
      <c r="L2619" s="18"/>
    </row>
    <row r="2620" customFormat="false" ht="15" hidden="false" customHeight="false" outlineLevel="0" collapsed="false">
      <c r="A2620" s="18"/>
      <c r="B2620" s="16"/>
      <c r="C2620" s="16"/>
      <c r="D2620" s="51" t="str">
        <f aca="false">IF(C2620="","",IFERROR(IF(LEFT(C2620,1)="L",INDEX('Leads Pipeline'!$F$5:$F$1004,MATCH(C2620,'Leads Pipeline'!$A$5:$A$1004,0)),INDEX('Active Clients'!$D$5:$D$504,MATCH(C2620,'Active Clients'!$A$5:$A$504,0)))&amp;"","ID not found"))</f>
        <v/>
      </c>
      <c r="E2620" s="51" t="str">
        <f aca="false">IF(C2620="","",IFERROR(IF(LEFT(C2620,1)="L",INDEX('Leads Pipeline'!$D$5:$D$1004,MATCH(C2620,'Leads Pipeline'!$A$5:$A$1004,0)),INDEX('Active Clients'!$B$5:$B$504,MATCH(C2620,'Active Clients'!$A$5:$A$504,0)))&amp;"","ID not found"))</f>
        <v/>
      </c>
      <c r="F2620" s="51" t="str">
        <f aca="false">IF(C2620="","",IFERROR(IF(LEFT(C2620,1)="L",INDEX('Leads Pipeline'!$E$5:$E$1004,MATCH(C2620,'Leads Pipeline'!$A$5:$A$1004,0)),INDEX('Active Clients'!$C$5:$C$504,MATCH(C2620,'Active Clients'!$A$5:$A$504,0)))&amp;"","ID not found"))</f>
        <v/>
      </c>
      <c r="G2620" s="16"/>
      <c r="H2620" s="16"/>
      <c r="I2620" s="16"/>
      <c r="J2620" s="16"/>
      <c r="K2620" s="16"/>
      <c r="L2620" s="18"/>
    </row>
    <row r="2621" customFormat="false" ht="15" hidden="false" customHeight="false" outlineLevel="0" collapsed="false">
      <c r="A2621" s="18"/>
      <c r="B2621" s="16"/>
      <c r="C2621" s="16"/>
      <c r="D2621" s="51" t="str">
        <f aca="false">IF(C2621="","",IFERROR(IF(LEFT(C2621,1)="L",INDEX('Leads Pipeline'!$F$5:$F$1004,MATCH(C2621,'Leads Pipeline'!$A$5:$A$1004,0)),INDEX('Active Clients'!$D$5:$D$504,MATCH(C2621,'Active Clients'!$A$5:$A$504,0)))&amp;"","ID not found"))</f>
        <v/>
      </c>
      <c r="E2621" s="51" t="str">
        <f aca="false">IF(C2621="","",IFERROR(IF(LEFT(C2621,1)="L",INDEX('Leads Pipeline'!$D$5:$D$1004,MATCH(C2621,'Leads Pipeline'!$A$5:$A$1004,0)),INDEX('Active Clients'!$B$5:$B$504,MATCH(C2621,'Active Clients'!$A$5:$A$504,0)))&amp;"","ID not found"))</f>
        <v/>
      </c>
      <c r="F2621" s="51" t="str">
        <f aca="false">IF(C2621="","",IFERROR(IF(LEFT(C2621,1)="L",INDEX('Leads Pipeline'!$E$5:$E$1004,MATCH(C2621,'Leads Pipeline'!$A$5:$A$1004,0)),INDEX('Active Clients'!$C$5:$C$504,MATCH(C2621,'Active Clients'!$A$5:$A$504,0)))&amp;"","ID not found"))</f>
        <v/>
      </c>
      <c r="G2621" s="16"/>
      <c r="H2621" s="16"/>
      <c r="I2621" s="16"/>
      <c r="J2621" s="16"/>
      <c r="K2621" s="16"/>
      <c r="L2621" s="18"/>
    </row>
    <row r="2622" customFormat="false" ht="15" hidden="false" customHeight="false" outlineLevel="0" collapsed="false">
      <c r="A2622" s="18"/>
      <c r="B2622" s="16"/>
      <c r="C2622" s="16"/>
      <c r="D2622" s="51" t="str">
        <f aca="false">IF(C2622="","",IFERROR(IF(LEFT(C2622,1)="L",INDEX('Leads Pipeline'!$F$5:$F$1004,MATCH(C2622,'Leads Pipeline'!$A$5:$A$1004,0)),INDEX('Active Clients'!$D$5:$D$504,MATCH(C2622,'Active Clients'!$A$5:$A$504,0)))&amp;"","ID not found"))</f>
        <v/>
      </c>
      <c r="E2622" s="51" t="str">
        <f aca="false">IF(C2622="","",IFERROR(IF(LEFT(C2622,1)="L",INDEX('Leads Pipeline'!$D$5:$D$1004,MATCH(C2622,'Leads Pipeline'!$A$5:$A$1004,0)),INDEX('Active Clients'!$B$5:$B$504,MATCH(C2622,'Active Clients'!$A$5:$A$504,0)))&amp;"","ID not found"))</f>
        <v/>
      </c>
      <c r="F2622" s="51" t="str">
        <f aca="false">IF(C2622="","",IFERROR(IF(LEFT(C2622,1)="L",INDEX('Leads Pipeline'!$E$5:$E$1004,MATCH(C2622,'Leads Pipeline'!$A$5:$A$1004,0)),INDEX('Active Clients'!$C$5:$C$504,MATCH(C2622,'Active Clients'!$A$5:$A$504,0)))&amp;"","ID not found"))</f>
        <v/>
      </c>
      <c r="G2622" s="16"/>
      <c r="H2622" s="16"/>
      <c r="I2622" s="16"/>
      <c r="J2622" s="16"/>
      <c r="K2622" s="16"/>
      <c r="L2622" s="18"/>
    </row>
    <row r="2623" customFormat="false" ht="15" hidden="false" customHeight="false" outlineLevel="0" collapsed="false">
      <c r="A2623" s="18"/>
      <c r="B2623" s="16"/>
      <c r="C2623" s="16"/>
      <c r="D2623" s="51" t="str">
        <f aca="false">IF(C2623="","",IFERROR(IF(LEFT(C2623,1)="L",INDEX('Leads Pipeline'!$F$5:$F$1004,MATCH(C2623,'Leads Pipeline'!$A$5:$A$1004,0)),INDEX('Active Clients'!$D$5:$D$504,MATCH(C2623,'Active Clients'!$A$5:$A$504,0)))&amp;"","ID not found"))</f>
        <v/>
      </c>
      <c r="E2623" s="51" t="str">
        <f aca="false">IF(C2623="","",IFERROR(IF(LEFT(C2623,1)="L",INDEX('Leads Pipeline'!$D$5:$D$1004,MATCH(C2623,'Leads Pipeline'!$A$5:$A$1004,0)),INDEX('Active Clients'!$B$5:$B$504,MATCH(C2623,'Active Clients'!$A$5:$A$504,0)))&amp;"","ID not found"))</f>
        <v/>
      </c>
      <c r="F2623" s="51" t="str">
        <f aca="false">IF(C2623="","",IFERROR(IF(LEFT(C2623,1)="L",INDEX('Leads Pipeline'!$E$5:$E$1004,MATCH(C2623,'Leads Pipeline'!$A$5:$A$1004,0)),INDEX('Active Clients'!$C$5:$C$504,MATCH(C2623,'Active Clients'!$A$5:$A$504,0)))&amp;"","ID not found"))</f>
        <v/>
      </c>
      <c r="G2623" s="16"/>
      <c r="H2623" s="16"/>
      <c r="I2623" s="16"/>
      <c r="J2623" s="16"/>
      <c r="K2623" s="16"/>
      <c r="L2623" s="18"/>
    </row>
    <row r="2624" customFormat="false" ht="15" hidden="false" customHeight="false" outlineLevel="0" collapsed="false">
      <c r="A2624" s="18"/>
      <c r="B2624" s="16"/>
      <c r="C2624" s="16"/>
      <c r="D2624" s="51" t="str">
        <f aca="false">IF(C2624="","",IFERROR(IF(LEFT(C2624,1)="L",INDEX('Leads Pipeline'!$F$5:$F$1004,MATCH(C2624,'Leads Pipeline'!$A$5:$A$1004,0)),INDEX('Active Clients'!$D$5:$D$504,MATCH(C2624,'Active Clients'!$A$5:$A$504,0)))&amp;"","ID not found"))</f>
        <v/>
      </c>
      <c r="E2624" s="51" t="str">
        <f aca="false">IF(C2624="","",IFERROR(IF(LEFT(C2624,1)="L",INDEX('Leads Pipeline'!$D$5:$D$1004,MATCH(C2624,'Leads Pipeline'!$A$5:$A$1004,0)),INDEX('Active Clients'!$B$5:$B$504,MATCH(C2624,'Active Clients'!$A$5:$A$504,0)))&amp;"","ID not found"))</f>
        <v/>
      </c>
      <c r="F2624" s="51" t="str">
        <f aca="false">IF(C2624="","",IFERROR(IF(LEFT(C2624,1)="L",INDEX('Leads Pipeline'!$E$5:$E$1004,MATCH(C2624,'Leads Pipeline'!$A$5:$A$1004,0)),INDEX('Active Clients'!$C$5:$C$504,MATCH(C2624,'Active Clients'!$A$5:$A$504,0)))&amp;"","ID not found"))</f>
        <v/>
      </c>
      <c r="G2624" s="16"/>
      <c r="H2624" s="16"/>
      <c r="I2624" s="16"/>
      <c r="J2624" s="16"/>
      <c r="K2624" s="16"/>
      <c r="L2624" s="18"/>
    </row>
    <row r="2625" customFormat="false" ht="15" hidden="false" customHeight="false" outlineLevel="0" collapsed="false">
      <c r="A2625" s="18"/>
      <c r="B2625" s="16"/>
      <c r="C2625" s="16"/>
      <c r="D2625" s="51" t="str">
        <f aca="false">IF(C2625="","",IFERROR(IF(LEFT(C2625,1)="L",INDEX('Leads Pipeline'!$F$5:$F$1004,MATCH(C2625,'Leads Pipeline'!$A$5:$A$1004,0)),INDEX('Active Clients'!$D$5:$D$504,MATCH(C2625,'Active Clients'!$A$5:$A$504,0)))&amp;"","ID not found"))</f>
        <v/>
      </c>
      <c r="E2625" s="51" t="str">
        <f aca="false">IF(C2625="","",IFERROR(IF(LEFT(C2625,1)="L",INDEX('Leads Pipeline'!$D$5:$D$1004,MATCH(C2625,'Leads Pipeline'!$A$5:$A$1004,0)),INDEX('Active Clients'!$B$5:$B$504,MATCH(C2625,'Active Clients'!$A$5:$A$504,0)))&amp;"","ID not found"))</f>
        <v/>
      </c>
      <c r="F2625" s="51" t="str">
        <f aca="false">IF(C2625="","",IFERROR(IF(LEFT(C2625,1)="L",INDEX('Leads Pipeline'!$E$5:$E$1004,MATCH(C2625,'Leads Pipeline'!$A$5:$A$1004,0)),INDEX('Active Clients'!$C$5:$C$504,MATCH(C2625,'Active Clients'!$A$5:$A$504,0)))&amp;"","ID not found"))</f>
        <v/>
      </c>
      <c r="G2625" s="16"/>
      <c r="H2625" s="16"/>
      <c r="I2625" s="16"/>
      <c r="J2625" s="16"/>
      <c r="K2625" s="16"/>
      <c r="L2625" s="18"/>
    </row>
    <row r="2626" customFormat="false" ht="15" hidden="false" customHeight="false" outlineLevel="0" collapsed="false">
      <c r="A2626" s="18"/>
      <c r="B2626" s="16"/>
      <c r="C2626" s="16"/>
      <c r="D2626" s="51" t="str">
        <f aca="false">IF(C2626="","",IFERROR(IF(LEFT(C2626,1)="L",INDEX('Leads Pipeline'!$F$5:$F$1004,MATCH(C2626,'Leads Pipeline'!$A$5:$A$1004,0)),INDEX('Active Clients'!$D$5:$D$504,MATCH(C2626,'Active Clients'!$A$5:$A$504,0)))&amp;"","ID not found"))</f>
        <v/>
      </c>
      <c r="E2626" s="51" t="str">
        <f aca="false">IF(C2626="","",IFERROR(IF(LEFT(C2626,1)="L",INDEX('Leads Pipeline'!$D$5:$D$1004,MATCH(C2626,'Leads Pipeline'!$A$5:$A$1004,0)),INDEX('Active Clients'!$B$5:$B$504,MATCH(C2626,'Active Clients'!$A$5:$A$504,0)))&amp;"","ID not found"))</f>
        <v/>
      </c>
      <c r="F2626" s="51" t="str">
        <f aca="false">IF(C2626="","",IFERROR(IF(LEFT(C2626,1)="L",INDEX('Leads Pipeline'!$E$5:$E$1004,MATCH(C2626,'Leads Pipeline'!$A$5:$A$1004,0)),INDEX('Active Clients'!$C$5:$C$504,MATCH(C2626,'Active Clients'!$A$5:$A$504,0)))&amp;"","ID not found"))</f>
        <v/>
      </c>
      <c r="G2626" s="16"/>
      <c r="H2626" s="16"/>
      <c r="I2626" s="16"/>
      <c r="J2626" s="16"/>
      <c r="K2626" s="16"/>
      <c r="L2626" s="18"/>
    </row>
    <row r="2627" customFormat="false" ht="15" hidden="false" customHeight="false" outlineLevel="0" collapsed="false">
      <c r="A2627" s="18"/>
      <c r="B2627" s="16"/>
      <c r="C2627" s="16"/>
      <c r="D2627" s="51" t="str">
        <f aca="false">IF(C2627="","",IFERROR(IF(LEFT(C2627,1)="L",INDEX('Leads Pipeline'!$F$5:$F$1004,MATCH(C2627,'Leads Pipeline'!$A$5:$A$1004,0)),INDEX('Active Clients'!$D$5:$D$504,MATCH(C2627,'Active Clients'!$A$5:$A$504,0)))&amp;"","ID not found"))</f>
        <v/>
      </c>
      <c r="E2627" s="51" t="str">
        <f aca="false">IF(C2627="","",IFERROR(IF(LEFT(C2627,1)="L",INDEX('Leads Pipeline'!$D$5:$D$1004,MATCH(C2627,'Leads Pipeline'!$A$5:$A$1004,0)),INDEX('Active Clients'!$B$5:$B$504,MATCH(C2627,'Active Clients'!$A$5:$A$504,0)))&amp;"","ID not found"))</f>
        <v/>
      </c>
      <c r="F2627" s="51" t="str">
        <f aca="false">IF(C2627="","",IFERROR(IF(LEFT(C2627,1)="L",INDEX('Leads Pipeline'!$E$5:$E$1004,MATCH(C2627,'Leads Pipeline'!$A$5:$A$1004,0)),INDEX('Active Clients'!$C$5:$C$504,MATCH(C2627,'Active Clients'!$A$5:$A$504,0)))&amp;"","ID not found"))</f>
        <v/>
      </c>
      <c r="G2627" s="16"/>
      <c r="H2627" s="16"/>
      <c r="I2627" s="16"/>
      <c r="J2627" s="16"/>
      <c r="K2627" s="16"/>
      <c r="L2627" s="18"/>
    </row>
    <row r="2628" customFormat="false" ht="15" hidden="false" customHeight="false" outlineLevel="0" collapsed="false">
      <c r="A2628" s="18"/>
      <c r="B2628" s="16"/>
      <c r="C2628" s="16"/>
      <c r="D2628" s="51" t="str">
        <f aca="false">IF(C2628="","",IFERROR(IF(LEFT(C2628,1)="L",INDEX('Leads Pipeline'!$F$5:$F$1004,MATCH(C2628,'Leads Pipeline'!$A$5:$A$1004,0)),INDEX('Active Clients'!$D$5:$D$504,MATCH(C2628,'Active Clients'!$A$5:$A$504,0)))&amp;"","ID not found"))</f>
        <v/>
      </c>
      <c r="E2628" s="51" t="str">
        <f aca="false">IF(C2628="","",IFERROR(IF(LEFT(C2628,1)="L",INDEX('Leads Pipeline'!$D$5:$D$1004,MATCH(C2628,'Leads Pipeline'!$A$5:$A$1004,0)),INDEX('Active Clients'!$B$5:$B$504,MATCH(C2628,'Active Clients'!$A$5:$A$504,0)))&amp;"","ID not found"))</f>
        <v/>
      </c>
      <c r="F2628" s="51" t="str">
        <f aca="false">IF(C2628="","",IFERROR(IF(LEFT(C2628,1)="L",INDEX('Leads Pipeline'!$E$5:$E$1004,MATCH(C2628,'Leads Pipeline'!$A$5:$A$1004,0)),INDEX('Active Clients'!$C$5:$C$504,MATCH(C2628,'Active Clients'!$A$5:$A$504,0)))&amp;"","ID not found"))</f>
        <v/>
      </c>
      <c r="G2628" s="16"/>
      <c r="H2628" s="16"/>
      <c r="I2628" s="16"/>
      <c r="J2628" s="16"/>
      <c r="K2628" s="16"/>
      <c r="L2628" s="18"/>
    </row>
    <row r="2629" customFormat="false" ht="15" hidden="false" customHeight="false" outlineLevel="0" collapsed="false">
      <c r="A2629" s="18"/>
      <c r="B2629" s="16"/>
      <c r="C2629" s="16"/>
      <c r="D2629" s="51" t="str">
        <f aca="false">IF(C2629="","",IFERROR(IF(LEFT(C2629,1)="L",INDEX('Leads Pipeline'!$F$5:$F$1004,MATCH(C2629,'Leads Pipeline'!$A$5:$A$1004,0)),INDEX('Active Clients'!$D$5:$D$504,MATCH(C2629,'Active Clients'!$A$5:$A$504,0)))&amp;"","ID not found"))</f>
        <v/>
      </c>
      <c r="E2629" s="51" t="str">
        <f aca="false">IF(C2629="","",IFERROR(IF(LEFT(C2629,1)="L",INDEX('Leads Pipeline'!$D$5:$D$1004,MATCH(C2629,'Leads Pipeline'!$A$5:$A$1004,0)),INDEX('Active Clients'!$B$5:$B$504,MATCH(C2629,'Active Clients'!$A$5:$A$504,0)))&amp;"","ID not found"))</f>
        <v/>
      </c>
      <c r="F2629" s="51" t="str">
        <f aca="false">IF(C2629="","",IFERROR(IF(LEFT(C2629,1)="L",INDEX('Leads Pipeline'!$E$5:$E$1004,MATCH(C2629,'Leads Pipeline'!$A$5:$A$1004,0)),INDEX('Active Clients'!$C$5:$C$504,MATCH(C2629,'Active Clients'!$A$5:$A$504,0)))&amp;"","ID not found"))</f>
        <v/>
      </c>
      <c r="G2629" s="16"/>
      <c r="H2629" s="16"/>
      <c r="I2629" s="16"/>
      <c r="J2629" s="16"/>
      <c r="K2629" s="16"/>
      <c r="L2629" s="18"/>
    </row>
    <row r="2630" customFormat="false" ht="15" hidden="false" customHeight="false" outlineLevel="0" collapsed="false">
      <c r="A2630" s="18"/>
      <c r="B2630" s="16"/>
      <c r="C2630" s="16"/>
      <c r="D2630" s="51" t="str">
        <f aca="false">IF(C2630="","",IFERROR(IF(LEFT(C2630,1)="L",INDEX('Leads Pipeline'!$F$5:$F$1004,MATCH(C2630,'Leads Pipeline'!$A$5:$A$1004,0)),INDEX('Active Clients'!$D$5:$D$504,MATCH(C2630,'Active Clients'!$A$5:$A$504,0)))&amp;"","ID not found"))</f>
        <v/>
      </c>
      <c r="E2630" s="51" t="str">
        <f aca="false">IF(C2630="","",IFERROR(IF(LEFT(C2630,1)="L",INDEX('Leads Pipeline'!$D$5:$D$1004,MATCH(C2630,'Leads Pipeline'!$A$5:$A$1004,0)),INDEX('Active Clients'!$B$5:$B$504,MATCH(C2630,'Active Clients'!$A$5:$A$504,0)))&amp;"","ID not found"))</f>
        <v/>
      </c>
      <c r="F2630" s="51" t="str">
        <f aca="false">IF(C2630="","",IFERROR(IF(LEFT(C2630,1)="L",INDEX('Leads Pipeline'!$E$5:$E$1004,MATCH(C2630,'Leads Pipeline'!$A$5:$A$1004,0)),INDEX('Active Clients'!$C$5:$C$504,MATCH(C2630,'Active Clients'!$A$5:$A$504,0)))&amp;"","ID not found"))</f>
        <v/>
      </c>
      <c r="G2630" s="16"/>
      <c r="H2630" s="16"/>
      <c r="I2630" s="16"/>
      <c r="J2630" s="16"/>
      <c r="K2630" s="16"/>
      <c r="L2630" s="18"/>
    </row>
    <row r="2631" customFormat="false" ht="15" hidden="false" customHeight="false" outlineLevel="0" collapsed="false">
      <c r="A2631" s="18"/>
      <c r="B2631" s="16"/>
      <c r="C2631" s="16"/>
      <c r="D2631" s="51" t="str">
        <f aca="false">IF(C2631="","",IFERROR(IF(LEFT(C2631,1)="L",INDEX('Leads Pipeline'!$F$5:$F$1004,MATCH(C2631,'Leads Pipeline'!$A$5:$A$1004,0)),INDEX('Active Clients'!$D$5:$D$504,MATCH(C2631,'Active Clients'!$A$5:$A$504,0)))&amp;"","ID not found"))</f>
        <v/>
      </c>
      <c r="E2631" s="51" t="str">
        <f aca="false">IF(C2631="","",IFERROR(IF(LEFT(C2631,1)="L",INDEX('Leads Pipeline'!$D$5:$D$1004,MATCH(C2631,'Leads Pipeline'!$A$5:$A$1004,0)),INDEX('Active Clients'!$B$5:$B$504,MATCH(C2631,'Active Clients'!$A$5:$A$504,0)))&amp;"","ID not found"))</f>
        <v/>
      </c>
      <c r="F2631" s="51" t="str">
        <f aca="false">IF(C2631="","",IFERROR(IF(LEFT(C2631,1)="L",INDEX('Leads Pipeline'!$E$5:$E$1004,MATCH(C2631,'Leads Pipeline'!$A$5:$A$1004,0)),INDEX('Active Clients'!$C$5:$C$504,MATCH(C2631,'Active Clients'!$A$5:$A$504,0)))&amp;"","ID not found"))</f>
        <v/>
      </c>
      <c r="G2631" s="16"/>
      <c r="H2631" s="16"/>
      <c r="I2631" s="16"/>
      <c r="J2631" s="16"/>
      <c r="K2631" s="16"/>
      <c r="L2631" s="18"/>
    </row>
    <row r="2632" customFormat="false" ht="15" hidden="false" customHeight="false" outlineLevel="0" collapsed="false">
      <c r="A2632" s="18"/>
      <c r="B2632" s="16"/>
      <c r="C2632" s="16"/>
      <c r="D2632" s="51" t="str">
        <f aca="false">IF(C2632="","",IFERROR(IF(LEFT(C2632,1)="L",INDEX('Leads Pipeline'!$F$5:$F$1004,MATCH(C2632,'Leads Pipeline'!$A$5:$A$1004,0)),INDEX('Active Clients'!$D$5:$D$504,MATCH(C2632,'Active Clients'!$A$5:$A$504,0)))&amp;"","ID not found"))</f>
        <v/>
      </c>
      <c r="E2632" s="51" t="str">
        <f aca="false">IF(C2632="","",IFERROR(IF(LEFT(C2632,1)="L",INDEX('Leads Pipeline'!$D$5:$D$1004,MATCH(C2632,'Leads Pipeline'!$A$5:$A$1004,0)),INDEX('Active Clients'!$B$5:$B$504,MATCH(C2632,'Active Clients'!$A$5:$A$504,0)))&amp;"","ID not found"))</f>
        <v/>
      </c>
      <c r="F2632" s="51" t="str">
        <f aca="false">IF(C2632="","",IFERROR(IF(LEFT(C2632,1)="L",INDEX('Leads Pipeline'!$E$5:$E$1004,MATCH(C2632,'Leads Pipeline'!$A$5:$A$1004,0)),INDEX('Active Clients'!$C$5:$C$504,MATCH(C2632,'Active Clients'!$A$5:$A$504,0)))&amp;"","ID not found"))</f>
        <v/>
      </c>
      <c r="G2632" s="16"/>
      <c r="H2632" s="16"/>
      <c r="I2632" s="16"/>
      <c r="J2632" s="16"/>
      <c r="K2632" s="16"/>
      <c r="L2632" s="18"/>
    </row>
    <row r="2633" customFormat="false" ht="15" hidden="false" customHeight="false" outlineLevel="0" collapsed="false">
      <c r="A2633" s="18"/>
      <c r="B2633" s="16"/>
      <c r="C2633" s="16"/>
      <c r="D2633" s="51" t="str">
        <f aca="false">IF(C2633="","",IFERROR(IF(LEFT(C2633,1)="L",INDEX('Leads Pipeline'!$F$5:$F$1004,MATCH(C2633,'Leads Pipeline'!$A$5:$A$1004,0)),INDEX('Active Clients'!$D$5:$D$504,MATCH(C2633,'Active Clients'!$A$5:$A$504,0)))&amp;"","ID not found"))</f>
        <v/>
      </c>
      <c r="E2633" s="51" t="str">
        <f aca="false">IF(C2633="","",IFERROR(IF(LEFT(C2633,1)="L",INDEX('Leads Pipeline'!$D$5:$D$1004,MATCH(C2633,'Leads Pipeline'!$A$5:$A$1004,0)),INDEX('Active Clients'!$B$5:$B$504,MATCH(C2633,'Active Clients'!$A$5:$A$504,0)))&amp;"","ID not found"))</f>
        <v/>
      </c>
      <c r="F2633" s="51" t="str">
        <f aca="false">IF(C2633="","",IFERROR(IF(LEFT(C2633,1)="L",INDEX('Leads Pipeline'!$E$5:$E$1004,MATCH(C2633,'Leads Pipeline'!$A$5:$A$1004,0)),INDEX('Active Clients'!$C$5:$C$504,MATCH(C2633,'Active Clients'!$A$5:$A$504,0)))&amp;"","ID not found"))</f>
        <v/>
      </c>
      <c r="G2633" s="16"/>
      <c r="H2633" s="16"/>
      <c r="I2633" s="16"/>
      <c r="J2633" s="16"/>
      <c r="K2633" s="16"/>
      <c r="L2633" s="18"/>
    </row>
    <row r="2634" customFormat="false" ht="15" hidden="false" customHeight="false" outlineLevel="0" collapsed="false">
      <c r="A2634" s="18"/>
      <c r="B2634" s="16"/>
      <c r="C2634" s="16"/>
      <c r="D2634" s="51" t="str">
        <f aca="false">IF(C2634="","",IFERROR(IF(LEFT(C2634,1)="L",INDEX('Leads Pipeline'!$F$5:$F$1004,MATCH(C2634,'Leads Pipeline'!$A$5:$A$1004,0)),INDEX('Active Clients'!$D$5:$D$504,MATCH(C2634,'Active Clients'!$A$5:$A$504,0)))&amp;"","ID not found"))</f>
        <v/>
      </c>
      <c r="E2634" s="51" t="str">
        <f aca="false">IF(C2634="","",IFERROR(IF(LEFT(C2634,1)="L",INDEX('Leads Pipeline'!$D$5:$D$1004,MATCH(C2634,'Leads Pipeline'!$A$5:$A$1004,0)),INDEX('Active Clients'!$B$5:$B$504,MATCH(C2634,'Active Clients'!$A$5:$A$504,0)))&amp;"","ID not found"))</f>
        <v/>
      </c>
      <c r="F2634" s="51" t="str">
        <f aca="false">IF(C2634="","",IFERROR(IF(LEFT(C2634,1)="L",INDEX('Leads Pipeline'!$E$5:$E$1004,MATCH(C2634,'Leads Pipeline'!$A$5:$A$1004,0)),INDEX('Active Clients'!$C$5:$C$504,MATCH(C2634,'Active Clients'!$A$5:$A$504,0)))&amp;"","ID not found"))</f>
        <v/>
      </c>
      <c r="G2634" s="16"/>
      <c r="H2634" s="16"/>
      <c r="I2634" s="16"/>
      <c r="J2634" s="16"/>
      <c r="K2634" s="16"/>
      <c r="L2634" s="18"/>
    </row>
    <row r="2635" customFormat="false" ht="15" hidden="false" customHeight="false" outlineLevel="0" collapsed="false">
      <c r="A2635" s="18"/>
      <c r="B2635" s="16"/>
      <c r="C2635" s="16"/>
      <c r="D2635" s="51" t="str">
        <f aca="false">IF(C2635="","",IFERROR(IF(LEFT(C2635,1)="L",INDEX('Leads Pipeline'!$F$5:$F$1004,MATCH(C2635,'Leads Pipeline'!$A$5:$A$1004,0)),INDEX('Active Clients'!$D$5:$D$504,MATCH(C2635,'Active Clients'!$A$5:$A$504,0)))&amp;"","ID not found"))</f>
        <v/>
      </c>
      <c r="E2635" s="51" t="str">
        <f aca="false">IF(C2635="","",IFERROR(IF(LEFT(C2635,1)="L",INDEX('Leads Pipeline'!$D$5:$D$1004,MATCH(C2635,'Leads Pipeline'!$A$5:$A$1004,0)),INDEX('Active Clients'!$B$5:$B$504,MATCH(C2635,'Active Clients'!$A$5:$A$504,0)))&amp;"","ID not found"))</f>
        <v/>
      </c>
      <c r="F2635" s="51" t="str">
        <f aca="false">IF(C2635="","",IFERROR(IF(LEFT(C2635,1)="L",INDEX('Leads Pipeline'!$E$5:$E$1004,MATCH(C2635,'Leads Pipeline'!$A$5:$A$1004,0)),INDEX('Active Clients'!$C$5:$C$504,MATCH(C2635,'Active Clients'!$A$5:$A$504,0)))&amp;"","ID not found"))</f>
        <v/>
      </c>
      <c r="G2635" s="16"/>
      <c r="H2635" s="16"/>
      <c r="I2635" s="16"/>
      <c r="J2635" s="16"/>
      <c r="K2635" s="16"/>
      <c r="L2635" s="18"/>
    </row>
    <row r="2636" customFormat="false" ht="15" hidden="false" customHeight="false" outlineLevel="0" collapsed="false">
      <c r="A2636" s="18"/>
      <c r="B2636" s="16"/>
      <c r="C2636" s="16"/>
      <c r="D2636" s="51" t="str">
        <f aca="false">IF(C2636="","",IFERROR(IF(LEFT(C2636,1)="L",INDEX('Leads Pipeline'!$F$5:$F$1004,MATCH(C2636,'Leads Pipeline'!$A$5:$A$1004,0)),INDEX('Active Clients'!$D$5:$D$504,MATCH(C2636,'Active Clients'!$A$5:$A$504,0)))&amp;"","ID not found"))</f>
        <v/>
      </c>
      <c r="E2636" s="51" t="str">
        <f aca="false">IF(C2636="","",IFERROR(IF(LEFT(C2636,1)="L",INDEX('Leads Pipeline'!$D$5:$D$1004,MATCH(C2636,'Leads Pipeline'!$A$5:$A$1004,0)),INDEX('Active Clients'!$B$5:$B$504,MATCH(C2636,'Active Clients'!$A$5:$A$504,0)))&amp;"","ID not found"))</f>
        <v/>
      </c>
      <c r="F2636" s="51" t="str">
        <f aca="false">IF(C2636="","",IFERROR(IF(LEFT(C2636,1)="L",INDEX('Leads Pipeline'!$E$5:$E$1004,MATCH(C2636,'Leads Pipeline'!$A$5:$A$1004,0)),INDEX('Active Clients'!$C$5:$C$504,MATCH(C2636,'Active Clients'!$A$5:$A$504,0)))&amp;"","ID not found"))</f>
        <v/>
      </c>
      <c r="G2636" s="16"/>
      <c r="H2636" s="16"/>
      <c r="I2636" s="16"/>
      <c r="J2636" s="16"/>
      <c r="K2636" s="16"/>
      <c r="L2636" s="18"/>
    </row>
    <row r="2637" customFormat="false" ht="15" hidden="false" customHeight="false" outlineLevel="0" collapsed="false">
      <c r="A2637" s="18"/>
      <c r="B2637" s="16"/>
      <c r="C2637" s="16"/>
      <c r="D2637" s="51" t="str">
        <f aca="false">IF(C2637="","",IFERROR(IF(LEFT(C2637,1)="L",INDEX('Leads Pipeline'!$F$5:$F$1004,MATCH(C2637,'Leads Pipeline'!$A$5:$A$1004,0)),INDEX('Active Clients'!$D$5:$D$504,MATCH(C2637,'Active Clients'!$A$5:$A$504,0)))&amp;"","ID not found"))</f>
        <v/>
      </c>
      <c r="E2637" s="51" t="str">
        <f aca="false">IF(C2637="","",IFERROR(IF(LEFT(C2637,1)="L",INDEX('Leads Pipeline'!$D$5:$D$1004,MATCH(C2637,'Leads Pipeline'!$A$5:$A$1004,0)),INDEX('Active Clients'!$B$5:$B$504,MATCH(C2637,'Active Clients'!$A$5:$A$504,0)))&amp;"","ID not found"))</f>
        <v/>
      </c>
      <c r="F2637" s="51" t="str">
        <f aca="false">IF(C2637="","",IFERROR(IF(LEFT(C2637,1)="L",INDEX('Leads Pipeline'!$E$5:$E$1004,MATCH(C2637,'Leads Pipeline'!$A$5:$A$1004,0)),INDEX('Active Clients'!$C$5:$C$504,MATCH(C2637,'Active Clients'!$A$5:$A$504,0)))&amp;"","ID not found"))</f>
        <v/>
      </c>
      <c r="G2637" s="16"/>
      <c r="H2637" s="16"/>
      <c r="I2637" s="16"/>
      <c r="J2637" s="16"/>
      <c r="K2637" s="16"/>
      <c r="L2637" s="18"/>
    </row>
    <row r="2638" customFormat="false" ht="15" hidden="false" customHeight="false" outlineLevel="0" collapsed="false">
      <c r="A2638" s="18"/>
      <c r="B2638" s="16"/>
      <c r="C2638" s="16"/>
      <c r="D2638" s="51" t="str">
        <f aca="false">IF(C2638="","",IFERROR(IF(LEFT(C2638,1)="L",INDEX('Leads Pipeline'!$F$5:$F$1004,MATCH(C2638,'Leads Pipeline'!$A$5:$A$1004,0)),INDEX('Active Clients'!$D$5:$D$504,MATCH(C2638,'Active Clients'!$A$5:$A$504,0)))&amp;"","ID not found"))</f>
        <v/>
      </c>
      <c r="E2638" s="51" t="str">
        <f aca="false">IF(C2638="","",IFERROR(IF(LEFT(C2638,1)="L",INDEX('Leads Pipeline'!$D$5:$D$1004,MATCH(C2638,'Leads Pipeline'!$A$5:$A$1004,0)),INDEX('Active Clients'!$B$5:$B$504,MATCH(C2638,'Active Clients'!$A$5:$A$504,0)))&amp;"","ID not found"))</f>
        <v/>
      </c>
      <c r="F2638" s="51" t="str">
        <f aca="false">IF(C2638="","",IFERROR(IF(LEFT(C2638,1)="L",INDEX('Leads Pipeline'!$E$5:$E$1004,MATCH(C2638,'Leads Pipeline'!$A$5:$A$1004,0)),INDEX('Active Clients'!$C$5:$C$504,MATCH(C2638,'Active Clients'!$A$5:$A$504,0)))&amp;"","ID not found"))</f>
        <v/>
      </c>
      <c r="G2638" s="16"/>
      <c r="H2638" s="16"/>
      <c r="I2638" s="16"/>
      <c r="J2638" s="16"/>
      <c r="K2638" s="16"/>
      <c r="L2638" s="18"/>
    </row>
    <row r="2639" customFormat="false" ht="15" hidden="false" customHeight="false" outlineLevel="0" collapsed="false">
      <c r="A2639" s="18"/>
      <c r="B2639" s="16"/>
      <c r="C2639" s="16"/>
      <c r="D2639" s="51" t="str">
        <f aca="false">IF(C2639="","",IFERROR(IF(LEFT(C2639,1)="L",INDEX('Leads Pipeline'!$F$5:$F$1004,MATCH(C2639,'Leads Pipeline'!$A$5:$A$1004,0)),INDEX('Active Clients'!$D$5:$D$504,MATCH(C2639,'Active Clients'!$A$5:$A$504,0)))&amp;"","ID not found"))</f>
        <v/>
      </c>
      <c r="E2639" s="51" t="str">
        <f aca="false">IF(C2639="","",IFERROR(IF(LEFT(C2639,1)="L",INDEX('Leads Pipeline'!$D$5:$D$1004,MATCH(C2639,'Leads Pipeline'!$A$5:$A$1004,0)),INDEX('Active Clients'!$B$5:$B$504,MATCH(C2639,'Active Clients'!$A$5:$A$504,0)))&amp;"","ID not found"))</f>
        <v/>
      </c>
      <c r="F2639" s="51" t="str">
        <f aca="false">IF(C2639="","",IFERROR(IF(LEFT(C2639,1)="L",INDEX('Leads Pipeline'!$E$5:$E$1004,MATCH(C2639,'Leads Pipeline'!$A$5:$A$1004,0)),INDEX('Active Clients'!$C$5:$C$504,MATCH(C2639,'Active Clients'!$A$5:$A$504,0)))&amp;"","ID not found"))</f>
        <v/>
      </c>
      <c r="G2639" s="16"/>
      <c r="H2639" s="16"/>
      <c r="I2639" s="16"/>
      <c r="J2639" s="16"/>
      <c r="K2639" s="16"/>
      <c r="L2639" s="18"/>
    </row>
    <row r="2640" customFormat="false" ht="15" hidden="false" customHeight="false" outlineLevel="0" collapsed="false">
      <c r="A2640" s="18"/>
      <c r="B2640" s="16"/>
      <c r="C2640" s="16"/>
      <c r="D2640" s="51" t="str">
        <f aca="false">IF(C2640="","",IFERROR(IF(LEFT(C2640,1)="L",INDEX('Leads Pipeline'!$F$5:$F$1004,MATCH(C2640,'Leads Pipeline'!$A$5:$A$1004,0)),INDEX('Active Clients'!$D$5:$D$504,MATCH(C2640,'Active Clients'!$A$5:$A$504,0)))&amp;"","ID not found"))</f>
        <v/>
      </c>
      <c r="E2640" s="51" t="str">
        <f aca="false">IF(C2640="","",IFERROR(IF(LEFT(C2640,1)="L",INDEX('Leads Pipeline'!$D$5:$D$1004,MATCH(C2640,'Leads Pipeline'!$A$5:$A$1004,0)),INDEX('Active Clients'!$B$5:$B$504,MATCH(C2640,'Active Clients'!$A$5:$A$504,0)))&amp;"","ID not found"))</f>
        <v/>
      </c>
      <c r="F2640" s="51" t="str">
        <f aca="false">IF(C2640="","",IFERROR(IF(LEFT(C2640,1)="L",INDEX('Leads Pipeline'!$E$5:$E$1004,MATCH(C2640,'Leads Pipeline'!$A$5:$A$1004,0)),INDEX('Active Clients'!$C$5:$C$504,MATCH(C2640,'Active Clients'!$A$5:$A$504,0)))&amp;"","ID not found"))</f>
        <v/>
      </c>
      <c r="G2640" s="16"/>
      <c r="H2640" s="16"/>
      <c r="I2640" s="16"/>
      <c r="J2640" s="16"/>
      <c r="K2640" s="16"/>
      <c r="L2640" s="18"/>
    </row>
    <row r="2641" customFormat="false" ht="15" hidden="false" customHeight="false" outlineLevel="0" collapsed="false">
      <c r="A2641" s="18"/>
      <c r="B2641" s="16"/>
      <c r="C2641" s="16"/>
      <c r="D2641" s="51" t="str">
        <f aca="false">IF(C2641="","",IFERROR(IF(LEFT(C2641,1)="L",INDEX('Leads Pipeline'!$F$5:$F$1004,MATCH(C2641,'Leads Pipeline'!$A$5:$A$1004,0)),INDEX('Active Clients'!$D$5:$D$504,MATCH(C2641,'Active Clients'!$A$5:$A$504,0)))&amp;"","ID not found"))</f>
        <v/>
      </c>
      <c r="E2641" s="51" t="str">
        <f aca="false">IF(C2641="","",IFERROR(IF(LEFT(C2641,1)="L",INDEX('Leads Pipeline'!$D$5:$D$1004,MATCH(C2641,'Leads Pipeline'!$A$5:$A$1004,0)),INDEX('Active Clients'!$B$5:$B$504,MATCH(C2641,'Active Clients'!$A$5:$A$504,0)))&amp;"","ID not found"))</f>
        <v/>
      </c>
      <c r="F2641" s="51" t="str">
        <f aca="false">IF(C2641="","",IFERROR(IF(LEFT(C2641,1)="L",INDEX('Leads Pipeline'!$E$5:$E$1004,MATCH(C2641,'Leads Pipeline'!$A$5:$A$1004,0)),INDEX('Active Clients'!$C$5:$C$504,MATCH(C2641,'Active Clients'!$A$5:$A$504,0)))&amp;"","ID not found"))</f>
        <v/>
      </c>
      <c r="G2641" s="16"/>
      <c r="H2641" s="16"/>
      <c r="I2641" s="16"/>
      <c r="J2641" s="16"/>
      <c r="K2641" s="16"/>
      <c r="L2641" s="18"/>
    </row>
    <row r="2642" customFormat="false" ht="15" hidden="false" customHeight="false" outlineLevel="0" collapsed="false">
      <c r="A2642" s="18"/>
      <c r="B2642" s="16"/>
      <c r="C2642" s="16"/>
      <c r="D2642" s="51" t="str">
        <f aca="false">IF(C2642="","",IFERROR(IF(LEFT(C2642,1)="L",INDEX('Leads Pipeline'!$F$5:$F$1004,MATCH(C2642,'Leads Pipeline'!$A$5:$A$1004,0)),INDEX('Active Clients'!$D$5:$D$504,MATCH(C2642,'Active Clients'!$A$5:$A$504,0)))&amp;"","ID not found"))</f>
        <v/>
      </c>
      <c r="E2642" s="51" t="str">
        <f aca="false">IF(C2642="","",IFERROR(IF(LEFT(C2642,1)="L",INDEX('Leads Pipeline'!$D$5:$D$1004,MATCH(C2642,'Leads Pipeline'!$A$5:$A$1004,0)),INDEX('Active Clients'!$B$5:$B$504,MATCH(C2642,'Active Clients'!$A$5:$A$504,0)))&amp;"","ID not found"))</f>
        <v/>
      </c>
      <c r="F2642" s="51" t="str">
        <f aca="false">IF(C2642="","",IFERROR(IF(LEFT(C2642,1)="L",INDEX('Leads Pipeline'!$E$5:$E$1004,MATCH(C2642,'Leads Pipeline'!$A$5:$A$1004,0)),INDEX('Active Clients'!$C$5:$C$504,MATCH(C2642,'Active Clients'!$A$5:$A$504,0)))&amp;"","ID not found"))</f>
        <v/>
      </c>
      <c r="G2642" s="16"/>
      <c r="H2642" s="16"/>
      <c r="I2642" s="16"/>
      <c r="J2642" s="16"/>
      <c r="K2642" s="16"/>
      <c r="L2642" s="18"/>
    </row>
    <row r="2643" customFormat="false" ht="15" hidden="false" customHeight="false" outlineLevel="0" collapsed="false">
      <c r="A2643" s="18"/>
      <c r="B2643" s="16"/>
      <c r="C2643" s="16"/>
      <c r="D2643" s="51" t="str">
        <f aca="false">IF(C2643="","",IFERROR(IF(LEFT(C2643,1)="L",INDEX('Leads Pipeline'!$F$5:$F$1004,MATCH(C2643,'Leads Pipeline'!$A$5:$A$1004,0)),INDEX('Active Clients'!$D$5:$D$504,MATCH(C2643,'Active Clients'!$A$5:$A$504,0)))&amp;"","ID not found"))</f>
        <v/>
      </c>
      <c r="E2643" s="51" t="str">
        <f aca="false">IF(C2643="","",IFERROR(IF(LEFT(C2643,1)="L",INDEX('Leads Pipeline'!$D$5:$D$1004,MATCH(C2643,'Leads Pipeline'!$A$5:$A$1004,0)),INDEX('Active Clients'!$B$5:$B$504,MATCH(C2643,'Active Clients'!$A$5:$A$504,0)))&amp;"","ID not found"))</f>
        <v/>
      </c>
      <c r="F2643" s="51" t="str">
        <f aca="false">IF(C2643="","",IFERROR(IF(LEFT(C2643,1)="L",INDEX('Leads Pipeline'!$E$5:$E$1004,MATCH(C2643,'Leads Pipeline'!$A$5:$A$1004,0)),INDEX('Active Clients'!$C$5:$C$504,MATCH(C2643,'Active Clients'!$A$5:$A$504,0)))&amp;"","ID not found"))</f>
        <v/>
      </c>
      <c r="G2643" s="16"/>
      <c r="H2643" s="16"/>
      <c r="I2643" s="16"/>
      <c r="J2643" s="16"/>
      <c r="K2643" s="16"/>
      <c r="L2643" s="18"/>
    </row>
    <row r="2644" customFormat="false" ht="15" hidden="false" customHeight="false" outlineLevel="0" collapsed="false">
      <c r="A2644" s="18"/>
      <c r="B2644" s="16"/>
      <c r="C2644" s="16"/>
      <c r="D2644" s="51" t="str">
        <f aca="false">IF(C2644="","",IFERROR(IF(LEFT(C2644,1)="L",INDEX('Leads Pipeline'!$F$5:$F$1004,MATCH(C2644,'Leads Pipeline'!$A$5:$A$1004,0)),INDEX('Active Clients'!$D$5:$D$504,MATCH(C2644,'Active Clients'!$A$5:$A$504,0)))&amp;"","ID not found"))</f>
        <v/>
      </c>
      <c r="E2644" s="51" t="str">
        <f aca="false">IF(C2644="","",IFERROR(IF(LEFT(C2644,1)="L",INDEX('Leads Pipeline'!$D$5:$D$1004,MATCH(C2644,'Leads Pipeline'!$A$5:$A$1004,0)),INDEX('Active Clients'!$B$5:$B$504,MATCH(C2644,'Active Clients'!$A$5:$A$504,0)))&amp;"","ID not found"))</f>
        <v/>
      </c>
      <c r="F2644" s="51" t="str">
        <f aca="false">IF(C2644="","",IFERROR(IF(LEFT(C2644,1)="L",INDEX('Leads Pipeline'!$E$5:$E$1004,MATCH(C2644,'Leads Pipeline'!$A$5:$A$1004,0)),INDEX('Active Clients'!$C$5:$C$504,MATCH(C2644,'Active Clients'!$A$5:$A$504,0)))&amp;"","ID not found"))</f>
        <v/>
      </c>
      <c r="G2644" s="16"/>
      <c r="H2644" s="16"/>
      <c r="I2644" s="16"/>
      <c r="J2644" s="16"/>
      <c r="K2644" s="16"/>
      <c r="L2644" s="18"/>
    </row>
    <row r="2645" customFormat="false" ht="15" hidden="false" customHeight="false" outlineLevel="0" collapsed="false">
      <c r="A2645" s="18"/>
      <c r="B2645" s="16"/>
      <c r="C2645" s="16"/>
      <c r="D2645" s="51" t="str">
        <f aca="false">IF(C2645="","",IFERROR(IF(LEFT(C2645,1)="L",INDEX('Leads Pipeline'!$F$5:$F$1004,MATCH(C2645,'Leads Pipeline'!$A$5:$A$1004,0)),INDEX('Active Clients'!$D$5:$D$504,MATCH(C2645,'Active Clients'!$A$5:$A$504,0)))&amp;"","ID not found"))</f>
        <v/>
      </c>
      <c r="E2645" s="51" t="str">
        <f aca="false">IF(C2645="","",IFERROR(IF(LEFT(C2645,1)="L",INDEX('Leads Pipeline'!$D$5:$D$1004,MATCH(C2645,'Leads Pipeline'!$A$5:$A$1004,0)),INDEX('Active Clients'!$B$5:$B$504,MATCH(C2645,'Active Clients'!$A$5:$A$504,0)))&amp;"","ID not found"))</f>
        <v/>
      </c>
      <c r="F2645" s="51" t="str">
        <f aca="false">IF(C2645="","",IFERROR(IF(LEFT(C2645,1)="L",INDEX('Leads Pipeline'!$E$5:$E$1004,MATCH(C2645,'Leads Pipeline'!$A$5:$A$1004,0)),INDEX('Active Clients'!$C$5:$C$504,MATCH(C2645,'Active Clients'!$A$5:$A$504,0)))&amp;"","ID not found"))</f>
        <v/>
      </c>
      <c r="G2645" s="16"/>
      <c r="H2645" s="16"/>
      <c r="I2645" s="16"/>
      <c r="J2645" s="16"/>
      <c r="K2645" s="16"/>
      <c r="L2645" s="18"/>
    </row>
    <row r="2646" customFormat="false" ht="15" hidden="false" customHeight="false" outlineLevel="0" collapsed="false">
      <c r="A2646" s="18"/>
      <c r="B2646" s="16"/>
      <c r="C2646" s="16"/>
      <c r="D2646" s="51" t="str">
        <f aca="false">IF(C2646="","",IFERROR(IF(LEFT(C2646,1)="L",INDEX('Leads Pipeline'!$F$5:$F$1004,MATCH(C2646,'Leads Pipeline'!$A$5:$A$1004,0)),INDEX('Active Clients'!$D$5:$D$504,MATCH(C2646,'Active Clients'!$A$5:$A$504,0)))&amp;"","ID not found"))</f>
        <v/>
      </c>
      <c r="E2646" s="51" t="str">
        <f aca="false">IF(C2646="","",IFERROR(IF(LEFT(C2646,1)="L",INDEX('Leads Pipeline'!$D$5:$D$1004,MATCH(C2646,'Leads Pipeline'!$A$5:$A$1004,0)),INDEX('Active Clients'!$B$5:$B$504,MATCH(C2646,'Active Clients'!$A$5:$A$504,0)))&amp;"","ID not found"))</f>
        <v/>
      </c>
      <c r="F2646" s="51" t="str">
        <f aca="false">IF(C2646="","",IFERROR(IF(LEFT(C2646,1)="L",INDEX('Leads Pipeline'!$E$5:$E$1004,MATCH(C2646,'Leads Pipeline'!$A$5:$A$1004,0)),INDEX('Active Clients'!$C$5:$C$504,MATCH(C2646,'Active Clients'!$A$5:$A$504,0)))&amp;"","ID not found"))</f>
        <v/>
      </c>
      <c r="G2646" s="16"/>
      <c r="H2646" s="16"/>
      <c r="I2646" s="16"/>
      <c r="J2646" s="16"/>
      <c r="K2646" s="16"/>
      <c r="L2646" s="18"/>
    </row>
    <row r="2647" customFormat="false" ht="15" hidden="false" customHeight="false" outlineLevel="0" collapsed="false">
      <c r="A2647" s="18"/>
      <c r="B2647" s="16"/>
      <c r="C2647" s="16"/>
      <c r="D2647" s="51" t="str">
        <f aca="false">IF(C2647="","",IFERROR(IF(LEFT(C2647,1)="L",INDEX('Leads Pipeline'!$F$5:$F$1004,MATCH(C2647,'Leads Pipeline'!$A$5:$A$1004,0)),INDEX('Active Clients'!$D$5:$D$504,MATCH(C2647,'Active Clients'!$A$5:$A$504,0)))&amp;"","ID not found"))</f>
        <v/>
      </c>
      <c r="E2647" s="51" t="str">
        <f aca="false">IF(C2647="","",IFERROR(IF(LEFT(C2647,1)="L",INDEX('Leads Pipeline'!$D$5:$D$1004,MATCH(C2647,'Leads Pipeline'!$A$5:$A$1004,0)),INDEX('Active Clients'!$B$5:$B$504,MATCH(C2647,'Active Clients'!$A$5:$A$504,0)))&amp;"","ID not found"))</f>
        <v/>
      </c>
      <c r="F2647" s="51" t="str">
        <f aca="false">IF(C2647="","",IFERROR(IF(LEFT(C2647,1)="L",INDEX('Leads Pipeline'!$E$5:$E$1004,MATCH(C2647,'Leads Pipeline'!$A$5:$A$1004,0)),INDEX('Active Clients'!$C$5:$C$504,MATCH(C2647,'Active Clients'!$A$5:$A$504,0)))&amp;"","ID not found"))</f>
        <v/>
      </c>
      <c r="G2647" s="16"/>
      <c r="H2647" s="16"/>
      <c r="I2647" s="16"/>
      <c r="J2647" s="16"/>
      <c r="K2647" s="16"/>
      <c r="L2647" s="18"/>
    </row>
    <row r="2648" customFormat="false" ht="15" hidden="false" customHeight="false" outlineLevel="0" collapsed="false">
      <c r="A2648" s="18"/>
      <c r="B2648" s="16"/>
      <c r="C2648" s="16"/>
      <c r="D2648" s="51" t="str">
        <f aca="false">IF(C2648="","",IFERROR(IF(LEFT(C2648,1)="L",INDEX('Leads Pipeline'!$F$5:$F$1004,MATCH(C2648,'Leads Pipeline'!$A$5:$A$1004,0)),INDEX('Active Clients'!$D$5:$D$504,MATCH(C2648,'Active Clients'!$A$5:$A$504,0)))&amp;"","ID not found"))</f>
        <v/>
      </c>
      <c r="E2648" s="51" t="str">
        <f aca="false">IF(C2648="","",IFERROR(IF(LEFT(C2648,1)="L",INDEX('Leads Pipeline'!$D$5:$D$1004,MATCH(C2648,'Leads Pipeline'!$A$5:$A$1004,0)),INDEX('Active Clients'!$B$5:$B$504,MATCH(C2648,'Active Clients'!$A$5:$A$504,0)))&amp;"","ID not found"))</f>
        <v/>
      </c>
      <c r="F2648" s="51" t="str">
        <f aca="false">IF(C2648="","",IFERROR(IF(LEFT(C2648,1)="L",INDEX('Leads Pipeline'!$E$5:$E$1004,MATCH(C2648,'Leads Pipeline'!$A$5:$A$1004,0)),INDEX('Active Clients'!$C$5:$C$504,MATCH(C2648,'Active Clients'!$A$5:$A$504,0)))&amp;"","ID not found"))</f>
        <v/>
      </c>
      <c r="G2648" s="16"/>
      <c r="H2648" s="16"/>
      <c r="I2648" s="16"/>
      <c r="J2648" s="16"/>
      <c r="K2648" s="16"/>
      <c r="L2648" s="18"/>
    </row>
    <row r="2649" customFormat="false" ht="15" hidden="false" customHeight="false" outlineLevel="0" collapsed="false">
      <c r="A2649" s="18"/>
      <c r="B2649" s="16"/>
      <c r="C2649" s="16"/>
      <c r="D2649" s="51" t="str">
        <f aca="false">IF(C2649="","",IFERROR(IF(LEFT(C2649,1)="L",INDEX('Leads Pipeline'!$F$5:$F$1004,MATCH(C2649,'Leads Pipeline'!$A$5:$A$1004,0)),INDEX('Active Clients'!$D$5:$D$504,MATCH(C2649,'Active Clients'!$A$5:$A$504,0)))&amp;"","ID not found"))</f>
        <v/>
      </c>
      <c r="E2649" s="51" t="str">
        <f aca="false">IF(C2649="","",IFERROR(IF(LEFT(C2649,1)="L",INDEX('Leads Pipeline'!$D$5:$D$1004,MATCH(C2649,'Leads Pipeline'!$A$5:$A$1004,0)),INDEX('Active Clients'!$B$5:$B$504,MATCH(C2649,'Active Clients'!$A$5:$A$504,0)))&amp;"","ID not found"))</f>
        <v/>
      </c>
      <c r="F2649" s="51" t="str">
        <f aca="false">IF(C2649="","",IFERROR(IF(LEFT(C2649,1)="L",INDEX('Leads Pipeline'!$E$5:$E$1004,MATCH(C2649,'Leads Pipeline'!$A$5:$A$1004,0)),INDEX('Active Clients'!$C$5:$C$504,MATCH(C2649,'Active Clients'!$A$5:$A$504,0)))&amp;"","ID not found"))</f>
        <v/>
      </c>
      <c r="G2649" s="16"/>
      <c r="H2649" s="16"/>
      <c r="I2649" s="16"/>
      <c r="J2649" s="16"/>
      <c r="K2649" s="16"/>
      <c r="L2649" s="18"/>
    </row>
    <row r="2650" customFormat="false" ht="15" hidden="false" customHeight="false" outlineLevel="0" collapsed="false">
      <c r="A2650" s="18"/>
      <c r="B2650" s="16"/>
      <c r="C2650" s="16"/>
      <c r="D2650" s="51" t="str">
        <f aca="false">IF(C2650="","",IFERROR(IF(LEFT(C2650,1)="L",INDEX('Leads Pipeline'!$F$5:$F$1004,MATCH(C2650,'Leads Pipeline'!$A$5:$A$1004,0)),INDEX('Active Clients'!$D$5:$D$504,MATCH(C2650,'Active Clients'!$A$5:$A$504,0)))&amp;"","ID not found"))</f>
        <v/>
      </c>
      <c r="E2650" s="51" t="str">
        <f aca="false">IF(C2650="","",IFERROR(IF(LEFT(C2650,1)="L",INDEX('Leads Pipeline'!$D$5:$D$1004,MATCH(C2650,'Leads Pipeline'!$A$5:$A$1004,0)),INDEX('Active Clients'!$B$5:$B$504,MATCH(C2650,'Active Clients'!$A$5:$A$504,0)))&amp;"","ID not found"))</f>
        <v/>
      </c>
      <c r="F2650" s="51" t="str">
        <f aca="false">IF(C2650="","",IFERROR(IF(LEFT(C2650,1)="L",INDEX('Leads Pipeline'!$E$5:$E$1004,MATCH(C2650,'Leads Pipeline'!$A$5:$A$1004,0)),INDEX('Active Clients'!$C$5:$C$504,MATCH(C2650,'Active Clients'!$A$5:$A$504,0)))&amp;"","ID not found"))</f>
        <v/>
      </c>
      <c r="G2650" s="16"/>
      <c r="H2650" s="16"/>
      <c r="I2650" s="16"/>
      <c r="J2650" s="16"/>
      <c r="K2650" s="16"/>
      <c r="L2650" s="18"/>
    </row>
    <row r="2651" customFormat="false" ht="15" hidden="false" customHeight="false" outlineLevel="0" collapsed="false">
      <c r="A2651" s="18"/>
      <c r="B2651" s="16"/>
      <c r="C2651" s="16"/>
      <c r="D2651" s="51" t="str">
        <f aca="false">IF(C2651="","",IFERROR(IF(LEFT(C2651,1)="L",INDEX('Leads Pipeline'!$F$5:$F$1004,MATCH(C2651,'Leads Pipeline'!$A$5:$A$1004,0)),INDEX('Active Clients'!$D$5:$D$504,MATCH(C2651,'Active Clients'!$A$5:$A$504,0)))&amp;"","ID not found"))</f>
        <v/>
      </c>
      <c r="E2651" s="51" t="str">
        <f aca="false">IF(C2651="","",IFERROR(IF(LEFT(C2651,1)="L",INDEX('Leads Pipeline'!$D$5:$D$1004,MATCH(C2651,'Leads Pipeline'!$A$5:$A$1004,0)),INDEX('Active Clients'!$B$5:$B$504,MATCH(C2651,'Active Clients'!$A$5:$A$504,0)))&amp;"","ID not found"))</f>
        <v/>
      </c>
      <c r="F2651" s="51" t="str">
        <f aca="false">IF(C2651="","",IFERROR(IF(LEFT(C2651,1)="L",INDEX('Leads Pipeline'!$E$5:$E$1004,MATCH(C2651,'Leads Pipeline'!$A$5:$A$1004,0)),INDEX('Active Clients'!$C$5:$C$504,MATCH(C2651,'Active Clients'!$A$5:$A$504,0)))&amp;"","ID not found"))</f>
        <v/>
      </c>
      <c r="G2651" s="16"/>
      <c r="H2651" s="16"/>
      <c r="I2651" s="16"/>
      <c r="J2651" s="16"/>
      <c r="K2651" s="16"/>
      <c r="L2651" s="18"/>
    </row>
    <row r="2652" customFormat="false" ht="15" hidden="false" customHeight="false" outlineLevel="0" collapsed="false">
      <c r="A2652" s="18"/>
      <c r="B2652" s="16"/>
      <c r="C2652" s="16"/>
      <c r="D2652" s="51" t="str">
        <f aca="false">IF(C2652="","",IFERROR(IF(LEFT(C2652,1)="L",INDEX('Leads Pipeline'!$F$5:$F$1004,MATCH(C2652,'Leads Pipeline'!$A$5:$A$1004,0)),INDEX('Active Clients'!$D$5:$D$504,MATCH(C2652,'Active Clients'!$A$5:$A$504,0)))&amp;"","ID not found"))</f>
        <v/>
      </c>
      <c r="E2652" s="51" t="str">
        <f aca="false">IF(C2652="","",IFERROR(IF(LEFT(C2652,1)="L",INDEX('Leads Pipeline'!$D$5:$D$1004,MATCH(C2652,'Leads Pipeline'!$A$5:$A$1004,0)),INDEX('Active Clients'!$B$5:$B$504,MATCH(C2652,'Active Clients'!$A$5:$A$504,0)))&amp;"","ID not found"))</f>
        <v/>
      </c>
      <c r="F2652" s="51" t="str">
        <f aca="false">IF(C2652="","",IFERROR(IF(LEFT(C2652,1)="L",INDEX('Leads Pipeline'!$E$5:$E$1004,MATCH(C2652,'Leads Pipeline'!$A$5:$A$1004,0)),INDEX('Active Clients'!$C$5:$C$504,MATCH(C2652,'Active Clients'!$A$5:$A$504,0)))&amp;"","ID not found"))</f>
        <v/>
      </c>
      <c r="G2652" s="16"/>
      <c r="H2652" s="16"/>
      <c r="I2652" s="16"/>
      <c r="J2652" s="16"/>
      <c r="K2652" s="16"/>
      <c r="L2652" s="18"/>
    </row>
    <row r="2653" customFormat="false" ht="15" hidden="false" customHeight="false" outlineLevel="0" collapsed="false">
      <c r="A2653" s="18"/>
      <c r="B2653" s="16"/>
      <c r="C2653" s="16"/>
      <c r="D2653" s="51" t="str">
        <f aca="false">IF(C2653="","",IFERROR(IF(LEFT(C2653,1)="L",INDEX('Leads Pipeline'!$F$5:$F$1004,MATCH(C2653,'Leads Pipeline'!$A$5:$A$1004,0)),INDEX('Active Clients'!$D$5:$D$504,MATCH(C2653,'Active Clients'!$A$5:$A$504,0)))&amp;"","ID not found"))</f>
        <v/>
      </c>
      <c r="E2653" s="51" t="str">
        <f aca="false">IF(C2653="","",IFERROR(IF(LEFT(C2653,1)="L",INDEX('Leads Pipeline'!$D$5:$D$1004,MATCH(C2653,'Leads Pipeline'!$A$5:$A$1004,0)),INDEX('Active Clients'!$B$5:$B$504,MATCH(C2653,'Active Clients'!$A$5:$A$504,0)))&amp;"","ID not found"))</f>
        <v/>
      </c>
      <c r="F2653" s="51" t="str">
        <f aca="false">IF(C2653="","",IFERROR(IF(LEFT(C2653,1)="L",INDEX('Leads Pipeline'!$E$5:$E$1004,MATCH(C2653,'Leads Pipeline'!$A$5:$A$1004,0)),INDEX('Active Clients'!$C$5:$C$504,MATCH(C2653,'Active Clients'!$A$5:$A$504,0)))&amp;"","ID not found"))</f>
        <v/>
      </c>
      <c r="G2653" s="16"/>
      <c r="H2653" s="16"/>
      <c r="I2653" s="16"/>
      <c r="J2653" s="16"/>
      <c r="K2653" s="16"/>
      <c r="L2653" s="18"/>
    </row>
    <row r="2654" customFormat="false" ht="15" hidden="false" customHeight="false" outlineLevel="0" collapsed="false">
      <c r="A2654" s="18"/>
      <c r="B2654" s="16"/>
      <c r="C2654" s="16"/>
      <c r="D2654" s="51" t="str">
        <f aca="false">IF(C2654="","",IFERROR(IF(LEFT(C2654,1)="L",INDEX('Leads Pipeline'!$F$5:$F$1004,MATCH(C2654,'Leads Pipeline'!$A$5:$A$1004,0)),INDEX('Active Clients'!$D$5:$D$504,MATCH(C2654,'Active Clients'!$A$5:$A$504,0)))&amp;"","ID not found"))</f>
        <v/>
      </c>
      <c r="E2654" s="51" t="str">
        <f aca="false">IF(C2654="","",IFERROR(IF(LEFT(C2654,1)="L",INDEX('Leads Pipeline'!$D$5:$D$1004,MATCH(C2654,'Leads Pipeline'!$A$5:$A$1004,0)),INDEX('Active Clients'!$B$5:$B$504,MATCH(C2654,'Active Clients'!$A$5:$A$504,0)))&amp;"","ID not found"))</f>
        <v/>
      </c>
      <c r="F2654" s="51" t="str">
        <f aca="false">IF(C2654="","",IFERROR(IF(LEFT(C2654,1)="L",INDEX('Leads Pipeline'!$E$5:$E$1004,MATCH(C2654,'Leads Pipeline'!$A$5:$A$1004,0)),INDEX('Active Clients'!$C$5:$C$504,MATCH(C2654,'Active Clients'!$A$5:$A$504,0)))&amp;"","ID not found"))</f>
        <v/>
      </c>
      <c r="G2654" s="16"/>
      <c r="H2654" s="16"/>
      <c r="I2654" s="16"/>
      <c r="J2654" s="16"/>
      <c r="K2654" s="16"/>
      <c r="L2654" s="18"/>
    </row>
    <row r="2655" customFormat="false" ht="15" hidden="false" customHeight="false" outlineLevel="0" collapsed="false">
      <c r="A2655" s="18"/>
      <c r="B2655" s="16"/>
      <c r="C2655" s="16"/>
      <c r="D2655" s="51" t="str">
        <f aca="false">IF(C2655="","",IFERROR(IF(LEFT(C2655,1)="L",INDEX('Leads Pipeline'!$F$5:$F$1004,MATCH(C2655,'Leads Pipeline'!$A$5:$A$1004,0)),INDEX('Active Clients'!$D$5:$D$504,MATCH(C2655,'Active Clients'!$A$5:$A$504,0)))&amp;"","ID not found"))</f>
        <v/>
      </c>
      <c r="E2655" s="51" t="str">
        <f aca="false">IF(C2655="","",IFERROR(IF(LEFT(C2655,1)="L",INDEX('Leads Pipeline'!$D$5:$D$1004,MATCH(C2655,'Leads Pipeline'!$A$5:$A$1004,0)),INDEX('Active Clients'!$B$5:$B$504,MATCH(C2655,'Active Clients'!$A$5:$A$504,0)))&amp;"","ID not found"))</f>
        <v/>
      </c>
      <c r="F2655" s="51" t="str">
        <f aca="false">IF(C2655="","",IFERROR(IF(LEFT(C2655,1)="L",INDEX('Leads Pipeline'!$E$5:$E$1004,MATCH(C2655,'Leads Pipeline'!$A$5:$A$1004,0)),INDEX('Active Clients'!$C$5:$C$504,MATCH(C2655,'Active Clients'!$A$5:$A$504,0)))&amp;"","ID not found"))</f>
        <v/>
      </c>
      <c r="G2655" s="16"/>
      <c r="H2655" s="16"/>
      <c r="I2655" s="16"/>
      <c r="J2655" s="16"/>
      <c r="K2655" s="16"/>
      <c r="L2655" s="18"/>
    </row>
    <row r="2656" customFormat="false" ht="15" hidden="false" customHeight="false" outlineLevel="0" collapsed="false">
      <c r="A2656" s="18"/>
      <c r="B2656" s="16"/>
      <c r="C2656" s="16"/>
      <c r="D2656" s="51" t="str">
        <f aca="false">IF(C2656="","",IFERROR(IF(LEFT(C2656,1)="L",INDEX('Leads Pipeline'!$F$5:$F$1004,MATCH(C2656,'Leads Pipeline'!$A$5:$A$1004,0)),INDEX('Active Clients'!$D$5:$D$504,MATCH(C2656,'Active Clients'!$A$5:$A$504,0)))&amp;"","ID not found"))</f>
        <v/>
      </c>
      <c r="E2656" s="51" t="str">
        <f aca="false">IF(C2656="","",IFERROR(IF(LEFT(C2656,1)="L",INDEX('Leads Pipeline'!$D$5:$D$1004,MATCH(C2656,'Leads Pipeline'!$A$5:$A$1004,0)),INDEX('Active Clients'!$B$5:$B$504,MATCH(C2656,'Active Clients'!$A$5:$A$504,0)))&amp;"","ID not found"))</f>
        <v/>
      </c>
      <c r="F2656" s="51" t="str">
        <f aca="false">IF(C2656="","",IFERROR(IF(LEFT(C2656,1)="L",INDEX('Leads Pipeline'!$E$5:$E$1004,MATCH(C2656,'Leads Pipeline'!$A$5:$A$1004,0)),INDEX('Active Clients'!$C$5:$C$504,MATCH(C2656,'Active Clients'!$A$5:$A$504,0)))&amp;"","ID not found"))</f>
        <v/>
      </c>
      <c r="G2656" s="16"/>
      <c r="H2656" s="16"/>
      <c r="I2656" s="16"/>
      <c r="J2656" s="16"/>
      <c r="K2656" s="16"/>
      <c r="L2656" s="18"/>
    </row>
    <row r="2657" customFormat="false" ht="15" hidden="false" customHeight="false" outlineLevel="0" collapsed="false">
      <c r="A2657" s="18"/>
      <c r="B2657" s="16"/>
      <c r="C2657" s="16"/>
      <c r="D2657" s="51" t="str">
        <f aca="false">IF(C2657="","",IFERROR(IF(LEFT(C2657,1)="L",INDEX('Leads Pipeline'!$F$5:$F$1004,MATCH(C2657,'Leads Pipeline'!$A$5:$A$1004,0)),INDEX('Active Clients'!$D$5:$D$504,MATCH(C2657,'Active Clients'!$A$5:$A$504,0)))&amp;"","ID not found"))</f>
        <v/>
      </c>
      <c r="E2657" s="51" t="str">
        <f aca="false">IF(C2657="","",IFERROR(IF(LEFT(C2657,1)="L",INDEX('Leads Pipeline'!$D$5:$D$1004,MATCH(C2657,'Leads Pipeline'!$A$5:$A$1004,0)),INDEX('Active Clients'!$B$5:$B$504,MATCH(C2657,'Active Clients'!$A$5:$A$504,0)))&amp;"","ID not found"))</f>
        <v/>
      </c>
      <c r="F2657" s="51" t="str">
        <f aca="false">IF(C2657="","",IFERROR(IF(LEFT(C2657,1)="L",INDEX('Leads Pipeline'!$E$5:$E$1004,MATCH(C2657,'Leads Pipeline'!$A$5:$A$1004,0)),INDEX('Active Clients'!$C$5:$C$504,MATCH(C2657,'Active Clients'!$A$5:$A$504,0)))&amp;"","ID not found"))</f>
        <v/>
      </c>
      <c r="G2657" s="16"/>
      <c r="H2657" s="16"/>
      <c r="I2657" s="16"/>
      <c r="J2657" s="16"/>
      <c r="K2657" s="16"/>
      <c r="L2657" s="18"/>
    </row>
    <row r="2658" customFormat="false" ht="15" hidden="false" customHeight="false" outlineLevel="0" collapsed="false">
      <c r="A2658" s="18"/>
      <c r="B2658" s="16"/>
      <c r="C2658" s="16"/>
      <c r="D2658" s="51" t="str">
        <f aca="false">IF(C2658="","",IFERROR(IF(LEFT(C2658,1)="L",INDEX('Leads Pipeline'!$F$5:$F$1004,MATCH(C2658,'Leads Pipeline'!$A$5:$A$1004,0)),INDEX('Active Clients'!$D$5:$D$504,MATCH(C2658,'Active Clients'!$A$5:$A$504,0)))&amp;"","ID not found"))</f>
        <v/>
      </c>
      <c r="E2658" s="51" t="str">
        <f aca="false">IF(C2658="","",IFERROR(IF(LEFT(C2658,1)="L",INDEX('Leads Pipeline'!$D$5:$D$1004,MATCH(C2658,'Leads Pipeline'!$A$5:$A$1004,0)),INDEX('Active Clients'!$B$5:$B$504,MATCH(C2658,'Active Clients'!$A$5:$A$504,0)))&amp;"","ID not found"))</f>
        <v/>
      </c>
      <c r="F2658" s="51" t="str">
        <f aca="false">IF(C2658="","",IFERROR(IF(LEFT(C2658,1)="L",INDEX('Leads Pipeline'!$E$5:$E$1004,MATCH(C2658,'Leads Pipeline'!$A$5:$A$1004,0)),INDEX('Active Clients'!$C$5:$C$504,MATCH(C2658,'Active Clients'!$A$5:$A$504,0)))&amp;"","ID not found"))</f>
        <v/>
      </c>
      <c r="G2658" s="16"/>
      <c r="H2658" s="16"/>
      <c r="I2658" s="16"/>
      <c r="J2658" s="16"/>
      <c r="K2658" s="16"/>
      <c r="L2658" s="18"/>
    </row>
    <row r="2659" customFormat="false" ht="15" hidden="false" customHeight="false" outlineLevel="0" collapsed="false">
      <c r="A2659" s="18"/>
      <c r="B2659" s="16"/>
      <c r="C2659" s="16"/>
      <c r="D2659" s="51" t="str">
        <f aca="false">IF(C2659="","",IFERROR(IF(LEFT(C2659,1)="L",INDEX('Leads Pipeline'!$F$5:$F$1004,MATCH(C2659,'Leads Pipeline'!$A$5:$A$1004,0)),INDEX('Active Clients'!$D$5:$D$504,MATCH(C2659,'Active Clients'!$A$5:$A$504,0)))&amp;"","ID not found"))</f>
        <v/>
      </c>
      <c r="E2659" s="51" t="str">
        <f aca="false">IF(C2659="","",IFERROR(IF(LEFT(C2659,1)="L",INDEX('Leads Pipeline'!$D$5:$D$1004,MATCH(C2659,'Leads Pipeline'!$A$5:$A$1004,0)),INDEX('Active Clients'!$B$5:$B$504,MATCH(C2659,'Active Clients'!$A$5:$A$504,0)))&amp;"","ID not found"))</f>
        <v/>
      </c>
      <c r="F2659" s="51" t="str">
        <f aca="false">IF(C2659="","",IFERROR(IF(LEFT(C2659,1)="L",INDEX('Leads Pipeline'!$E$5:$E$1004,MATCH(C2659,'Leads Pipeline'!$A$5:$A$1004,0)),INDEX('Active Clients'!$C$5:$C$504,MATCH(C2659,'Active Clients'!$A$5:$A$504,0)))&amp;"","ID not found"))</f>
        <v/>
      </c>
      <c r="G2659" s="16"/>
      <c r="H2659" s="16"/>
      <c r="I2659" s="16"/>
      <c r="J2659" s="16"/>
      <c r="K2659" s="16"/>
      <c r="L2659" s="18"/>
    </row>
    <row r="2660" customFormat="false" ht="15" hidden="false" customHeight="false" outlineLevel="0" collapsed="false">
      <c r="A2660" s="18"/>
      <c r="B2660" s="16"/>
      <c r="C2660" s="16"/>
      <c r="D2660" s="51" t="str">
        <f aca="false">IF(C2660="","",IFERROR(IF(LEFT(C2660,1)="L",INDEX('Leads Pipeline'!$F$5:$F$1004,MATCH(C2660,'Leads Pipeline'!$A$5:$A$1004,0)),INDEX('Active Clients'!$D$5:$D$504,MATCH(C2660,'Active Clients'!$A$5:$A$504,0)))&amp;"","ID not found"))</f>
        <v/>
      </c>
      <c r="E2660" s="51" t="str">
        <f aca="false">IF(C2660="","",IFERROR(IF(LEFT(C2660,1)="L",INDEX('Leads Pipeline'!$D$5:$D$1004,MATCH(C2660,'Leads Pipeline'!$A$5:$A$1004,0)),INDEX('Active Clients'!$B$5:$B$504,MATCH(C2660,'Active Clients'!$A$5:$A$504,0)))&amp;"","ID not found"))</f>
        <v/>
      </c>
      <c r="F2660" s="51" t="str">
        <f aca="false">IF(C2660="","",IFERROR(IF(LEFT(C2660,1)="L",INDEX('Leads Pipeline'!$E$5:$E$1004,MATCH(C2660,'Leads Pipeline'!$A$5:$A$1004,0)),INDEX('Active Clients'!$C$5:$C$504,MATCH(C2660,'Active Clients'!$A$5:$A$504,0)))&amp;"","ID not found"))</f>
        <v/>
      </c>
      <c r="G2660" s="16"/>
      <c r="H2660" s="16"/>
      <c r="I2660" s="16"/>
      <c r="J2660" s="16"/>
      <c r="K2660" s="16"/>
      <c r="L2660" s="18"/>
    </row>
    <row r="2661" customFormat="false" ht="15" hidden="false" customHeight="false" outlineLevel="0" collapsed="false">
      <c r="A2661" s="18"/>
      <c r="B2661" s="16"/>
      <c r="C2661" s="16"/>
      <c r="D2661" s="51" t="str">
        <f aca="false">IF(C2661="","",IFERROR(IF(LEFT(C2661,1)="L",INDEX('Leads Pipeline'!$F$5:$F$1004,MATCH(C2661,'Leads Pipeline'!$A$5:$A$1004,0)),INDEX('Active Clients'!$D$5:$D$504,MATCH(C2661,'Active Clients'!$A$5:$A$504,0)))&amp;"","ID not found"))</f>
        <v/>
      </c>
      <c r="E2661" s="51" t="str">
        <f aca="false">IF(C2661="","",IFERROR(IF(LEFT(C2661,1)="L",INDEX('Leads Pipeline'!$D$5:$D$1004,MATCH(C2661,'Leads Pipeline'!$A$5:$A$1004,0)),INDEX('Active Clients'!$B$5:$B$504,MATCH(C2661,'Active Clients'!$A$5:$A$504,0)))&amp;"","ID not found"))</f>
        <v/>
      </c>
      <c r="F2661" s="51" t="str">
        <f aca="false">IF(C2661="","",IFERROR(IF(LEFT(C2661,1)="L",INDEX('Leads Pipeline'!$E$5:$E$1004,MATCH(C2661,'Leads Pipeline'!$A$5:$A$1004,0)),INDEX('Active Clients'!$C$5:$C$504,MATCH(C2661,'Active Clients'!$A$5:$A$504,0)))&amp;"","ID not found"))</f>
        <v/>
      </c>
      <c r="G2661" s="16"/>
      <c r="H2661" s="16"/>
      <c r="I2661" s="16"/>
      <c r="J2661" s="16"/>
      <c r="K2661" s="16"/>
      <c r="L2661" s="18"/>
    </row>
    <row r="2662" customFormat="false" ht="15" hidden="false" customHeight="false" outlineLevel="0" collapsed="false">
      <c r="A2662" s="18"/>
      <c r="B2662" s="16"/>
      <c r="C2662" s="16"/>
      <c r="D2662" s="51" t="str">
        <f aca="false">IF(C2662="","",IFERROR(IF(LEFT(C2662,1)="L",INDEX('Leads Pipeline'!$F$5:$F$1004,MATCH(C2662,'Leads Pipeline'!$A$5:$A$1004,0)),INDEX('Active Clients'!$D$5:$D$504,MATCH(C2662,'Active Clients'!$A$5:$A$504,0)))&amp;"","ID not found"))</f>
        <v/>
      </c>
      <c r="E2662" s="51" t="str">
        <f aca="false">IF(C2662="","",IFERROR(IF(LEFT(C2662,1)="L",INDEX('Leads Pipeline'!$D$5:$D$1004,MATCH(C2662,'Leads Pipeline'!$A$5:$A$1004,0)),INDEX('Active Clients'!$B$5:$B$504,MATCH(C2662,'Active Clients'!$A$5:$A$504,0)))&amp;"","ID not found"))</f>
        <v/>
      </c>
      <c r="F2662" s="51" t="str">
        <f aca="false">IF(C2662="","",IFERROR(IF(LEFT(C2662,1)="L",INDEX('Leads Pipeline'!$E$5:$E$1004,MATCH(C2662,'Leads Pipeline'!$A$5:$A$1004,0)),INDEX('Active Clients'!$C$5:$C$504,MATCH(C2662,'Active Clients'!$A$5:$A$504,0)))&amp;"","ID not found"))</f>
        <v/>
      </c>
      <c r="G2662" s="16"/>
      <c r="H2662" s="16"/>
      <c r="I2662" s="16"/>
      <c r="J2662" s="16"/>
      <c r="K2662" s="16"/>
      <c r="L2662" s="18"/>
    </row>
    <row r="2663" customFormat="false" ht="15" hidden="false" customHeight="false" outlineLevel="0" collapsed="false">
      <c r="A2663" s="18"/>
      <c r="B2663" s="16"/>
      <c r="C2663" s="16"/>
      <c r="D2663" s="51" t="str">
        <f aca="false">IF(C2663="","",IFERROR(IF(LEFT(C2663,1)="L",INDEX('Leads Pipeline'!$F$5:$F$1004,MATCH(C2663,'Leads Pipeline'!$A$5:$A$1004,0)),INDEX('Active Clients'!$D$5:$D$504,MATCH(C2663,'Active Clients'!$A$5:$A$504,0)))&amp;"","ID not found"))</f>
        <v/>
      </c>
      <c r="E2663" s="51" t="str">
        <f aca="false">IF(C2663="","",IFERROR(IF(LEFT(C2663,1)="L",INDEX('Leads Pipeline'!$D$5:$D$1004,MATCH(C2663,'Leads Pipeline'!$A$5:$A$1004,0)),INDEX('Active Clients'!$B$5:$B$504,MATCH(C2663,'Active Clients'!$A$5:$A$504,0)))&amp;"","ID not found"))</f>
        <v/>
      </c>
      <c r="F2663" s="51" t="str">
        <f aca="false">IF(C2663="","",IFERROR(IF(LEFT(C2663,1)="L",INDEX('Leads Pipeline'!$E$5:$E$1004,MATCH(C2663,'Leads Pipeline'!$A$5:$A$1004,0)),INDEX('Active Clients'!$C$5:$C$504,MATCH(C2663,'Active Clients'!$A$5:$A$504,0)))&amp;"","ID not found"))</f>
        <v/>
      </c>
      <c r="G2663" s="16"/>
      <c r="H2663" s="16"/>
      <c r="I2663" s="16"/>
      <c r="J2663" s="16"/>
      <c r="K2663" s="16"/>
      <c r="L2663" s="18"/>
    </row>
    <row r="2664" customFormat="false" ht="15" hidden="false" customHeight="false" outlineLevel="0" collapsed="false">
      <c r="A2664" s="18"/>
      <c r="B2664" s="16"/>
      <c r="C2664" s="16"/>
      <c r="D2664" s="51" t="str">
        <f aca="false">IF(C2664="","",IFERROR(IF(LEFT(C2664,1)="L",INDEX('Leads Pipeline'!$F$5:$F$1004,MATCH(C2664,'Leads Pipeline'!$A$5:$A$1004,0)),INDEX('Active Clients'!$D$5:$D$504,MATCH(C2664,'Active Clients'!$A$5:$A$504,0)))&amp;"","ID not found"))</f>
        <v/>
      </c>
      <c r="E2664" s="51" t="str">
        <f aca="false">IF(C2664="","",IFERROR(IF(LEFT(C2664,1)="L",INDEX('Leads Pipeline'!$D$5:$D$1004,MATCH(C2664,'Leads Pipeline'!$A$5:$A$1004,0)),INDEX('Active Clients'!$B$5:$B$504,MATCH(C2664,'Active Clients'!$A$5:$A$504,0)))&amp;"","ID not found"))</f>
        <v/>
      </c>
      <c r="F2664" s="51" t="str">
        <f aca="false">IF(C2664="","",IFERROR(IF(LEFT(C2664,1)="L",INDEX('Leads Pipeline'!$E$5:$E$1004,MATCH(C2664,'Leads Pipeline'!$A$5:$A$1004,0)),INDEX('Active Clients'!$C$5:$C$504,MATCH(C2664,'Active Clients'!$A$5:$A$504,0)))&amp;"","ID not found"))</f>
        <v/>
      </c>
      <c r="G2664" s="16"/>
      <c r="H2664" s="16"/>
      <c r="I2664" s="16"/>
      <c r="J2664" s="16"/>
      <c r="K2664" s="16"/>
      <c r="L2664" s="18"/>
    </row>
    <row r="2665" customFormat="false" ht="15" hidden="false" customHeight="false" outlineLevel="0" collapsed="false">
      <c r="A2665" s="18"/>
      <c r="B2665" s="16"/>
      <c r="C2665" s="16"/>
      <c r="D2665" s="51" t="str">
        <f aca="false">IF(C2665="","",IFERROR(IF(LEFT(C2665,1)="L",INDEX('Leads Pipeline'!$F$5:$F$1004,MATCH(C2665,'Leads Pipeline'!$A$5:$A$1004,0)),INDEX('Active Clients'!$D$5:$D$504,MATCH(C2665,'Active Clients'!$A$5:$A$504,0)))&amp;"","ID not found"))</f>
        <v/>
      </c>
      <c r="E2665" s="51" t="str">
        <f aca="false">IF(C2665="","",IFERROR(IF(LEFT(C2665,1)="L",INDEX('Leads Pipeline'!$D$5:$D$1004,MATCH(C2665,'Leads Pipeline'!$A$5:$A$1004,0)),INDEX('Active Clients'!$B$5:$B$504,MATCH(C2665,'Active Clients'!$A$5:$A$504,0)))&amp;"","ID not found"))</f>
        <v/>
      </c>
      <c r="F2665" s="51" t="str">
        <f aca="false">IF(C2665="","",IFERROR(IF(LEFT(C2665,1)="L",INDEX('Leads Pipeline'!$E$5:$E$1004,MATCH(C2665,'Leads Pipeline'!$A$5:$A$1004,0)),INDEX('Active Clients'!$C$5:$C$504,MATCH(C2665,'Active Clients'!$A$5:$A$504,0)))&amp;"","ID not found"))</f>
        <v/>
      </c>
      <c r="G2665" s="16"/>
      <c r="H2665" s="16"/>
      <c r="I2665" s="16"/>
      <c r="J2665" s="16"/>
      <c r="K2665" s="16"/>
      <c r="L2665" s="18"/>
    </row>
    <row r="2666" customFormat="false" ht="15" hidden="false" customHeight="false" outlineLevel="0" collapsed="false">
      <c r="A2666" s="18"/>
      <c r="B2666" s="16"/>
      <c r="C2666" s="16"/>
      <c r="D2666" s="51" t="str">
        <f aca="false">IF(C2666="","",IFERROR(IF(LEFT(C2666,1)="L",INDEX('Leads Pipeline'!$F$5:$F$1004,MATCH(C2666,'Leads Pipeline'!$A$5:$A$1004,0)),INDEX('Active Clients'!$D$5:$D$504,MATCH(C2666,'Active Clients'!$A$5:$A$504,0)))&amp;"","ID not found"))</f>
        <v/>
      </c>
      <c r="E2666" s="51" t="str">
        <f aca="false">IF(C2666="","",IFERROR(IF(LEFT(C2666,1)="L",INDEX('Leads Pipeline'!$D$5:$D$1004,MATCH(C2666,'Leads Pipeline'!$A$5:$A$1004,0)),INDEX('Active Clients'!$B$5:$B$504,MATCH(C2666,'Active Clients'!$A$5:$A$504,0)))&amp;"","ID not found"))</f>
        <v/>
      </c>
      <c r="F2666" s="51" t="str">
        <f aca="false">IF(C2666="","",IFERROR(IF(LEFT(C2666,1)="L",INDEX('Leads Pipeline'!$E$5:$E$1004,MATCH(C2666,'Leads Pipeline'!$A$5:$A$1004,0)),INDEX('Active Clients'!$C$5:$C$504,MATCH(C2666,'Active Clients'!$A$5:$A$504,0)))&amp;"","ID not found"))</f>
        <v/>
      </c>
      <c r="G2666" s="16"/>
      <c r="H2666" s="16"/>
      <c r="I2666" s="16"/>
      <c r="J2666" s="16"/>
      <c r="K2666" s="16"/>
      <c r="L2666" s="18"/>
    </row>
    <row r="2667" customFormat="false" ht="15" hidden="false" customHeight="false" outlineLevel="0" collapsed="false">
      <c r="A2667" s="18"/>
      <c r="B2667" s="16"/>
      <c r="C2667" s="16"/>
      <c r="D2667" s="51" t="str">
        <f aca="false">IF(C2667="","",IFERROR(IF(LEFT(C2667,1)="L",INDEX('Leads Pipeline'!$F$5:$F$1004,MATCH(C2667,'Leads Pipeline'!$A$5:$A$1004,0)),INDEX('Active Clients'!$D$5:$D$504,MATCH(C2667,'Active Clients'!$A$5:$A$504,0)))&amp;"","ID not found"))</f>
        <v/>
      </c>
      <c r="E2667" s="51" t="str">
        <f aca="false">IF(C2667="","",IFERROR(IF(LEFT(C2667,1)="L",INDEX('Leads Pipeline'!$D$5:$D$1004,MATCH(C2667,'Leads Pipeline'!$A$5:$A$1004,0)),INDEX('Active Clients'!$B$5:$B$504,MATCH(C2667,'Active Clients'!$A$5:$A$504,0)))&amp;"","ID not found"))</f>
        <v/>
      </c>
      <c r="F2667" s="51" t="str">
        <f aca="false">IF(C2667="","",IFERROR(IF(LEFT(C2667,1)="L",INDEX('Leads Pipeline'!$E$5:$E$1004,MATCH(C2667,'Leads Pipeline'!$A$5:$A$1004,0)),INDEX('Active Clients'!$C$5:$C$504,MATCH(C2667,'Active Clients'!$A$5:$A$504,0)))&amp;"","ID not found"))</f>
        <v/>
      </c>
      <c r="G2667" s="16"/>
      <c r="H2667" s="16"/>
      <c r="I2667" s="16"/>
      <c r="J2667" s="16"/>
      <c r="K2667" s="16"/>
      <c r="L2667" s="18"/>
    </row>
    <row r="2668" customFormat="false" ht="15" hidden="false" customHeight="false" outlineLevel="0" collapsed="false">
      <c r="A2668" s="18"/>
      <c r="B2668" s="16"/>
      <c r="C2668" s="16"/>
      <c r="D2668" s="51" t="str">
        <f aca="false">IF(C2668="","",IFERROR(IF(LEFT(C2668,1)="L",INDEX('Leads Pipeline'!$F$5:$F$1004,MATCH(C2668,'Leads Pipeline'!$A$5:$A$1004,0)),INDEX('Active Clients'!$D$5:$D$504,MATCH(C2668,'Active Clients'!$A$5:$A$504,0)))&amp;"","ID not found"))</f>
        <v/>
      </c>
      <c r="E2668" s="51" t="str">
        <f aca="false">IF(C2668="","",IFERROR(IF(LEFT(C2668,1)="L",INDEX('Leads Pipeline'!$D$5:$D$1004,MATCH(C2668,'Leads Pipeline'!$A$5:$A$1004,0)),INDEX('Active Clients'!$B$5:$B$504,MATCH(C2668,'Active Clients'!$A$5:$A$504,0)))&amp;"","ID not found"))</f>
        <v/>
      </c>
      <c r="F2668" s="51" t="str">
        <f aca="false">IF(C2668="","",IFERROR(IF(LEFT(C2668,1)="L",INDEX('Leads Pipeline'!$E$5:$E$1004,MATCH(C2668,'Leads Pipeline'!$A$5:$A$1004,0)),INDEX('Active Clients'!$C$5:$C$504,MATCH(C2668,'Active Clients'!$A$5:$A$504,0)))&amp;"","ID not found"))</f>
        <v/>
      </c>
      <c r="G2668" s="16"/>
      <c r="H2668" s="16"/>
      <c r="I2668" s="16"/>
      <c r="J2668" s="16"/>
      <c r="K2668" s="16"/>
      <c r="L2668" s="18"/>
    </row>
    <row r="2669" customFormat="false" ht="15" hidden="false" customHeight="false" outlineLevel="0" collapsed="false">
      <c r="A2669" s="18"/>
      <c r="B2669" s="16"/>
      <c r="C2669" s="16"/>
      <c r="D2669" s="51" t="str">
        <f aca="false">IF(C2669="","",IFERROR(IF(LEFT(C2669,1)="L",INDEX('Leads Pipeline'!$F$5:$F$1004,MATCH(C2669,'Leads Pipeline'!$A$5:$A$1004,0)),INDEX('Active Clients'!$D$5:$D$504,MATCH(C2669,'Active Clients'!$A$5:$A$504,0)))&amp;"","ID not found"))</f>
        <v/>
      </c>
      <c r="E2669" s="51" t="str">
        <f aca="false">IF(C2669="","",IFERROR(IF(LEFT(C2669,1)="L",INDEX('Leads Pipeline'!$D$5:$D$1004,MATCH(C2669,'Leads Pipeline'!$A$5:$A$1004,0)),INDEX('Active Clients'!$B$5:$B$504,MATCH(C2669,'Active Clients'!$A$5:$A$504,0)))&amp;"","ID not found"))</f>
        <v/>
      </c>
      <c r="F2669" s="51" t="str">
        <f aca="false">IF(C2669="","",IFERROR(IF(LEFT(C2669,1)="L",INDEX('Leads Pipeline'!$E$5:$E$1004,MATCH(C2669,'Leads Pipeline'!$A$5:$A$1004,0)),INDEX('Active Clients'!$C$5:$C$504,MATCH(C2669,'Active Clients'!$A$5:$A$504,0)))&amp;"","ID not found"))</f>
        <v/>
      </c>
      <c r="G2669" s="16"/>
      <c r="H2669" s="16"/>
      <c r="I2669" s="16"/>
      <c r="J2669" s="16"/>
      <c r="K2669" s="16"/>
      <c r="L2669" s="18"/>
    </row>
    <row r="2670" customFormat="false" ht="15" hidden="false" customHeight="false" outlineLevel="0" collapsed="false">
      <c r="A2670" s="18"/>
      <c r="B2670" s="16"/>
      <c r="C2670" s="16"/>
      <c r="D2670" s="51" t="str">
        <f aca="false">IF(C2670="","",IFERROR(IF(LEFT(C2670,1)="L",INDEX('Leads Pipeline'!$F$5:$F$1004,MATCH(C2670,'Leads Pipeline'!$A$5:$A$1004,0)),INDEX('Active Clients'!$D$5:$D$504,MATCH(C2670,'Active Clients'!$A$5:$A$504,0)))&amp;"","ID not found"))</f>
        <v/>
      </c>
      <c r="E2670" s="51" t="str">
        <f aca="false">IF(C2670="","",IFERROR(IF(LEFT(C2670,1)="L",INDEX('Leads Pipeline'!$D$5:$D$1004,MATCH(C2670,'Leads Pipeline'!$A$5:$A$1004,0)),INDEX('Active Clients'!$B$5:$B$504,MATCH(C2670,'Active Clients'!$A$5:$A$504,0)))&amp;"","ID not found"))</f>
        <v/>
      </c>
      <c r="F2670" s="51" t="str">
        <f aca="false">IF(C2670="","",IFERROR(IF(LEFT(C2670,1)="L",INDEX('Leads Pipeline'!$E$5:$E$1004,MATCH(C2670,'Leads Pipeline'!$A$5:$A$1004,0)),INDEX('Active Clients'!$C$5:$C$504,MATCH(C2670,'Active Clients'!$A$5:$A$504,0)))&amp;"","ID not found"))</f>
        <v/>
      </c>
      <c r="G2670" s="16"/>
      <c r="H2670" s="16"/>
      <c r="I2670" s="16"/>
      <c r="J2670" s="16"/>
      <c r="K2670" s="16"/>
      <c r="L2670" s="18"/>
    </row>
    <row r="2671" customFormat="false" ht="15" hidden="false" customHeight="false" outlineLevel="0" collapsed="false">
      <c r="A2671" s="18"/>
      <c r="B2671" s="16"/>
      <c r="C2671" s="16"/>
      <c r="D2671" s="51" t="str">
        <f aca="false">IF(C2671="","",IFERROR(IF(LEFT(C2671,1)="L",INDEX('Leads Pipeline'!$F$5:$F$1004,MATCH(C2671,'Leads Pipeline'!$A$5:$A$1004,0)),INDEX('Active Clients'!$D$5:$D$504,MATCH(C2671,'Active Clients'!$A$5:$A$504,0)))&amp;"","ID not found"))</f>
        <v/>
      </c>
      <c r="E2671" s="51" t="str">
        <f aca="false">IF(C2671="","",IFERROR(IF(LEFT(C2671,1)="L",INDEX('Leads Pipeline'!$D$5:$D$1004,MATCH(C2671,'Leads Pipeline'!$A$5:$A$1004,0)),INDEX('Active Clients'!$B$5:$B$504,MATCH(C2671,'Active Clients'!$A$5:$A$504,0)))&amp;"","ID not found"))</f>
        <v/>
      </c>
      <c r="F2671" s="51" t="str">
        <f aca="false">IF(C2671="","",IFERROR(IF(LEFT(C2671,1)="L",INDEX('Leads Pipeline'!$E$5:$E$1004,MATCH(C2671,'Leads Pipeline'!$A$5:$A$1004,0)),INDEX('Active Clients'!$C$5:$C$504,MATCH(C2671,'Active Clients'!$A$5:$A$504,0)))&amp;"","ID not found"))</f>
        <v/>
      </c>
      <c r="G2671" s="16"/>
      <c r="H2671" s="16"/>
      <c r="I2671" s="16"/>
      <c r="J2671" s="16"/>
      <c r="K2671" s="16"/>
      <c r="L2671" s="18"/>
    </row>
    <row r="2672" customFormat="false" ht="15" hidden="false" customHeight="false" outlineLevel="0" collapsed="false">
      <c r="A2672" s="18"/>
      <c r="B2672" s="16"/>
      <c r="C2672" s="16"/>
      <c r="D2672" s="51" t="str">
        <f aca="false">IF(C2672="","",IFERROR(IF(LEFT(C2672,1)="L",INDEX('Leads Pipeline'!$F$5:$F$1004,MATCH(C2672,'Leads Pipeline'!$A$5:$A$1004,0)),INDEX('Active Clients'!$D$5:$D$504,MATCH(C2672,'Active Clients'!$A$5:$A$504,0)))&amp;"","ID not found"))</f>
        <v/>
      </c>
      <c r="E2672" s="51" t="str">
        <f aca="false">IF(C2672="","",IFERROR(IF(LEFT(C2672,1)="L",INDEX('Leads Pipeline'!$D$5:$D$1004,MATCH(C2672,'Leads Pipeline'!$A$5:$A$1004,0)),INDEX('Active Clients'!$B$5:$B$504,MATCH(C2672,'Active Clients'!$A$5:$A$504,0)))&amp;"","ID not found"))</f>
        <v/>
      </c>
      <c r="F2672" s="51" t="str">
        <f aca="false">IF(C2672="","",IFERROR(IF(LEFT(C2672,1)="L",INDEX('Leads Pipeline'!$E$5:$E$1004,MATCH(C2672,'Leads Pipeline'!$A$5:$A$1004,0)),INDEX('Active Clients'!$C$5:$C$504,MATCH(C2672,'Active Clients'!$A$5:$A$504,0)))&amp;"","ID not found"))</f>
        <v/>
      </c>
      <c r="G2672" s="16"/>
      <c r="H2672" s="16"/>
      <c r="I2672" s="16"/>
      <c r="J2672" s="16"/>
      <c r="K2672" s="16"/>
      <c r="L2672" s="18"/>
    </row>
    <row r="2673" customFormat="false" ht="15" hidden="false" customHeight="false" outlineLevel="0" collapsed="false">
      <c r="A2673" s="18"/>
      <c r="B2673" s="16"/>
      <c r="C2673" s="16"/>
      <c r="D2673" s="51" t="str">
        <f aca="false">IF(C2673="","",IFERROR(IF(LEFT(C2673,1)="L",INDEX('Leads Pipeline'!$F$5:$F$1004,MATCH(C2673,'Leads Pipeline'!$A$5:$A$1004,0)),INDEX('Active Clients'!$D$5:$D$504,MATCH(C2673,'Active Clients'!$A$5:$A$504,0)))&amp;"","ID not found"))</f>
        <v/>
      </c>
      <c r="E2673" s="51" t="str">
        <f aca="false">IF(C2673="","",IFERROR(IF(LEFT(C2673,1)="L",INDEX('Leads Pipeline'!$D$5:$D$1004,MATCH(C2673,'Leads Pipeline'!$A$5:$A$1004,0)),INDEX('Active Clients'!$B$5:$B$504,MATCH(C2673,'Active Clients'!$A$5:$A$504,0)))&amp;"","ID not found"))</f>
        <v/>
      </c>
      <c r="F2673" s="51" t="str">
        <f aca="false">IF(C2673="","",IFERROR(IF(LEFT(C2673,1)="L",INDEX('Leads Pipeline'!$E$5:$E$1004,MATCH(C2673,'Leads Pipeline'!$A$5:$A$1004,0)),INDEX('Active Clients'!$C$5:$C$504,MATCH(C2673,'Active Clients'!$A$5:$A$504,0)))&amp;"","ID not found"))</f>
        <v/>
      </c>
      <c r="G2673" s="16"/>
      <c r="H2673" s="16"/>
      <c r="I2673" s="16"/>
      <c r="J2673" s="16"/>
      <c r="K2673" s="16"/>
      <c r="L2673" s="18"/>
    </row>
    <row r="2674" customFormat="false" ht="15" hidden="false" customHeight="false" outlineLevel="0" collapsed="false">
      <c r="A2674" s="18"/>
      <c r="B2674" s="16"/>
      <c r="C2674" s="16"/>
      <c r="D2674" s="51" t="str">
        <f aca="false">IF(C2674="","",IFERROR(IF(LEFT(C2674,1)="L",INDEX('Leads Pipeline'!$F$5:$F$1004,MATCH(C2674,'Leads Pipeline'!$A$5:$A$1004,0)),INDEX('Active Clients'!$D$5:$D$504,MATCH(C2674,'Active Clients'!$A$5:$A$504,0)))&amp;"","ID not found"))</f>
        <v/>
      </c>
      <c r="E2674" s="51" t="str">
        <f aca="false">IF(C2674="","",IFERROR(IF(LEFT(C2674,1)="L",INDEX('Leads Pipeline'!$D$5:$D$1004,MATCH(C2674,'Leads Pipeline'!$A$5:$A$1004,0)),INDEX('Active Clients'!$B$5:$B$504,MATCH(C2674,'Active Clients'!$A$5:$A$504,0)))&amp;"","ID not found"))</f>
        <v/>
      </c>
      <c r="F2674" s="51" t="str">
        <f aca="false">IF(C2674="","",IFERROR(IF(LEFT(C2674,1)="L",INDEX('Leads Pipeline'!$E$5:$E$1004,MATCH(C2674,'Leads Pipeline'!$A$5:$A$1004,0)),INDEX('Active Clients'!$C$5:$C$504,MATCH(C2674,'Active Clients'!$A$5:$A$504,0)))&amp;"","ID not found"))</f>
        <v/>
      </c>
      <c r="G2674" s="16"/>
      <c r="H2674" s="16"/>
      <c r="I2674" s="16"/>
      <c r="J2674" s="16"/>
      <c r="K2674" s="16"/>
      <c r="L2674" s="18"/>
    </row>
    <row r="2675" customFormat="false" ht="15" hidden="false" customHeight="false" outlineLevel="0" collapsed="false">
      <c r="A2675" s="18"/>
      <c r="B2675" s="16"/>
      <c r="C2675" s="16"/>
      <c r="D2675" s="51" t="str">
        <f aca="false">IF(C2675="","",IFERROR(IF(LEFT(C2675,1)="L",INDEX('Leads Pipeline'!$F$5:$F$1004,MATCH(C2675,'Leads Pipeline'!$A$5:$A$1004,0)),INDEX('Active Clients'!$D$5:$D$504,MATCH(C2675,'Active Clients'!$A$5:$A$504,0)))&amp;"","ID not found"))</f>
        <v/>
      </c>
      <c r="E2675" s="51" t="str">
        <f aca="false">IF(C2675="","",IFERROR(IF(LEFT(C2675,1)="L",INDEX('Leads Pipeline'!$D$5:$D$1004,MATCH(C2675,'Leads Pipeline'!$A$5:$A$1004,0)),INDEX('Active Clients'!$B$5:$B$504,MATCH(C2675,'Active Clients'!$A$5:$A$504,0)))&amp;"","ID not found"))</f>
        <v/>
      </c>
      <c r="F2675" s="51" t="str">
        <f aca="false">IF(C2675="","",IFERROR(IF(LEFT(C2675,1)="L",INDEX('Leads Pipeline'!$E$5:$E$1004,MATCH(C2675,'Leads Pipeline'!$A$5:$A$1004,0)),INDEX('Active Clients'!$C$5:$C$504,MATCH(C2675,'Active Clients'!$A$5:$A$504,0)))&amp;"","ID not found"))</f>
        <v/>
      </c>
      <c r="G2675" s="16"/>
      <c r="H2675" s="16"/>
      <c r="I2675" s="16"/>
      <c r="J2675" s="16"/>
      <c r="K2675" s="16"/>
      <c r="L2675" s="18"/>
    </row>
    <row r="2676" customFormat="false" ht="15" hidden="false" customHeight="false" outlineLevel="0" collapsed="false">
      <c r="A2676" s="18"/>
      <c r="B2676" s="16"/>
      <c r="C2676" s="16"/>
      <c r="D2676" s="51" t="str">
        <f aca="false">IF(C2676="","",IFERROR(IF(LEFT(C2676,1)="L",INDEX('Leads Pipeline'!$F$5:$F$1004,MATCH(C2676,'Leads Pipeline'!$A$5:$A$1004,0)),INDEX('Active Clients'!$D$5:$D$504,MATCH(C2676,'Active Clients'!$A$5:$A$504,0)))&amp;"","ID not found"))</f>
        <v/>
      </c>
      <c r="E2676" s="51" t="str">
        <f aca="false">IF(C2676="","",IFERROR(IF(LEFT(C2676,1)="L",INDEX('Leads Pipeline'!$D$5:$D$1004,MATCH(C2676,'Leads Pipeline'!$A$5:$A$1004,0)),INDEX('Active Clients'!$B$5:$B$504,MATCH(C2676,'Active Clients'!$A$5:$A$504,0)))&amp;"","ID not found"))</f>
        <v/>
      </c>
      <c r="F2676" s="51" t="str">
        <f aca="false">IF(C2676="","",IFERROR(IF(LEFT(C2676,1)="L",INDEX('Leads Pipeline'!$E$5:$E$1004,MATCH(C2676,'Leads Pipeline'!$A$5:$A$1004,0)),INDEX('Active Clients'!$C$5:$C$504,MATCH(C2676,'Active Clients'!$A$5:$A$504,0)))&amp;"","ID not found"))</f>
        <v/>
      </c>
      <c r="G2676" s="16"/>
      <c r="H2676" s="16"/>
      <c r="I2676" s="16"/>
      <c r="J2676" s="16"/>
      <c r="K2676" s="16"/>
      <c r="L2676" s="18"/>
    </row>
    <row r="2677" customFormat="false" ht="15" hidden="false" customHeight="false" outlineLevel="0" collapsed="false">
      <c r="A2677" s="18"/>
      <c r="B2677" s="16"/>
      <c r="C2677" s="16"/>
      <c r="D2677" s="51" t="str">
        <f aca="false">IF(C2677="","",IFERROR(IF(LEFT(C2677,1)="L",INDEX('Leads Pipeline'!$F$5:$F$1004,MATCH(C2677,'Leads Pipeline'!$A$5:$A$1004,0)),INDEX('Active Clients'!$D$5:$D$504,MATCH(C2677,'Active Clients'!$A$5:$A$504,0)))&amp;"","ID not found"))</f>
        <v/>
      </c>
      <c r="E2677" s="51" t="str">
        <f aca="false">IF(C2677="","",IFERROR(IF(LEFT(C2677,1)="L",INDEX('Leads Pipeline'!$D$5:$D$1004,MATCH(C2677,'Leads Pipeline'!$A$5:$A$1004,0)),INDEX('Active Clients'!$B$5:$B$504,MATCH(C2677,'Active Clients'!$A$5:$A$504,0)))&amp;"","ID not found"))</f>
        <v/>
      </c>
      <c r="F2677" s="51" t="str">
        <f aca="false">IF(C2677="","",IFERROR(IF(LEFT(C2677,1)="L",INDEX('Leads Pipeline'!$E$5:$E$1004,MATCH(C2677,'Leads Pipeline'!$A$5:$A$1004,0)),INDEX('Active Clients'!$C$5:$C$504,MATCH(C2677,'Active Clients'!$A$5:$A$504,0)))&amp;"","ID not found"))</f>
        <v/>
      </c>
      <c r="G2677" s="16"/>
      <c r="H2677" s="16"/>
      <c r="I2677" s="16"/>
      <c r="J2677" s="16"/>
      <c r="K2677" s="16"/>
      <c r="L2677" s="18"/>
    </row>
    <row r="2678" customFormat="false" ht="15" hidden="false" customHeight="false" outlineLevel="0" collapsed="false">
      <c r="A2678" s="18"/>
      <c r="B2678" s="16"/>
      <c r="C2678" s="16"/>
      <c r="D2678" s="51" t="str">
        <f aca="false">IF(C2678="","",IFERROR(IF(LEFT(C2678,1)="L",INDEX('Leads Pipeline'!$F$5:$F$1004,MATCH(C2678,'Leads Pipeline'!$A$5:$A$1004,0)),INDEX('Active Clients'!$D$5:$D$504,MATCH(C2678,'Active Clients'!$A$5:$A$504,0)))&amp;"","ID not found"))</f>
        <v/>
      </c>
      <c r="E2678" s="51" t="str">
        <f aca="false">IF(C2678="","",IFERROR(IF(LEFT(C2678,1)="L",INDEX('Leads Pipeline'!$D$5:$D$1004,MATCH(C2678,'Leads Pipeline'!$A$5:$A$1004,0)),INDEX('Active Clients'!$B$5:$B$504,MATCH(C2678,'Active Clients'!$A$5:$A$504,0)))&amp;"","ID not found"))</f>
        <v/>
      </c>
      <c r="F2678" s="51" t="str">
        <f aca="false">IF(C2678="","",IFERROR(IF(LEFT(C2678,1)="L",INDEX('Leads Pipeline'!$E$5:$E$1004,MATCH(C2678,'Leads Pipeline'!$A$5:$A$1004,0)),INDEX('Active Clients'!$C$5:$C$504,MATCH(C2678,'Active Clients'!$A$5:$A$504,0)))&amp;"","ID not found"))</f>
        <v/>
      </c>
      <c r="G2678" s="16"/>
      <c r="H2678" s="16"/>
      <c r="I2678" s="16"/>
      <c r="J2678" s="16"/>
      <c r="K2678" s="16"/>
      <c r="L2678" s="18"/>
    </row>
    <row r="2679" customFormat="false" ht="15" hidden="false" customHeight="false" outlineLevel="0" collapsed="false">
      <c r="A2679" s="18"/>
      <c r="B2679" s="16"/>
      <c r="C2679" s="16"/>
      <c r="D2679" s="51" t="str">
        <f aca="false">IF(C2679="","",IFERROR(IF(LEFT(C2679,1)="L",INDEX('Leads Pipeline'!$F$5:$F$1004,MATCH(C2679,'Leads Pipeline'!$A$5:$A$1004,0)),INDEX('Active Clients'!$D$5:$D$504,MATCH(C2679,'Active Clients'!$A$5:$A$504,0)))&amp;"","ID not found"))</f>
        <v/>
      </c>
      <c r="E2679" s="51" t="str">
        <f aca="false">IF(C2679="","",IFERROR(IF(LEFT(C2679,1)="L",INDEX('Leads Pipeline'!$D$5:$D$1004,MATCH(C2679,'Leads Pipeline'!$A$5:$A$1004,0)),INDEX('Active Clients'!$B$5:$B$504,MATCH(C2679,'Active Clients'!$A$5:$A$504,0)))&amp;"","ID not found"))</f>
        <v/>
      </c>
      <c r="F2679" s="51" t="str">
        <f aca="false">IF(C2679="","",IFERROR(IF(LEFT(C2679,1)="L",INDEX('Leads Pipeline'!$E$5:$E$1004,MATCH(C2679,'Leads Pipeline'!$A$5:$A$1004,0)),INDEX('Active Clients'!$C$5:$C$504,MATCH(C2679,'Active Clients'!$A$5:$A$504,0)))&amp;"","ID not found"))</f>
        <v/>
      </c>
      <c r="G2679" s="16"/>
      <c r="H2679" s="16"/>
      <c r="I2679" s="16"/>
      <c r="J2679" s="16"/>
      <c r="K2679" s="16"/>
      <c r="L2679" s="18"/>
    </row>
    <row r="2680" customFormat="false" ht="15" hidden="false" customHeight="false" outlineLevel="0" collapsed="false">
      <c r="A2680" s="18"/>
      <c r="B2680" s="16"/>
      <c r="C2680" s="16"/>
      <c r="D2680" s="51" t="str">
        <f aca="false">IF(C2680="","",IFERROR(IF(LEFT(C2680,1)="L",INDEX('Leads Pipeline'!$F$5:$F$1004,MATCH(C2680,'Leads Pipeline'!$A$5:$A$1004,0)),INDEX('Active Clients'!$D$5:$D$504,MATCH(C2680,'Active Clients'!$A$5:$A$504,0)))&amp;"","ID not found"))</f>
        <v/>
      </c>
      <c r="E2680" s="51" t="str">
        <f aca="false">IF(C2680="","",IFERROR(IF(LEFT(C2680,1)="L",INDEX('Leads Pipeline'!$D$5:$D$1004,MATCH(C2680,'Leads Pipeline'!$A$5:$A$1004,0)),INDEX('Active Clients'!$B$5:$B$504,MATCH(C2680,'Active Clients'!$A$5:$A$504,0)))&amp;"","ID not found"))</f>
        <v/>
      </c>
      <c r="F2680" s="51" t="str">
        <f aca="false">IF(C2680="","",IFERROR(IF(LEFT(C2680,1)="L",INDEX('Leads Pipeline'!$E$5:$E$1004,MATCH(C2680,'Leads Pipeline'!$A$5:$A$1004,0)),INDEX('Active Clients'!$C$5:$C$504,MATCH(C2680,'Active Clients'!$A$5:$A$504,0)))&amp;"","ID not found"))</f>
        <v/>
      </c>
      <c r="G2680" s="16"/>
      <c r="H2680" s="16"/>
      <c r="I2680" s="16"/>
      <c r="J2680" s="16"/>
      <c r="K2680" s="16"/>
      <c r="L2680" s="18"/>
    </row>
    <row r="2681" customFormat="false" ht="15" hidden="false" customHeight="false" outlineLevel="0" collapsed="false">
      <c r="A2681" s="18"/>
      <c r="B2681" s="16"/>
      <c r="C2681" s="16"/>
      <c r="D2681" s="51" t="str">
        <f aca="false">IF(C2681="","",IFERROR(IF(LEFT(C2681,1)="L",INDEX('Leads Pipeline'!$F$5:$F$1004,MATCH(C2681,'Leads Pipeline'!$A$5:$A$1004,0)),INDEX('Active Clients'!$D$5:$D$504,MATCH(C2681,'Active Clients'!$A$5:$A$504,0)))&amp;"","ID not found"))</f>
        <v/>
      </c>
      <c r="E2681" s="51" t="str">
        <f aca="false">IF(C2681="","",IFERROR(IF(LEFT(C2681,1)="L",INDEX('Leads Pipeline'!$D$5:$D$1004,MATCH(C2681,'Leads Pipeline'!$A$5:$A$1004,0)),INDEX('Active Clients'!$B$5:$B$504,MATCH(C2681,'Active Clients'!$A$5:$A$504,0)))&amp;"","ID not found"))</f>
        <v/>
      </c>
      <c r="F2681" s="51" t="str">
        <f aca="false">IF(C2681="","",IFERROR(IF(LEFT(C2681,1)="L",INDEX('Leads Pipeline'!$E$5:$E$1004,MATCH(C2681,'Leads Pipeline'!$A$5:$A$1004,0)),INDEX('Active Clients'!$C$5:$C$504,MATCH(C2681,'Active Clients'!$A$5:$A$504,0)))&amp;"","ID not found"))</f>
        <v/>
      </c>
      <c r="G2681" s="16"/>
      <c r="H2681" s="16"/>
      <c r="I2681" s="16"/>
      <c r="J2681" s="16"/>
      <c r="K2681" s="16"/>
      <c r="L2681" s="18"/>
    </row>
    <row r="2682" customFormat="false" ht="15" hidden="false" customHeight="false" outlineLevel="0" collapsed="false">
      <c r="A2682" s="18"/>
      <c r="B2682" s="16"/>
      <c r="C2682" s="16"/>
      <c r="D2682" s="51" t="str">
        <f aca="false">IF(C2682="","",IFERROR(IF(LEFT(C2682,1)="L",INDEX('Leads Pipeline'!$F$5:$F$1004,MATCH(C2682,'Leads Pipeline'!$A$5:$A$1004,0)),INDEX('Active Clients'!$D$5:$D$504,MATCH(C2682,'Active Clients'!$A$5:$A$504,0)))&amp;"","ID not found"))</f>
        <v/>
      </c>
      <c r="E2682" s="51" t="str">
        <f aca="false">IF(C2682="","",IFERROR(IF(LEFT(C2682,1)="L",INDEX('Leads Pipeline'!$D$5:$D$1004,MATCH(C2682,'Leads Pipeline'!$A$5:$A$1004,0)),INDEX('Active Clients'!$B$5:$B$504,MATCH(C2682,'Active Clients'!$A$5:$A$504,0)))&amp;"","ID not found"))</f>
        <v/>
      </c>
      <c r="F2682" s="51" t="str">
        <f aca="false">IF(C2682="","",IFERROR(IF(LEFT(C2682,1)="L",INDEX('Leads Pipeline'!$E$5:$E$1004,MATCH(C2682,'Leads Pipeline'!$A$5:$A$1004,0)),INDEX('Active Clients'!$C$5:$C$504,MATCH(C2682,'Active Clients'!$A$5:$A$504,0)))&amp;"","ID not found"))</f>
        <v/>
      </c>
      <c r="G2682" s="16"/>
      <c r="H2682" s="16"/>
      <c r="I2682" s="16"/>
      <c r="J2682" s="16"/>
      <c r="K2682" s="16"/>
      <c r="L2682" s="18"/>
    </row>
    <row r="2683" customFormat="false" ht="15" hidden="false" customHeight="false" outlineLevel="0" collapsed="false">
      <c r="A2683" s="18"/>
      <c r="B2683" s="16"/>
      <c r="C2683" s="16"/>
      <c r="D2683" s="51" t="str">
        <f aca="false">IF(C2683="","",IFERROR(IF(LEFT(C2683,1)="L",INDEX('Leads Pipeline'!$F$5:$F$1004,MATCH(C2683,'Leads Pipeline'!$A$5:$A$1004,0)),INDEX('Active Clients'!$D$5:$D$504,MATCH(C2683,'Active Clients'!$A$5:$A$504,0)))&amp;"","ID not found"))</f>
        <v/>
      </c>
      <c r="E2683" s="51" t="str">
        <f aca="false">IF(C2683="","",IFERROR(IF(LEFT(C2683,1)="L",INDEX('Leads Pipeline'!$D$5:$D$1004,MATCH(C2683,'Leads Pipeline'!$A$5:$A$1004,0)),INDEX('Active Clients'!$B$5:$B$504,MATCH(C2683,'Active Clients'!$A$5:$A$504,0)))&amp;"","ID not found"))</f>
        <v/>
      </c>
      <c r="F2683" s="51" t="str">
        <f aca="false">IF(C2683="","",IFERROR(IF(LEFT(C2683,1)="L",INDEX('Leads Pipeline'!$E$5:$E$1004,MATCH(C2683,'Leads Pipeline'!$A$5:$A$1004,0)),INDEX('Active Clients'!$C$5:$C$504,MATCH(C2683,'Active Clients'!$A$5:$A$504,0)))&amp;"","ID not found"))</f>
        <v/>
      </c>
      <c r="G2683" s="16"/>
      <c r="H2683" s="16"/>
      <c r="I2683" s="16"/>
      <c r="J2683" s="16"/>
      <c r="K2683" s="16"/>
      <c r="L2683" s="18"/>
    </row>
    <row r="2684" customFormat="false" ht="15" hidden="false" customHeight="false" outlineLevel="0" collapsed="false">
      <c r="A2684" s="18"/>
      <c r="B2684" s="16"/>
      <c r="C2684" s="16"/>
      <c r="D2684" s="51" t="str">
        <f aca="false">IF(C2684="","",IFERROR(IF(LEFT(C2684,1)="L",INDEX('Leads Pipeline'!$F$5:$F$1004,MATCH(C2684,'Leads Pipeline'!$A$5:$A$1004,0)),INDEX('Active Clients'!$D$5:$D$504,MATCH(C2684,'Active Clients'!$A$5:$A$504,0)))&amp;"","ID not found"))</f>
        <v/>
      </c>
      <c r="E2684" s="51" t="str">
        <f aca="false">IF(C2684="","",IFERROR(IF(LEFT(C2684,1)="L",INDEX('Leads Pipeline'!$D$5:$D$1004,MATCH(C2684,'Leads Pipeline'!$A$5:$A$1004,0)),INDEX('Active Clients'!$B$5:$B$504,MATCH(C2684,'Active Clients'!$A$5:$A$504,0)))&amp;"","ID not found"))</f>
        <v/>
      </c>
      <c r="F2684" s="51" t="str">
        <f aca="false">IF(C2684="","",IFERROR(IF(LEFT(C2684,1)="L",INDEX('Leads Pipeline'!$E$5:$E$1004,MATCH(C2684,'Leads Pipeline'!$A$5:$A$1004,0)),INDEX('Active Clients'!$C$5:$C$504,MATCH(C2684,'Active Clients'!$A$5:$A$504,0)))&amp;"","ID not found"))</f>
        <v/>
      </c>
      <c r="G2684" s="16"/>
      <c r="H2684" s="16"/>
      <c r="I2684" s="16"/>
      <c r="J2684" s="16"/>
      <c r="K2684" s="16"/>
      <c r="L2684" s="18"/>
    </row>
    <row r="2685" customFormat="false" ht="15" hidden="false" customHeight="false" outlineLevel="0" collapsed="false">
      <c r="A2685" s="18"/>
      <c r="B2685" s="16"/>
      <c r="C2685" s="16"/>
      <c r="D2685" s="51" t="str">
        <f aca="false">IF(C2685="","",IFERROR(IF(LEFT(C2685,1)="L",INDEX('Leads Pipeline'!$F$5:$F$1004,MATCH(C2685,'Leads Pipeline'!$A$5:$A$1004,0)),INDEX('Active Clients'!$D$5:$D$504,MATCH(C2685,'Active Clients'!$A$5:$A$504,0)))&amp;"","ID not found"))</f>
        <v/>
      </c>
      <c r="E2685" s="51" t="str">
        <f aca="false">IF(C2685="","",IFERROR(IF(LEFT(C2685,1)="L",INDEX('Leads Pipeline'!$D$5:$D$1004,MATCH(C2685,'Leads Pipeline'!$A$5:$A$1004,0)),INDEX('Active Clients'!$B$5:$B$504,MATCH(C2685,'Active Clients'!$A$5:$A$504,0)))&amp;"","ID not found"))</f>
        <v/>
      </c>
      <c r="F2685" s="51" t="str">
        <f aca="false">IF(C2685="","",IFERROR(IF(LEFT(C2685,1)="L",INDEX('Leads Pipeline'!$E$5:$E$1004,MATCH(C2685,'Leads Pipeline'!$A$5:$A$1004,0)),INDEX('Active Clients'!$C$5:$C$504,MATCH(C2685,'Active Clients'!$A$5:$A$504,0)))&amp;"","ID not found"))</f>
        <v/>
      </c>
      <c r="G2685" s="16"/>
      <c r="H2685" s="16"/>
      <c r="I2685" s="16"/>
      <c r="J2685" s="16"/>
      <c r="K2685" s="16"/>
      <c r="L2685" s="18"/>
    </row>
    <row r="2686" customFormat="false" ht="15" hidden="false" customHeight="false" outlineLevel="0" collapsed="false">
      <c r="A2686" s="18"/>
      <c r="B2686" s="16"/>
      <c r="C2686" s="16"/>
      <c r="D2686" s="51" t="str">
        <f aca="false">IF(C2686="","",IFERROR(IF(LEFT(C2686,1)="L",INDEX('Leads Pipeline'!$F$5:$F$1004,MATCH(C2686,'Leads Pipeline'!$A$5:$A$1004,0)),INDEX('Active Clients'!$D$5:$D$504,MATCH(C2686,'Active Clients'!$A$5:$A$504,0)))&amp;"","ID not found"))</f>
        <v/>
      </c>
      <c r="E2686" s="51" t="str">
        <f aca="false">IF(C2686="","",IFERROR(IF(LEFT(C2686,1)="L",INDEX('Leads Pipeline'!$D$5:$D$1004,MATCH(C2686,'Leads Pipeline'!$A$5:$A$1004,0)),INDEX('Active Clients'!$B$5:$B$504,MATCH(C2686,'Active Clients'!$A$5:$A$504,0)))&amp;"","ID not found"))</f>
        <v/>
      </c>
      <c r="F2686" s="51" t="str">
        <f aca="false">IF(C2686="","",IFERROR(IF(LEFT(C2686,1)="L",INDEX('Leads Pipeline'!$E$5:$E$1004,MATCH(C2686,'Leads Pipeline'!$A$5:$A$1004,0)),INDEX('Active Clients'!$C$5:$C$504,MATCH(C2686,'Active Clients'!$A$5:$A$504,0)))&amp;"","ID not found"))</f>
        <v/>
      </c>
      <c r="G2686" s="16"/>
      <c r="H2686" s="16"/>
      <c r="I2686" s="16"/>
      <c r="J2686" s="16"/>
      <c r="K2686" s="16"/>
      <c r="L2686" s="18"/>
    </row>
    <row r="2687" customFormat="false" ht="15" hidden="false" customHeight="false" outlineLevel="0" collapsed="false">
      <c r="A2687" s="18"/>
      <c r="B2687" s="16"/>
      <c r="C2687" s="16"/>
      <c r="D2687" s="51" t="str">
        <f aca="false">IF(C2687="","",IFERROR(IF(LEFT(C2687,1)="L",INDEX('Leads Pipeline'!$F$5:$F$1004,MATCH(C2687,'Leads Pipeline'!$A$5:$A$1004,0)),INDEX('Active Clients'!$D$5:$D$504,MATCH(C2687,'Active Clients'!$A$5:$A$504,0)))&amp;"","ID not found"))</f>
        <v/>
      </c>
      <c r="E2687" s="51" t="str">
        <f aca="false">IF(C2687="","",IFERROR(IF(LEFT(C2687,1)="L",INDEX('Leads Pipeline'!$D$5:$D$1004,MATCH(C2687,'Leads Pipeline'!$A$5:$A$1004,0)),INDEX('Active Clients'!$B$5:$B$504,MATCH(C2687,'Active Clients'!$A$5:$A$504,0)))&amp;"","ID not found"))</f>
        <v/>
      </c>
      <c r="F2687" s="51" t="str">
        <f aca="false">IF(C2687="","",IFERROR(IF(LEFT(C2687,1)="L",INDEX('Leads Pipeline'!$E$5:$E$1004,MATCH(C2687,'Leads Pipeline'!$A$5:$A$1004,0)),INDEX('Active Clients'!$C$5:$C$504,MATCH(C2687,'Active Clients'!$A$5:$A$504,0)))&amp;"","ID not found"))</f>
        <v/>
      </c>
      <c r="G2687" s="16"/>
      <c r="H2687" s="16"/>
      <c r="I2687" s="16"/>
      <c r="J2687" s="16"/>
      <c r="K2687" s="16"/>
      <c r="L2687" s="18"/>
    </row>
    <row r="2688" customFormat="false" ht="15" hidden="false" customHeight="false" outlineLevel="0" collapsed="false">
      <c r="A2688" s="18"/>
      <c r="B2688" s="16"/>
      <c r="C2688" s="16"/>
      <c r="D2688" s="51" t="str">
        <f aca="false">IF(C2688="","",IFERROR(IF(LEFT(C2688,1)="L",INDEX('Leads Pipeline'!$F$5:$F$1004,MATCH(C2688,'Leads Pipeline'!$A$5:$A$1004,0)),INDEX('Active Clients'!$D$5:$D$504,MATCH(C2688,'Active Clients'!$A$5:$A$504,0)))&amp;"","ID not found"))</f>
        <v/>
      </c>
      <c r="E2688" s="51" t="str">
        <f aca="false">IF(C2688="","",IFERROR(IF(LEFT(C2688,1)="L",INDEX('Leads Pipeline'!$D$5:$D$1004,MATCH(C2688,'Leads Pipeline'!$A$5:$A$1004,0)),INDEX('Active Clients'!$B$5:$B$504,MATCH(C2688,'Active Clients'!$A$5:$A$504,0)))&amp;"","ID not found"))</f>
        <v/>
      </c>
      <c r="F2688" s="51" t="str">
        <f aca="false">IF(C2688="","",IFERROR(IF(LEFT(C2688,1)="L",INDEX('Leads Pipeline'!$E$5:$E$1004,MATCH(C2688,'Leads Pipeline'!$A$5:$A$1004,0)),INDEX('Active Clients'!$C$5:$C$504,MATCH(C2688,'Active Clients'!$A$5:$A$504,0)))&amp;"","ID not found"))</f>
        <v/>
      </c>
      <c r="G2688" s="16"/>
      <c r="H2688" s="16"/>
      <c r="I2688" s="16"/>
      <c r="J2688" s="16"/>
      <c r="K2688" s="16"/>
      <c r="L2688" s="18"/>
    </row>
    <row r="2689" customFormat="false" ht="15" hidden="false" customHeight="false" outlineLevel="0" collapsed="false">
      <c r="A2689" s="18"/>
      <c r="B2689" s="16"/>
      <c r="C2689" s="16"/>
      <c r="D2689" s="51" t="str">
        <f aca="false">IF(C2689="","",IFERROR(IF(LEFT(C2689,1)="L",INDEX('Leads Pipeline'!$F$5:$F$1004,MATCH(C2689,'Leads Pipeline'!$A$5:$A$1004,0)),INDEX('Active Clients'!$D$5:$D$504,MATCH(C2689,'Active Clients'!$A$5:$A$504,0)))&amp;"","ID not found"))</f>
        <v/>
      </c>
      <c r="E2689" s="51" t="str">
        <f aca="false">IF(C2689="","",IFERROR(IF(LEFT(C2689,1)="L",INDEX('Leads Pipeline'!$D$5:$D$1004,MATCH(C2689,'Leads Pipeline'!$A$5:$A$1004,0)),INDEX('Active Clients'!$B$5:$B$504,MATCH(C2689,'Active Clients'!$A$5:$A$504,0)))&amp;"","ID not found"))</f>
        <v/>
      </c>
      <c r="F2689" s="51" t="str">
        <f aca="false">IF(C2689="","",IFERROR(IF(LEFT(C2689,1)="L",INDEX('Leads Pipeline'!$E$5:$E$1004,MATCH(C2689,'Leads Pipeline'!$A$5:$A$1004,0)),INDEX('Active Clients'!$C$5:$C$504,MATCH(C2689,'Active Clients'!$A$5:$A$504,0)))&amp;"","ID not found"))</f>
        <v/>
      </c>
      <c r="G2689" s="16"/>
      <c r="H2689" s="16"/>
      <c r="I2689" s="16"/>
      <c r="J2689" s="16"/>
      <c r="K2689" s="16"/>
      <c r="L2689" s="18"/>
    </row>
    <row r="2690" customFormat="false" ht="15" hidden="false" customHeight="false" outlineLevel="0" collapsed="false">
      <c r="A2690" s="18"/>
      <c r="B2690" s="16"/>
      <c r="C2690" s="16"/>
      <c r="D2690" s="51" t="str">
        <f aca="false">IF(C2690="","",IFERROR(IF(LEFT(C2690,1)="L",INDEX('Leads Pipeline'!$F$5:$F$1004,MATCH(C2690,'Leads Pipeline'!$A$5:$A$1004,0)),INDEX('Active Clients'!$D$5:$D$504,MATCH(C2690,'Active Clients'!$A$5:$A$504,0)))&amp;"","ID not found"))</f>
        <v/>
      </c>
      <c r="E2690" s="51" t="str">
        <f aca="false">IF(C2690="","",IFERROR(IF(LEFT(C2690,1)="L",INDEX('Leads Pipeline'!$D$5:$D$1004,MATCH(C2690,'Leads Pipeline'!$A$5:$A$1004,0)),INDEX('Active Clients'!$B$5:$B$504,MATCH(C2690,'Active Clients'!$A$5:$A$504,0)))&amp;"","ID not found"))</f>
        <v/>
      </c>
      <c r="F2690" s="51" t="str">
        <f aca="false">IF(C2690="","",IFERROR(IF(LEFT(C2690,1)="L",INDEX('Leads Pipeline'!$E$5:$E$1004,MATCH(C2690,'Leads Pipeline'!$A$5:$A$1004,0)),INDEX('Active Clients'!$C$5:$C$504,MATCH(C2690,'Active Clients'!$A$5:$A$504,0)))&amp;"","ID not found"))</f>
        <v/>
      </c>
      <c r="G2690" s="16"/>
      <c r="H2690" s="16"/>
      <c r="I2690" s="16"/>
      <c r="J2690" s="16"/>
      <c r="K2690" s="16"/>
      <c r="L2690" s="18"/>
    </row>
    <row r="2691" customFormat="false" ht="15" hidden="false" customHeight="false" outlineLevel="0" collapsed="false">
      <c r="A2691" s="18"/>
      <c r="B2691" s="16"/>
      <c r="C2691" s="16"/>
      <c r="D2691" s="51" t="str">
        <f aca="false">IF(C2691="","",IFERROR(IF(LEFT(C2691,1)="L",INDEX('Leads Pipeline'!$F$5:$F$1004,MATCH(C2691,'Leads Pipeline'!$A$5:$A$1004,0)),INDEX('Active Clients'!$D$5:$D$504,MATCH(C2691,'Active Clients'!$A$5:$A$504,0)))&amp;"","ID not found"))</f>
        <v/>
      </c>
      <c r="E2691" s="51" t="str">
        <f aca="false">IF(C2691="","",IFERROR(IF(LEFT(C2691,1)="L",INDEX('Leads Pipeline'!$D$5:$D$1004,MATCH(C2691,'Leads Pipeline'!$A$5:$A$1004,0)),INDEX('Active Clients'!$B$5:$B$504,MATCH(C2691,'Active Clients'!$A$5:$A$504,0)))&amp;"","ID not found"))</f>
        <v/>
      </c>
      <c r="F2691" s="51" t="str">
        <f aca="false">IF(C2691="","",IFERROR(IF(LEFT(C2691,1)="L",INDEX('Leads Pipeline'!$E$5:$E$1004,MATCH(C2691,'Leads Pipeline'!$A$5:$A$1004,0)),INDEX('Active Clients'!$C$5:$C$504,MATCH(C2691,'Active Clients'!$A$5:$A$504,0)))&amp;"","ID not found"))</f>
        <v/>
      </c>
      <c r="G2691" s="16"/>
      <c r="H2691" s="16"/>
      <c r="I2691" s="16"/>
      <c r="J2691" s="16"/>
      <c r="K2691" s="16"/>
      <c r="L2691" s="18"/>
    </row>
    <row r="2692" customFormat="false" ht="15" hidden="false" customHeight="false" outlineLevel="0" collapsed="false">
      <c r="A2692" s="18"/>
      <c r="B2692" s="16"/>
      <c r="C2692" s="16"/>
      <c r="D2692" s="51" t="str">
        <f aca="false">IF(C2692="","",IFERROR(IF(LEFT(C2692,1)="L",INDEX('Leads Pipeline'!$F$5:$F$1004,MATCH(C2692,'Leads Pipeline'!$A$5:$A$1004,0)),INDEX('Active Clients'!$D$5:$D$504,MATCH(C2692,'Active Clients'!$A$5:$A$504,0)))&amp;"","ID not found"))</f>
        <v/>
      </c>
      <c r="E2692" s="51" t="str">
        <f aca="false">IF(C2692="","",IFERROR(IF(LEFT(C2692,1)="L",INDEX('Leads Pipeline'!$D$5:$D$1004,MATCH(C2692,'Leads Pipeline'!$A$5:$A$1004,0)),INDEX('Active Clients'!$B$5:$B$504,MATCH(C2692,'Active Clients'!$A$5:$A$504,0)))&amp;"","ID not found"))</f>
        <v/>
      </c>
      <c r="F2692" s="51" t="str">
        <f aca="false">IF(C2692="","",IFERROR(IF(LEFT(C2692,1)="L",INDEX('Leads Pipeline'!$E$5:$E$1004,MATCH(C2692,'Leads Pipeline'!$A$5:$A$1004,0)),INDEX('Active Clients'!$C$5:$C$504,MATCH(C2692,'Active Clients'!$A$5:$A$504,0)))&amp;"","ID not found"))</f>
        <v/>
      </c>
      <c r="G2692" s="16"/>
      <c r="H2692" s="16"/>
      <c r="I2692" s="16"/>
      <c r="J2692" s="16"/>
      <c r="K2692" s="16"/>
      <c r="L2692" s="18"/>
    </row>
    <row r="2693" customFormat="false" ht="15" hidden="false" customHeight="false" outlineLevel="0" collapsed="false">
      <c r="A2693" s="18"/>
      <c r="B2693" s="16"/>
      <c r="C2693" s="16"/>
      <c r="D2693" s="51" t="str">
        <f aca="false">IF(C2693="","",IFERROR(IF(LEFT(C2693,1)="L",INDEX('Leads Pipeline'!$F$5:$F$1004,MATCH(C2693,'Leads Pipeline'!$A$5:$A$1004,0)),INDEX('Active Clients'!$D$5:$D$504,MATCH(C2693,'Active Clients'!$A$5:$A$504,0)))&amp;"","ID not found"))</f>
        <v/>
      </c>
      <c r="E2693" s="51" t="str">
        <f aca="false">IF(C2693="","",IFERROR(IF(LEFT(C2693,1)="L",INDEX('Leads Pipeline'!$D$5:$D$1004,MATCH(C2693,'Leads Pipeline'!$A$5:$A$1004,0)),INDEX('Active Clients'!$B$5:$B$504,MATCH(C2693,'Active Clients'!$A$5:$A$504,0)))&amp;"","ID not found"))</f>
        <v/>
      </c>
      <c r="F2693" s="51" t="str">
        <f aca="false">IF(C2693="","",IFERROR(IF(LEFT(C2693,1)="L",INDEX('Leads Pipeline'!$E$5:$E$1004,MATCH(C2693,'Leads Pipeline'!$A$5:$A$1004,0)),INDEX('Active Clients'!$C$5:$C$504,MATCH(C2693,'Active Clients'!$A$5:$A$504,0)))&amp;"","ID not found"))</f>
        <v/>
      </c>
      <c r="G2693" s="16"/>
      <c r="H2693" s="16"/>
      <c r="I2693" s="16"/>
      <c r="J2693" s="16"/>
      <c r="K2693" s="16"/>
      <c r="L2693" s="18"/>
    </row>
    <row r="2694" customFormat="false" ht="15" hidden="false" customHeight="false" outlineLevel="0" collapsed="false">
      <c r="A2694" s="18"/>
      <c r="B2694" s="16"/>
      <c r="C2694" s="16"/>
      <c r="D2694" s="51" t="str">
        <f aca="false">IF(C2694="","",IFERROR(IF(LEFT(C2694,1)="L",INDEX('Leads Pipeline'!$F$5:$F$1004,MATCH(C2694,'Leads Pipeline'!$A$5:$A$1004,0)),INDEX('Active Clients'!$D$5:$D$504,MATCH(C2694,'Active Clients'!$A$5:$A$504,0)))&amp;"","ID not found"))</f>
        <v/>
      </c>
      <c r="E2694" s="51" t="str">
        <f aca="false">IF(C2694="","",IFERROR(IF(LEFT(C2694,1)="L",INDEX('Leads Pipeline'!$D$5:$D$1004,MATCH(C2694,'Leads Pipeline'!$A$5:$A$1004,0)),INDEX('Active Clients'!$B$5:$B$504,MATCH(C2694,'Active Clients'!$A$5:$A$504,0)))&amp;"","ID not found"))</f>
        <v/>
      </c>
      <c r="F2694" s="51" t="str">
        <f aca="false">IF(C2694="","",IFERROR(IF(LEFT(C2694,1)="L",INDEX('Leads Pipeline'!$E$5:$E$1004,MATCH(C2694,'Leads Pipeline'!$A$5:$A$1004,0)),INDEX('Active Clients'!$C$5:$C$504,MATCH(C2694,'Active Clients'!$A$5:$A$504,0)))&amp;"","ID not found"))</f>
        <v/>
      </c>
      <c r="G2694" s="16"/>
      <c r="H2694" s="16"/>
      <c r="I2694" s="16"/>
      <c r="J2694" s="16"/>
      <c r="K2694" s="16"/>
      <c r="L2694" s="18"/>
    </row>
    <row r="2695" customFormat="false" ht="15" hidden="false" customHeight="false" outlineLevel="0" collapsed="false">
      <c r="A2695" s="18"/>
      <c r="B2695" s="16"/>
      <c r="C2695" s="16"/>
      <c r="D2695" s="51" t="str">
        <f aca="false">IF(C2695="","",IFERROR(IF(LEFT(C2695,1)="L",INDEX('Leads Pipeline'!$F$5:$F$1004,MATCH(C2695,'Leads Pipeline'!$A$5:$A$1004,0)),INDEX('Active Clients'!$D$5:$D$504,MATCH(C2695,'Active Clients'!$A$5:$A$504,0)))&amp;"","ID not found"))</f>
        <v/>
      </c>
      <c r="E2695" s="51" t="str">
        <f aca="false">IF(C2695="","",IFERROR(IF(LEFT(C2695,1)="L",INDEX('Leads Pipeline'!$D$5:$D$1004,MATCH(C2695,'Leads Pipeline'!$A$5:$A$1004,0)),INDEX('Active Clients'!$B$5:$B$504,MATCH(C2695,'Active Clients'!$A$5:$A$504,0)))&amp;"","ID not found"))</f>
        <v/>
      </c>
      <c r="F2695" s="51" t="str">
        <f aca="false">IF(C2695="","",IFERROR(IF(LEFT(C2695,1)="L",INDEX('Leads Pipeline'!$E$5:$E$1004,MATCH(C2695,'Leads Pipeline'!$A$5:$A$1004,0)),INDEX('Active Clients'!$C$5:$C$504,MATCH(C2695,'Active Clients'!$A$5:$A$504,0)))&amp;"","ID not found"))</f>
        <v/>
      </c>
      <c r="G2695" s="16"/>
      <c r="H2695" s="16"/>
      <c r="I2695" s="16"/>
      <c r="J2695" s="16"/>
      <c r="K2695" s="16"/>
      <c r="L2695" s="18"/>
    </row>
    <row r="2696" customFormat="false" ht="15" hidden="false" customHeight="false" outlineLevel="0" collapsed="false">
      <c r="A2696" s="18"/>
      <c r="B2696" s="16"/>
      <c r="C2696" s="16"/>
      <c r="D2696" s="51" t="str">
        <f aca="false">IF(C2696="","",IFERROR(IF(LEFT(C2696,1)="L",INDEX('Leads Pipeline'!$F$5:$F$1004,MATCH(C2696,'Leads Pipeline'!$A$5:$A$1004,0)),INDEX('Active Clients'!$D$5:$D$504,MATCH(C2696,'Active Clients'!$A$5:$A$504,0)))&amp;"","ID not found"))</f>
        <v/>
      </c>
      <c r="E2696" s="51" t="str">
        <f aca="false">IF(C2696="","",IFERROR(IF(LEFT(C2696,1)="L",INDEX('Leads Pipeline'!$D$5:$D$1004,MATCH(C2696,'Leads Pipeline'!$A$5:$A$1004,0)),INDEX('Active Clients'!$B$5:$B$504,MATCH(C2696,'Active Clients'!$A$5:$A$504,0)))&amp;"","ID not found"))</f>
        <v/>
      </c>
      <c r="F2696" s="51" t="str">
        <f aca="false">IF(C2696="","",IFERROR(IF(LEFT(C2696,1)="L",INDEX('Leads Pipeline'!$E$5:$E$1004,MATCH(C2696,'Leads Pipeline'!$A$5:$A$1004,0)),INDEX('Active Clients'!$C$5:$C$504,MATCH(C2696,'Active Clients'!$A$5:$A$504,0)))&amp;"","ID not found"))</f>
        <v/>
      </c>
      <c r="G2696" s="16"/>
      <c r="H2696" s="16"/>
      <c r="I2696" s="16"/>
      <c r="J2696" s="16"/>
      <c r="K2696" s="16"/>
      <c r="L2696" s="18"/>
    </row>
    <row r="2697" customFormat="false" ht="15" hidden="false" customHeight="false" outlineLevel="0" collapsed="false">
      <c r="A2697" s="18"/>
      <c r="B2697" s="16"/>
      <c r="C2697" s="16"/>
      <c r="D2697" s="51" t="str">
        <f aca="false">IF(C2697="","",IFERROR(IF(LEFT(C2697,1)="L",INDEX('Leads Pipeline'!$F$5:$F$1004,MATCH(C2697,'Leads Pipeline'!$A$5:$A$1004,0)),INDEX('Active Clients'!$D$5:$D$504,MATCH(C2697,'Active Clients'!$A$5:$A$504,0)))&amp;"","ID not found"))</f>
        <v/>
      </c>
      <c r="E2697" s="51" t="str">
        <f aca="false">IF(C2697="","",IFERROR(IF(LEFT(C2697,1)="L",INDEX('Leads Pipeline'!$D$5:$D$1004,MATCH(C2697,'Leads Pipeline'!$A$5:$A$1004,0)),INDEX('Active Clients'!$B$5:$B$504,MATCH(C2697,'Active Clients'!$A$5:$A$504,0)))&amp;"","ID not found"))</f>
        <v/>
      </c>
      <c r="F2697" s="51" t="str">
        <f aca="false">IF(C2697="","",IFERROR(IF(LEFT(C2697,1)="L",INDEX('Leads Pipeline'!$E$5:$E$1004,MATCH(C2697,'Leads Pipeline'!$A$5:$A$1004,0)),INDEX('Active Clients'!$C$5:$C$504,MATCH(C2697,'Active Clients'!$A$5:$A$504,0)))&amp;"","ID not found"))</f>
        <v/>
      </c>
      <c r="G2697" s="16"/>
      <c r="H2697" s="16"/>
      <c r="I2697" s="16"/>
      <c r="J2697" s="16"/>
      <c r="K2697" s="16"/>
      <c r="L2697" s="18"/>
    </row>
    <row r="2698" customFormat="false" ht="15" hidden="false" customHeight="false" outlineLevel="0" collapsed="false">
      <c r="A2698" s="18"/>
      <c r="B2698" s="16"/>
      <c r="C2698" s="16"/>
      <c r="D2698" s="51" t="str">
        <f aca="false">IF(C2698="","",IFERROR(IF(LEFT(C2698,1)="L",INDEX('Leads Pipeline'!$F$5:$F$1004,MATCH(C2698,'Leads Pipeline'!$A$5:$A$1004,0)),INDEX('Active Clients'!$D$5:$D$504,MATCH(C2698,'Active Clients'!$A$5:$A$504,0)))&amp;"","ID not found"))</f>
        <v/>
      </c>
      <c r="E2698" s="51" t="str">
        <f aca="false">IF(C2698="","",IFERROR(IF(LEFT(C2698,1)="L",INDEX('Leads Pipeline'!$D$5:$D$1004,MATCH(C2698,'Leads Pipeline'!$A$5:$A$1004,0)),INDEX('Active Clients'!$B$5:$B$504,MATCH(C2698,'Active Clients'!$A$5:$A$504,0)))&amp;"","ID not found"))</f>
        <v/>
      </c>
      <c r="F2698" s="51" t="str">
        <f aca="false">IF(C2698="","",IFERROR(IF(LEFT(C2698,1)="L",INDEX('Leads Pipeline'!$E$5:$E$1004,MATCH(C2698,'Leads Pipeline'!$A$5:$A$1004,0)),INDEX('Active Clients'!$C$5:$C$504,MATCH(C2698,'Active Clients'!$A$5:$A$504,0)))&amp;"","ID not found"))</f>
        <v/>
      </c>
      <c r="G2698" s="16"/>
      <c r="H2698" s="16"/>
      <c r="I2698" s="16"/>
      <c r="J2698" s="16"/>
      <c r="K2698" s="16"/>
      <c r="L2698" s="18"/>
    </row>
    <row r="2699" customFormat="false" ht="15" hidden="false" customHeight="false" outlineLevel="0" collapsed="false">
      <c r="A2699" s="18"/>
      <c r="B2699" s="16"/>
      <c r="C2699" s="16"/>
      <c r="D2699" s="51" t="str">
        <f aca="false">IF(C2699="","",IFERROR(IF(LEFT(C2699,1)="L",INDEX('Leads Pipeline'!$F$5:$F$1004,MATCH(C2699,'Leads Pipeline'!$A$5:$A$1004,0)),INDEX('Active Clients'!$D$5:$D$504,MATCH(C2699,'Active Clients'!$A$5:$A$504,0)))&amp;"","ID not found"))</f>
        <v/>
      </c>
      <c r="E2699" s="51" t="str">
        <f aca="false">IF(C2699="","",IFERROR(IF(LEFT(C2699,1)="L",INDEX('Leads Pipeline'!$D$5:$D$1004,MATCH(C2699,'Leads Pipeline'!$A$5:$A$1004,0)),INDEX('Active Clients'!$B$5:$B$504,MATCH(C2699,'Active Clients'!$A$5:$A$504,0)))&amp;"","ID not found"))</f>
        <v/>
      </c>
      <c r="F2699" s="51" t="str">
        <f aca="false">IF(C2699="","",IFERROR(IF(LEFT(C2699,1)="L",INDEX('Leads Pipeline'!$E$5:$E$1004,MATCH(C2699,'Leads Pipeline'!$A$5:$A$1004,0)),INDEX('Active Clients'!$C$5:$C$504,MATCH(C2699,'Active Clients'!$A$5:$A$504,0)))&amp;"","ID not found"))</f>
        <v/>
      </c>
      <c r="G2699" s="16"/>
      <c r="H2699" s="16"/>
      <c r="I2699" s="16"/>
      <c r="J2699" s="16"/>
      <c r="K2699" s="16"/>
      <c r="L2699" s="18"/>
    </row>
    <row r="2700" customFormat="false" ht="15" hidden="false" customHeight="false" outlineLevel="0" collapsed="false">
      <c r="A2700" s="18"/>
      <c r="B2700" s="16"/>
      <c r="C2700" s="16"/>
      <c r="D2700" s="51" t="str">
        <f aca="false">IF(C2700="","",IFERROR(IF(LEFT(C2700,1)="L",INDEX('Leads Pipeline'!$F$5:$F$1004,MATCH(C2700,'Leads Pipeline'!$A$5:$A$1004,0)),INDEX('Active Clients'!$D$5:$D$504,MATCH(C2700,'Active Clients'!$A$5:$A$504,0)))&amp;"","ID not found"))</f>
        <v/>
      </c>
      <c r="E2700" s="51" t="str">
        <f aca="false">IF(C2700="","",IFERROR(IF(LEFT(C2700,1)="L",INDEX('Leads Pipeline'!$D$5:$D$1004,MATCH(C2700,'Leads Pipeline'!$A$5:$A$1004,0)),INDEX('Active Clients'!$B$5:$B$504,MATCH(C2700,'Active Clients'!$A$5:$A$504,0)))&amp;"","ID not found"))</f>
        <v/>
      </c>
      <c r="F2700" s="51" t="str">
        <f aca="false">IF(C2700="","",IFERROR(IF(LEFT(C2700,1)="L",INDEX('Leads Pipeline'!$E$5:$E$1004,MATCH(C2700,'Leads Pipeline'!$A$5:$A$1004,0)),INDEX('Active Clients'!$C$5:$C$504,MATCH(C2700,'Active Clients'!$A$5:$A$504,0)))&amp;"","ID not found"))</f>
        <v/>
      </c>
      <c r="G2700" s="16"/>
      <c r="H2700" s="16"/>
      <c r="I2700" s="16"/>
      <c r="J2700" s="16"/>
      <c r="K2700" s="16"/>
      <c r="L2700" s="18"/>
    </row>
    <row r="2701" customFormat="false" ht="15" hidden="false" customHeight="false" outlineLevel="0" collapsed="false">
      <c r="A2701" s="18"/>
      <c r="B2701" s="16"/>
      <c r="C2701" s="16"/>
      <c r="D2701" s="51" t="str">
        <f aca="false">IF(C2701="","",IFERROR(IF(LEFT(C2701,1)="L",INDEX('Leads Pipeline'!$F$5:$F$1004,MATCH(C2701,'Leads Pipeline'!$A$5:$A$1004,0)),INDEX('Active Clients'!$D$5:$D$504,MATCH(C2701,'Active Clients'!$A$5:$A$504,0)))&amp;"","ID not found"))</f>
        <v/>
      </c>
      <c r="E2701" s="51" t="str">
        <f aca="false">IF(C2701="","",IFERROR(IF(LEFT(C2701,1)="L",INDEX('Leads Pipeline'!$D$5:$D$1004,MATCH(C2701,'Leads Pipeline'!$A$5:$A$1004,0)),INDEX('Active Clients'!$B$5:$B$504,MATCH(C2701,'Active Clients'!$A$5:$A$504,0)))&amp;"","ID not found"))</f>
        <v/>
      </c>
      <c r="F2701" s="51" t="str">
        <f aca="false">IF(C2701="","",IFERROR(IF(LEFT(C2701,1)="L",INDEX('Leads Pipeline'!$E$5:$E$1004,MATCH(C2701,'Leads Pipeline'!$A$5:$A$1004,0)),INDEX('Active Clients'!$C$5:$C$504,MATCH(C2701,'Active Clients'!$A$5:$A$504,0)))&amp;"","ID not found"))</f>
        <v/>
      </c>
      <c r="G2701" s="16"/>
      <c r="H2701" s="16"/>
      <c r="I2701" s="16"/>
      <c r="J2701" s="16"/>
      <c r="K2701" s="16"/>
      <c r="L2701" s="18"/>
    </row>
    <row r="2702" customFormat="false" ht="15" hidden="false" customHeight="false" outlineLevel="0" collapsed="false">
      <c r="A2702" s="18"/>
      <c r="B2702" s="16"/>
      <c r="C2702" s="16"/>
      <c r="D2702" s="51" t="str">
        <f aca="false">IF(C2702="","",IFERROR(IF(LEFT(C2702,1)="L",INDEX('Leads Pipeline'!$F$5:$F$1004,MATCH(C2702,'Leads Pipeline'!$A$5:$A$1004,0)),INDEX('Active Clients'!$D$5:$D$504,MATCH(C2702,'Active Clients'!$A$5:$A$504,0)))&amp;"","ID not found"))</f>
        <v/>
      </c>
      <c r="E2702" s="51" t="str">
        <f aca="false">IF(C2702="","",IFERROR(IF(LEFT(C2702,1)="L",INDEX('Leads Pipeline'!$D$5:$D$1004,MATCH(C2702,'Leads Pipeline'!$A$5:$A$1004,0)),INDEX('Active Clients'!$B$5:$B$504,MATCH(C2702,'Active Clients'!$A$5:$A$504,0)))&amp;"","ID not found"))</f>
        <v/>
      </c>
      <c r="F2702" s="51" t="str">
        <f aca="false">IF(C2702="","",IFERROR(IF(LEFT(C2702,1)="L",INDEX('Leads Pipeline'!$E$5:$E$1004,MATCH(C2702,'Leads Pipeline'!$A$5:$A$1004,0)),INDEX('Active Clients'!$C$5:$C$504,MATCH(C2702,'Active Clients'!$A$5:$A$504,0)))&amp;"","ID not found"))</f>
        <v/>
      </c>
      <c r="G2702" s="16"/>
      <c r="H2702" s="16"/>
      <c r="I2702" s="16"/>
      <c r="J2702" s="16"/>
      <c r="K2702" s="16"/>
      <c r="L2702" s="18"/>
    </row>
    <row r="2703" customFormat="false" ht="15" hidden="false" customHeight="false" outlineLevel="0" collapsed="false">
      <c r="A2703" s="18"/>
      <c r="B2703" s="16"/>
      <c r="C2703" s="16"/>
      <c r="D2703" s="51" t="str">
        <f aca="false">IF(C2703="","",IFERROR(IF(LEFT(C2703,1)="L",INDEX('Leads Pipeline'!$F$5:$F$1004,MATCH(C2703,'Leads Pipeline'!$A$5:$A$1004,0)),INDEX('Active Clients'!$D$5:$D$504,MATCH(C2703,'Active Clients'!$A$5:$A$504,0)))&amp;"","ID not found"))</f>
        <v/>
      </c>
      <c r="E2703" s="51" t="str">
        <f aca="false">IF(C2703="","",IFERROR(IF(LEFT(C2703,1)="L",INDEX('Leads Pipeline'!$D$5:$D$1004,MATCH(C2703,'Leads Pipeline'!$A$5:$A$1004,0)),INDEX('Active Clients'!$B$5:$B$504,MATCH(C2703,'Active Clients'!$A$5:$A$504,0)))&amp;"","ID not found"))</f>
        <v/>
      </c>
      <c r="F2703" s="51" t="str">
        <f aca="false">IF(C2703="","",IFERROR(IF(LEFT(C2703,1)="L",INDEX('Leads Pipeline'!$E$5:$E$1004,MATCH(C2703,'Leads Pipeline'!$A$5:$A$1004,0)),INDEX('Active Clients'!$C$5:$C$504,MATCH(C2703,'Active Clients'!$A$5:$A$504,0)))&amp;"","ID not found"))</f>
        <v/>
      </c>
      <c r="G2703" s="16"/>
      <c r="H2703" s="16"/>
      <c r="I2703" s="16"/>
      <c r="J2703" s="16"/>
      <c r="K2703" s="16"/>
      <c r="L2703" s="18"/>
    </row>
    <row r="2704" customFormat="false" ht="15" hidden="false" customHeight="false" outlineLevel="0" collapsed="false">
      <c r="A2704" s="18"/>
      <c r="B2704" s="16"/>
      <c r="C2704" s="16"/>
      <c r="D2704" s="51" t="str">
        <f aca="false">IF(C2704="","",IFERROR(IF(LEFT(C2704,1)="L",INDEX('Leads Pipeline'!$F$5:$F$1004,MATCH(C2704,'Leads Pipeline'!$A$5:$A$1004,0)),INDEX('Active Clients'!$D$5:$D$504,MATCH(C2704,'Active Clients'!$A$5:$A$504,0)))&amp;"","ID not found"))</f>
        <v/>
      </c>
      <c r="E2704" s="51" t="str">
        <f aca="false">IF(C2704="","",IFERROR(IF(LEFT(C2704,1)="L",INDEX('Leads Pipeline'!$D$5:$D$1004,MATCH(C2704,'Leads Pipeline'!$A$5:$A$1004,0)),INDEX('Active Clients'!$B$5:$B$504,MATCH(C2704,'Active Clients'!$A$5:$A$504,0)))&amp;"","ID not found"))</f>
        <v/>
      </c>
      <c r="F2704" s="51" t="str">
        <f aca="false">IF(C2704="","",IFERROR(IF(LEFT(C2704,1)="L",INDEX('Leads Pipeline'!$E$5:$E$1004,MATCH(C2704,'Leads Pipeline'!$A$5:$A$1004,0)),INDEX('Active Clients'!$C$5:$C$504,MATCH(C2704,'Active Clients'!$A$5:$A$504,0)))&amp;"","ID not found"))</f>
        <v/>
      </c>
      <c r="G2704" s="16"/>
      <c r="H2704" s="16"/>
      <c r="I2704" s="16"/>
      <c r="J2704" s="16"/>
      <c r="K2704" s="16"/>
      <c r="L2704" s="18"/>
    </row>
    <row r="2705" customFormat="false" ht="15" hidden="false" customHeight="false" outlineLevel="0" collapsed="false">
      <c r="A2705" s="18"/>
      <c r="B2705" s="16"/>
      <c r="C2705" s="16"/>
      <c r="D2705" s="51" t="str">
        <f aca="false">IF(C2705="","",IFERROR(IF(LEFT(C2705,1)="L",INDEX('Leads Pipeline'!$F$5:$F$1004,MATCH(C2705,'Leads Pipeline'!$A$5:$A$1004,0)),INDEX('Active Clients'!$D$5:$D$504,MATCH(C2705,'Active Clients'!$A$5:$A$504,0)))&amp;"","ID not found"))</f>
        <v/>
      </c>
      <c r="E2705" s="51" t="str">
        <f aca="false">IF(C2705="","",IFERROR(IF(LEFT(C2705,1)="L",INDEX('Leads Pipeline'!$D$5:$D$1004,MATCH(C2705,'Leads Pipeline'!$A$5:$A$1004,0)),INDEX('Active Clients'!$B$5:$B$504,MATCH(C2705,'Active Clients'!$A$5:$A$504,0)))&amp;"","ID not found"))</f>
        <v/>
      </c>
      <c r="F2705" s="51" t="str">
        <f aca="false">IF(C2705="","",IFERROR(IF(LEFT(C2705,1)="L",INDEX('Leads Pipeline'!$E$5:$E$1004,MATCH(C2705,'Leads Pipeline'!$A$5:$A$1004,0)),INDEX('Active Clients'!$C$5:$C$504,MATCH(C2705,'Active Clients'!$A$5:$A$504,0)))&amp;"","ID not found"))</f>
        <v/>
      </c>
      <c r="G2705" s="16"/>
      <c r="H2705" s="16"/>
      <c r="I2705" s="16"/>
      <c r="J2705" s="16"/>
      <c r="K2705" s="16"/>
      <c r="L2705" s="18"/>
    </row>
    <row r="2706" customFormat="false" ht="15" hidden="false" customHeight="false" outlineLevel="0" collapsed="false">
      <c r="A2706" s="18"/>
      <c r="B2706" s="16"/>
      <c r="C2706" s="16"/>
      <c r="D2706" s="51" t="str">
        <f aca="false">IF(C2706="","",IFERROR(IF(LEFT(C2706,1)="L",INDEX('Leads Pipeline'!$F$5:$F$1004,MATCH(C2706,'Leads Pipeline'!$A$5:$A$1004,0)),INDEX('Active Clients'!$D$5:$D$504,MATCH(C2706,'Active Clients'!$A$5:$A$504,0)))&amp;"","ID not found"))</f>
        <v/>
      </c>
      <c r="E2706" s="51" t="str">
        <f aca="false">IF(C2706="","",IFERROR(IF(LEFT(C2706,1)="L",INDEX('Leads Pipeline'!$D$5:$D$1004,MATCH(C2706,'Leads Pipeline'!$A$5:$A$1004,0)),INDEX('Active Clients'!$B$5:$B$504,MATCH(C2706,'Active Clients'!$A$5:$A$504,0)))&amp;"","ID not found"))</f>
        <v/>
      </c>
      <c r="F2706" s="51" t="str">
        <f aca="false">IF(C2706="","",IFERROR(IF(LEFT(C2706,1)="L",INDEX('Leads Pipeline'!$E$5:$E$1004,MATCH(C2706,'Leads Pipeline'!$A$5:$A$1004,0)),INDEX('Active Clients'!$C$5:$C$504,MATCH(C2706,'Active Clients'!$A$5:$A$504,0)))&amp;"","ID not found"))</f>
        <v/>
      </c>
      <c r="G2706" s="16"/>
      <c r="H2706" s="16"/>
      <c r="I2706" s="16"/>
      <c r="J2706" s="16"/>
      <c r="K2706" s="16"/>
      <c r="L2706" s="18"/>
    </row>
    <row r="2707" customFormat="false" ht="15" hidden="false" customHeight="false" outlineLevel="0" collapsed="false">
      <c r="A2707" s="18"/>
      <c r="B2707" s="16"/>
      <c r="C2707" s="16"/>
      <c r="D2707" s="51" t="str">
        <f aca="false">IF(C2707="","",IFERROR(IF(LEFT(C2707,1)="L",INDEX('Leads Pipeline'!$F$5:$F$1004,MATCH(C2707,'Leads Pipeline'!$A$5:$A$1004,0)),INDEX('Active Clients'!$D$5:$D$504,MATCH(C2707,'Active Clients'!$A$5:$A$504,0)))&amp;"","ID not found"))</f>
        <v/>
      </c>
      <c r="E2707" s="51" t="str">
        <f aca="false">IF(C2707="","",IFERROR(IF(LEFT(C2707,1)="L",INDEX('Leads Pipeline'!$D$5:$D$1004,MATCH(C2707,'Leads Pipeline'!$A$5:$A$1004,0)),INDEX('Active Clients'!$B$5:$B$504,MATCH(C2707,'Active Clients'!$A$5:$A$504,0)))&amp;"","ID not found"))</f>
        <v/>
      </c>
      <c r="F2707" s="51" t="str">
        <f aca="false">IF(C2707="","",IFERROR(IF(LEFT(C2707,1)="L",INDEX('Leads Pipeline'!$E$5:$E$1004,MATCH(C2707,'Leads Pipeline'!$A$5:$A$1004,0)),INDEX('Active Clients'!$C$5:$C$504,MATCH(C2707,'Active Clients'!$A$5:$A$504,0)))&amp;"","ID not found"))</f>
        <v/>
      </c>
      <c r="G2707" s="16"/>
      <c r="H2707" s="16"/>
      <c r="I2707" s="16"/>
      <c r="J2707" s="16"/>
      <c r="K2707" s="16"/>
      <c r="L2707" s="18"/>
    </row>
    <row r="2708" customFormat="false" ht="15" hidden="false" customHeight="false" outlineLevel="0" collapsed="false">
      <c r="A2708" s="18"/>
      <c r="B2708" s="16"/>
      <c r="C2708" s="16"/>
      <c r="D2708" s="51" t="str">
        <f aca="false">IF(C2708="","",IFERROR(IF(LEFT(C2708,1)="L",INDEX('Leads Pipeline'!$F$5:$F$1004,MATCH(C2708,'Leads Pipeline'!$A$5:$A$1004,0)),INDEX('Active Clients'!$D$5:$D$504,MATCH(C2708,'Active Clients'!$A$5:$A$504,0)))&amp;"","ID not found"))</f>
        <v/>
      </c>
      <c r="E2708" s="51" t="str">
        <f aca="false">IF(C2708="","",IFERROR(IF(LEFT(C2708,1)="L",INDEX('Leads Pipeline'!$D$5:$D$1004,MATCH(C2708,'Leads Pipeline'!$A$5:$A$1004,0)),INDEX('Active Clients'!$B$5:$B$504,MATCH(C2708,'Active Clients'!$A$5:$A$504,0)))&amp;"","ID not found"))</f>
        <v/>
      </c>
      <c r="F2708" s="51" t="str">
        <f aca="false">IF(C2708="","",IFERROR(IF(LEFT(C2708,1)="L",INDEX('Leads Pipeline'!$E$5:$E$1004,MATCH(C2708,'Leads Pipeline'!$A$5:$A$1004,0)),INDEX('Active Clients'!$C$5:$C$504,MATCH(C2708,'Active Clients'!$A$5:$A$504,0)))&amp;"","ID not found"))</f>
        <v/>
      </c>
      <c r="G2708" s="16"/>
      <c r="H2708" s="16"/>
      <c r="I2708" s="16"/>
      <c r="J2708" s="16"/>
      <c r="K2708" s="16"/>
      <c r="L2708" s="18"/>
    </row>
    <row r="2709" customFormat="false" ht="15" hidden="false" customHeight="false" outlineLevel="0" collapsed="false">
      <c r="A2709" s="18"/>
      <c r="B2709" s="16"/>
      <c r="C2709" s="16"/>
      <c r="D2709" s="51" t="str">
        <f aca="false">IF(C2709="","",IFERROR(IF(LEFT(C2709,1)="L",INDEX('Leads Pipeline'!$F$5:$F$1004,MATCH(C2709,'Leads Pipeline'!$A$5:$A$1004,0)),INDEX('Active Clients'!$D$5:$D$504,MATCH(C2709,'Active Clients'!$A$5:$A$504,0)))&amp;"","ID not found"))</f>
        <v/>
      </c>
      <c r="E2709" s="51" t="str">
        <f aca="false">IF(C2709="","",IFERROR(IF(LEFT(C2709,1)="L",INDEX('Leads Pipeline'!$D$5:$D$1004,MATCH(C2709,'Leads Pipeline'!$A$5:$A$1004,0)),INDEX('Active Clients'!$B$5:$B$504,MATCH(C2709,'Active Clients'!$A$5:$A$504,0)))&amp;"","ID not found"))</f>
        <v/>
      </c>
      <c r="F2709" s="51" t="str">
        <f aca="false">IF(C2709="","",IFERROR(IF(LEFT(C2709,1)="L",INDEX('Leads Pipeline'!$E$5:$E$1004,MATCH(C2709,'Leads Pipeline'!$A$5:$A$1004,0)),INDEX('Active Clients'!$C$5:$C$504,MATCH(C2709,'Active Clients'!$A$5:$A$504,0)))&amp;"","ID not found"))</f>
        <v/>
      </c>
      <c r="G2709" s="16"/>
      <c r="H2709" s="16"/>
      <c r="I2709" s="16"/>
      <c r="J2709" s="16"/>
      <c r="K2709" s="16"/>
      <c r="L2709" s="18"/>
    </row>
    <row r="2710" customFormat="false" ht="15" hidden="false" customHeight="false" outlineLevel="0" collapsed="false">
      <c r="A2710" s="18"/>
      <c r="B2710" s="16"/>
      <c r="C2710" s="16"/>
      <c r="D2710" s="51" t="str">
        <f aca="false">IF(C2710="","",IFERROR(IF(LEFT(C2710,1)="L",INDEX('Leads Pipeline'!$F$5:$F$1004,MATCH(C2710,'Leads Pipeline'!$A$5:$A$1004,0)),INDEX('Active Clients'!$D$5:$D$504,MATCH(C2710,'Active Clients'!$A$5:$A$504,0)))&amp;"","ID not found"))</f>
        <v/>
      </c>
      <c r="E2710" s="51" t="str">
        <f aca="false">IF(C2710="","",IFERROR(IF(LEFT(C2710,1)="L",INDEX('Leads Pipeline'!$D$5:$D$1004,MATCH(C2710,'Leads Pipeline'!$A$5:$A$1004,0)),INDEX('Active Clients'!$B$5:$B$504,MATCH(C2710,'Active Clients'!$A$5:$A$504,0)))&amp;"","ID not found"))</f>
        <v/>
      </c>
      <c r="F2710" s="51" t="str">
        <f aca="false">IF(C2710="","",IFERROR(IF(LEFT(C2710,1)="L",INDEX('Leads Pipeline'!$E$5:$E$1004,MATCH(C2710,'Leads Pipeline'!$A$5:$A$1004,0)),INDEX('Active Clients'!$C$5:$C$504,MATCH(C2710,'Active Clients'!$A$5:$A$504,0)))&amp;"","ID not found"))</f>
        <v/>
      </c>
      <c r="G2710" s="16"/>
      <c r="H2710" s="16"/>
      <c r="I2710" s="16"/>
      <c r="J2710" s="16"/>
      <c r="K2710" s="16"/>
      <c r="L2710" s="18"/>
    </row>
    <row r="2711" customFormat="false" ht="15" hidden="false" customHeight="false" outlineLevel="0" collapsed="false">
      <c r="A2711" s="18"/>
      <c r="B2711" s="16"/>
      <c r="C2711" s="16"/>
      <c r="D2711" s="51" t="str">
        <f aca="false">IF(C2711="","",IFERROR(IF(LEFT(C2711,1)="L",INDEX('Leads Pipeline'!$F$5:$F$1004,MATCH(C2711,'Leads Pipeline'!$A$5:$A$1004,0)),INDEX('Active Clients'!$D$5:$D$504,MATCH(C2711,'Active Clients'!$A$5:$A$504,0)))&amp;"","ID not found"))</f>
        <v/>
      </c>
      <c r="E2711" s="51" t="str">
        <f aca="false">IF(C2711="","",IFERROR(IF(LEFT(C2711,1)="L",INDEX('Leads Pipeline'!$D$5:$D$1004,MATCH(C2711,'Leads Pipeline'!$A$5:$A$1004,0)),INDEX('Active Clients'!$B$5:$B$504,MATCH(C2711,'Active Clients'!$A$5:$A$504,0)))&amp;"","ID not found"))</f>
        <v/>
      </c>
      <c r="F2711" s="51" t="str">
        <f aca="false">IF(C2711="","",IFERROR(IF(LEFT(C2711,1)="L",INDEX('Leads Pipeline'!$E$5:$E$1004,MATCH(C2711,'Leads Pipeline'!$A$5:$A$1004,0)),INDEX('Active Clients'!$C$5:$C$504,MATCH(C2711,'Active Clients'!$A$5:$A$504,0)))&amp;"","ID not found"))</f>
        <v/>
      </c>
      <c r="G2711" s="16"/>
      <c r="H2711" s="16"/>
      <c r="I2711" s="16"/>
      <c r="J2711" s="16"/>
      <c r="K2711" s="16"/>
      <c r="L2711" s="18"/>
    </row>
    <row r="2712" customFormat="false" ht="15" hidden="false" customHeight="false" outlineLevel="0" collapsed="false">
      <c r="A2712" s="18"/>
      <c r="B2712" s="16"/>
      <c r="C2712" s="16"/>
      <c r="D2712" s="51" t="str">
        <f aca="false">IF(C2712="","",IFERROR(IF(LEFT(C2712,1)="L",INDEX('Leads Pipeline'!$F$5:$F$1004,MATCH(C2712,'Leads Pipeline'!$A$5:$A$1004,0)),INDEX('Active Clients'!$D$5:$D$504,MATCH(C2712,'Active Clients'!$A$5:$A$504,0)))&amp;"","ID not found"))</f>
        <v/>
      </c>
      <c r="E2712" s="51" t="str">
        <f aca="false">IF(C2712="","",IFERROR(IF(LEFT(C2712,1)="L",INDEX('Leads Pipeline'!$D$5:$D$1004,MATCH(C2712,'Leads Pipeline'!$A$5:$A$1004,0)),INDEX('Active Clients'!$B$5:$B$504,MATCH(C2712,'Active Clients'!$A$5:$A$504,0)))&amp;"","ID not found"))</f>
        <v/>
      </c>
      <c r="F2712" s="51" t="str">
        <f aca="false">IF(C2712="","",IFERROR(IF(LEFT(C2712,1)="L",INDEX('Leads Pipeline'!$E$5:$E$1004,MATCH(C2712,'Leads Pipeline'!$A$5:$A$1004,0)),INDEX('Active Clients'!$C$5:$C$504,MATCH(C2712,'Active Clients'!$A$5:$A$504,0)))&amp;"","ID not found"))</f>
        <v/>
      </c>
      <c r="G2712" s="16"/>
      <c r="H2712" s="16"/>
      <c r="I2712" s="16"/>
      <c r="J2712" s="16"/>
      <c r="K2712" s="16"/>
      <c r="L2712" s="18"/>
    </row>
    <row r="2713" customFormat="false" ht="15" hidden="false" customHeight="false" outlineLevel="0" collapsed="false">
      <c r="A2713" s="18"/>
      <c r="B2713" s="16"/>
      <c r="C2713" s="16"/>
      <c r="D2713" s="51" t="str">
        <f aca="false">IF(C2713="","",IFERROR(IF(LEFT(C2713,1)="L",INDEX('Leads Pipeline'!$F$5:$F$1004,MATCH(C2713,'Leads Pipeline'!$A$5:$A$1004,0)),INDEX('Active Clients'!$D$5:$D$504,MATCH(C2713,'Active Clients'!$A$5:$A$504,0)))&amp;"","ID not found"))</f>
        <v/>
      </c>
      <c r="E2713" s="51" t="str">
        <f aca="false">IF(C2713="","",IFERROR(IF(LEFT(C2713,1)="L",INDEX('Leads Pipeline'!$D$5:$D$1004,MATCH(C2713,'Leads Pipeline'!$A$5:$A$1004,0)),INDEX('Active Clients'!$B$5:$B$504,MATCH(C2713,'Active Clients'!$A$5:$A$504,0)))&amp;"","ID not found"))</f>
        <v/>
      </c>
      <c r="F2713" s="51" t="str">
        <f aca="false">IF(C2713="","",IFERROR(IF(LEFT(C2713,1)="L",INDEX('Leads Pipeline'!$E$5:$E$1004,MATCH(C2713,'Leads Pipeline'!$A$5:$A$1004,0)),INDEX('Active Clients'!$C$5:$C$504,MATCH(C2713,'Active Clients'!$A$5:$A$504,0)))&amp;"","ID not found"))</f>
        <v/>
      </c>
      <c r="G2713" s="16"/>
      <c r="H2713" s="16"/>
      <c r="I2713" s="16"/>
      <c r="J2713" s="16"/>
      <c r="K2713" s="16"/>
      <c r="L2713" s="18"/>
    </row>
    <row r="2714" customFormat="false" ht="15" hidden="false" customHeight="false" outlineLevel="0" collapsed="false">
      <c r="A2714" s="18"/>
      <c r="B2714" s="16"/>
      <c r="C2714" s="16"/>
      <c r="D2714" s="51" t="str">
        <f aca="false">IF(C2714="","",IFERROR(IF(LEFT(C2714,1)="L",INDEX('Leads Pipeline'!$F$5:$F$1004,MATCH(C2714,'Leads Pipeline'!$A$5:$A$1004,0)),INDEX('Active Clients'!$D$5:$D$504,MATCH(C2714,'Active Clients'!$A$5:$A$504,0)))&amp;"","ID not found"))</f>
        <v/>
      </c>
      <c r="E2714" s="51" t="str">
        <f aca="false">IF(C2714="","",IFERROR(IF(LEFT(C2714,1)="L",INDEX('Leads Pipeline'!$D$5:$D$1004,MATCH(C2714,'Leads Pipeline'!$A$5:$A$1004,0)),INDEX('Active Clients'!$B$5:$B$504,MATCH(C2714,'Active Clients'!$A$5:$A$504,0)))&amp;"","ID not found"))</f>
        <v/>
      </c>
      <c r="F2714" s="51" t="str">
        <f aca="false">IF(C2714="","",IFERROR(IF(LEFT(C2714,1)="L",INDEX('Leads Pipeline'!$E$5:$E$1004,MATCH(C2714,'Leads Pipeline'!$A$5:$A$1004,0)),INDEX('Active Clients'!$C$5:$C$504,MATCH(C2714,'Active Clients'!$A$5:$A$504,0)))&amp;"","ID not found"))</f>
        <v/>
      </c>
      <c r="G2714" s="16"/>
      <c r="H2714" s="16"/>
      <c r="I2714" s="16"/>
      <c r="J2714" s="16"/>
      <c r="K2714" s="16"/>
      <c r="L2714" s="18"/>
    </row>
    <row r="2715" customFormat="false" ht="15" hidden="false" customHeight="false" outlineLevel="0" collapsed="false">
      <c r="A2715" s="18"/>
      <c r="B2715" s="16"/>
      <c r="C2715" s="16"/>
      <c r="D2715" s="51" t="str">
        <f aca="false">IF(C2715="","",IFERROR(IF(LEFT(C2715,1)="L",INDEX('Leads Pipeline'!$F$5:$F$1004,MATCH(C2715,'Leads Pipeline'!$A$5:$A$1004,0)),INDEX('Active Clients'!$D$5:$D$504,MATCH(C2715,'Active Clients'!$A$5:$A$504,0)))&amp;"","ID not found"))</f>
        <v/>
      </c>
      <c r="E2715" s="51" t="str">
        <f aca="false">IF(C2715="","",IFERROR(IF(LEFT(C2715,1)="L",INDEX('Leads Pipeline'!$D$5:$D$1004,MATCH(C2715,'Leads Pipeline'!$A$5:$A$1004,0)),INDEX('Active Clients'!$B$5:$B$504,MATCH(C2715,'Active Clients'!$A$5:$A$504,0)))&amp;"","ID not found"))</f>
        <v/>
      </c>
      <c r="F2715" s="51" t="str">
        <f aca="false">IF(C2715="","",IFERROR(IF(LEFT(C2715,1)="L",INDEX('Leads Pipeline'!$E$5:$E$1004,MATCH(C2715,'Leads Pipeline'!$A$5:$A$1004,0)),INDEX('Active Clients'!$C$5:$C$504,MATCH(C2715,'Active Clients'!$A$5:$A$504,0)))&amp;"","ID not found"))</f>
        <v/>
      </c>
      <c r="G2715" s="16"/>
      <c r="H2715" s="16"/>
      <c r="I2715" s="16"/>
      <c r="J2715" s="16"/>
      <c r="K2715" s="16"/>
      <c r="L2715" s="18"/>
    </row>
    <row r="2716" customFormat="false" ht="15" hidden="false" customHeight="false" outlineLevel="0" collapsed="false">
      <c r="A2716" s="18"/>
      <c r="B2716" s="16"/>
      <c r="C2716" s="16"/>
      <c r="D2716" s="51" t="str">
        <f aca="false">IF(C2716="","",IFERROR(IF(LEFT(C2716,1)="L",INDEX('Leads Pipeline'!$F$5:$F$1004,MATCH(C2716,'Leads Pipeline'!$A$5:$A$1004,0)),INDEX('Active Clients'!$D$5:$D$504,MATCH(C2716,'Active Clients'!$A$5:$A$504,0)))&amp;"","ID not found"))</f>
        <v/>
      </c>
      <c r="E2716" s="51" t="str">
        <f aca="false">IF(C2716="","",IFERROR(IF(LEFT(C2716,1)="L",INDEX('Leads Pipeline'!$D$5:$D$1004,MATCH(C2716,'Leads Pipeline'!$A$5:$A$1004,0)),INDEX('Active Clients'!$B$5:$B$504,MATCH(C2716,'Active Clients'!$A$5:$A$504,0)))&amp;"","ID not found"))</f>
        <v/>
      </c>
      <c r="F2716" s="51" t="str">
        <f aca="false">IF(C2716="","",IFERROR(IF(LEFT(C2716,1)="L",INDEX('Leads Pipeline'!$E$5:$E$1004,MATCH(C2716,'Leads Pipeline'!$A$5:$A$1004,0)),INDEX('Active Clients'!$C$5:$C$504,MATCH(C2716,'Active Clients'!$A$5:$A$504,0)))&amp;"","ID not found"))</f>
        <v/>
      </c>
      <c r="G2716" s="16"/>
      <c r="H2716" s="16"/>
      <c r="I2716" s="16"/>
      <c r="J2716" s="16"/>
      <c r="K2716" s="16"/>
      <c r="L2716" s="18"/>
    </row>
    <row r="2717" customFormat="false" ht="15" hidden="false" customHeight="false" outlineLevel="0" collapsed="false">
      <c r="A2717" s="18"/>
      <c r="B2717" s="16"/>
      <c r="C2717" s="16"/>
      <c r="D2717" s="51" t="str">
        <f aca="false">IF(C2717="","",IFERROR(IF(LEFT(C2717,1)="L",INDEX('Leads Pipeline'!$F$5:$F$1004,MATCH(C2717,'Leads Pipeline'!$A$5:$A$1004,0)),INDEX('Active Clients'!$D$5:$D$504,MATCH(C2717,'Active Clients'!$A$5:$A$504,0)))&amp;"","ID not found"))</f>
        <v/>
      </c>
      <c r="E2717" s="51" t="str">
        <f aca="false">IF(C2717="","",IFERROR(IF(LEFT(C2717,1)="L",INDEX('Leads Pipeline'!$D$5:$D$1004,MATCH(C2717,'Leads Pipeline'!$A$5:$A$1004,0)),INDEX('Active Clients'!$B$5:$B$504,MATCH(C2717,'Active Clients'!$A$5:$A$504,0)))&amp;"","ID not found"))</f>
        <v/>
      </c>
      <c r="F2717" s="51" t="str">
        <f aca="false">IF(C2717="","",IFERROR(IF(LEFT(C2717,1)="L",INDEX('Leads Pipeline'!$E$5:$E$1004,MATCH(C2717,'Leads Pipeline'!$A$5:$A$1004,0)),INDEX('Active Clients'!$C$5:$C$504,MATCH(C2717,'Active Clients'!$A$5:$A$504,0)))&amp;"","ID not found"))</f>
        <v/>
      </c>
      <c r="G2717" s="16"/>
      <c r="H2717" s="16"/>
      <c r="I2717" s="16"/>
      <c r="J2717" s="16"/>
      <c r="K2717" s="16"/>
      <c r="L2717" s="18"/>
    </row>
    <row r="2718" customFormat="false" ht="15" hidden="false" customHeight="false" outlineLevel="0" collapsed="false">
      <c r="A2718" s="18"/>
      <c r="B2718" s="16"/>
      <c r="C2718" s="16"/>
      <c r="D2718" s="51" t="str">
        <f aca="false">IF(C2718="","",IFERROR(IF(LEFT(C2718,1)="L",INDEX('Leads Pipeline'!$F$5:$F$1004,MATCH(C2718,'Leads Pipeline'!$A$5:$A$1004,0)),INDEX('Active Clients'!$D$5:$D$504,MATCH(C2718,'Active Clients'!$A$5:$A$504,0)))&amp;"","ID not found"))</f>
        <v/>
      </c>
      <c r="E2718" s="51" t="str">
        <f aca="false">IF(C2718="","",IFERROR(IF(LEFT(C2718,1)="L",INDEX('Leads Pipeline'!$D$5:$D$1004,MATCH(C2718,'Leads Pipeline'!$A$5:$A$1004,0)),INDEX('Active Clients'!$B$5:$B$504,MATCH(C2718,'Active Clients'!$A$5:$A$504,0)))&amp;"","ID not found"))</f>
        <v/>
      </c>
      <c r="F2718" s="51" t="str">
        <f aca="false">IF(C2718="","",IFERROR(IF(LEFT(C2718,1)="L",INDEX('Leads Pipeline'!$E$5:$E$1004,MATCH(C2718,'Leads Pipeline'!$A$5:$A$1004,0)),INDEX('Active Clients'!$C$5:$C$504,MATCH(C2718,'Active Clients'!$A$5:$A$504,0)))&amp;"","ID not found"))</f>
        <v/>
      </c>
      <c r="G2718" s="16"/>
      <c r="H2718" s="16"/>
      <c r="I2718" s="16"/>
      <c r="J2718" s="16"/>
      <c r="K2718" s="16"/>
      <c r="L2718" s="18"/>
    </row>
    <row r="2719" customFormat="false" ht="15" hidden="false" customHeight="false" outlineLevel="0" collapsed="false">
      <c r="A2719" s="18"/>
      <c r="B2719" s="16"/>
      <c r="C2719" s="16"/>
      <c r="D2719" s="51" t="str">
        <f aca="false">IF(C2719="","",IFERROR(IF(LEFT(C2719,1)="L",INDEX('Leads Pipeline'!$F$5:$F$1004,MATCH(C2719,'Leads Pipeline'!$A$5:$A$1004,0)),INDEX('Active Clients'!$D$5:$D$504,MATCH(C2719,'Active Clients'!$A$5:$A$504,0)))&amp;"","ID not found"))</f>
        <v/>
      </c>
      <c r="E2719" s="51" t="str">
        <f aca="false">IF(C2719="","",IFERROR(IF(LEFT(C2719,1)="L",INDEX('Leads Pipeline'!$D$5:$D$1004,MATCH(C2719,'Leads Pipeline'!$A$5:$A$1004,0)),INDEX('Active Clients'!$B$5:$B$504,MATCH(C2719,'Active Clients'!$A$5:$A$504,0)))&amp;"","ID not found"))</f>
        <v/>
      </c>
      <c r="F2719" s="51" t="str">
        <f aca="false">IF(C2719="","",IFERROR(IF(LEFT(C2719,1)="L",INDEX('Leads Pipeline'!$E$5:$E$1004,MATCH(C2719,'Leads Pipeline'!$A$5:$A$1004,0)),INDEX('Active Clients'!$C$5:$C$504,MATCH(C2719,'Active Clients'!$A$5:$A$504,0)))&amp;"","ID not found"))</f>
        <v/>
      </c>
      <c r="G2719" s="16"/>
      <c r="H2719" s="16"/>
      <c r="I2719" s="16"/>
      <c r="J2719" s="16"/>
      <c r="K2719" s="16"/>
      <c r="L2719" s="18"/>
    </row>
    <row r="2720" customFormat="false" ht="15" hidden="false" customHeight="false" outlineLevel="0" collapsed="false">
      <c r="A2720" s="18"/>
      <c r="B2720" s="16"/>
      <c r="C2720" s="16"/>
      <c r="D2720" s="51" t="str">
        <f aca="false">IF(C2720="","",IFERROR(IF(LEFT(C2720,1)="L",INDEX('Leads Pipeline'!$F$5:$F$1004,MATCH(C2720,'Leads Pipeline'!$A$5:$A$1004,0)),INDEX('Active Clients'!$D$5:$D$504,MATCH(C2720,'Active Clients'!$A$5:$A$504,0)))&amp;"","ID not found"))</f>
        <v/>
      </c>
      <c r="E2720" s="51" t="str">
        <f aca="false">IF(C2720="","",IFERROR(IF(LEFT(C2720,1)="L",INDEX('Leads Pipeline'!$D$5:$D$1004,MATCH(C2720,'Leads Pipeline'!$A$5:$A$1004,0)),INDEX('Active Clients'!$B$5:$B$504,MATCH(C2720,'Active Clients'!$A$5:$A$504,0)))&amp;"","ID not found"))</f>
        <v/>
      </c>
      <c r="F2720" s="51" t="str">
        <f aca="false">IF(C2720="","",IFERROR(IF(LEFT(C2720,1)="L",INDEX('Leads Pipeline'!$E$5:$E$1004,MATCH(C2720,'Leads Pipeline'!$A$5:$A$1004,0)),INDEX('Active Clients'!$C$5:$C$504,MATCH(C2720,'Active Clients'!$A$5:$A$504,0)))&amp;"","ID not found"))</f>
        <v/>
      </c>
      <c r="G2720" s="16"/>
      <c r="H2720" s="16"/>
      <c r="I2720" s="16"/>
      <c r="J2720" s="16"/>
      <c r="K2720" s="16"/>
      <c r="L2720" s="18"/>
    </row>
    <row r="2721" customFormat="false" ht="15" hidden="false" customHeight="false" outlineLevel="0" collapsed="false">
      <c r="A2721" s="18"/>
      <c r="B2721" s="16"/>
      <c r="C2721" s="16"/>
      <c r="D2721" s="51" t="str">
        <f aca="false">IF(C2721="","",IFERROR(IF(LEFT(C2721,1)="L",INDEX('Leads Pipeline'!$F$5:$F$1004,MATCH(C2721,'Leads Pipeline'!$A$5:$A$1004,0)),INDEX('Active Clients'!$D$5:$D$504,MATCH(C2721,'Active Clients'!$A$5:$A$504,0)))&amp;"","ID not found"))</f>
        <v/>
      </c>
      <c r="E2721" s="51" t="str">
        <f aca="false">IF(C2721="","",IFERROR(IF(LEFT(C2721,1)="L",INDEX('Leads Pipeline'!$D$5:$D$1004,MATCH(C2721,'Leads Pipeline'!$A$5:$A$1004,0)),INDEX('Active Clients'!$B$5:$B$504,MATCH(C2721,'Active Clients'!$A$5:$A$504,0)))&amp;"","ID not found"))</f>
        <v/>
      </c>
      <c r="F2721" s="51" t="str">
        <f aca="false">IF(C2721="","",IFERROR(IF(LEFT(C2721,1)="L",INDEX('Leads Pipeline'!$E$5:$E$1004,MATCH(C2721,'Leads Pipeline'!$A$5:$A$1004,0)),INDEX('Active Clients'!$C$5:$C$504,MATCH(C2721,'Active Clients'!$A$5:$A$504,0)))&amp;"","ID not found"))</f>
        <v/>
      </c>
      <c r="G2721" s="16"/>
      <c r="H2721" s="16"/>
      <c r="I2721" s="16"/>
      <c r="J2721" s="16"/>
      <c r="K2721" s="16"/>
      <c r="L2721" s="18"/>
    </row>
    <row r="2722" customFormat="false" ht="15" hidden="false" customHeight="false" outlineLevel="0" collapsed="false">
      <c r="A2722" s="18"/>
      <c r="B2722" s="16"/>
      <c r="C2722" s="16"/>
      <c r="D2722" s="51" t="str">
        <f aca="false">IF(C2722="","",IFERROR(IF(LEFT(C2722,1)="L",INDEX('Leads Pipeline'!$F$5:$F$1004,MATCH(C2722,'Leads Pipeline'!$A$5:$A$1004,0)),INDEX('Active Clients'!$D$5:$D$504,MATCH(C2722,'Active Clients'!$A$5:$A$504,0)))&amp;"","ID not found"))</f>
        <v/>
      </c>
      <c r="E2722" s="51" t="str">
        <f aca="false">IF(C2722="","",IFERROR(IF(LEFT(C2722,1)="L",INDEX('Leads Pipeline'!$D$5:$D$1004,MATCH(C2722,'Leads Pipeline'!$A$5:$A$1004,0)),INDEX('Active Clients'!$B$5:$B$504,MATCH(C2722,'Active Clients'!$A$5:$A$504,0)))&amp;"","ID not found"))</f>
        <v/>
      </c>
      <c r="F2722" s="51" t="str">
        <f aca="false">IF(C2722="","",IFERROR(IF(LEFT(C2722,1)="L",INDEX('Leads Pipeline'!$E$5:$E$1004,MATCH(C2722,'Leads Pipeline'!$A$5:$A$1004,0)),INDEX('Active Clients'!$C$5:$C$504,MATCH(C2722,'Active Clients'!$A$5:$A$504,0)))&amp;"","ID not found"))</f>
        <v/>
      </c>
      <c r="G2722" s="16"/>
      <c r="H2722" s="16"/>
      <c r="I2722" s="16"/>
      <c r="J2722" s="16"/>
      <c r="K2722" s="16"/>
      <c r="L2722" s="18"/>
    </row>
    <row r="2723" customFormat="false" ht="15" hidden="false" customHeight="false" outlineLevel="0" collapsed="false">
      <c r="A2723" s="18"/>
      <c r="B2723" s="16"/>
      <c r="C2723" s="16"/>
      <c r="D2723" s="51" t="str">
        <f aca="false">IF(C2723="","",IFERROR(IF(LEFT(C2723,1)="L",INDEX('Leads Pipeline'!$F$5:$F$1004,MATCH(C2723,'Leads Pipeline'!$A$5:$A$1004,0)),INDEX('Active Clients'!$D$5:$D$504,MATCH(C2723,'Active Clients'!$A$5:$A$504,0)))&amp;"","ID not found"))</f>
        <v/>
      </c>
      <c r="E2723" s="51" t="str">
        <f aca="false">IF(C2723="","",IFERROR(IF(LEFT(C2723,1)="L",INDEX('Leads Pipeline'!$D$5:$D$1004,MATCH(C2723,'Leads Pipeline'!$A$5:$A$1004,0)),INDEX('Active Clients'!$B$5:$B$504,MATCH(C2723,'Active Clients'!$A$5:$A$504,0)))&amp;"","ID not found"))</f>
        <v/>
      </c>
      <c r="F2723" s="51" t="str">
        <f aca="false">IF(C2723="","",IFERROR(IF(LEFT(C2723,1)="L",INDEX('Leads Pipeline'!$E$5:$E$1004,MATCH(C2723,'Leads Pipeline'!$A$5:$A$1004,0)),INDEX('Active Clients'!$C$5:$C$504,MATCH(C2723,'Active Clients'!$A$5:$A$504,0)))&amp;"","ID not found"))</f>
        <v/>
      </c>
      <c r="G2723" s="16"/>
      <c r="H2723" s="16"/>
      <c r="I2723" s="16"/>
      <c r="J2723" s="16"/>
      <c r="K2723" s="16"/>
      <c r="L2723" s="18"/>
    </row>
    <row r="2724" customFormat="false" ht="15" hidden="false" customHeight="false" outlineLevel="0" collapsed="false">
      <c r="A2724" s="18"/>
      <c r="B2724" s="16"/>
      <c r="C2724" s="16"/>
      <c r="D2724" s="51" t="str">
        <f aca="false">IF(C2724="","",IFERROR(IF(LEFT(C2724,1)="L",INDEX('Leads Pipeline'!$F$5:$F$1004,MATCH(C2724,'Leads Pipeline'!$A$5:$A$1004,0)),INDEX('Active Clients'!$D$5:$D$504,MATCH(C2724,'Active Clients'!$A$5:$A$504,0)))&amp;"","ID not found"))</f>
        <v/>
      </c>
      <c r="E2724" s="51" t="str">
        <f aca="false">IF(C2724="","",IFERROR(IF(LEFT(C2724,1)="L",INDEX('Leads Pipeline'!$D$5:$D$1004,MATCH(C2724,'Leads Pipeline'!$A$5:$A$1004,0)),INDEX('Active Clients'!$B$5:$B$504,MATCH(C2724,'Active Clients'!$A$5:$A$504,0)))&amp;"","ID not found"))</f>
        <v/>
      </c>
      <c r="F2724" s="51" t="str">
        <f aca="false">IF(C2724="","",IFERROR(IF(LEFT(C2724,1)="L",INDEX('Leads Pipeline'!$E$5:$E$1004,MATCH(C2724,'Leads Pipeline'!$A$5:$A$1004,0)),INDEX('Active Clients'!$C$5:$C$504,MATCH(C2724,'Active Clients'!$A$5:$A$504,0)))&amp;"","ID not found"))</f>
        <v/>
      </c>
      <c r="G2724" s="16"/>
      <c r="H2724" s="16"/>
      <c r="I2724" s="16"/>
      <c r="J2724" s="16"/>
      <c r="K2724" s="16"/>
      <c r="L2724" s="18"/>
    </row>
    <row r="2725" customFormat="false" ht="15" hidden="false" customHeight="false" outlineLevel="0" collapsed="false">
      <c r="A2725" s="18"/>
      <c r="B2725" s="16"/>
      <c r="C2725" s="16"/>
      <c r="D2725" s="51" t="str">
        <f aca="false">IF(C2725="","",IFERROR(IF(LEFT(C2725,1)="L",INDEX('Leads Pipeline'!$F$5:$F$1004,MATCH(C2725,'Leads Pipeline'!$A$5:$A$1004,0)),INDEX('Active Clients'!$D$5:$D$504,MATCH(C2725,'Active Clients'!$A$5:$A$504,0)))&amp;"","ID not found"))</f>
        <v/>
      </c>
      <c r="E2725" s="51" t="str">
        <f aca="false">IF(C2725="","",IFERROR(IF(LEFT(C2725,1)="L",INDEX('Leads Pipeline'!$D$5:$D$1004,MATCH(C2725,'Leads Pipeline'!$A$5:$A$1004,0)),INDEX('Active Clients'!$B$5:$B$504,MATCH(C2725,'Active Clients'!$A$5:$A$504,0)))&amp;"","ID not found"))</f>
        <v/>
      </c>
      <c r="F2725" s="51" t="str">
        <f aca="false">IF(C2725="","",IFERROR(IF(LEFT(C2725,1)="L",INDEX('Leads Pipeline'!$E$5:$E$1004,MATCH(C2725,'Leads Pipeline'!$A$5:$A$1004,0)),INDEX('Active Clients'!$C$5:$C$504,MATCH(C2725,'Active Clients'!$A$5:$A$504,0)))&amp;"","ID not found"))</f>
        <v/>
      </c>
      <c r="G2725" s="16"/>
      <c r="H2725" s="16"/>
      <c r="I2725" s="16"/>
      <c r="J2725" s="16"/>
      <c r="K2725" s="16"/>
      <c r="L2725" s="18"/>
    </row>
    <row r="2726" customFormat="false" ht="15" hidden="false" customHeight="false" outlineLevel="0" collapsed="false">
      <c r="A2726" s="18"/>
      <c r="B2726" s="16"/>
      <c r="C2726" s="16"/>
      <c r="D2726" s="51" t="str">
        <f aca="false">IF(C2726="","",IFERROR(IF(LEFT(C2726,1)="L",INDEX('Leads Pipeline'!$F$5:$F$1004,MATCH(C2726,'Leads Pipeline'!$A$5:$A$1004,0)),INDEX('Active Clients'!$D$5:$D$504,MATCH(C2726,'Active Clients'!$A$5:$A$504,0)))&amp;"","ID not found"))</f>
        <v/>
      </c>
      <c r="E2726" s="51" t="str">
        <f aca="false">IF(C2726="","",IFERROR(IF(LEFT(C2726,1)="L",INDEX('Leads Pipeline'!$D$5:$D$1004,MATCH(C2726,'Leads Pipeline'!$A$5:$A$1004,0)),INDEX('Active Clients'!$B$5:$B$504,MATCH(C2726,'Active Clients'!$A$5:$A$504,0)))&amp;"","ID not found"))</f>
        <v/>
      </c>
      <c r="F2726" s="51" t="str">
        <f aca="false">IF(C2726="","",IFERROR(IF(LEFT(C2726,1)="L",INDEX('Leads Pipeline'!$E$5:$E$1004,MATCH(C2726,'Leads Pipeline'!$A$5:$A$1004,0)),INDEX('Active Clients'!$C$5:$C$504,MATCH(C2726,'Active Clients'!$A$5:$A$504,0)))&amp;"","ID not found"))</f>
        <v/>
      </c>
      <c r="G2726" s="16"/>
      <c r="H2726" s="16"/>
      <c r="I2726" s="16"/>
      <c r="J2726" s="16"/>
      <c r="K2726" s="16"/>
      <c r="L2726" s="18"/>
    </row>
    <row r="2727" customFormat="false" ht="15" hidden="false" customHeight="false" outlineLevel="0" collapsed="false">
      <c r="A2727" s="18"/>
      <c r="B2727" s="16"/>
      <c r="C2727" s="16"/>
      <c r="D2727" s="51" t="str">
        <f aca="false">IF(C2727="","",IFERROR(IF(LEFT(C2727,1)="L",INDEX('Leads Pipeline'!$F$5:$F$1004,MATCH(C2727,'Leads Pipeline'!$A$5:$A$1004,0)),INDEX('Active Clients'!$D$5:$D$504,MATCH(C2727,'Active Clients'!$A$5:$A$504,0)))&amp;"","ID not found"))</f>
        <v/>
      </c>
      <c r="E2727" s="51" t="str">
        <f aca="false">IF(C2727="","",IFERROR(IF(LEFT(C2727,1)="L",INDEX('Leads Pipeline'!$D$5:$D$1004,MATCH(C2727,'Leads Pipeline'!$A$5:$A$1004,0)),INDEX('Active Clients'!$B$5:$B$504,MATCH(C2727,'Active Clients'!$A$5:$A$504,0)))&amp;"","ID not found"))</f>
        <v/>
      </c>
      <c r="F2727" s="51" t="str">
        <f aca="false">IF(C2727="","",IFERROR(IF(LEFT(C2727,1)="L",INDEX('Leads Pipeline'!$E$5:$E$1004,MATCH(C2727,'Leads Pipeline'!$A$5:$A$1004,0)),INDEX('Active Clients'!$C$5:$C$504,MATCH(C2727,'Active Clients'!$A$5:$A$504,0)))&amp;"","ID not found"))</f>
        <v/>
      </c>
      <c r="G2727" s="16"/>
      <c r="H2727" s="16"/>
      <c r="I2727" s="16"/>
      <c r="J2727" s="16"/>
      <c r="K2727" s="16"/>
      <c r="L2727" s="18"/>
    </row>
    <row r="2728" customFormat="false" ht="15" hidden="false" customHeight="false" outlineLevel="0" collapsed="false">
      <c r="A2728" s="18"/>
      <c r="B2728" s="16"/>
      <c r="C2728" s="16"/>
      <c r="D2728" s="51" t="str">
        <f aca="false">IF(C2728="","",IFERROR(IF(LEFT(C2728,1)="L",INDEX('Leads Pipeline'!$F$5:$F$1004,MATCH(C2728,'Leads Pipeline'!$A$5:$A$1004,0)),INDEX('Active Clients'!$D$5:$D$504,MATCH(C2728,'Active Clients'!$A$5:$A$504,0)))&amp;"","ID not found"))</f>
        <v/>
      </c>
      <c r="E2728" s="51" t="str">
        <f aca="false">IF(C2728="","",IFERROR(IF(LEFT(C2728,1)="L",INDEX('Leads Pipeline'!$D$5:$D$1004,MATCH(C2728,'Leads Pipeline'!$A$5:$A$1004,0)),INDEX('Active Clients'!$B$5:$B$504,MATCH(C2728,'Active Clients'!$A$5:$A$504,0)))&amp;"","ID not found"))</f>
        <v/>
      </c>
      <c r="F2728" s="51" t="str">
        <f aca="false">IF(C2728="","",IFERROR(IF(LEFT(C2728,1)="L",INDEX('Leads Pipeline'!$E$5:$E$1004,MATCH(C2728,'Leads Pipeline'!$A$5:$A$1004,0)),INDEX('Active Clients'!$C$5:$C$504,MATCH(C2728,'Active Clients'!$A$5:$A$504,0)))&amp;"","ID not found"))</f>
        <v/>
      </c>
      <c r="G2728" s="16"/>
      <c r="H2728" s="16"/>
      <c r="I2728" s="16"/>
      <c r="J2728" s="16"/>
      <c r="K2728" s="16"/>
      <c r="L2728" s="18"/>
    </row>
    <row r="2729" customFormat="false" ht="15" hidden="false" customHeight="false" outlineLevel="0" collapsed="false">
      <c r="A2729" s="18"/>
      <c r="B2729" s="16"/>
      <c r="C2729" s="16"/>
      <c r="D2729" s="51" t="str">
        <f aca="false">IF(C2729="","",IFERROR(IF(LEFT(C2729,1)="L",INDEX('Leads Pipeline'!$F$5:$F$1004,MATCH(C2729,'Leads Pipeline'!$A$5:$A$1004,0)),INDEX('Active Clients'!$D$5:$D$504,MATCH(C2729,'Active Clients'!$A$5:$A$504,0)))&amp;"","ID not found"))</f>
        <v/>
      </c>
      <c r="E2729" s="51" t="str">
        <f aca="false">IF(C2729="","",IFERROR(IF(LEFT(C2729,1)="L",INDEX('Leads Pipeline'!$D$5:$D$1004,MATCH(C2729,'Leads Pipeline'!$A$5:$A$1004,0)),INDEX('Active Clients'!$B$5:$B$504,MATCH(C2729,'Active Clients'!$A$5:$A$504,0)))&amp;"","ID not found"))</f>
        <v/>
      </c>
      <c r="F2729" s="51" t="str">
        <f aca="false">IF(C2729="","",IFERROR(IF(LEFT(C2729,1)="L",INDEX('Leads Pipeline'!$E$5:$E$1004,MATCH(C2729,'Leads Pipeline'!$A$5:$A$1004,0)),INDEX('Active Clients'!$C$5:$C$504,MATCH(C2729,'Active Clients'!$A$5:$A$504,0)))&amp;"","ID not found"))</f>
        <v/>
      </c>
      <c r="G2729" s="16"/>
      <c r="H2729" s="16"/>
      <c r="I2729" s="16"/>
      <c r="J2729" s="16"/>
      <c r="K2729" s="16"/>
      <c r="L2729" s="18"/>
    </row>
    <row r="2730" customFormat="false" ht="15" hidden="false" customHeight="false" outlineLevel="0" collapsed="false">
      <c r="A2730" s="18"/>
      <c r="B2730" s="16"/>
      <c r="C2730" s="16"/>
      <c r="D2730" s="51" t="str">
        <f aca="false">IF(C2730="","",IFERROR(IF(LEFT(C2730,1)="L",INDEX('Leads Pipeline'!$F$5:$F$1004,MATCH(C2730,'Leads Pipeline'!$A$5:$A$1004,0)),INDEX('Active Clients'!$D$5:$D$504,MATCH(C2730,'Active Clients'!$A$5:$A$504,0)))&amp;"","ID not found"))</f>
        <v/>
      </c>
      <c r="E2730" s="51" t="str">
        <f aca="false">IF(C2730="","",IFERROR(IF(LEFT(C2730,1)="L",INDEX('Leads Pipeline'!$D$5:$D$1004,MATCH(C2730,'Leads Pipeline'!$A$5:$A$1004,0)),INDEX('Active Clients'!$B$5:$B$504,MATCH(C2730,'Active Clients'!$A$5:$A$504,0)))&amp;"","ID not found"))</f>
        <v/>
      </c>
      <c r="F2730" s="51" t="str">
        <f aca="false">IF(C2730="","",IFERROR(IF(LEFT(C2730,1)="L",INDEX('Leads Pipeline'!$E$5:$E$1004,MATCH(C2730,'Leads Pipeline'!$A$5:$A$1004,0)),INDEX('Active Clients'!$C$5:$C$504,MATCH(C2730,'Active Clients'!$A$5:$A$504,0)))&amp;"","ID not found"))</f>
        <v/>
      </c>
      <c r="G2730" s="16"/>
      <c r="H2730" s="16"/>
      <c r="I2730" s="16"/>
      <c r="J2730" s="16"/>
      <c r="K2730" s="16"/>
      <c r="L2730" s="18"/>
    </row>
    <row r="2731" customFormat="false" ht="15" hidden="false" customHeight="false" outlineLevel="0" collapsed="false">
      <c r="A2731" s="18"/>
      <c r="B2731" s="16"/>
      <c r="C2731" s="16"/>
      <c r="D2731" s="51" t="str">
        <f aca="false">IF(C2731="","",IFERROR(IF(LEFT(C2731,1)="L",INDEX('Leads Pipeline'!$F$5:$F$1004,MATCH(C2731,'Leads Pipeline'!$A$5:$A$1004,0)),INDEX('Active Clients'!$D$5:$D$504,MATCH(C2731,'Active Clients'!$A$5:$A$504,0)))&amp;"","ID not found"))</f>
        <v/>
      </c>
      <c r="E2731" s="51" t="str">
        <f aca="false">IF(C2731="","",IFERROR(IF(LEFT(C2731,1)="L",INDEX('Leads Pipeline'!$D$5:$D$1004,MATCH(C2731,'Leads Pipeline'!$A$5:$A$1004,0)),INDEX('Active Clients'!$B$5:$B$504,MATCH(C2731,'Active Clients'!$A$5:$A$504,0)))&amp;"","ID not found"))</f>
        <v/>
      </c>
      <c r="F2731" s="51" t="str">
        <f aca="false">IF(C2731="","",IFERROR(IF(LEFT(C2731,1)="L",INDEX('Leads Pipeline'!$E$5:$E$1004,MATCH(C2731,'Leads Pipeline'!$A$5:$A$1004,0)),INDEX('Active Clients'!$C$5:$C$504,MATCH(C2731,'Active Clients'!$A$5:$A$504,0)))&amp;"","ID not found"))</f>
        <v/>
      </c>
      <c r="G2731" s="16"/>
      <c r="H2731" s="16"/>
      <c r="I2731" s="16"/>
      <c r="J2731" s="16"/>
      <c r="K2731" s="16"/>
      <c r="L2731" s="18"/>
    </row>
    <row r="2732" customFormat="false" ht="15" hidden="false" customHeight="false" outlineLevel="0" collapsed="false">
      <c r="A2732" s="18"/>
      <c r="B2732" s="16"/>
      <c r="C2732" s="16"/>
      <c r="D2732" s="51" t="str">
        <f aca="false">IF(C2732="","",IFERROR(IF(LEFT(C2732,1)="L",INDEX('Leads Pipeline'!$F$5:$F$1004,MATCH(C2732,'Leads Pipeline'!$A$5:$A$1004,0)),INDEX('Active Clients'!$D$5:$D$504,MATCH(C2732,'Active Clients'!$A$5:$A$504,0)))&amp;"","ID not found"))</f>
        <v/>
      </c>
      <c r="E2732" s="51" t="str">
        <f aca="false">IF(C2732="","",IFERROR(IF(LEFT(C2732,1)="L",INDEX('Leads Pipeline'!$D$5:$D$1004,MATCH(C2732,'Leads Pipeline'!$A$5:$A$1004,0)),INDEX('Active Clients'!$B$5:$B$504,MATCH(C2732,'Active Clients'!$A$5:$A$504,0)))&amp;"","ID not found"))</f>
        <v/>
      </c>
      <c r="F2732" s="51" t="str">
        <f aca="false">IF(C2732="","",IFERROR(IF(LEFT(C2732,1)="L",INDEX('Leads Pipeline'!$E$5:$E$1004,MATCH(C2732,'Leads Pipeline'!$A$5:$A$1004,0)),INDEX('Active Clients'!$C$5:$C$504,MATCH(C2732,'Active Clients'!$A$5:$A$504,0)))&amp;"","ID not found"))</f>
        <v/>
      </c>
      <c r="G2732" s="16"/>
      <c r="H2732" s="16"/>
      <c r="I2732" s="16"/>
      <c r="J2732" s="16"/>
      <c r="K2732" s="16"/>
      <c r="L2732" s="18"/>
    </row>
    <row r="2733" customFormat="false" ht="15" hidden="false" customHeight="false" outlineLevel="0" collapsed="false">
      <c r="A2733" s="18"/>
      <c r="B2733" s="16"/>
      <c r="C2733" s="16"/>
      <c r="D2733" s="51" t="str">
        <f aca="false">IF(C2733="","",IFERROR(IF(LEFT(C2733,1)="L",INDEX('Leads Pipeline'!$F$5:$F$1004,MATCH(C2733,'Leads Pipeline'!$A$5:$A$1004,0)),INDEX('Active Clients'!$D$5:$D$504,MATCH(C2733,'Active Clients'!$A$5:$A$504,0)))&amp;"","ID not found"))</f>
        <v/>
      </c>
      <c r="E2733" s="51" t="str">
        <f aca="false">IF(C2733="","",IFERROR(IF(LEFT(C2733,1)="L",INDEX('Leads Pipeline'!$D$5:$D$1004,MATCH(C2733,'Leads Pipeline'!$A$5:$A$1004,0)),INDEX('Active Clients'!$B$5:$B$504,MATCH(C2733,'Active Clients'!$A$5:$A$504,0)))&amp;"","ID not found"))</f>
        <v/>
      </c>
      <c r="F2733" s="51" t="str">
        <f aca="false">IF(C2733="","",IFERROR(IF(LEFT(C2733,1)="L",INDEX('Leads Pipeline'!$E$5:$E$1004,MATCH(C2733,'Leads Pipeline'!$A$5:$A$1004,0)),INDEX('Active Clients'!$C$5:$C$504,MATCH(C2733,'Active Clients'!$A$5:$A$504,0)))&amp;"","ID not found"))</f>
        <v/>
      </c>
      <c r="G2733" s="16"/>
      <c r="H2733" s="16"/>
      <c r="I2733" s="16"/>
      <c r="J2733" s="16"/>
      <c r="K2733" s="16"/>
      <c r="L2733" s="18"/>
    </row>
    <row r="2734" customFormat="false" ht="15" hidden="false" customHeight="false" outlineLevel="0" collapsed="false">
      <c r="A2734" s="18"/>
      <c r="B2734" s="16"/>
      <c r="C2734" s="16"/>
      <c r="D2734" s="51" t="str">
        <f aca="false">IF(C2734="","",IFERROR(IF(LEFT(C2734,1)="L",INDEX('Leads Pipeline'!$F$5:$F$1004,MATCH(C2734,'Leads Pipeline'!$A$5:$A$1004,0)),INDEX('Active Clients'!$D$5:$D$504,MATCH(C2734,'Active Clients'!$A$5:$A$504,0)))&amp;"","ID not found"))</f>
        <v/>
      </c>
      <c r="E2734" s="51" t="str">
        <f aca="false">IF(C2734="","",IFERROR(IF(LEFT(C2734,1)="L",INDEX('Leads Pipeline'!$D$5:$D$1004,MATCH(C2734,'Leads Pipeline'!$A$5:$A$1004,0)),INDEX('Active Clients'!$B$5:$B$504,MATCH(C2734,'Active Clients'!$A$5:$A$504,0)))&amp;"","ID not found"))</f>
        <v/>
      </c>
      <c r="F2734" s="51" t="str">
        <f aca="false">IF(C2734="","",IFERROR(IF(LEFT(C2734,1)="L",INDEX('Leads Pipeline'!$E$5:$E$1004,MATCH(C2734,'Leads Pipeline'!$A$5:$A$1004,0)),INDEX('Active Clients'!$C$5:$C$504,MATCH(C2734,'Active Clients'!$A$5:$A$504,0)))&amp;"","ID not found"))</f>
        <v/>
      </c>
      <c r="G2734" s="16"/>
      <c r="H2734" s="16"/>
      <c r="I2734" s="16"/>
      <c r="J2734" s="16"/>
      <c r="K2734" s="16"/>
      <c r="L2734" s="18"/>
    </row>
    <row r="2735" customFormat="false" ht="15" hidden="false" customHeight="false" outlineLevel="0" collapsed="false">
      <c r="A2735" s="18"/>
      <c r="B2735" s="16"/>
      <c r="C2735" s="16"/>
      <c r="D2735" s="51" t="str">
        <f aca="false">IF(C2735="","",IFERROR(IF(LEFT(C2735,1)="L",INDEX('Leads Pipeline'!$F$5:$F$1004,MATCH(C2735,'Leads Pipeline'!$A$5:$A$1004,0)),INDEX('Active Clients'!$D$5:$D$504,MATCH(C2735,'Active Clients'!$A$5:$A$504,0)))&amp;"","ID not found"))</f>
        <v/>
      </c>
      <c r="E2735" s="51" t="str">
        <f aca="false">IF(C2735="","",IFERROR(IF(LEFT(C2735,1)="L",INDEX('Leads Pipeline'!$D$5:$D$1004,MATCH(C2735,'Leads Pipeline'!$A$5:$A$1004,0)),INDEX('Active Clients'!$B$5:$B$504,MATCH(C2735,'Active Clients'!$A$5:$A$504,0)))&amp;"","ID not found"))</f>
        <v/>
      </c>
      <c r="F2735" s="51" t="str">
        <f aca="false">IF(C2735="","",IFERROR(IF(LEFT(C2735,1)="L",INDEX('Leads Pipeline'!$E$5:$E$1004,MATCH(C2735,'Leads Pipeline'!$A$5:$A$1004,0)),INDEX('Active Clients'!$C$5:$C$504,MATCH(C2735,'Active Clients'!$A$5:$A$504,0)))&amp;"","ID not found"))</f>
        <v/>
      </c>
      <c r="G2735" s="16"/>
      <c r="H2735" s="16"/>
      <c r="I2735" s="16"/>
      <c r="J2735" s="16"/>
      <c r="K2735" s="16"/>
      <c r="L2735" s="18"/>
    </row>
    <row r="2736" customFormat="false" ht="15" hidden="false" customHeight="false" outlineLevel="0" collapsed="false">
      <c r="A2736" s="18"/>
      <c r="B2736" s="16"/>
      <c r="C2736" s="16"/>
      <c r="D2736" s="51" t="str">
        <f aca="false">IF(C2736="","",IFERROR(IF(LEFT(C2736,1)="L",INDEX('Leads Pipeline'!$F$5:$F$1004,MATCH(C2736,'Leads Pipeline'!$A$5:$A$1004,0)),INDEX('Active Clients'!$D$5:$D$504,MATCH(C2736,'Active Clients'!$A$5:$A$504,0)))&amp;"","ID not found"))</f>
        <v/>
      </c>
      <c r="E2736" s="51" t="str">
        <f aca="false">IF(C2736="","",IFERROR(IF(LEFT(C2736,1)="L",INDEX('Leads Pipeline'!$D$5:$D$1004,MATCH(C2736,'Leads Pipeline'!$A$5:$A$1004,0)),INDEX('Active Clients'!$B$5:$B$504,MATCH(C2736,'Active Clients'!$A$5:$A$504,0)))&amp;"","ID not found"))</f>
        <v/>
      </c>
      <c r="F2736" s="51" t="str">
        <f aca="false">IF(C2736="","",IFERROR(IF(LEFT(C2736,1)="L",INDEX('Leads Pipeline'!$E$5:$E$1004,MATCH(C2736,'Leads Pipeline'!$A$5:$A$1004,0)),INDEX('Active Clients'!$C$5:$C$504,MATCH(C2736,'Active Clients'!$A$5:$A$504,0)))&amp;"","ID not found"))</f>
        <v/>
      </c>
      <c r="G2736" s="16"/>
      <c r="H2736" s="16"/>
      <c r="I2736" s="16"/>
      <c r="J2736" s="16"/>
      <c r="K2736" s="16"/>
      <c r="L2736" s="18"/>
    </row>
    <row r="2737" customFormat="false" ht="15" hidden="false" customHeight="false" outlineLevel="0" collapsed="false">
      <c r="A2737" s="18"/>
      <c r="B2737" s="16"/>
      <c r="C2737" s="16"/>
      <c r="D2737" s="51" t="str">
        <f aca="false">IF(C2737="","",IFERROR(IF(LEFT(C2737,1)="L",INDEX('Leads Pipeline'!$F$5:$F$1004,MATCH(C2737,'Leads Pipeline'!$A$5:$A$1004,0)),INDEX('Active Clients'!$D$5:$D$504,MATCH(C2737,'Active Clients'!$A$5:$A$504,0)))&amp;"","ID not found"))</f>
        <v/>
      </c>
      <c r="E2737" s="51" t="str">
        <f aca="false">IF(C2737="","",IFERROR(IF(LEFT(C2737,1)="L",INDEX('Leads Pipeline'!$D$5:$D$1004,MATCH(C2737,'Leads Pipeline'!$A$5:$A$1004,0)),INDEX('Active Clients'!$B$5:$B$504,MATCH(C2737,'Active Clients'!$A$5:$A$504,0)))&amp;"","ID not found"))</f>
        <v/>
      </c>
      <c r="F2737" s="51" t="str">
        <f aca="false">IF(C2737="","",IFERROR(IF(LEFT(C2737,1)="L",INDEX('Leads Pipeline'!$E$5:$E$1004,MATCH(C2737,'Leads Pipeline'!$A$5:$A$1004,0)),INDEX('Active Clients'!$C$5:$C$504,MATCH(C2737,'Active Clients'!$A$5:$A$504,0)))&amp;"","ID not found"))</f>
        <v/>
      </c>
      <c r="G2737" s="16"/>
      <c r="H2737" s="16"/>
      <c r="I2737" s="16"/>
      <c r="J2737" s="16"/>
      <c r="K2737" s="16"/>
      <c r="L2737" s="18"/>
    </row>
    <row r="2738" customFormat="false" ht="15" hidden="false" customHeight="false" outlineLevel="0" collapsed="false">
      <c r="A2738" s="18"/>
      <c r="B2738" s="16"/>
      <c r="C2738" s="16"/>
      <c r="D2738" s="51" t="str">
        <f aca="false">IF(C2738="","",IFERROR(IF(LEFT(C2738,1)="L",INDEX('Leads Pipeline'!$F$5:$F$1004,MATCH(C2738,'Leads Pipeline'!$A$5:$A$1004,0)),INDEX('Active Clients'!$D$5:$D$504,MATCH(C2738,'Active Clients'!$A$5:$A$504,0)))&amp;"","ID not found"))</f>
        <v/>
      </c>
      <c r="E2738" s="51" t="str">
        <f aca="false">IF(C2738="","",IFERROR(IF(LEFT(C2738,1)="L",INDEX('Leads Pipeline'!$D$5:$D$1004,MATCH(C2738,'Leads Pipeline'!$A$5:$A$1004,0)),INDEX('Active Clients'!$B$5:$B$504,MATCH(C2738,'Active Clients'!$A$5:$A$504,0)))&amp;"","ID not found"))</f>
        <v/>
      </c>
      <c r="F2738" s="51" t="str">
        <f aca="false">IF(C2738="","",IFERROR(IF(LEFT(C2738,1)="L",INDEX('Leads Pipeline'!$E$5:$E$1004,MATCH(C2738,'Leads Pipeline'!$A$5:$A$1004,0)),INDEX('Active Clients'!$C$5:$C$504,MATCH(C2738,'Active Clients'!$A$5:$A$504,0)))&amp;"","ID not found"))</f>
        <v/>
      </c>
      <c r="G2738" s="16"/>
      <c r="H2738" s="16"/>
      <c r="I2738" s="16"/>
      <c r="J2738" s="16"/>
      <c r="K2738" s="16"/>
      <c r="L2738" s="18"/>
    </row>
    <row r="2739" customFormat="false" ht="15" hidden="false" customHeight="false" outlineLevel="0" collapsed="false">
      <c r="A2739" s="18"/>
      <c r="B2739" s="16"/>
      <c r="C2739" s="16"/>
      <c r="D2739" s="51" t="str">
        <f aca="false">IF(C2739="","",IFERROR(IF(LEFT(C2739,1)="L",INDEX('Leads Pipeline'!$F$5:$F$1004,MATCH(C2739,'Leads Pipeline'!$A$5:$A$1004,0)),INDEX('Active Clients'!$D$5:$D$504,MATCH(C2739,'Active Clients'!$A$5:$A$504,0)))&amp;"","ID not found"))</f>
        <v/>
      </c>
      <c r="E2739" s="51" t="str">
        <f aca="false">IF(C2739="","",IFERROR(IF(LEFT(C2739,1)="L",INDEX('Leads Pipeline'!$D$5:$D$1004,MATCH(C2739,'Leads Pipeline'!$A$5:$A$1004,0)),INDEX('Active Clients'!$B$5:$B$504,MATCH(C2739,'Active Clients'!$A$5:$A$504,0)))&amp;"","ID not found"))</f>
        <v/>
      </c>
      <c r="F2739" s="51" t="str">
        <f aca="false">IF(C2739="","",IFERROR(IF(LEFT(C2739,1)="L",INDEX('Leads Pipeline'!$E$5:$E$1004,MATCH(C2739,'Leads Pipeline'!$A$5:$A$1004,0)),INDEX('Active Clients'!$C$5:$C$504,MATCH(C2739,'Active Clients'!$A$5:$A$504,0)))&amp;"","ID not found"))</f>
        <v/>
      </c>
      <c r="G2739" s="16"/>
      <c r="H2739" s="16"/>
      <c r="I2739" s="16"/>
      <c r="J2739" s="16"/>
      <c r="K2739" s="16"/>
      <c r="L2739" s="18"/>
    </row>
    <row r="2740" customFormat="false" ht="15" hidden="false" customHeight="false" outlineLevel="0" collapsed="false">
      <c r="A2740" s="18"/>
      <c r="B2740" s="16"/>
      <c r="C2740" s="16"/>
      <c r="D2740" s="51" t="str">
        <f aca="false">IF(C2740="","",IFERROR(IF(LEFT(C2740,1)="L",INDEX('Leads Pipeline'!$F$5:$F$1004,MATCH(C2740,'Leads Pipeline'!$A$5:$A$1004,0)),INDEX('Active Clients'!$D$5:$D$504,MATCH(C2740,'Active Clients'!$A$5:$A$504,0)))&amp;"","ID not found"))</f>
        <v/>
      </c>
      <c r="E2740" s="51" t="str">
        <f aca="false">IF(C2740="","",IFERROR(IF(LEFT(C2740,1)="L",INDEX('Leads Pipeline'!$D$5:$D$1004,MATCH(C2740,'Leads Pipeline'!$A$5:$A$1004,0)),INDEX('Active Clients'!$B$5:$B$504,MATCH(C2740,'Active Clients'!$A$5:$A$504,0)))&amp;"","ID not found"))</f>
        <v/>
      </c>
      <c r="F2740" s="51" t="str">
        <f aca="false">IF(C2740="","",IFERROR(IF(LEFT(C2740,1)="L",INDEX('Leads Pipeline'!$E$5:$E$1004,MATCH(C2740,'Leads Pipeline'!$A$5:$A$1004,0)),INDEX('Active Clients'!$C$5:$C$504,MATCH(C2740,'Active Clients'!$A$5:$A$504,0)))&amp;"","ID not found"))</f>
        <v/>
      </c>
      <c r="G2740" s="16"/>
      <c r="H2740" s="16"/>
      <c r="I2740" s="16"/>
      <c r="J2740" s="16"/>
      <c r="K2740" s="16"/>
      <c r="L2740" s="18"/>
    </row>
    <row r="2741" customFormat="false" ht="15" hidden="false" customHeight="false" outlineLevel="0" collapsed="false">
      <c r="A2741" s="18"/>
      <c r="B2741" s="16"/>
      <c r="C2741" s="16"/>
      <c r="D2741" s="51" t="str">
        <f aca="false">IF(C2741="","",IFERROR(IF(LEFT(C2741,1)="L",INDEX('Leads Pipeline'!$F$5:$F$1004,MATCH(C2741,'Leads Pipeline'!$A$5:$A$1004,0)),INDEX('Active Clients'!$D$5:$D$504,MATCH(C2741,'Active Clients'!$A$5:$A$504,0)))&amp;"","ID not found"))</f>
        <v/>
      </c>
      <c r="E2741" s="51" t="str">
        <f aca="false">IF(C2741="","",IFERROR(IF(LEFT(C2741,1)="L",INDEX('Leads Pipeline'!$D$5:$D$1004,MATCH(C2741,'Leads Pipeline'!$A$5:$A$1004,0)),INDEX('Active Clients'!$B$5:$B$504,MATCH(C2741,'Active Clients'!$A$5:$A$504,0)))&amp;"","ID not found"))</f>
        <v/>
      </c>
      <c r="F2741" s="51" t="str">
        <f aca="false">IF(C2741="","",IFERROR(IF(LEFT(C2741,1)="L",INDEX('Leads Pipeline'!$E$5:$E$1004,MATCH(C2741,'Leads Pipeline'!$A$5:$A$1004,0)),INDEX('Active Clients'!$C$5:$C$504,MATCH(C2741,'Active Clients'!$A$5:$A$504,0)))&amp;"","ID not found"))</f>
        <v/>
      </c>
      <c r="G2741" s="16"/>
      <c r="H2741" s="16"/>
      <c r="I2741" s="16"/>
      <c r="J2741" s="16"/>
      <c r="K2741" s="16"/>
      <c r="L2741" s="18"/>
    </row>
    <row r="2742" customFormat="false" ht="15" hidden="false" customHeight="false" outlineLevel="0" collapsed="false">
      <c r="A2742" s="18"/>
      <c r="B2742" s="16"/>
      <c r="C2742" s="16"/>
      <c r="D2742" s="51" t="str">
        <f aca="false">IF(C2742="","",IFERROR(IF(LEFT(C2742,1)="L",INDEX('Leads Pipeline'!$F$5:$F$1004,MATCH(C2742,'Leads Pipeline'!$A$5:$A$1004,0)),INDEX('Active Clients'!$D$5:$D$504,MATCH(C2742,'Active Clients'!$A$5:$A$504,0)))&amp;"","ID not found"))</f>
        <v/>
      </c>
      <c r="E2742" s="51" t="str">
        <f aca="false">IF(C2742="","",IFERROR(IF(LEFT(C2742,1)="L",INDEX('Leads Pipeline'!$D$5:$D$1004,MATCH(C2742,'Leads Pipeline'!$A$5:$A$1004,0)),INDEX('Active Clients'!$B$5:$B$504,MATCH(C2742,'Active Clients'!$A$5:$A$504,0)))&amp;"","ID not found"))</f>
        <v/>
      </c>
      <c r="F2742" s="51" t="str">
        <f aca="false">IF(C2742="","",IFERROR(IF(LEFT(C2742,1)="L",INDEX('Leads Pipeline'!$E$5:$E$1004,MATCH(C2742,'Leads Pipeline'!$A$5:$A$1004,0)),INDEX('Active Clients'!$C$5:$C$504,MATCH(C2742,'Active Clients'!$A$5:$A$504,0)))&amp;"","ID not found"))</f>
        <v/>
      </c>
      <c r="G2742" s="16"/>
      <c r="H2742" s="16"/>
      <c r="I2742" s="16"/>
      <c r="J2742" s="16"/>
      <c r="K2742" s="16"/>
      <c r="L2742" s="18"/>
    </row>
    <row r="2743" customFormat="false" ht="15" hidden="false" customHeight="false" outlineLevel="0" collapsed="false">
      <c r="A2743" s="18"/>
      <c r="B2743" s="16"/>
      <c r="C2743" s="16"/>
      <c r="D2743" s="51" t="str">
        <f aca="false">IF(C2743="","",IFERROR(IF(LEFT(C2743,1)="L",INDEX('Leads Pipeline'!$F$5:$F$1004,MATCH(C2743,'Leads Pipeline'!$A$5:$A$1004,0)),INDEX('Active Clients'!$D$5:$D$504,MATCH(C2743,'Active Clients'!$A$5:$A$504,0)))&amp;"","ID not found"))</f>
        <v/>
      </c>
      <c r="E2743" s="51" t="str">
        <f aca="false">IF(C2743="","",IFERROR(IF(LEFT(C2743,1)="L",INDEX('Leads Pipeline'!$D$5:$D$1004,MATCH(C2743,'Leads Pipeline'!$A$5:$A$1004,0)),INDEX('Active Clients'!$B$5:$B$504,MATCH(C2743,'Active Clients'!$A$5:$A$504,0)))&amp;"","ID not found"))</f>
        <v/>
      </c>
      <c r="F2743" s="51" t="str">
        <f aca="false">IF(C2743="","",IFERROR(IF(LEFT(C2743,1)="L",INDEX('Leads Pipeline'!$E$5:$E$1004,MATCH(C2743,'Leads Pipeline'!$A$5:$A$1004,0)),INDEX('Active Clients'!$C$5:$C$504,MATCH(C2743,'Active Clients'!$A$5:$A$504,0)))&amp;"","ID not found"))</f>
        <v/>
      </c>
      <c r="G2743" s="16"/>
      <c r="H2743" s="16"/>
      <c r="I2743" s="16"/>
      <c r="J2743" s="16"/>
      <c r="K2743" s="16"/>
      <c r="L2743" s="18"/>
    </row>
    <row r="2744" customFormat="false" ht="15" hidden="false" customHeight="false" outlineLevel="0" collapsed="false">
      <c r="A2744" s="18"/>
      <c r="B2744" s="16"/>
      <c r="C2744" s="16"/>
      <c r="D2744" s="51" t="str">
        <f aca="false">IF(C2744="","",IFERROR(IF(LEFT(C2744,1)="L",INDEX('Leads Pipeline'!$F$5:$F$1004,MATCH(C2744,'Leads Pipeline'!$A$5:$A$1004,0)),INDEX('Active Clients'!$D$5:$D$504,MATCH(C2744,'Active Clients'!$A$5:$A$504,0)))&amp;"","ID not found"))</f>
        <v/>
      </c>
      <c r="E2744" s="51" t="str">
        <f aca="false">IF(C2744="","",IFERROR(IF(LEFT(C2744,1)="L",INDEX('Leads Pipeline'!$D$5:$D$1004,MATCH(C2744,'Leads Pipeline'!$A$5:$A$1004,0)),INDEX('Active Clients'!$B$5:$B$504,MATCH(C2744,'Active Clients'!$A$5:$A$504,0)))&amp;"","ID not found"))</f>
        <v/>
      </c>
      <c r="F2744" s="51" t="str">
        <f aca="false">IF(C2744="","",IFERROR(IF(LEFT(C2744,1)="L",INDEX('Leads Pipeline'!$E$5:$E$1004,MATCH(C2744,'Leads Pipeline'!$A$5:$A$1004,0)),INDEX('Active Clients'!$C$5:$C$504,MATCH(C2744,'Active Clients'!$A$5:$A$504,0)))&amp;"","ID not found"))</f>
        <v/>
      </c>
      <c r="G2744" s="16"/>
      <c r="H2744" s="16"/>
      <c r="I2744" s="16"/>
      <c r="J2744" s="16"/>
      <c r="K2744" s="16"/>
      <c r="L2744" s="18"/>
    </row>
    <row r="2745" customFormat="false" ht="15" hidden="false" customHeight="false" outlineLevel="0" collapsed="false">
      <c r="A2745" s="18"/>
      <c r="B2745" s="16"/>
      <c r="C2745" s="16"/>
      <c r="D2745" s="51" t="str">
        <f aca="false">IF(C2745="","",IFERROR(IF(LEFT(C2745,1)="L",INDEX('Leads Pipeline'!$F$5:$F$1004,MATCH(C2745,'Leads Pipeline'!$A$5:$A$1004,0)),INDEX('Active Clients'!$D$5:$D$504,MATCH(C2745,'Active Clients'!$A$5:$A$504,0)))&amp;"","ID not found"))</f>
        <v/>
      </c>
      <c r="E2745" s="51" t="str">
        <f aca="false">IF(C2745="","",IFERROR(IF(LEFT(C2745,1)="L",INDEX('Leads Pipeline'!$D$5:$D$1004,MATCH(C2745,'Leads Pipeline'!$A$5:$A$1004,0)),INDEX('Active Clients'!$B$5:$B$504,MATCH(C2745,'Active Clients'!$A$5:$A$504,0)))&amp;"","ID not found"))</f>
        <v/>
      </c>
      <c r="F2745" s="51" t="str">
        <f aca="false">IF(C2745="","",IFERROR(IF(LEFT(C2745,1)="L",INDEX('Leads Pipeline'!$E$5:$E$1004,MATCH(C2745,'Leads Pipeline'!$A$5:$A$1004,0)),INDEX('Active Clients'!$C$5:$C$504,MATCH(C2745,'Active Clients'!$A$5:$A$504,0)))&amp;"","ID not found"))</f>
        <v/>
      </c>
      <c r="G2745" s="16"/>
      <c r="H2745" s="16"/>
      <c r="I2745" s="16"/>
      <c r="J2745" s="16"/>
      <c r="K2745" s="16"/>
      <c r="L2745" s="18"/>
    </row>
    <row r="2746" customFormat="false" ht="15" hidden="false" customHeight="false" outlineLevel="0" collapsed="false">
      <c r="A2746" s="18"/>
      <c r="B2746" s="16"/>
      <c r="C2746" s="16"/>
      <c r="D2746" s="51" t="str">
        <f aca="false">IF(C2746="","",IFERROR(IF(LEFT(C2746,1)="L",INDEX('Leads Pipeline'!$F$5:$F$1004,MATCH(C2746,'Leads Pipeline'!$A$5:$A$1004,0)),INDEX('Active Clients'!$D$5:$D$504,MATCH(C2746,'Active Clients'!$A$5:$A$504,0)))&amp;"","ID not found"))</f>
        <v/>
      </c>
      <c r="E2746" s="51" t="str">
        <f aca="false">IF(C2746="","",IFERROR(IF(LEFT(C2746,1)="L",INDEX('Leads Pipeline'!$D$5:$D$1004,MATCH(C2746,'Leads Pipeline'!$A$5:$A$1004,0)),INDEX('Active Clients'!$B$5:$B$504,MATCH(C2746,'Active Clients'!$A$5:$A$504,0)))&amp;"","ID not found"))</f>
        <v/>
      </c>
      <c r="F2746" s="51" t="str">
        <f aca="false">IF(C2746="","",IFERROR(IF(LEFT(C2746,1)="L",INDEX('Leads Pipeline'!$E$5:$E$1004,MATCH(C2746,'Leads Pipeline'!$A$5:$A$1004,0)),INDEX('Active Clients'!$C$5:$C$504,MATCH(C2746,'Active Clients'!$A$5:$A$504,0)))&amp;"","ID not found"))</f>
        <v/>
      </c>
      <c r="G2746" s="16"/>
      <c r="H2746" s="16"/>
      <c r="I2746" s="16"/>
      <c r="J2746" s="16"/>
      <c r="K2746" s="16"/>
      <c r="L2746" s="18"/>
    </row>
    <row r="2747" customFormat="false" ht="15" hidden="false" customHeight="false" outlineLevel="0" collapsed="false">
      <c r="A2747" s="18"/>
      <c r="B2747" s="16"/>
      <c r="C2747" s="16"/>
      <c r="D2747" s="51" t="str">
        <f aca="false">IF(C2747="","",IFERROR(IF(LEFT(C2747,1)="L",INDEX('Leads Pipeline'!$F$5:$F$1004,MATCH(C2747,'Leads Pipeline'!$A$5:$A$1004,0)),INDEX('Active Clients'!$D$5:$D$504,MATCH(C2747,'Active Clients'!$A$5:$A$504,0)))&amp;"","ID not found"))</f>
        <v/>
      </c>
      <c r="E2747" s="51" t="str">
        <f aca="false">IF(C2747="","",IFERROR(IF(LEFT(C2747,1)="L",INDEX('Leads Pipeline'!$D$5:$D$1004,MATCH(C2747,'Leads Pipeline'!$A$5:$A$1004,0)),INDEX('Active Clients'!$B$5:$B$504,MATCH(C2747,'Active Clients'!$A$5:$A$504,0)))&amp;"","ID not found"))</f>
        <v/>
      </c>
      <c r="F2747" s="51" t="str">
        <f aca="false">IF(C2747="","",IFERROR(IF(LEFT(C2747,1)="L",INDEX('Leads Pipeline'!$E$5:$E$1004,MATCH(C2747,'Leads Pipeline'!$A$5:$A$1004,0)),INDEX('Active Clients'!$C$5:$C$504,MATCH(C2747,'Active Clients'!$A$5:$A$504,0)))&amp;"","ID not found"))</f>
        <v/>
      </c>
      <c r="G2747" s="16"/>
      <c r="H2747" s="16"/>
      <c r="I2747" s="16"/>
      <c r="J2747" s="16"/>
      <c r="K2747" s="16"/>
      <c r="L2747" s="18"/>
    </row>
    <row r="2748" customFormat="false" ht="15" hidden="false" customHeight="false" outlineLevel="0" collapsed="false">
      <c r="A2748" s="18"/>
      <c r="B2748" s="16"/>
      <c r="C2748" s="16"/>
      <c r="D2748" s="51" t="str">
        <f aca="false">IF(C2748="","",IFERROR(IF(LEFT(C2748,1)="L",INDEX('Leads Pipeline'!$F$5:$F$1004,MATCH(C2748,'Leads Pipeline'!$A$5:$A$1004,0)),INDEX('Active Clients'!$D$5:$D$504,MATCH(C2748,'Active Clients'!$A$5:$A$504,0)))&amp;"","ID not found"))</f>
        <v/>
      </c>
      <c r="E2748" s="51" t="str">
        <f aca="false">IF(C2748="","",IFERROR(IF(LEFT(C2748,1)="L",INDEX('Leads Pipeline'!$D$5:$D$1004,MATCH(C2748,'Leads Pipeline'!$A$5:$A$1004,0)),INDEX('Active Clients'!$B$5:$B$504,MATCH(C2748,'Active Clients'!$A$5:$A$504,0)))&amp;"","ID not found"))</f>
        <v/>
      </c>
      <c r="F2748" s="51" t="str">
        <f aca="false">IF(C2748="","",IFERROR(IF(LEFT(C2748,1)="L",INDEX('Leads Pipeline'!$E$5:$E$1004,MATCH(C2748,'Leads Pipeline'!$A$5:$A$1004,0)),INDEX('Active Clients'!$C$5:$C$504,MATCH(C2748,'Active Clients'!$A$5:$A$504,0)))&amp;"","ID not found"))</f>
        <v/>
      </c>
      <c r="G2748" s="16"/>
      <c r="H2748" s="16"/>
      <c r="I2748" s="16"/>
      <c r="J2748" s="16"/>
      <c r="K2748" s="16"/>
      <c r="L2748" s="18"/>
    </row>
    <row r="2749" customFormat="false" ht="15" hidden="false" customHeight="false" outlineLevel="0" collapsed="false">
      <c r="A2749" s="18"/>
      <c r="B2749" s="16"/>
      <c r="C2749" s="16"/>
      <c r="D2749" s="51" t="str">
        <f aca="false">IF(C2749="","",IFERROR(IF(LEFT(C2749,1)="L",INDEX('Leads Pipeline'!$F$5:$F$1004,MATCH(C2749,'Leads Pipeline'!$A$5:$A$1004,0)),INDEX('Active Clients'!$D$5:$D$504,MATCH(C2749,'Active Clients'!$A$5:$A$504,0)))&amp;"","ID not found"))</f>
        <v/>
      </c>
      <c r="E2749" s="51" t="str">
        <f aca="false">IF(C2749="","",IFERROR(IF(LEFT(C2749,1)="L",INDEX('Leads Pipeline'!$D$5:$D$1004,MATCH(C2749,'Leads Pipeline'!$A$5:$A$1004,0)),INDEX('Active Clients'!$B$5:$B$504,MATCH(C2749,'Active Clients'!$A$5:$A$504,0)))&amp;"","ID not found"))</f>
        <v/>
      </c>
      <c r="F2749" s="51" t="str">
        <f aca="false">IF(C2749="","",IFERROR(IF(LEFT(C2749,1)="L",INDEX('Leads Pipeline'!$E$5:$E$1004,MATCH(C2749,'Leads Pipeline'!$A$5:$A$1004,0)),INDEX('Active Clients'!$C$5:$C$504,MATCH(C2749,'Active Clients'!$A$5:$A$504,0)))&amp;"","ID not found"))</f>
        <v/>
      </c>
      <c r="G2749" s="16"/>
      <c r="H2749" s="16"/>
      <c r="I2749" s="16"/>
      <c r="J2749" s="16"/>
      <c r="K2749" s="16"/>
      <c r="L2749" s="18"/>
    </row>
    <row r="2750" customFormat="false" ht="15" hidden="false" customHeight="false" outlineLevel="0" collapsed="false">
      <c r="A2750" s="18"/>
      <c r="B2750" s="16"/>
      <c r="C2750" s="16"/>
      <c r="D2750" s="51" t="str">
        <f aca="false">IF(C2750="","",IFERROR(IF(LEFT(C2750,1)="L",INDEX('Leads Pipeline'!$F$5:$F$1004,MATCH(C2750,'Leads Pipeline'!$A$5:$A$1004,0)),INDEX('Active Clients'!$D$5:$D$504,MATCH(C2750,'Active Clients'!$A$5:$A$504,0)))&amp;"","ID not found"))</f>
        <v/>
      </c>
      <c r="E2750" s="51" t="str">
        <f aca="false">IF(C2750="","",IFERROR(IF(LEFT(C2750,1)="L",INDEX('Leads Pipeline'!$D$5:$D$1004,MATCH(C2750,'Leads Pipeline'!$A$5:$A$1004,0)),INDEX('Active Clients'!$B$5:$B$504,MATCH(C2750,'Active Clients'!$A$5:$A$504,0)))&amp;"","ID not found"))</f>
        <v/>
      </c>
      <c r="F2750" s="51" t="str">
        <f aca="false">IF(C2750="","",IFERROR(IF(LEFT(C2750,1)="L",INDEX('Leads Pipeline'!$E$5:$E$1004,MATCH(C2750,'Leads Pipeline'!$A$5:$A$1004,0)),INDEX('Active Clients'!$C$5:$C$504,MATCH(C2750,'Active Clients'!$A$5:$A$504,0)))&amp;"","ID not found"))</f>
        <v/>
      </c>
      <c r="G2750" s="16"/>
      <c r="H2750" s="16"/>
      <c r="I2750" s="16"/>
      <c r="J2750" s="16"/>
      <c r="K2750" s="16"/>
      <c r="L2750" s="18"/>
    </row>
    <row r="2751" customFormat="false" ht="15" hidden="false" customHeight="false" outlineLevel="0" collapsed="false">
      <c r="A2751" s="18"/>
      <c r="B2751" s="16"/>
      <c r="C2751" s="16"/>
      <c r="D2751" s="51" t="str">
        <f aca="false">IF(C2751="","",IFERROR(IF(LEFT(C2751,1)="L",INDEX('Leads Pipeline'!$F$5:$F$1004,MATCH(C2751,'Leads Pipeline'!$A$5:$A$1004,0)),INDEX('Active Clients'!$D$5:$D$504,MATCH(C2751,'Active Clients'!$A$5:$A$504,0)))&amp;"","ID not found"))</f>
        <v/>
      </c>
      <c r="E2751" s="51" t="str">
        <f aca="false">IF(C2751="","",IFERROR(IF(LEFT(C2751,1)="L",INDEX('Leads Pipeline'!$D$5:$D$1004,MATCH(C2751,'Leads Pipeline'!$A$5:$A$1004,0)),INDEX('Active Clients'!$B$5:$B$504,MATCH(C2751,'Active Clients'!$A$5:$A$504,0)))&amp;"","ID not found"))</f>
        <v/>
      </c>
      <c r="F2751" s="51" t="str">
        <f aca="false">IF(C2751="","",IFERROR(IF(LEFT(C2751,1)="L",INDEX('Leads Pipeline'!$E$5:$E$1004,MATCH(C2751,'Leads Pipeline'!$A$5:$A$1004,0)),INDEX('Active Clients'!$C$5:$C$504,MATCH(C2751,'Active Clients'!$A$5:$A$504,0)))&amp;"","ID not found"))</f>
        <v/>
      </c>
      <c r="G2751" s="16"/>
      <c r="H2751" s="16"/>
      <c r="I2751" s="16"/>
      <c r="J2751" s="16"/>
      <c r="K2751" s="16"/>
      <c r="L2751" s="18"/>
    </row>
    <row r="2752" customFormat="false" ht="15" hidden="false" customHeight="false" outlineLevel="0" collapsed="false">
      <c r="A2752" s="18"/>
      <c r="B2752" s="16"/>
      <c r="C2752" s="16"/>
      <c r="D2752" s="51" t="str">
        <f aca="false">IF(C2752="","",IFERROR(IF(LEFT(C2752,1)="L",INDEX('Leads Pipeline'!$F$5:$F$1004,MATCH(C2752,'Leads Pipeline'!$A$5:$A$1004,0)),INDEX('Active Clients'!$D$5:$D$504,MATCH(C2752,'Active Clients'!$A$5:$A$504,0)))&amp;"","ID not found"))</f>
        <v/>
      </c>
      <c r="E2752" s="51" t="str">
        <f aca="false">IF(C2752="","",IFERROR(IF(LEFT(C2752,1)="L",INDEX('Leads Pipeline'!$D$5:$D$1004,MATCH(C2752,'Leads Pipeline'!$A$5:$A$1004,0)),INDEX('Active Clients'!$B$5:$B$504,MATCH(C2752,'Active Clients'!$A$5:$A$504,0)))&amp;"","ID not found"))</f>
        <v/>
      </c>
      <c r="F2752" s="51" t="str">
        <f aca="false">IF(C2752="","",IFERROR(IF(LEFT(C2752,1)="L",INDEX('Leads Pipeline'!$E$5:$E$1004,MATCH(C2752,'Leads Pipeline'!$A$5:$A$1004,0)),INDEX('Active Clients'!$C$5:$C$504,MATCH(C2752,'Active Clients'!$A$5:$A$504,0)))&amp;"","ID not found"))</f>
        <v/>
      </c>
      <c r="G2752" s="16"/>
      <c r="H2752" s="16"/>
      <c r="I2752" s="16"/>
      <c r="J2752" s="16"/>
      <c r="K2752" s="16"/>
      <c r="L2752" s="18"/>
    </row>
    <row r="2753" customFormat="false" ht="15" hidden="false" customHeight="false" outlineLevel="0" collapsed="false">
      <c r="A2753" s="18"/>
      <c r="B2753" s="16"/>
      <c r="C2753" s="16"/>
      <c r="D2753" s="51" t="str">
        <f aca="false">IF(C2753="","",IFERROR(IF(LEFT(C2753,1)="L",INDEX('Leads Pipeline'!$F$5:$F$1004,MATCH(C2753,'Leads Pipeline'!$A$5:$A$1004,0)),INDEX('Active Clients'!$D$5:$D$504,MATCH(C2753,'Active Clients'!$A$5:$A$504,0)))&amp;"","ID not found"))</f>
        <v/>
      </c>
      <c r="E2753" s="51" t="str">
        <f aca="false">IF(C2753="","",IFERROR(IF(LEFT(C2753,1)="L",INDEX('Leads Pipeline'!$D$5:$D$1004,MATCH(C2753,'Leads Pipeline'!$A$5:$A$1004,0)),INDEX('Active Clients'!$B$5:$B$504,MATCH(C2753,'Active Clients'!$A$5:$A$504,0)))&amp;"","ID not found"))</f>
        <v/>
      </c>
      <c r="F2753" s="51" t="str">
        <f aca="false">IF(C2753="","",IFERROR(IF(LEFT(C2753,1)="L",INDEX('Leads Pipeline'!$E$5:$E$1004,MATCH(C2753,'Leads Pipeline'!$A$5:$A$1004,0)),INDEX('Active Clients'!$C$5:$C$504,MATCH(C2753,'Active Clients'!$A$5:$A$504,0)))&amp;"","ID not found"))</f>
        <v/>
      </c>
      <c r="G2753" s="16"/>
      <c r="H2753" s="16"/>
      <c r="I2753" s="16"/>
      <c r="J2753" s="16"/>
      <c r="K2753" s="16"/>
      <c r="L2753" s="18"/>
    </row>
    <row r="2754" customFormat="false" ht="15" hidden="false" customHeight="false" outlineLevel="0" collapsed="false">
      <c r="A2754" s="18"/>
      <c r="B2754" s="16"/>
      <c r="C2754" s="16"/>
      <c r="D2754" s="51" t="str">
        <f aca="false">IF(C2754="","",IFERROR(IF(LEFT(C2754,1)="L",INDEX('Leads Pipeline'!$F$5:$F$1004,MATCH(C2754,'Leads Pipeline'!$A$5:$A$1004,0)),INDEX('Active Clients'!$D$5:$D$504,MATCH(C2754,'Active Clients'!$A$5:$A$504,0)))&amp;"","ID not found"))</f>
        <v/>
      </c>
      <c r="E2754" s="51" t="str">
        <f aca="false">IF(C2754="","",IFERROR(IF(LEFT(C2754,1)="L",INDEX('Leads Pipeline'!$D$5:$D$1004,MATCH(C2754,'Leads Pipeline'!$A$5:$A$1004,0)),INDEX('Active Clients'!$B$5:$B$504,MATCH(C2754,'Active Clients'!$A$5:$A$504,0)))&amp;"","ID not found"))</f>
        <v/>
      </c>
      <c r="F2754" s="51" t="str">
        <f aca="false">IF(C2754="","",IFERROR(IF(LEFT(C2754,1)="L",INDEX('Leads Pipeline'!$E$5:$E$1004,MATCH(C2754,'Leads Pipeline'!$A$5:$A$1004,0)),INDEX('Active Clients'!$C$5:$C$504,MATCH(C2754,'Active Clients'!$A$5:$A$504,0)))&amp;"","ID not found"))</f>
        <v/>
      </c>
      <c r="G2754" s="16"/>
      <c r="H2754" s="16"/>
      <c r="I2754" s="16"/>
      <c r="J2754" s="16"/>
      <c r="K2754" s="16"/>
      <c r="L2754" s="18"/>
    </row>
    <row r="2755" customFormat="false" ht="15" hidden="false" customHeight="false" outlineLevel="0" collapsed="false">
      <c r="A2755" s="18"/>
      <c r="B2755" s="16"/>
      <c r="C2755" s="16"/>
      <c r="D2755" s="51" t="str">
        <f aca="false">IF(C2755="","",IFERROR(IF(LEFT(C2755,1)="L",INDEX('Leads Pipeline'!$F$5:$F$1004,MATCH(C2755,'Leads Pipeline'!$A$5:$A$1004,0)),INDEX('Active Clients'!$D$5:$D$504,MATCH(C2755,'Active Clients'!$A$5:$A$504,0)))&amp;"","ID not found"))</f>
        <v/>
      </c>
      <c r="E2755" s="51" t="str">
        <f aca="false">IF(C2755="","",IFERROR(IF(LEFT(C2755,1)="L",INDEX('Leads Pipeline'!$D$5:$D$1004,MATCH(C2755,'Leads Pipeline'!$A$5:$A$1004,0)),INDEX('Active Clients'!$B$5:$B$504,MATCH(C2755,'Active Clients'!$A$5:$A$504,0)))&amp;"","ID not found"))</f>
        <v/>
      </c>
      <c r="F2755" s="51" t="str">
        <f aca="false">IF(C2755="","",IFERROR(IF(LEFT(C2755,1)="L",INDEX('Leads Pipeline'!$E$5:$E$1004,MATCH(C2755,'Leads Pipeline'!$A$5:$A$1004,0)),INDEX('Active Clients'!$C$5:$C$504,MATCH(C2755,'Active Clients'!$A$5:$A$504,0)))&amp;"","ID not found"))</f>
        <v/>
      </c>
      <c r="G2755" s="16"/>
      <c r="H2755" s="16"/>
      <c r="I2755" s="16"/>
      <c r="J2755" s="16"/>
      <c r="K2755" s="16"/>
      <c r="L2755" s="18"/>
    </row>
    <row r="2756" customFormat="false" ht="15" hidden="false" customHeight="false" outlineLevel="0" collapsed="false">
      <c r="A2756" s="18"/>
      <c r="B2756" s="16"/>
      <c r="C2756" s="16"/>
      <c r="D2756" s="51" t="str">
        <f aca="false">IF(C2756="","",IFERROR(IF(LEFT(C2756,1)="L",INDEX('Leads Pipeline'!$F$5:$F$1004,MATCH(C2756,'Leads Pipeline'!$A$5:$A$1004,0)),INDEX('Active Clients'!$D$5:$D$504,MATCH(C2756,'Active Clients'!$A$5:$A$504,0)))&amp;"","ID not found"))</f>
        <v/>
      </c>
      <c r="E2756" s="51" t="str">
        <f aca="false">IF(C2756="","",IFERROR(IF(LEFT(C2756,1)="L",INDEX('Leads Pipeline'!$D$5:$D$1004,MATCH(C2756,'Leads Pipeline'!$A$5:$A$1004,0)),INDEX('Active Clients'!$B$5:$B$504,MATCH(C2756,'Active Clients'!$A$5:$A$504,0)))&amp;"","ID not found"))</f>
        <v/>
      </c>
      <c r="F2756" s="51" t="str">
        <f aca="false">IF(C2756="","",IFERROR(IF(LEFT(C2756,1)="L",INDEX('Leads Pipeline'!$E$5:$E$1004,MATCH(C2756,'Leads Pipeline'!$A$5:$A$1004,0)),INDEX('Active Clients'!$C$5:$C$504,MATCH(C2756,'Active Clients'!$A$5:$A$504,0)))&amp;"","ID not found"))</f>
        <v/>
      </c>
      <c r="G2756" s="16"/>
      <c r="H2756" s="16"/>
      <c r="I2756" s="16"/>
      <c r="J2756" s="16"/>
      <c r="K2756" s="16"/>
      <c r="L2756" s="18"/>
    </row>
    <row r="2757" customFormat="false" ht="15" hidden="false" customHeight="false" outlineLevel="0" collapsed="false">
      <c r="A2757" s="18"/>
      <c r="B2757" s="16"/>
      <c r="C2757" s="16"/>
      <c r="D2757" s="51" t="str">
        <f aca="false">IF(C2757="","",IFERROR(IF(LEFT(C2757,1)="L",INDEX('Leads Pipeline'!$F$5:$F$1004,MATCH(C2757,'Leads Pipeline'!$A$5:$A$1004,0)),INDEX('Active Clients'!$D$5:$D$504,MATCH(C2757,'Active Clients'!$A$5:$A$504,0)))&amp;"","ID not found"))</f>
        <v/>
      </c>
      <c r="E2757" s="51" t="str">
        <f aca="false">IF(C2757="","",IFERROR(IF(LEFT(C2757,1)="L",INDEX('Leads Pipeline'!$D$5:$D$1004,MATCH(C2757,'Leads Pipeline'!$A$5:$A$1004,0)),INDEX('Active Clients'!$B$5:$B$504,MATCH(C2757,'Active Clients'!$A$5:$A$504,0)))&amp;"","ID not found"))</f>
        <v/>
      </c>
      <c r="F2757" s="51" t="str">
        <f aca="false">IF(C2757="","",IFERROR(IF(LEFT(C2757,1)="L",INDEX('Leads Pipeline'!$E$5:$E$1004,MATCH(C2757,'Leads Pipeline'!$A$5:$A$1004,0)),INDEX('Active Clients'!$C$5:$C$504,MATCH(C2757,'Active Clients'!$A$5:$A$504,0)))&amp;"","ID not found"))</f>
        <v/>
      </c>
      <c r="G2757" s="16"/>
      <c r="H2757" s="16"/>
      <c r="I2757" s="16"/>
      <c r="J2757" s="16"/>
      <c r="K2757" s="16"/>
      <c r="L2757" s="18"/>
    </row>
    <row r="2758" customFormat="false" ht="15" hidden="false" customHeight="false" outlineLevel="0" collapsed="false">
      <c r="A2758" s="18"/>
      <c r="B2758" s="16"/>
      <c r="C2758" s="16"/>
      <c r="D2758" s="51" t="str">
        <f aca="false">IF(C2758="","",IFERROR(IF(LEFT(C2758,1)="L",INDEX('Leads Pipeline'!$F$5:$F$1004,MATCH(C2758,'Leads Pipeline'!$A$5:$A$1004,0)),INDEX('Active Clients'!$D$5:$D$504,MATCH(C2758,'Active Clients'!$A$5:$A$504,0)))&amp;"","ID not found"))</f>
        <v/>
      </c>
      <c r="E2758" s="51" t="str">
        <f aca="false">IF(C2758="","",IFERROR(IF(LEFT(C2758,1)="L",INDEX('Leads Pipeline'!$D$5:$D$1004,MATCH(C2758,'Leads Pipeline'!$A$5:$A$1004,0)),INDEX('Active Clients'!$B$5:$B$504,MATCH(C2758,'Active Clients'!$A$5:$A$504,0)))&amp;"","ID not found"))</f>
        <v/>
      </c>
      <c r="F2758" s="51" t="str">
        <f aca="false">IF(C2758="","",IFERROR(IF(LEFT(C2758,1)="L",INDEX('Leads Pipeline'!$E$5:$E$1004,MATCH(C2758,'Leads Pipeline'!$A$5:$A$1004,0)),INDEX('Active Clients'!$C$5:$C$504,MATCH(C2758,'Active Clients'!$A$5:$A$504,0)))&amp;"","ID not found"))</f>
        <v/>
      </c>
      <c r="G2758" s="16"/>
      <c r="H2758" s="16"/>
      <c r="I2758" s="16"/>
      <c r="J2758" s="16"/>
      <c r="K2758" s="16"/>
      <c r="L2758" s="18"/>
    </row>
    <row r="2759" customFormat="false" ht="15" hidden="false" customHeight="false" outlineLevel="0" collapsed="false">
      <c r="A2759" s="18"/>
      <c r="B2759" s="16"/>
      <c r="C2759" s="16"/>
      <c r="D2759" s="51" t="str">
        <f aca="false">IF(C2759="","",IFERROR(IF(LEFT(C2759,1)="L",INDEX('Leads Pipeline'!$F$5:$F$1004,MATCH(C2759,'Leads Pipeline'!$A$5:$A$1004,0)),INDEX('Active Clients'!$D$5:$D$504,MATCH(C2759,'Active Clients'!$A$5:$A$504,0)))&amp;"","ID not found"))</f>
        <v/>
      </c>
      <c r="E2759" s="51" t="str">
        <f aca="false">IF(C2759="","",IFERROR(IF(LEFT(C2759,1)="L",INDEX('Leads Pipeline'!$D$5:$D$1004,MATCH(C2759,'Leads Pipeline'!$A$5:$A$1004,0)),INDEX('Active Clients'!$B$5:$B$504,MATCH(C2759,'Active Clients'!$A$5:$A$504,0)))&amp;"","ID not found"))</f>
        <v/>
      </c>
      <c r="F2759" s="51" t="str">
        <f aca="false">IF(C2759="","",IFERROR(IF(LEFT(C2759,1)="L",INDEX('Leads Pipeline'!$E$5:$E$1004,MATCH(C2759,'Leads Pipeline'!$A$5:$A$1004,0)),INDEX('Active Clients'!$C$5:$C$504,MATCH(C2759,'Active Clients'!$A$5:$A$504,0)))&amp;"","ID not found"))</f>
        <v/>
      </c>
      <c r="G2759" s="16"/>
      <c r="H2759" s="16"/>
      <c r="I2759" s="16"/>
      <c r="J2759" s="16"/>
      <c r="K2759" s="16"/>
      <c r="L2759" s="18"/>
    </row>
    <row r="2760" customFormat="false" ht="15" hidden="false" customHeight="false" outlineLevel="0" collapsed="false">
      <c r="A2760" s="18"/>
      <c r="B2760" s="16"/>
      <c r="C2760" s="16"/>
      <c r="D2760" s="51" t="str">
        <f aca="false">IF(C2760="","",IFERROR(IF(LEFT(C2760,1)="L",INDEX('Leads Pipeline'!$F$5:$F$1004,MATCH(C2760,'Leads Pipeline'!$A$5:$A$1004,0)),INDEX('Active Clients'!$D$5:$D$504,MATCH(C2760,'Active Clients'!$A$5:$A$504,0)))&amp;"","ID not found"))</f>
        <v/>
      </c>
      <c r="E2760" s="51" t="str">
        <f aca="false">IF(C2760="","",IFERROR(IF(LEFT(C2760,1)="L",INDEX('Leads Pipeline'!$D$5:$D$1004,MATCH(C2760,'Leads Pipeline'!$A$5:$A$1004,0)),INDEX('Active Clients'!$B$5:$B$504,MATCH(C2760,'Active Clients'!$A$5:$A$504,0)))&amp;"","ID not found"))</f>
        <v/>
      </c>
      <c r="F2760" s="51" t="str">
        <f aca="false">IF(C2760="","",IFERROR(IF(LEFT(C2760,1)="L",INDEX('Leads Pipeline'!$E$5:$E$1004,MATCH(C2760,'Leads Pipeline'!$A$5:$A$1004,0)),INDEX('Active Clients'!$C$5:$C$504,MATCH(C2760,'Active Clients'!$A$5:$A$504,0)))&amp;"","ID not found"))</f>
        <v/>
      </c>
      <c r="G2760" s="16"/>
      <c r="H2760" s="16"/>
      <c r="I2760" s="16"/>
      <c r="J2760" s="16"/>
      <c r="K2760" s="16"/>
      <c r="L2760" s="18"/>
    </row>
    <row r="2761" customFormat="false" ht="15" hidden="false" customHeight="false" outlineLevel="0" collapsed="false">
      <c r="A2761" s="18"/>
      <c r="B2761" s="16"/>
      <c r="C2761" s="16"/>
      <c r="D2761" s="51" t="str">
        <f aca="false">IF(C2761="","",IFERROR(IF(LEFT(C2761,1)="L",INDEX('Leads Pipeline'!$F$5:$F$1004,MATCH(C2761,'Leads Pipeline'!$A$5:$A$1004,0)),INDEX('Active Clients'!$D$5:$D$504,MATCH(C2761,'Active Clients'!$A$5:$A$504,0)))&amp;"","ID not found"))</f>
        <v/>
      </c>
      <c r="E2761" s="51" t="str">
        <f aca="false">IF(C2761="","",IFERROR(IF(LEFT(C2761,1)="L",INDEX('Leads Pipeline'!$D$5:$D$1004,MATCH(C2761,'Leads Pipeline'!$A$5:$A$1004,0)),INDEX('Active Clients'!$B$5:$B$504,MATCH(C2761,'Active Clients'!$A$5:$A$504,0)))&amp;"","ID not found"))</f>
        <v/>
      </c>
      <c r="F2761" s="51" t="str">
        <f aca="false">IF(C2761="","",IFERROR(IF(LEFT(C2761,1)="L",INDEX('Leads Pipeline'!$E$5:$E$1004,MATCH(C2761,'Leads Pipeline'!$A$5:$A$1004,0)),INDEX('Active Clients'!$C$5:$C$504,MATCH(C2761,'Active Clients'!$A$5:$A$504,0)))&amp;"","ID not found"))</f>
        <v/>
      </c>
      <c r="G2761" s="16"/>
      <c r="H2761" s="16"/>
      <c r="I2761" s="16"/>
      <c r="J2761" s="16"/>
      <c r="K2761" s="16"/>
      <c r="L2761" s="18"/>
    </row>
    <row r="2762" customFormat="false" ht="15" hidden="false" customHeight="false" outlineLevel="0" collapsed="false">
      <c r="A2762" s="18"/>
      <c r="B2762" s="16"/>
      <c r="C2762" s="16"/>
      <c r="D2762" s="51" t="str">
        <f aca="false">IF(C2762="","",IFERROR(IF(LEFT(C2762,1)="L",INDEX('Leads Pipeline'!$F$5:$F$1004,MATCH(C2762,'Leads Pipeline'!$A$5:$A$1004,0)),INDEX('Active Clients'!$D$5:$D$504,MATCH(C2762,'Active Clients'!$A$5:$A$504,0)))&amp;"","ID not found"))</f>
        <v/>
      </c>
      <c r="E2762" s="51" t="str">
        <f aca="false">IF(C2762="","",IFERROR(IF(LEFT(C2762,1)="L",INDEX('Leads Pipeline'!$D$5:$D$1004,MATCH(C2762,'Leads Pipeline'!$A$5:$A$1004,0)),INDEX('Active Clients'!$B$5:$B$504,MATCH(C2762,'Active Clients'!$A$5:$A$504,0)))&amp;"","ID not found"))</f>
        <v/>
      </c>
      <c r="F2762" s="51" t="str">
        <f aca="false">IF(C2762="","",IFERROR(IF(LEFT(C2762,1)="L",INDEX('Leads Pipeline'!$E$5:$E$1004,MATCH(C2762,'Leads Pipeline'!$A$5:$A$1004,0)),INDEX('Active Clients'!$C$5:$C$504,MATCH(C2762,'Active Clients'!$A$5:$A$504,0)))&amp;"","ID not found"))</f>
        <v/>
      </c>
      <c r="G2762" s="16"/>
      <c r="H2762" s="16"/>
      <c r="I2762" s="16"/>
      <c r="J2762" s="16"/>
      <c r="K2762" s="16"/>
      <c r="L2762" s="18"/>
    </row>
    <row r="2763" customFormat="false" ht="15" hidden="false" customHeight="false" outlineLevel="0" collapsed="false">
      <c r="A2763" s="18"/>
      <c r="B2763" s="16"/>
      <c r="C2763" s="16"/>
      <c r="D2763" s="51" t="str">
        <f aca="false">IF(C2763="","",IFERROR(IF(LEFT(C2763,1)="L",INDEX('Leads Pipeline'!$F$5:$F$1004,MATCH(C2763,'Leads Pipeline'!$A$5:$A$1004,0)),INDEX('Active Clients'!$D$5:$D$504,MATCH(C2763,'Active Clients'!$A$5:$A$504,0)))&amp;"","ID not found"))</f>
        <v/>
      </c>
      <c r="E2763" s="51" t="str">
        <f aca="false">IF(C2763="","",IFERROR(IF(LEFT(C2763,1)="L",INDEX('Leads Pipeline'!$D$5:$D$1004,MATCH(C2763,'Leads Pipeline'!$A$5:$A$1004,0)),INDEX('Active Clients'!$B$5:$B$504,MATCH(C2763,'Active Clients'!$A$5:$A$504,0)))&amp;"","ID not found"))</f>
        <v/>
      </c>
      <c r="F2763" s="51" t="str">
        <f aca="false">IF(C2763="","",IFERROR(IF(LEFT(C2763,1)="L",INDEX('Leads Pipeline'!$E$5:$E$1004,MATCH(C2763,'Leads Pipeline'!$A$5:$A$1004,0)),INDEX('Active Clients'!$C$5:$C$504,MATCH(C2763,'Active Clients'!$A$5:$A$504,0)))&amp;"","ID not found"))</f>
        <v/>
      </c>
      <c r="G2763" s="16"/>
      <c r="H2763" s="16"/>
      <c r="I2763" s="16"/>
      <c r="J2763" s="16"/>
      <c r="K2763" s="16"/>
      <c r="L2763" s="18"/>
    </row>
    <row r="2764" customFormat="false" ht="15" hidden="false" customHeight="false" outlineLevel="0" collapsed="false">
      <c r="A2764" s="18"/>
      <c r="B2764" s="16"/>
      <c r="C2764" s="16"/>
      <c r="D2764" s="51" t="str">
        <f aca="false">IF(C2764="","",IFERROR(IF(LEFT(C2764,1)="L",INDEX('Leads Pipeline'!$F$5:$F$1004,MATCH(C2764,'Leads Pipeline'!$A$5:$A$1004,0)),INDEX('Active Clients'!$D$5:$D$504,MATCH(C2764,'Active Clients'!$A$5:$A$504,0)))&amp;"","ID not found"))</f>
        <v/>
      </c>
      <c r="E2764" s="51" t="str">
        <f aca="false">IF(C2764="","",IFERROR(IF(LEFT(C2764,1)="L",INDEX('Leads Pipeline'!$D$5:$D$1004,MATCH(C2764,'Leads Pipeline'!$A$5:$A$1004,0)),INDEX('Active Clients'!$B$5:$B$504,MATCH(C2764,'Active Clients'!$A$5:$A$504,0)))&amp;"","ID not found"))</f>
        <v/>
      </c>
      <c r="F2764" s="51" t="str">
        <f aca="false">IF(C2764="","",IFERROR(IF(LEFT(C2764,1)="L",INDEX('Leads Pipeline'!$E$5:$E$1004,MATCH(C2764,'Leads Pipeline'!$A$5:$A$1004,0)),INDEX('Active Clients'!$C$5:$C$504,MATCH(C2764,'Active Clients'!$A$5:$A$504,0)))&amp;"","ID not found"))</f>
        <v/>
      </c>
      <c r="G2764" s="16"/>
      <c r="H2764" s="16"/>
      <c r="I2764" s="16"/>
      <c r="J2764" s="16"/>
      <c r="K2764" s="16"/>
      <c r="L2764" s="18"/>
    </row>
    <row r="2765" customFormat="false" ht="15" hidden="false" customHeight="false" outlineLevel="0" collapsed="false">
      <c r="A2765" s="18"/>
      <c r="B2765" s="16"/>
      <c r="C2765" s="16"/>
      <c r="D2765" s="51" t="str">
        <f aca="false">IF(C2765="","",IFERROR(IF(LEFT(C2765,1)="L",INDEX('Leads Pipeline'!$F$5:$F$1004,MATCH(C2765,'Leads Pipeline'!$A$5:$A$1004,0)),INDEX('Active Clients'!$D$5:$D$504,MATCH(C2765,'Active Clients'!$A$5:$A$504,0)))&amp;"","ID not found"))</f>
        <v/>
      </c>
      <c r="E2765" s="51" t="str">
        <f aca="false">IF(C2765="","",IFERROR(IF(LEFT(C2765,1)="L",INDEX('Leads Pipeline'!$D$5:$D$1004,MATCH(C2765,'Leads Pipeline'!$A$5:$A$1004,0)),INDEX('Active Clients'!$B$5:$B$504,MATCH(C2765,'Active Clients'!$A$5:$A$504,0)))&amp;"","ID not found"))</f>
        <v/>
      </c>
      <c r="F2765" s="51" t="str">
        <f aca="false">IF(C2765="","",IFERROR(IF(LEFT(C2765,1)="L",INDEX('Leads Pipeline'!$E$5:$E$1004,MATCH(C2765,'Leads Pipeline'!$A$5:$A$1004,0)),INDEX('Active Clients'!$C$5:$C$504,MATCH(C2765,'Active Clients'!$A$5:$A$504,0)))&amp;"","ID not found"))</f>
        <v/>
      </c>
      <c r="G2765" s="16"/>
      <c r="H2765" s="16"/>
      <c r="I2765" s="16"/>
      <c r="J2765" s="16"/>
      <c r="K2765" s="16"/>
      <c r="L2765" s="18"/>
    </row>
    <row r="2766" customFormat="false" ht="15" hidden="false" customHeight="false" outlineLevel="0" collapsed="false">
      <c r="A2766" s="18"/>
      <c r="B2766" s="16"/>
      <c r="C2766" s="16"/>
      <c r="D2766" s="51" t="str">
        <f aca="false">IF(C2766="","",IFERROR(IF(LEFT(C2766,1)="L",INDEX('Leads Pipeline'!$F$5:$F$1004,MATCH(C2766,'Leads Pipeline'!$A$5:$A$1004,0)),INDEX('Active Clients'!$D$5:$D$504,MATCH(C2766,'Active Clients'!$A$5:$A$504,0)))&amp;"","ID not found"))</f>
        <v/>
      </c>
      <c r="E2766" s="51" t="str">
        <f aca="false">IF(C2766="","",IFERROR(IF(LEFT(C2766,1)="L",INDEX('Leads Pipeline'!$D$5:$D$1004,MATCH(C2766,'Leads Pipeline'!$A$5:$A$1004,0)),INDEX('Active Clients'!$B$5:$B$504,MATCH(C2766,'Active Clients'!$A$5:$A$504,0)))&amp;"","ID not found"))</f>
        <v/>
      </c>
      <c r="F2766" s="51" t="str">
        <f aca="false">IF(C2766="","",IFERROR(IF(LEFT(C2766,1)="L",INDEX('Leads Pipeline'!$E$5:$E$1004,MATCH(C2766,'Leads Pipeline'!$A$5:$A$1004,0)),INDEX('Active Clients'!$C$5:$C$504,MATCH(C2766,'Active Clients'!$A$5:$A$504,0)))&amp;"","ID not found"))</f>
        <v/>
      </c>
      <c r="G2766" s="16"/>
      <c r="H2766" s="16"/>
      <c r="I2766" s="16"/>
      <c r="J2766" s="16"/>
      <c r="K2766" s="16"/>
      <c r="L2766" s="18"/>
    </row>
    <row r="2767" customFormat="false" ht="15" hidden="false" customHeight="false" outlineLevel="0" collapsed="false">
      <c r="A2767" s="18"/>
      <c r="B2767" s="16"/>
      <c r="C2767" s="16"/>
      <c r="D2767" s="51" t="str">
        <f aca="false">IF(C2767="","",IFERROR(IF(LEFT(C2767,1)="L",INDEX('Leads Pipeline'!$F$5:$F$1004,MATCH(C2767,'Leads Pipeline'!$A$5:$A$1004,0)),INDEX('Active Clients'!$D$5:$D$504,MATCH(C2767,'Active Clients'!$A$5:$A$504,0)))&amp;"","ID not found"))</f>
        <v/>
      </c>
      <c r="E2767" s="51" t="str">
        <f aca="false">IF(C2767="","",IFERROR(IF(LEFT(C2767,1)="L",INDEX('Leads Pipeline'!$D$5:$D$1004,MATCH(C2767,'Leads Pipeline'!$A$5:$A$1004,0)),INDEX('Active Clients'!$B$5:$B$504,MATCH(C2767,'Active Clients'!$A$5:$A$504,0)))&amp;"","ID not found"))</f>
        <v/>
      </c>
      <c r="F2767" s="51" t="str">
        <f aca="false">IF(C2767="","",IFERROR(IF(LEFT(C2767,1)="L",INDEX('Leads Pipeline'!$E$5:$E$1004,MATCH(C2767,'Leads Pipeline'!$A$5:$A$1004,0)),INDEX('Active Clients'!$C$5:$C$504,MATCH(C2767,'Active Clients'!$A$5:$A$504,0)))&amp;"","ID not found"))</f>
        <v/>
      </c>
      <c r="G2767" s="16"/>
      <c r="H2767" s="16"/>
      <c r="I2767" s="16"/>
      <c r="J2767" s="16"/>
      <c r="K2767" s="16"/>
      <c r="L2767" s="18"/>
    </row>
    <row r="2768" customFormat="false" ht="15" hidden="false" customHeight="false" outlineLevel="0" collapsed="false">
      <c r="A2768" s="18"/>
      <c r="B2768" s="16"/>
      <c r="C2768" s="16"/>
      <c r="D2768" s="51" t="str">
        <f aca="false">IF(C2768="","",IFERROR(IF(LEFT(C2768,1)="L",INDEX('Leads Pipeline'!$F$5:$F$1004,MATCH(C2768,'Leads Pipeline'!$A$5:$A$1004,0)),INDEX('Active Clients'!$D$5:$D$504,MATCH(C2768,'Active Clients'!$A$5:$A$504,0)))&amp;"","ID not found"))</f>
        <v/>
      </c>
      <c r="E2768" s="51" t="str">
        <f aca="false">IF(C2768="","",IFERROR(IF(LEFT(C2768,1)="L",INDEX('Leads Pipeline'!$D$5:$D$1004,MATCH(C2768,'Leads Pipeline'!$A$5:$A$1004,0)),INDEX('Active Clients'!$B$5:$B$504,MATCH(C2768,'Active Clients'!$A$5:$A$504,0)))&amp;"","ID not found"))</f>
        <v/>
      </c>
      <c r="F2768" s="51" t="str">
        <f aca="false">IF(C2768="","",IFERROR(IF(LEFT(C2768,1)="L",INDEX('Leads Pipeline'!$E$5:$E$1004,MATCH(C2768,'Leads Pipeline'!$A$5:$A$1004,0)),INDEX('Active Clients'!$C$5:$C$504,MATCH(C2768,'Active Clients'!$A$5:$A$504,0)))&amp;"","ID not found"))</f>
        <v/>
      </c>
      <c r="G2768" s="16"/>
      <c r="H2768" s="16"/>
      <c r="I2768" s="16"/>
      <c r="J2768" s="16"/>
      <c r="K2768" s="16"/>
      <c r="L2768" s="18"/>
    </row>
    <row r="2769" customFormat="false" ht="15" hidden="false" customHeight="false" outlineLevel="0" collapsed="false">
      <c r="A2769" s="18"/>
      <c r="B2769" s="16"/>
      <c r="C2769" s="16"/>
      <c r="D2769" s="51" t="str">
        <f aca="false">IF(C2769="","",IFERROR(IF(LEFT(C2769,1)="L",INDEX('Leads Pipeline'!$F$5:$F$1004,MATCH(C2769,'Leads Pipeline'!$A$5:$A$1004,0)),INDEX('Active Clients'!$D$5:$D$504,MATCH(C2769,'Active Clients'!$A$5:$A$504,0)))&amp;"","ID not found"))</f>
        <v/>
      </c>
      <c r="E2769" s="51" t="str">
        <f aca="false">IF(C2769="","",IFERROR(IF(LEFT(C2769,1)="L",INDEX('Leads Pipeline'!$D$5:$D$1004,MATCH(C2769,'Leads Pipeline'!$A$5:$A$1004,0)),INDEX('Active Clients'!$B$5:$B$504,MATCH(C2769,'Active Clients'!$A$5:$A$504,0)))&amp;"","ID not found"))</f>
        <v/>
      </c>
      <c r="F2769" s="51" t="str">
        <f aca="false">IF(C2769="","",IFERROR(IF(LEFT(C2769,1)="L",INDEX('Leads Pipeline'!$E$5:$E$1004,MATCH(C2769,'Leads Pipeline'!$A$5:$A$1004,0)),INDEX('Active Clients'!$C$5:$C$504,MATCH(C2769,'Active Clients'!$A$5:$A$504,0)))&amp;"","ID not found"))</f>
        <v/>
      </c>
      <c r="G2769" s="16"/>
      <c r="H2769" s="16"/>
      <c r="I2769" s="16"/>
      <c r="J2769" s="16"/>
      <c r="K2769" s="16"/>
      <c r="L2769" s="18"/>
    </row>
    <row r="2770" customFormat="false" ht="15" hidden="false" customHeight="false" outlineLevel="0" collapsed="false">
      <c r="A2770" s="18"/>
      <c r="B2770" s="16"/>
      <c r="C2770" s="16"/>
      <c r="D2770" s="51" t="str">
        <f aca="false">IF(C2770="","",IFERROR(IF(LEFT(C2770,1)="L",INDEX('Leads Pipeline'!$F$5:$F$1004,MATCH(C2770,'Leads Pipeline'!$A$5:$A$1004,0)),INDEX('Active Clients'!$D$5:$D$504,MATCH(C2770,'Active Clients'!$A$5:$A$504,0)))&amp;"","ID not found"))</f>
        <v/>
      </c>
      <c r="E2770" s="51" t="str">
        <f aca="false">IF(C2770="","",IFERROR(IF(LEFT(C2770,1)="L",INDEX('Leads Pipeline'!$D$5:$D$1004,MATCH(C2770,'Leads Pipeline'!$A$5:$A$1004,0)),INDEX('Active Clients'!$B$5:$B$504,MATCH(C2770,'Active Clients'!$A$5:$A$504,0)))&amp;"","ID not found"))</f>
        <v/>
      </c>
      <c r="F2770" s="51" t="str">
        <f aca="false">IF(C2770="","",IFERROR(IF(LEFT(C2770,1)="L",INDEX('Leads Pipeline'!$E$5:$E$1004,MATCH(C2770,'Leads Pipeline'!$A$5:$A$1004,0)),INDEX('Active Clients'!$C$5:$C$504,MATCH(C2770,'Active Clients'!$A$5:$A$504,0)))&amp;"","ID not found"))</f>
        <v/>
      </c>
      <c r="G2770" s="16"/>
      <c r="H2770" s="16"/>
      <c r="I2770" s="16"/>
      <c r="J2770" s="16"/>
      <c r="K2770" s="16"/>
      <c r="L2770" s="18"/>
    </row>
    <row r="2771" customFormat="false" ht="15" hidden="false" customHeight="false" outlineLevel="0" collapsed="false">
      <c r="A2771" s="18"/>
      <c r="B2771" s="16"/>
      <c r="C2771" s="16"/>
      <c r="D2771" s="51" t="str">
        <f aca="false">IF(C2771="","",IFERROR(IF(LEFT(C2771,1)="L",INDEX('Leads Pipeline'!$F$5:$F$1004,MATCH(C2771,'Leads Pipeline'!$A$5:$A$1004,0)),INDEX('Active Clients'!$D$5:$D$504,MATCH(C2771,'Active Clients'!$A$5:$A$504,0)))&amp;"","ID not found"))</f>
        <v/>
      </c>
      <c r="E2771" s="51" t="str">
        <f aca="false">IF(C2771="","",IFERROR(IF(LEFT(C2771,1)="L",INDEX('Leads Pipeline'!$D$5:$D$1004,MATCH(C2771,'Leads Pipeline'!$A$5:$A$1004,0)),INDEX('Active Clients'!$B$5:$B$504,MATCH(C2771,'Active Clients'!$A$5:$A$504,0)))&amp;"","ID not found"))</f>
        <v/>
      </c>
      <c r="F2771" s="51" t="str">
        <f aca="false">IF(C2771="","",IFERROR(IF(LEFT(C2771,1)="L",INDEX('Leads Pipeline'!$E$5:$E$1004,MATCH(C2771,'Leads Pipeline'!$A$5:$A$1004,0)),INDEX('Active Clients'!$C$5:$C$504,MATCH(C2771,'Active Clients'!$A$5:$A$504,0)))&amp;"","ID not found"))</f>
        <v/>
      </c>
      <c r="G2771" s="16"/>
      <c r="H2771" s="16"/>
      <c r="I2771" s="16"/>
      <c r="J2771" s="16"/>
      <c r="K2771" s="16"/>
      <c r="L2771" s="18"/>
    </row>
    <row r="2772" customFormat="false" ht="15" hidden="false" customHeight="false" outlineLevel="0" collapsed="false">
      <c r="A2772" s="18"/>
      <c r="B2772" s="16"/>
      <c r="C2772" s="16"/>
      <c r="D2772" s="51" t="str">
        <f aca="false">IF(C2772="","",IFERROR(IF(LEFT(C2772,1)="L",INDEX('Leads Pipeline'!$F$5:$F$1004,MATCH(C2772,'Leads Pipeline'!$A$5:$A$1004,0)),INDEX('Active Clients'!$D$5:$D$504,MATCH(C2772,'Active Clients'!$A$5:$A$504,0)))&amp;"","ID not found"))</f>
        <v/>
      </c>
      <c r="E2772" s="51" t="str">
        <f aca="false">IF(C2772="","",IFERROR(IF(LEFT(C2772,1)="L",INDEX('Leads Pipeline'!$D$5:$D$1004,MATCH(C2772,'Leads Pipeline'!$A$5:$A$1004,0)),INDEX('Active Clients'!$B$5:$B$504,MATCH(C2772,'Active Clients'!$A$5:$A$504,0)))&amp;"","ID not found"))</f>
        <v/>
      </c>
      <c r="F2772" s="51" t="str">
        <f aca="false">IF(C2772="","",IFERROR(IF(LEFT(C2772,1)="L",INDEX('Leads Pipeline'!$E$5:$E$1004,MATCH(C2772,'Leads Pipeline'!$A$5:$A$1004,0)),INDEX('Active Clients'!$C$5:$C$504,MATCH(C2772,'Active Clients'!$A$5:$A$504,0)))&amp;"","ID not found"))</f>
        <v/>
      </c>
      <c r="G2772" s="16"/>
      <c r="H2772" s="16"/>
      <c r="I2772" s="16"/>
      <c r="J2772" s="16"/>
      <c r="K2772" s="16"/>
      <c r="L2772" s="18"/>
    </row>
    <row r="2773" customFormat="false" ht="15" hidden="false" customHeight="false" outlineLevel="0" collapsed="false">
      <c r="A2773" s="18"/>
      <c r="B2773" s="16"/>
      <c r="C2773" s="16"/>
      <c r="D2773" s="51" t="str">
        <f aca="false">IF(C2773="","",IFERROR(IF(LEFT(C2773,1)="L",INDEX('Leads Pipeline'!$F$5:$F$1004,MATCH(C2773,'Leads Pipeline'!$A$5:$A$1004,0)),INDEX('Active Clients'!$D$5:$D$504,MATCH(C2773,'Active Clients'!$A$5:$A$504,0)))&amp;"","ID not found"))</f>
        <v/>
      </c>
      <c r="E2773" s="51" t="str">
        <f aca="false">IF(C2773="","",IFERROR(IF(LEFT(C2773,1)="L",INDEX('Leads Pipeline'!$D$5:$D$1004,MATCH(C2773,'Leads Pipeline'!$A$5:$A$1004,0)),INDEX('Active Clients'!$B$5:$B$504,MATCH(C2773,'Active Clients'!$A$5:$A$504,0)))&amp;"","ID not found"))</f>
        <v/>
      </c>
      <c r="F2773" s="51" t="str">
        <f aca="false">IF(C2773="","",IFERROR(IF(LEFT(C2773,1)="L",INDEX('Leads Pipeline'!$E$5:$E$1004,MATCH(C2773,'Leads Pipeline'!$A$5:$A$1004,0)),INDEX('Active Clients'!$C$5:$C$504,MATCH(C2773,'Active Clients'!$A$5:$A$504,0)))&amp;"","ID not found"))</f>
        <v/>
      </c>
      <c r="G2773" s="16"/>
      <c r="H2773" s="16"/>
      <c r="I2773" s="16"/>
      <c r="J2773" s="16"/>
      <c r="K2773" s="16"/>
      <c r="L2773" s="18"/>
    </row>
    <row r="2774" customFormat="false" ht="15" hidden="false" customHeight="false" outlineLevel="0" collapsed="false">
      <c r="A2774" s="18"/>
      <c r="B2774" s="16"/>
      <c r="C2774" s="16"/>
      <c r="D2774" s="51" t="str">
        <f aca="false">IF(C2774="","",IFERROR(IF(LEFT(C2774,1)="L",INDEX('Leads Pipeline'!$F$5:$F$1004,MATCH(C2774,'Leads Pipeline'!$A$5:$A$1004,0)),INDEX('Active Clients'!$D$5:$D$504,MATCH(C2774,'Active Clients'!$A$5:$A$504,0)))&amp;"","ID not found"))</f>
        <v/>
      </c>
      <c r="E2774" s="51" t="str">
        <f aca="false">IF(C2774="","",IFERROR(IF(LEFT(C2774,1)="L",INDEX('Leads Pipeline'!$D$5:$D$1004,MATCH(C2774,'Leads Pipeline'!$A$5:$A$1004,0)),INDEX('Active Clients'!$B$5:$B$504,MATCH(C2774,'Active Clients'!$A$5:$A$504,0)))&amp;"","ID not found"))</f>
        <v/>
      </c>
      <c r="F2774" s="51" t="str">
        <f aca="false">IF(C2774="","",IFERROR(IF(LEFT(C2774,1)="L",INDEX('Leads Pipeline'!$E$5:$E$1004,MATCH(C2774,'Leads Pipeline'!$A$5:$A$1004,0)),INDEX('Active Clients'!$C$5:$C$504,MATCH(C2774,'Active Clients'!$A$5:$A$504,0)))&amp;"","ID not found"))</f>
        <v/>
      </c>
      <c r="G2774" s="16"/>
      <c r="H2774" s="16"/>
      <c r="I2774" s="16"/>
      <c r="J2774" s="16"/>
      <c r="K2774" s="16"/>
      <c r="L2774" s="18"/>
    </row>
    <row r="2775" customFormat="false" ht="15" hidden="false" customHeight="false" outlineLevel="0" collapsed="false">
      <c r="A2775" s="18"/>
      <c r="B2775" s="16"/>
      <c r="C2775" s="16"/>
      <c r="D2775" s="51" t="str">
        <f aca="false">IF(C2775="","",IFERROR(IF(LEFT(C2775,1)="L",INDEX('Leads Pipeline'!$F$5:$F$1004,MATCH(C2775,'Leads Pipeline'!$A$5:$A$1004,0)),INDEX('Active Clients'!$D$5:$D$504,MATCH(C2775,'Active Clients'!$A$5:$A$504,0)))&amp;"","ID not found"))</f>
        <v/>
      </c>
      <c r="E2775" s="51" t="str">
        <f aca="false">IF(C2775="","",IFERROR(IF(LEFT(C2775,1)="L",INDEX('Leads Pipeline'!$D$5:$D$1004,MATCH(C2775,'Leads Pipeline'!$A$5:$A$1004,0)),INDEX('Active Clients'!$B$5:$B$504,MATCH(C2775,'Active Clients'!$A$5:$A$504,0)))&amp;"","ID not found"))</f>
        <v/>
      </c>
      <c r="F2775" s="51" t="str">
        <f aca="false">IF(C2775="","",IFERROR(IF(LEFT(C2775,1)="L",INDEX('Leads Pipeline'!$E$5:$E$1004,MATCH(C2775,'Leads Pipeline'!$A$5:$A$1004,0)),INDEX('Active Clients'!$C$5:$C$504,MATCH(C2775,'Active Clients'!$A$5:$A$504,0)))&amp;"","ID not found"))</f>
        <v/>
      </c>
      <c r="G2775" s="16"/>
      <c r="H2775" s="16"/>
      <c r="I2775" s="16"/>
      <c r="J2775" s="16"/>
      <c r="K2775" s="16"/>
      <c r="L2775" s="18"/>
    </row>
    <row r="2776" customFormat="false" ht="15" hidden="false" customHeight="false" outlineLevel="0" collapsed="false">
      <c r="A2776" s="18"/>
      <c r="B2776" s="16"/>
      <c r="C2776" s="16"/>
      <c r="D2776" s="51" t="str">
        <f aca="false">IF(C2776="","",IFERROR(IF(LEFT(C2776,1)="L",INDEX('Leads Pipeline'!$F$5:$F$1004,MATCH(C2776,'Leads Pipeline'!$A$5:$A$1004,0)),INDEX('Active Clients'!$D$5:$D$504,MATCH(C2776,'Active Clients'!$A$5:$A$504,0)))&amp;"","ID not found"))</f>
        <v/>
      </c>
      <c r="E2776" s="51" t="str">
        <f aca="false">IF(C2776="","",IFERROR(IF(LEFT(C2776,1)="L",INDEX('Leads Pipeline'!$D$5:$D$1004,MATCH(C2776,'Leads Pipeline'!$A$5:$A$1004,0)),INDEX('Active Clients'!$B$5:$B$504,MATCH(C2776,'Active Clients'!$A$5:$A$504,0)))&amp;"","ID not found"))</f>
        <v/>
      </c>
      <c r="F2776" s="51" t="str">
        <f aca="false">IF(C2776="","",IFERROR(IF(LEFT(C2776,1)="L",INDEX('Leads Pipeline'!$E$5:$E$1004,MATCH(C2776,'Leads Pipeline'!$A$5:$A$1004,0)),INDEX('Active Clients'!$C$5:$C$504,MATCH(C2776,'Active Clients'!$A$5:$A$504,0)))&amp;"","ID not found"))</f>
        <v/>
      </c>
      <c r="G2776" s="16"/>
      <c r="H2776" s="16"/>
      <c r="I2776" s="16"/>
      <c r="J2776" s="16"/>
      <c r="K2776" s="16"/>
      <c r="L2776" s="18"/>
    </row>
    <row r="2777" customFormat="false" ht="15" hidden="false" customHeight="false" outlineLevel="0" collapsed="false">
      <c r="A2777" s="18"/>
      <c r="B2777" s="16"/>
      <c r="C2777" s="16"/>
      <c r="D2777" s="51" t="str">
        <f aca="false">IF(C2777="","",IFERROR(IF(LEFT(C2777,1)="L",INDEX('Leads Pipeline'!$F$5:$F$1004,MATCH(C2777,'Leads Pipeline'!$A$5:$A$1004,0)),INDEX('Active Clients'!$D$5:$D$504,MATCH(C2777,'Active Clients'!$A$5:$A$504,0)))&amp;"","ID not found"))</f>
        <v/>
      </c>
      <c r="E2777" s="51" t="str">
        <f aca="false">IF(C2777="","",IFERROR(IF(LEFT(C2777,1)="L",INDEX('Leads Pipeline'!$D$5:$D$1004,MATCH(C2777,'Leads Pipeline'!$A$5:$A$1004,0)),INDEX('Active Clients'!$B$5:$B$504,MATCH(C2777,'Active Clients'!$A$5:$A$504,0)))&amp;"","ID not found"))</f>
        <v/>
      </c>
      <c r="F2777" s="51" t="str">
        <f aca="false">IF(C2777="","",IFERROR(IF(LEFT(C2777,1)="L",INDEX('Leads Pipeline'!$E$5:$E$1004,MATCH(C2777,'Leads Pipeline'!$A$5:$A$1004,0)),INDEX('Active Clients'!$C$5:$C$504,MATCH(C2777,'Active Clients'!$A$5:$A$504,0)))&amp;"","ID not found"))</f>
        <v/>
      </c>
      <c r="G2777" s="16"/>
      <c r="H2777" s="16"/>
      <c r="I2777" s="16"/>
      <c r="J2777" s="16"/>
      <c r="K2777" s="16"/>
      <c r="L2777" s="18"/>
    </row>
    <row r="2778" customFormat="false" ht="15" hidden="false" customHeight="false" outlineLevel="0" collapsed="false">
      <c r="A2778" s="18"/>
      <c r="B2778" s="16"/>
      <c r="C2778" s="16"/>
      <c r="D2778" s="51" t="str">
        <f aca="false">IF(C2778="","",IFERROR(IF(LEFT(C2778,1)="L",INDEX('Leads Pipeline'!$F$5:$F$1004,MATCH(C2778,'Leads Pipeline'!$A$5:$A$1004,0)),INDEX('Active Clients'!$D$5:$D$504,MATCH(C2778,'Active Clients'!$A$5:$A$504,0)))&amp;"","ID not found"))</f>
        <v/>
      </c>
      <c r="E2778" s="51" t="str">
        <f aca="false">IF(C2778="","",IFERROR(IF(LEFT(C2778,1)="L",INDEX('Leads Pipeline'!$D$5:$D$1004,MATCH(C2778,'Leads Pipeline'!$A$5:$A$1004,0)),INDEX('Active Clients'!$B$5:$B$504,MATCH(C2778,'Active Clients'!$A$5:$A$504,0)))&amp;"","ID not found"))</f>
        <v/>
      </c>
      <c r="F2778" s="51" t="str">
        <f aca="false">IF(C2778="","",IFERROR(IF(LEFT(C2778,1)="L",INDEX('Leads Pipeline'!$E$5:$E$1004,MATCH(C2778,'Leads Pipeline'!$A$5:$A$1004,0)),INDEX('Active Clients'!$C$5:$C$504,MATCH(C2778,'Active Clients'!$A$5:$A$504,0)))&amp;"","ID not found"))</f>
        <v/>
      </c>
      <c r="G2778" s="16"/>
      <c r="H2778" s="16"/>
      <c r="I2778" s="16"/>
      <c r="J2778" s="16"/>
      <c r="K2778" s="16"/>
      <c r="L2778" s="18"/>
    </row>
    <row r="2779" customFormat="false" ht="15" hidden="false" customHeight="false" outlineLevel="0" collapsed="false">
      <c r="A2779" s="18"/>
      <c r="B2779" s="16"/>
      <c r="C2779" s="16"/>
      <c r="D2779" s="51" t="str">
        <f aca="false">IF(C2779="","",IFERROR(IF(LEFT(C2779,1)="L",INDEX('Leads Pipeline'!$F$5:$F$1004,MATCH(C2779,'Leads Pipeline'!$A$5:$A$1004,0)),INDEX('Active Clients'!$D$5:$D$504,MATCH(C2779,'Active Clients'!$A$5:$A$504,0)))&amp;"","ID not found"))</f>
        <v/>
      </c>
      <c r="E2779" s="51" t="str">
        <f aca="false">IF(C2779="","",IFERROR(IF(LEFT(C2779,1)="L",INDEX('Leads Pipeline'!$D$5:$D$1004,MATCH(C2779,'Leads Pipeline'!$A$5:$A$1004,0)),INDEX('Active Clients'!$B$5:$B$504,MATCH(C2779,'Active Clients'!$A$5:$A$504,0)))&amp;"","ID not found"))</f>
        <v/>
      </c>
      <c r="F2779" s="51" t="str">
        <f aca="false">IF(C2779="","",IFERROR(IF(LEFT(C2779,1)="L",INDEX('Leads Pipeline'!$E$5:$E$1004,MATCH(C2779,'Leads Pipeline'!$A$5:$A$1004,0)),INDEX('Active Clients'!$C$5:$C$504,MATCH(C2779,'Active Clients'!$A$5:$A$504,0)))&amp;"","ID not found"))</f>
        <v/>
      </c>
      <c r="G2779" s="16"/>
      <c r="H2779" s="16"/>
      <c r="I2779" s="16"/>
      <c r="J2779" s="16"/>
      <c r="K2779" s="16"/>
      <c r="L2779" s="18"/>
    </row>
    <row r="2780" customFormat="false" ht="15" hidden="false" customHeight="false" outlineLevel="0" collapsed="false">
      <c r="A2780" s="18"/>
      <c r="B2780" s="16"/>
      <c r="C2780" s="16"/>
      <c r="D2780" s="51" t="str">
        <f aca="false">IF(C2780="","",IFERROR(IF(LEFT(C2780,1)="L",INDEX('Leads Pipeline'!$F$5:$F$1004,MATCH(C2780,'Leads Pipeline'!$A$5:$A$1004,0)),INDEX('Active Clients'!$D$5:$D$504,MATCH(C2780,'Active Clients'!$A$5:$A$504,0)))&amp;"","ID not found"))</f>
        <v/>
      </c>
      <c r="E2780" s="51" t="str">
        <f aca="false">IF(C2780="","",IFERROR(IF(LEFT(C2780,1)="L",INDEX('Leads Pipeline'!$D$5:$D$1004,MATCH(C2780,'Leads Pipeline'!$A$5:$A$1004,0)),INDEX('Active Clients'!$B$5:$B$504,MATCH(C2780,'Active Clients'!$A$5:$A$504,0)))&amp;"","ID not found"))</f>
        <v/>
      </c>
      <c r="F2780" s="51" t="str">
        <f aca="false">IF(C2780="","",IFERROR(IF(LEFT(C2780,1)="L",INDEX('Leads Pipeline'!$E$5:$E$1004,MATCH(C2780,'Leads Pipeline'!$A$5:$A$1004,0)),INDEX('Active Clients'!$C$5:$C$504,MATCH(C2780,'Active Clients'!$A$5:$A$504,0)))&amp;"","ID not found"))</f>
        <v/>
      </c>
      <c r="G2780" s="16"/>
      <c r="H2780" s="16"/>
      <c r="I2780" s="16"/>
      <c r="J2780" s="16"/>
      <c r="K2780" s="16"/>
      <c r="L2780" s="18"/>
    </row>
    <row r="2781" customFormat="false" ht="15" hidden="false" customHeight="false" outlineLevel="0" collapsed="false">
      <c r="A2781" s="18"/>
      <c r="B2781" s="16"/>
      <c r="C2781" s="16"/>
      <c r="D2781" s="51" t="str">
        <f aca="false">IF(C2781="","",IFERROR(IF(LEFT(C2781,1)="L",INDEX('Leads Pipeline'!$F$5:$F$1004,MATCH(C2781,'Leads Pipeline'!$A$5:$A$1004,0)),INDEX('Active Clients'!$D$5:$D$504,MATCH(C2781,'Active Clients'!$A$5:$A$504,0)))&amp;"","ID not found"))</f>
        <v/>
      </c>
      <c r="E2781" s="51" t="str">
        <f aca="false">IF(C2781="","",IFERROR(IF(LEFT(C2781,1)="L",INDEX('Leads Pipeline'!$D$5:$D$1004,MATCH(C2781,'Leads Pipeline'!$A$5:$A$1004,0)),INDEX('Active Clients'!$B$5:$B$504,MATCH(C2781,'Active Clients'!$A$5:$A$504,0)))&amp;"","ID not found"))</f>
        <v/>
      </c>
      <c r="F2781" s="51" t="str">
        <f aca="false">IF(C2781="","",IFERROR(IF(LEFT(C2781,1)="L",INDEX('Leads Pipeline'!$E$5:$E$1004,MATCH(C2781,'Leads Pipeline'!$A$5:$A$1004,0)),INDEX('Active Clients'!$C$5:$C$504,MATCH(C2781,'Active Clients'!$A$5:$A$504,0)))&amp;"","ID not found"))</f>
        <v/>
      </c>
      <c r="G2781" s="16"/>
      <c r="H2781" s="16"/>
      <c r="I2781" s="16"/>
      <c r="J2781" s="16"/>
      <c r="K2781" s="16"/>
      <c r="L2781" s="18"/>
    </row>
    <row r="2782" customFormat="false" ht="15" hidden="false" customHeight="false" outlineLevel="0" collapsed="false">
      <c r="A2782" s="18"/>
      <c r="B2782" s="16"/>
      <c r="C2782" s="16"/>
      <c r="D2782" s="51" t="str">
        <f aca="false">IF(C2782="","",IFERROR(IF(LEFT(C2782,1)="L",INDEX('Leads Pipeline'!$F$5:$F$1004,MATCH(C2782,'Leads Pipeline'!$A$5:$A$1004,0)),INDEX('Active Clients'!$D$5:$D$504,MATCH(C2782,'Active Clients'!$A$5:$A$504,0)))&amp;"","ID not found"))</f>
        <v/>
      </c>
      <c r="E2782" s="51" t="str">
        <f aca="false">IF(C2782="","",IFERROR(IF(LEFT(C2782,1)="L",INDEX('Leads Pipeline'!$D$5:$D$1004,MATCH(C2782,'Leads Pipeline'!$A$5:$A$1004,0)),INDEX('Active Clients'!$B$5:$B$504,MATCH(C2782,'Active Clients'!$A$5:$A$504,0)))&amp;"","ID not found"))</f>
        <v/>
      </c>
      <c r="F2782" s="51" t="str">
        <f aca="false">IF(C2782="","",IFERROR(IF(LEFT(C2782,1)="L",INDEX('Leads Pipeline'!$E$5:$E$1004,MATCH(C2782,'Leads Pipeline'!$A$5:$A$1004,0)),INDEX('Active Clients'!$C$5:$C$504,MATCH(C2782,'Active Clients'!$A$5:$A$504,0)))&amp;"","ID not found"))</f>
        <v/>
      </c>
      <c r="G2782" s="16"/>
      <c r="H2782" s="16"/>
      <c r="I2782" s="16"/>
      <c r="J2782" s="16"/>
      <c r="K2782" s="16"/>
      <c r="L2782" s="18"/>
    </row>
    <row r="2783" customFormat="false" ht="15" hidden="false" customHeight="false" outlineLevel="0" collapsed="false">
      <c r="A2783" s="18"/>
      <c r="B2783" s="16"/>
      <c r="C2783" s="16"/>
      <c r="D2783" s="51" t="str">
        <f aca="false">IF(C2783="","",IFERROR(IF(LEFT(C2783,1)="L",INDEX('Leads Pipeline'!$F$5:$F$1004,MATCH(C2783,'Leads Pipeline'!$A$5:$A$1004,0)),INDEX('Active Clients'!$D$5:$D$504,MATCH(C2783,'Active Clients'!$A$5:$A$504,0)))&amp;"","ID not found"))</f>
        <v/>
      </c>
      <c r="E2783" s="51" t="str">
        <f aca="false">IF(C2783="","",IFERROR(IF(LEFT(C2783,1)="L",INDEX('Leads Pipeline'!$D$5:$D$1004,MATCH(C2783,'Leads Pipeline'!$A$5:$A$1004,0)),INDEX('Active Clients'!$B$5:$B$504,MATCH(C2783,'Active Clients'!$A$5:$A$504,0)))&amp;"","ID not found"))</f>
        <v/>
      </c>
      <c r="F2783" s="51" t="str">
        <f aca="false">IF(C2783="","",IFERROR(IF(LEFT(C2783,1)="L",INDEX('Leads Pipeline'!$E$5:$E$1004,MATCH(C2783,'Leads Pipeline'!$A$5:$A$1004,0)),INDEX('Active Clients'!$C$5:$C$504,MATCH(C2783,'Active Clients'!$A$5:$A$504,0)))&amp;"","ID not found"))</f>
        <v/>
      </c>
      <c r="G2783" s="16"/>
      <c r="H2783" s="16"/>
      <c r="I2783" s="16"/>
      <c r="J2783" s="16"/>
      <c r="K2783" s="16"/>
      <c r="L2783" s="18"/>
    </row>
    <row r="2784" customFormat="false" ht="15" hidden="false" customHeight="false" outlineLevel="0" collapsed="false">
      <c r="A2784" s="18"/>
      <c r="B2784" s="16"/>
      <c r="C2784" s="16"/>
      <c r="D2784" s="51" t="str">
        <f aca="false">IF(C2784="","",IFERROR(IF(LEFT(C2784,1)="L",INDEX('Leads Pipeline'!$F$5:$F$1004,MATCH(C2784,'Leads Pipeline'!$A$5:$A$1004,0)),INDEX('Active Clients'!$D$5:$D$504,MATCH(C2784,'Active Clients'!$A$5:$A$504,0)))&amp;"","ID not found"))</f>
        <v/>
      </c>
      <c r="E2784" s="51" t="str">
        <f aca="false">IF(C2784="","",IFERROR(IF(LEFT(C2784,1)="L",INDEX('Leads Pipeline'!$D$5:$D$1004,MATCH(C2784,'Leads Pipeline'!$A$5:$A$1004,0)),INDEX('Active Clients'!$B$5:$B$504,MATCH(C2784,'Active Clients'!$A$5:$A$504,0)))&amp;"","ID not found"))</f>
        <v/>
      </c>
      <c r="F2784" s="51" t="str">
        <f aca="false">IF(C2784="","",IFERROR(IF(LEFT(C2784,1)="L",INDEX('Leads Pipeline'!$E$5:$E$1004,MATCH(C2784,'Leads Pipeline'!$A$5:$A$1004,0)),INDEX('Active Clients'!$C$5:$C$504,MATCH(C2784,'Active Clients'!$A$5:$A$504,0)))&amp;"","ID not found"))</f>
        <v/>
      </c>
      <c r="G2784" s="16"/>
      <c r="H2784" s="16"/>
      <c r="I2784" s="16"/>
      <c r="J2784" s="16"/>
      <c r="K2784" s="16"/>
      <c r="L2784" s="18"/>
    </row>
    <row r="2785" customFormat="false" ht="15" hidden="false" customHeight="false" outlineLevel="0" collapsed="false">
      <c r="A2785" s="18"/>
      <c r="B2785" s="16"/>
      <c r="C2785" s="16"/>
      <c r="D2785" s="51" t="str">
        <f aca="false">IF(C2785="","",IFERROR(IF(LEFT(C2785,1)="L",INDEX('Leads Pipeline'!$F$5:$F$1004,MATCH(C2785,'Leads Pipeline'!$A$5:$A$1004,0)),INDEX('Active Clients'!$D$5:$D$504,MATCH(C2785,'Active Clients'!$A$5:$A$504,0)))&amp;"","ID not found"))</f>
        <v/>
      </c>
      <c r="E2785" s="51" t="str">
        <f aca="false">IF(C2785="","",IFERROR(IF(LEFT(C2785,1)="L",INDEX('Leads Pipeline'!$D$5:$D$1004,MATCH(C2785,'Leads Pipeline'!$A$5:$A$1004,0)),INDEX('Active Clients'!$B$5:$B$504,MATCH(C2785,'Active Clients'!$A$5:$A$504,0)))&amp;"","ID not found"))</f>
        <v/>
      </c>
      <c r="F2785" s="51" t="str">
        <f aca="false">IF(C2785="","",IFERROR(IF(LEFT(C2785,1)="L",INDEX('Leads Pipeline'!$E$5:$E$1004,MATCH(C2785,'Leads Pipeline'!$A$5:$A$1004,0)),INDEX('Active Clients'!$C$5:$C$504,MATCH(C2785,'Active Clients'!$A$5:$A$504,0)))&amp;"","ID not found"))</f>
        <v/>
      </c>
      <c r="G2785" s="16"/>
      <c r="H2785" s="16"/>
      <c r="I2785" s="16"/>
      <c r="J2785" s="16"/>
      <c r="K2785" s="16"/>
      <c r="L2785" s="18"/>
    </row>
    <row r="2786" customFormat="false" ht="15" hidden="false" customHeight="false" outlineLevel="0" collapsed="false">
      <c r="A2786" s="18"/>
      <c r="B2786" s="16"/>
      <c r="C2786" s="16"/>
      <c r="D2786" s="51" t="str">
        <f aca="false">IF(C2786="","",IFERROR(IF(LEFT(C2786,1)="L",INDEX('Leads Pipeline'!$F$5:$F$1004,MATCH(C2786,'Leads Pipeline'!$A$5:$A$1004,0)),INDEX('Active Clients'!$D$5:$D$504,MATCH(C2786,'Active Clients'!$A$5:$A$504,0)))&amp;"","ID not found"))</f>
        <v/>
      </c>
      <c r="E2786" s="51" t="str">
        <f aca="false">IF(C2786="","",IFERROR(IF(LEFT(C2786,1)="L",INDEX('Leads Pipeline'!$D$5:$D$1004,MATCH(C2786,'Leads Pipeline'!$A$5:$A$1004,0)),INDEX('Active Clients'!$B$5:$B$504,MATCH(C2786,'Active Clients'!$A$5:$A$504,0)))&amp;"","ID not found"))</f>
        <v/>
      </c>
      <c r="F2786" s="51" t="str">
        <f aca="false">IF(C2786="","",IFERROR(IF(LEFT(C2786,1)="L",INDEX('Leads Pipeline'!$E$5:$E$1004,MATCH(C2786,'Leads Pipeline'!$A$5:$A$1004,0)),INDEX('Active Clients'!$C$5:$C$504,MATCH(C2786,'Active Clients'!$A$5:$A$504,0)))&amp;"","ID not found"))</f>
        <v/>
      </c>
      <c r="G2786" s="16"/>
      <c r="H2786" s="16"/>
      <c r="I2786" s="16"/>
      <c r="J2786" s="16"/>
      <c r="K2786" s="16"/>
      <c r="L2786" s="18"/>
    </row>
    <row r="2787" customFormat="false" ht="15" hidden="false" customHeight="false" outlineLevel="0" collapsed="false">
      <c r="A2787" s="18"/>
      <c r="B2787" s="16"/>
      <c r="C2787" s="16"/>
      <c r="D2787" s="51" t="str">
        <f aca="false">IF(C2787="","",IFERROR(IF(LEFT(C2787,1)="L",INDEX('Leads Pipeline'!$F$5:$F$1004,MATCH(C2787,'Leads Pipeline'!$A$5:$A$1004,0)),INDEX('Active Clients'!$D$5:$D$504,MATCH(C2787,'Active Clients'!$A$5:$A$504,0)))&amp;"","ID not found"))</f>
        <v/>
      </c>
      <c r="E2787" s="51" t="str">
        <f aca="false">IF(C2787="","",IFERROR(IF(LEFT(C2787,1)="L",INDEX('Leads Pipeline'!$D$5:$D$1004,MATCH(C2787,'Leads Pipeline'!$A$5:$A$1004,0)),INDEX('Active Clients'!$B$5:$B$504,MATCH(C2787,'Active Clients'!$A$5:$A$504,0)))&amp;"","ID not found"))</f>
        <v/>
      </c>
      <c r="F2787" s="51" t="str">
        <f aca="false">IF(C2787="","",IFERROR(IF(LEFT(C2787,1)="L",INDEX('Leads Pipeline'!$E$5:$E$1004,MATCH(C2787,'Leads Pipeline'!$A$5:$A$1004,0)),INDEX('Active Clients'!$C$5:$C$504,MATCH(C2787,'Active Clients'!$A$5:$A$504,0)))&amp;"","ID not found"))</f>
        <v/>
      </c>
      <c r="G2787" s="16"/>
      <c r="H2787" s="16"/>
      <c r="I2787" s="16"/>
      <c r="J2787" s="16"/>
      <c r="K2787" s="16"/>
      <c r="L2787" s="18"/>
    </row>
    <row r="2788" customFormat="false" ht="15" hidden="false" customHeight="false" outlineLevel="0" collapsed="false">
      <c r="A2788" s="18"/>
      <c r="B2788" s="16"/>
      <c r="C2788" s="16"/>
      <c r="D2788" s="51" t="str">
        <f aca="false">IF(C2788="","",IFERROR(IF(LEFT(C2788,1)="L",INDEX('Leads Pipeline'!$F$5:$F$1004,MATCH(C2788,'Leads Pipeline'!$A$5:$A$1004,0)),INDEX('Active Clients'!$D$5:$D$504,MATCH(C2788,'Active Clients'!$A$5:$A$504,0)))&amp;"","ID not found"))</f>
        <v/>
      </c>
      <c r="E2788" s="51" t="str">
        <f aca="false">IF(C2788="","",IFERROR(IF(LEFT(C2788,1)="L",INDEX('Leads Pipeline'!$D$5:$D$1004,MATCH(C2788,'Leads Pipeline'!$A$5:$A$1004,0)),INDEX('Active Clients'!$B$5:$B$504,MATCH(C2788,'Active Clients'!$A$5:$A$504,0)))&amp;"","ID not found"))</f>
        <v/>
      </c>
      <c r="F2788" s="51" t="str">
        <f aca="false">IF(C2788="","",IFERROR(IF(LEFT(C2788,1)="L",INDEX('Leads Pipeline'!$E$5:$E$1004,MATCH(C2788,'Leads Pipeline'!$A$5:$A$1004,0)),INDEX('Active Clients'!$C$5:$C$504,MATCH(C2788,'Active Clients'!$A$5:$A$504,0)))&amp;"","ID not found"))</f>
        <v/>
      </c>
      <c r="G2788" s="16"/>
      <c r="H2788" s="16"/>
      <c r="I2788" s="16"/>
      <c r="J2788" s="16"/>
      <c r="K2788" s="16"/>
      <c r="L2788" s="18"/>
    </row>
    <row r="2789" customFormat="false" ht="15" hidden="false" customHeight="false" outlineLevel="0" collapsed="false">
      <c r="A2789" s="18"/>
      <c r="B2789" s="16"/>
      <c r="C2789" s="16"/>
      <c r="D2789" s="51" t="str">
        <f aca="false">IF(C2789="","",IFERROR(IF(LEFT(C2789,1)="L",INDEX('Leads Pipeline'!$F$5:$F$1004,MATCH(C2789,'Leads Pipeline'!$A$5:$A$1004,0)),INDEX('Active Clients'!$D$5:$D$504,MATCH(C2789,'Active Clients'!$A$5:$A$504,0)))&amp;"","ID not found"))</f>
        <v/>
      </c>
      <c r="E2789" s="51" t="str">
        <f aca="false">IF(C2789="","",IFERROR(IF(LEFT(C2789,1)="L",INDEX('Leads Pipeline'!$D$5:$D$1004,MATCH(C2789,'Leads Pipeline'!$A$5:$A$1004,0)),INDEX('Active Clients'!$B$5:$B$504,MATCH(C2789,'Active Clients'!$A$5:$A$504,0)))&amp;"","ID not found"))</f>
        <v/>
      </c>
      <c r="F2789" s="51" t="str">
        <f aca="false">IF(C2789="","",IFERROR(IF(LEFT(C2789,1)="L",INDEX('Leads Pipeline'!$E$5:$E$1004,MATCH(C2789,'Leads Pipeline'!$A$5:$A$1004,0)),INDEX('Active Clients'!$C$5:$C$504,MATCH(C2789,'Active Clients'!$A$5:$A$504,0)))&amp;"","ID not found"))</f>
        <v/>
      </c>
      <c r="G2789" s="16"/>
      <c r="H2789" s="16"/>
      <c r="I2789" s="16"/>
      <c r="J2789" s="16"/>
      <c r="K2789" s="16"/>
      <c r="L2789" s="18"/>
    </row>
    <row r="2790" customFormat="false" ht="15" hidden="false" customHeight="false" outlineLevel="0" collapsed="false">
      <c r="A2790" s="18"/>
      <c r="B2790" s="16"/>
      <c r="C2790" s="16"/>
      <c r="D2790" s="51" t="str">
        <f aca="false">IF(C2790="","",IFERROR(IF(LEFT(C2790,1)="L",INDEX('Leads Pipeline'!$F$5:$F$1004,MATCH(C2790,'Leads Pipeline'!$A$5:$A$1004,0)),INDEX('Active Clients'!$D$5:$D$504,MATCH(C2790,'Active Clients'!$A$5:$A$504,0)))&amp;"","ID not found"))</f>
        <v/>
      </c>
      <c r="E2790" s="51" t="str">
        <f aca="false">IF(C2790="","",IFERROR(IF(LEFT(C2790,1)="L",INDEX('Leads Pipeline'!$D$5:$D$1004,MATCH(C2790,'Leads Pipeline'!$A$5:$A$1004,0)),INDEX('Active Clients'!$B$5:$B$504,MATCH(C2790,'Active Clients'!$A$5:$A$504,0)))&amp;"","ID not found"))</f>
        <v/>
      </c>
      <c r="F2790" s="51" t="str">
        <f aca="false">IF(C2790="","",IFERROR(IF(LEFT(C2790,1)="L",INDEX('Leads Pipeline'!$E$5:$E$1004,MATCH(C2790,'Leads Pipeline'!$A$5:$A$1004,0)),INDEX('Active Clients'!$C$5:$C$504,MATCH(C2790,'Active Clients'!$A$5:$A$504,0)))&amp;"","ID not found"))</f>
        <v/>
      </c>
      <c r="G2790" s="16"/>
      <c r="H2790" s="16"/>
      <c r="I2790" s="16"/>
      <c r="J2790" s="16"/>
      <c r="K2790" s="16"/>
      <c r="L2790" s="18"/>
    </row>
    <row r="2791" customFormat="false" ht="15" hidden="false" customHeight="false" outlineLevel="0" collapsed="false">
      <c r="A2791" s="18"/>
      <c r="B2791" s="16"/>
      <c r="C2791" s="16"/>
      <c r="D2791" s="51" t="str">
        <f aca="false">IF(C2791="","",IFERROR(IF(LEFT(C2791,1)="L",INDEX('Leads Pipeline'!$F$5:$F$1004,MATCH(C2791,'Leads Pipeline'!$A$5:$A$1004,0)),INDEX('Active Clients'!$D$5:$D$504,MATCH(C2791,'Active Clients'!$A$5:$A$504,0)))&amp;"","ID not found"))</f>
        <v/>
      </c>
      <c r="E2791" s="51" t="str">
        <f aca="false">IF(C2791="","",IFERROR(IF(LEFT(C2791,1)="L",INDEX('Leads Pipeline'!$D$5:$D$1004,MATCH(C2791,'Leads Pipeline'!$A$5:$A$1004,0)),INDEX('Active Clients'!$B$5:$B$504,MATCH(C2791,'Active Clients'!$A$5:$A$504,0)))&amp;"","ID not found"))</f>
        <v/>
      </c>
      <c r="F2791" s="51" t="str">
        <f aca="false">IF(C2791="","",IFERROR(IF(LEFT(C2791,1)="L",INDEX('Leads Pipeline'!$E$5:$E$1004,MATCH(C2791,'Leads Pipeline'!$A$5:$A$1004,0)),INDEX('Active Clients'!$C$5:$C$504,MATCH(C2791,'Active Clients'!$A$5:$A$504,0)))&amp;"","ID not found"))</f>
        <v/>
      </c>
      <c r="G2791" s="16"/>
      <c r="H2791" s="16"/>
      <c r="I2791" s="16"/>
      <c r="J2791" s="16"/>
      <c r="K2791" s="16"/>
      <c r="L2791" s="18"/>
    </row>
    <row r="2792" customFormat="false" ht="15" hidden="false" customHeight="false" outlineLevel="0" collapsed="false">
      <c r="A2792" s="18"/>
      <c r="B2792" s="16"/>
      <c r="C2792" s="16"/>
      <c r="D2792" s="51" t="str">
        <f aca="false">IF(C2792="","",IFERROR(IF(LEFT(C2792,1)="L",INDEX('Leads Pipeline'!$F$5:$F$1004,MATCH(C2792,'Leads Pipeline'!$A$5:$A$1004,0)),INDEX('Active Clients'!$D$5:$D$504,MATCH(C2792,'Active Clients'!$A$5:$A$504,0)))&amp;"","ID not found"))</f>
        <v/>
      </c>
      <c r="E2792" s="51" t="str">
        <f aca="false">IF(C2792="","",IFERROR(IF(LEFT(C2792,1)="L",INDEX('Leads Pipeline'!$D$5:$D$1004,MATCH(C2792,'Leads Pipeline'!$A$5:$A$1004,0)),INDEX('Active Clients'!$B$5:$B$504,MATCH(C2792,'Active Clients'!$A$5:$A$504,0)))&amp;"","ID not found"))</f>
        <v/>
      </c>
      <c r="F2792" s="51" t="str">
        <f aca="false">IF(C2792="","",IFERROR(IF(LEFT(C2792,1)="L",INDEX('Leads Pipeline'!$E$5:$E$1004,MATCH(C2792,'Leads Pipeline'!$A$5:$A$1004,0)),INDEX('Active Clients'!$C$5:$C$504,MATCH(C2792,'Active Clients'!$A$5:$A$504,0)))&amp;"","ID not found"))</f>
        <v/>
      </c>
      <c r="G2792" s="16"/>
      <c r="H2792" s="16"/>
      <c r="I2792" s="16"/>
      <c r="J2792" s="16"/>
      <c r="K2792" s="16"/>
      <c r="L2792" s="18"/>
    </row>
    <row r="2793" customFormat="false" ht="15" hidden="false" customHeight="false" outlineLevel="0" collapsed="false">
      <c r="A2793" s="18"/>
      <c r="B2793" s="16"/>
      <c r="C2793" s="16"/>
      <c r="D2793" s="51" t="str">
        <f aca="false">IF(C2793="","",IFERROR(IF(LEFT(C2793,1)="L",INDEX('Leads Pipeline'!$F$5:$F$1004,MATCH(C2793,'Leads Pipeline'!$A$5:$A$1004,0)),INDEX('Active Clients'!$D$5:$D$504,MATCH(C2793,'Active Clients'!$A$5:$A$504,0)))&amp;"","ID not found"))</f>
        <v/>
      </c>
      <c r="E2793" s="51" t="str">
        <f aca="false">IF(C2793="","",IFERROR(IF(LEFT(C2793,1)="L",INDEX('Leads Pipeline'!$D$5:$D$1004,MATCH(C2793,'Leads Pipeline'!$A$5:$A$1004,0)),INDEX('Active Clients'!$B$5:$B$504,MATCH(C2793,'Active Clients'!$A$5:$A$504,0)))&amp;"","ID not found"))</f>
        <v/>
      </c>
      <c r="F2793" s="51" t="str">
        <f aca="false">IF(C2793="","",IFERROR(IF(LEFT(C2793,1)="L",INDEX('Leads Pipeline'!$E$5:$E$1004,MATCH(C2793,'Leads Pipeline'!$A$5:$A$1004,0)),INDEX('Active Clients'!$C$5:$C$504,MATCH(C2793,'Active Clients'!$A$5:$A$504,0)))&amp;"","ID not found"))</f>
        <v/>
      </c>
      <c r="G2793" s="16"/>
      <c r="H2793" s="16"/>
      <c r="I2793" s="16"/>
      <c r="J2793" s="16"/>
      <c r="K2793" s="16"/>
      <c r="L2793" s="18"/>
    </row>
    <row r="2794" customFormat="false" ht="15" hidden="false" customHeight="false" outlineLevel="0" collapsed="false">
      <c r="A2794" s="18"/>
      <c r="B2794" s="16"/>
      <c r="C2794" s="16"/>
      <c r="D2794" s="51" t="str">
        <f aca="false">IF(C2794="","",IFERROR(IF(LEFT(C2794,1)="L",INDEX('Leads Pipeline'!$F$5:$F$1004,MATCH(C2794,'Leads Pipeline'!$A$5:$A$1004,0)),INDEX('Active Clients'!$D$5:$D$504,MATCH(C2794,'Active Clients'!$A$5:$A$504,0)))&amp;"","ID not found"))</f>
        <v/>
      </c>
      <c r="E2794" s="51" t="str">
        <f aca="false">IF(C2794="","",IFERROR(IF(LEFT(C2794,1)="L",INDEX('Leads Pipeline'!$D$5:$D$1004,MATCH(C2794,'Leads Pipeline'!$A$5:$A$1004,0)),INDEX('Active Clients'!$B$5:$B$504,MATCH(C2794,'Active Clients'!$A$5:$A$504,0)))&amp;"","ID not found"))</f>
        <v/>
      </c>
      <c r="F2794" s="51" t="str">
        <f aca="false">IF(C2794="","",IFERROR(IF(LEFT(C2794,1)="L",INDEX('Leads Pipeline'!$E$5:$E$1004,MATCH(C2794,'Leads Pipeline'!$A$5:$A$1004,0)),INDEX('Active Clients'!$C$5:$C$504,MATCH(C2794,'Active Clients'!$A$5:$A$504,0)))&amp;"","ID not found"))</f>
        <v/>
      </c>
      <c r="G2794" s="16"/>
      <c r="H2794" s="16"/>
      <c r="I2794" s="16"/>
      <c r="J2794" s="16"/>
      <c r="K2794" s="16"/>
      <c r="L2794" s="18"/>
    </row>
    <row r="2795" customFormat="false" ht="15" hidden="false" customHeight="false" outlineLevel="0" collapsed="false">
      <c r="A2795" s="18"/>
      <c r="B2795" s="16"/>
      <c r="C2795" s="16"/>
      <c r="D2795" s="51" t="str">
        <f aca="false">IF(C2795="","",IFERROR(IF(LEFT(C2795,1)="L",INDEX('Leads Pipeline'!$F$5:$F$1004,MATCH(C2795,'Leads Pipeline'!$A$5:$A$1004,0)),INDEX('Active Clients'!$D$5:$D$504,MATCH(C2795,'Active Clients'!$A$5:$A$504,0)))&amp;"","ID not found"))</f>
        <v/>
      </c>
      <c r="E2795" s="51" t="str">
        <f aca="false">IF(C2795="","",IFERROR(IF(LEFT(C2795,1)="L",INDEX('Leads Pipeline'!$D$5:$D$1004,MATCH(C2795,'Leads Pipeline'!$A$5:$A$1004,0)),INDEX('Active Clients'!$B$5:$B$504,MATCH(C2795,'Active Clients'!$A$5:$A$504,0)))&amp;"","ID not found"))</f>
        <v/>
      </c>
      <c r="F2795" s="51" t="str">
        <f aca="false">IF(C2795="","",IFERROR(IF(LEFT(C2795,1)="L",INDEX('Leads Pipeline'!$E$5:$E$1004,MATCH(C2795,'Leads Pipeline'!$A$5:$A$1004,0)),INDEX('Active Clients'!$C$5:$C$504,MATCH(C2795,'Active Clients'!$A$5:$A$504,0)))&amp;"","ID not found"))</f>
        <v/>
      </c>
      <c r="G2795" s="16"/>
      <c r="H2795" s="16"/>
      <c r="I2795" s="16"/>
      <c r="J2795" s="16"/>
      <c r="K2795" s="16"/>
      <c r="L2795" s="18"/>
    </row>
    <row r="2796" customFormat="false" ht="15" hidden="false" customHeight="false" outlineLevel="0" collapsed="false">
      <c r="A2796" s="18"/>
      <c r="B2796" s="16"/>
      <c r="C2796" s="16"/>
      <c r="D2796" s="51" t="str">
        <f aca="false">IF(C2796="","",IFERROR(IF(LEFT(C2796,1)="L",INDEX('Leads Pipeline'!$F$5:$F$1004,MATCH(C2796,'Leads Pipeline'!$A$5:$A$1004,0)),INDEX('Active Clients'!$D$5:$D$504,MATCH(C2796,'Active Clients'!$A$5:$A$504,0)))&amp;"","ID not found"))</f>
        <v/>
      </c>
      <c r="E2796" s="51" t="str">
        <f aca="false">IF(C2796="","",IFERROR(IF(LEFT(C2796,1)="L",INDEX('Leads Pipeline'!$D$5:$D$1004,MATCH(C2796,'Leads Pipeline'!$A$5:$A$1004,0)),INDEX('Active Clients'!$B$5:$B$504,MATCH(C2796,'Active Clients'!$A$5:$A$504,0)))&amp;"","ID not found"))</f>
        <v/>
      </c>
      <c r="F2796" s="51" t="str">
        <f aca="false">IF(C2796="","",IFERROR(IF(LEFT(C2796,1)="L",INDEX('Leads Pipeline'!$E$5:$E$1004,MATCH(C2796,'Leads Pipeline'!$A$5:$A$1004,0)),INDEX('Active Clients'!$C$5:$C$504,MATCH(C2796,'Active Clients'!$A$5:$A$504,0)))&amp;"","ID not found"))</f>
        <v/>
      </c>
      <c r="G2796" s="16"/>
      <c r="H2796" s="16"/>
      <c r="I2796" s="16"/>
      <c r="J2796" s="16"/>
      <c r="K2796" s="16"/>
      <c r="L2796" s="18"/>
    </row>
    <row r="2797" customFormat="false" ht="15" hidden="false" customHeight="false" outlineLevel="0" collapsed="false">
      <c r="A2797" s="18"/>
      <c r="B2797" s="16"/>
      <c r="C2797" s="16"/>
      <c r="D2797" s="51" t="str">
        <f aca="false">IF(C2797="","",IFERROR(IF(LEFT(C2797,1)="L",INDEX('Leads Pipeline'!$F$5:$F$1004,MATCH(C2797,'Leads Pipeline'!$A$5:$A$1004,0)),INDEX('Active Clients'!$D$5:$D$504,MATCH(C2797,'Active Clients'!$A$5:$A$504,0)))&amp;"","ID not found"))</f>
        <v/>
      </c>
      <c r="E2797" s="51" t="str">
        <f aca="false">IF(C2797="","",IFERROR(IF(LEFT(C2797,1)="L",INDEX('Leads Pipeline'!$D$5:$D$1004,MATCH(C2797,'Leads Pipeline'!$A$5:$A$1004,0)),INDEX('Active Clients'!$B$5:$B$504,MATCH(C2797,'Active Clients'!$A$5:$A$504,0)))&amp;"","ID not found"))</f>
        <v/>
      </c>
      <c r="F2797" s="51" t="str">
        <f aca="false">IF(C2797="","",IFERROR(IF(LEFT(C2797,1)="L",INDEX('Leads Pipeline'!$E$5:$E$1004,MATCH(C2797,'Leads Pipeline'!$A$5:$A$1004,0)),INDEX('Active Clients'!$C$5:$C$504,MATCH(C2797,'Active Clients'!$A$5:$A$504,0)))&amp;"","ID not found"))</f>
        <v/>
      </c>
      <c r="G2797" s="16"/>
      <c r="H2797" s="16"/>
      <c r="I2797" s="16"/>
      <c r="J2797" s="16"/>
      <c r="K2797" s="16"/>
      <c r="L2797" s="18"/>
    </row>
    <row r="2798" customFormat="false" ht="15" hidden="false" customHeight="false" outlineLevel="0" collapsed="false">
      <c r="A2798" s="18"/>
      <c r="B2798" s="16"/>
      <c r="C2798" s="16"/>
      <c r="D2798" s="51" t="str">
        <f aca="false">IF(C2798="","",IFERROR(IF(LEFT(C2798,1)="L",INDEX('Leads Pipeline'!$F$5:$F$1004,MATCH(C2798,'Leads Pipeline'!$A$5:$A$1004,0)),INDEX('Active Clients'!$D$5:$D$504,MATCH(C2798,'Active Clients'!$A$5:$A$504,0)))&amp;"","ID not found"))</f>
        <v/>
      </c>
      <c r="E2798" s="51" t="str">
        <f aca="false">IF(C2798="","",IFERROR(IF(LEFT(C2798,1)="L",INDEX('Leads Pipeline'!$D$5:$D$1004,MATCH(C2798,'Leads Pipeline'!$A$5:$A$1004,0)),INDEX('Active Clients'!$B$5:$B$504,MATCH(C2798,'Active Clients'!$A$5:$A$504,0)))&amp;"","ID not found"))</f>
        <v/>
      </c>
      <c r="F2798" s="51" t="str">
        <f aca="false">IF(C2798="","",IFERROR(IF(LEFT(C2798,1)="L",INDEX('Leads Pipeline'!$E$5:$E$1004,MATCH(C2798,'Leads Pipeline'!$A$5:$A$1004,0)),INDEX('Active Clients'!$C$5:$C$504,MATCH(C2798,'Active Clients'!$A$5:$A$504,0)))&amp;"","ID not found"))</f>
        <v/>
      </c>
      <c r="G2798" s="16"/>
      <c r="H2798" s="16"/>
      <c r="I2798" s="16"/>
      <c r="J2798" s="16"/>
      <c r="K2798" s="16"/>
      <c r="L2798" s="18"/>
    </row>
    <row r="2799" customFormat="false" ht="15" hidden="false" customHeight="false" outlineLevel="0" collapsed="false">
      <c r="A2799" s="18"/>
      <c r="B2799" s="16"/>
      <c r="C2799" s="16"/>
      <c r="D2799" s="51" t="str">
        <f aca="false">IF(C2799="","",IFERROR(IF(LEFT(C2799,1)="L",INDEX('Leads Pipeline'!$F$5:$F$1004,MATCH(C2799,'Leads Pipeline'!$A$5:$A$1004,0)),INDEX('Active Clients'!$D$5:$D$504,MATCH(C2799,'Active Clients'!$A$5:$A$504,0)))&amp;"","ID not found"))</f>
        <v/>
      </c>
      <c r="E2799" s="51" t="str">
        <f aca="false">IF(C2799="","",IFERROR(IF(LEFT(C2799,1)="L",INDEX('Leads Pipeline'!$D$5:$D$1004,MATCH(C2799,'Leads Pipeline'!$A$5:$A$1004,0)),INDEX('Active Clients'!$B$5:$B$504,MATCH(C2799,'Active Clients'!$A$5:$A$504,0)))&amp;"","ID not found"))</f>
        <v/>
      </c>
      <c r="F2799" s="51" t="str">
        <f aca="false">IF(C2799="","",IFERROR(IF(LEFT(C2799,1)="L",INDEX('Leads Pipeline'!$E$5:$E$1004,MATCH(C2799,'Leads Pipeline'!$A$5:$A$1004,0)),INDEX('Active Clients'!$C$5:$C$504,MATCH(C2799,'Active Clients'!$A$5:$A$504,0)))&amp;"","ID not found"))</f>
        <v/>
      </c>
      <c r="G2799" s="16"/>
      <c r="H2799" s="16"/>
      <c r="I2799" s="16"/>
      <c r="J2799" s="16"/>
      <c r="K2799" s="16"/>
      <c r="L2799" s="18"/>
    </row>
    <row r="2800" customFormat="false" ht="15" hidden="false" customHeight="false" outlineLevel="0" collapsed="false">
      <c r="A2800" s="18"/>
      <c r="B2800" s="16"/>
      <c r="C2800" s="16"/>
      <c r="D2800" s="51" t="str">
        <f aca="false">IF(C2800="","",IFERROR(IF(LEFT(C2800,1)="L",INDEX('Leads Pipeline'!$F$5:$F$1004,MATCH(C2800,'Leads Pipeline'!$A$5:$A$1004,0)),INDEX('Active Clients'!$D$5:$D$504,MATCH(C2800,'Active Clients'!$A$5:$A$504,0)))&amp;"","ID not found"))</f>
        <v/>
      </c>
      <c r="E2800" s="51" t="str">
        <f aca="false">IF(C2800="","",IFERROR(IF(LEFT(C2800,1)="L",INDEX('Leads Pipeline'!$D$5:$D$1004,MATCH(C2800,'Leads Pipeline'!$A$5:$A$1004,0)),INDEX('Active Clients'!$B$5:$B$504,MATCH(C2800,'Active Clients'!$A$5:$A$504,0)))&amp;"","ID not found"))</f>
        <v/>
      </c>
      <c r="F2800" s="51" t="str">
        <f aca="false">IF(C2800="","",IFERROR(IF(LEFT(C2800,1)="L",INDEX('Leads Pipeline'!$E$5:$E$1004,MATCH(C2800,'Leads Pipeline'!$A$5:$A$1004,0)),INDEX('Active Clients'!$C$5:$C$504,MATCH(C2800,'Active Clients'!$A$5:$A$504,0)))&amp;"","ID not found"))</f>
        <v/>
      </c>
      <c r="G2800" s="16"/>
      <c r="H2800" s="16"/>
      <c r="I2800" s="16"/>
      <c r="J2800" s="16"/>
      <c r="K2800" s="16"/>
      <c r="L2800" s="18"/>
    </row>
    <row r="2801" customFormat="false" ht="15" hidden="false" customHeight="false" outlineLevel="0" collapsed="false">
      <c r="A2801" s="18"/>
      <c r="B2801" s="16"/>
      <c r="C2801" s="16"/>
      <c r="D2801" s="51" t="str">
        <f aca="false">IF(C2801="","",IFERROR(IF(LEFT(C2801,1)="L",INDEX('Leads Pipeline'!$F$5:$F$1004,MATCH(C2801,'Leads Pipeline'!$A$5:$A$1004,0)),INDEX('Active Clients'!$D$5:$D$504,MATCH(C2801,'Active Clients'!$A$5:$A$504,0)))&amp;"","ID not found"))</f>
        <v/>
      </c>
      <c r="E2801" s="51" t="str">
        <f aca="false">IF(C2801="","",IFERROR(IF(LEFT(C2801,1)="L",INDEX('Leads Pipeline'!$D$5:$D$1004,MATCH(C2801,'Leads Pipeline'!$A$5:$A$1004,0)),INDEX('Active Clients'!$B$5:$B$504,MATCH(C2801,'Active Clients'!$A$5:$A$504,0)))&amp;"","ID not found"))</f>
        <v/>
      </c>
      <c r="F2801" s="51" t="str">
        <f aca="false">IF(C2801="","",IFERROR(IF(LEFT(C2801,1)="L",INDEX('Leads Pipeline'!$E$5:$E$1004,MATCH(C2801,'Leads Pipeline'!$A$5:$A$1004,0)),INDEX('Active Clients'!$C$5:$C$504,MATCH(C2801,'Active Clients'!$A$5:$A$504,0)))&amp;"","ID not found"))</f>
        <v/>
      </c>
      <c r="G2801" s="16"/>
      <c r="H2801" s="16"/>
      <c r="I2801" s="16"/>
      <c r="J2801" s="16"/>
      <c r="K2801" s="16"/>
      <c r="L2801" s="18"/>
    </row>
    <row r="2802" customFormat="false" ht="15" hidden="false" customHeight="false" outlineLevel="0" collapsed="false">
      <c r="A2802" s="18"/>
      <c r="B2802" s="16"/>
      <c r="C2802" s="16"/>
      <c r="D2802" s="51" t="str">
        <f aca="false">IF(C2802="","",IFERROR(IF(LEFT(C2802,1)="L",INDEX('Leads Pipeline'!$F$5:$F$1004,MATCH(C2802,'Leads Pipeline'!$A$5:$A$1004,0)),INDEX('Active Clients'!$D$5:$D$504,MATCH(C2802,'Active Clients'!$A$5:$A$504,0)))&amp;"","ID not found"))</f>
        <v/>
      </c>
      <c r="E2802" s="51" t="str">
        <f aca="false">IF(C2802="","",IFERROR(IF(LEFT(C2802,1)="L",INDEX('Leads Pipeline'!$D$5:$D$1004,MATCH(C2802,'Leads Pipeline'!$A$5:$A$1004,0)),INDEX('Active Clients'!$B$5:$B$504,MATCH(C2802,'Active Clients'!$A$5:$A$504,0)))&amp;"","ID not found"))</f>
        <v/>
      </c>
      <c r="F2802" s="51" t="str">
        <f aca="false">IF(C2802="","",IFERROR(IF(LEFT(C2802,1)="L",INDEX('Leads Pipeline'!$E$5:$E$1004,MATCH(C2802,'Leads Pipeline'!$A$5:$A$1004,0)),INDEX('Active Clients'!$C$5:$C$504,MATCH(C2802,'Active Clients'!$A$5:$A$504,0)))&amp;"","ID not found"))</f>
        <v/>
      </c>
      <c r="G2802" s="16"/>
      <c r="H2802" s="16"/>
      <c r="I2802" s="16"/>
      <c r="J2802" s="16"/>
      <c r="K2802" s="16"/>
      <c r="L2802" s="18"/>
    </row>
    <row r="2803" customFormat="false" ht="15" hidden="false" customHeight="false" outlineLevel="0" collapsed="false">
      <c r="A2803" s="18"/>
      <c r="B2803" s="16"/>
      <c r="C2803" s="16"/>
      <c r="D2803" s="51" t="str">
        <f aca="false">IF(C2803="","",IFERROR(IF(LEFT(C2803,1)="L",INDEX('Leads Pipeline'!$F$5:$F$1004,MATCH(C2803,'Leads Pipeline'!$A$5:$A$1004,0)),INDEX('Active Clients'!$D$5:$D$504,MATCH(C2803,'Active Clients'!$A$5:$A$504,0)))&amp;"","ID not found"))</f>
        <v/>
      </c>
      <c r="E2803" s="51" t="str">
        <f aca="false">IF(C2803="","",IFERROR(IF(LEFT(C2803,1)="L",INDEX('Leads Pipeline'!$D$5:$D$1004,MATCH(C2803,'Leads Pipeline'!$A$5:$A$1004,0)),INDEX('Active Clients'!$B$5:$B$504,MATCH(C2803,'Active Clients'!$A$5:$A$504,0)))&amp;"","ID not found"))</f>
        <v/>
      </c>
      <c r="F2803" s="51" t="str">
        <f aca="false">IF(C2803="","",IFERROR(IF(LEFT(C2803,1)="L",INDEX('Leads Pipeline'!$E$5:$E$1004,MATCH(C2803,'Leads Pipeline'!$A$5:$A$1004,0)),INDEX('Active Clients'!$C$5:$C$504,MATCH(C2803,'Active Clients'!$A$5:$A$504,0)))&amp;"","ID not found"))</f>
        <v/>
      </c>
      <c r="G2803" s="16"/>
      <c r="H2803" s="16"/>
      <c r="I2803" s="16"/>
      <c r="J2803" s="16"/>
      <c r="K2803" s="16"/>
      <c r="L2803" s="18"/>
    </row>
    <row r="2804" customFormat="false" ht="15" hidden="false" customHeight="false" outlineLevel="0" collapsed="false">
      <c r="A2804" s="18"/>
      <c r="B2804" s="16"/>
      <c r="C2804" s="16"/>
      <c r="D2804" s="51" t="str">
        <f aca="false">IF(C2804="","",IFERROR(IF(LEFT(C2804,1)="L",INDEX('Leads Pipeline'!$F$5:$F$1004,MATCH(C2804,'Leads Pipeline'!$A$5:$A$1004,0)),INDEX('Active Clients'!$D$5:$D$504,MATCH(C2804,'Active Clients'!$A$5:$A$504,0)))&amp;"","ID not found"))</f>
        <v/>
      </c>
      <c r="E2804" s="51" t="str">
        <f aca="false">IF(C2804="","",IFERROR(IF(LEFT(C2804,1)="L",INDEX('Leads Pipeline'!$D$5:$D$1004,MATCH(C2804,'Leads Pipeline'!$A$5:$A$1004,0)),INDEX('Active Clients'!$B$5:$B$504,MATCH(C2804,'Active Clients'!$A$5:$A$504,0)))&amp;"","ID not found"))</f>
        <v/>
      </c>
      <c r="F2804" s="51" t="str">
        <f aca="false">IF(C2804="","",IFERROR(IF(LEFT(C2804,1)="L",INDEX('Leads Pipeline'!$E$5:$E$1004,MATCH(C2804,'Leads Pipeline'!$A$5:$A$1004,0)),INDEX('Active Clients'!$C$5:$C$504,MATCH(C2804,'Active Clients'!$A$5:$A$504,0)))&amp;"","ID not found"))</f>
        <v/>
      </c>
      <c r="G2804" s="16"/>
      <c r="H2804" s="16"/>
      <c r="I2804" s="16"/>
      <c r="J2804" s="16"/>
      <c r="K2804" s="16"/>
      <c r="L2804" s="18"/>
    </row>
    <row r="2805" customFormat="false" ht="15" hidden="false" customHeight="false" outlineLevel="0" collapsed="false">
      <c r="A2805" s="18"/>
      <c r="B2805" s="16"/>
      <c r="C2805" s="16"/>
      <c r="D2805" s="51" t="str">
        <f aca="false">IF(C2805="","",IFERROR(IF(LEFT(C2805,1)="L",INDEX('Leads Pipeline'!$F$5:$F$1004,MATCH(C2805,'Leads Pipeline'!$A$5:$A$1004,0)),INDEX('Active Clients'!$D$5:$D$504,MATCH(C2805,'Active Clients'!$A$5:$A$504,0)))&amp;"","ID not found"))</f>
        <v/>
      </c>
      <c r="E2805" s="51" t="str">
        <f aca="false">IF(C2805="","",IFERROR(IF(LEFT(C2805,1)="L",INDEX('Leads Pipeline'!$D$5:$D$1004,MATCH(C2805,'Leads Pipeline'!$A$5:$A$1004,0)),INDEX('Active Clients'!$B$5:$B$504,MATCH(C2805,'Active Clients'!$A$5:$A$504,0)))&amp;"","ID not found"))</f>
        <v/>
      </c>
      <c r="F2805" s="51" t="str">
        <f aca="false">IF(C2805="","",IFERROR(IF(LEFT(C2805,1)="L",INDEX('Leads Pipeline'!$E$5:$E$1004,MATCH(C2805,'Leads Pipeline'!$A$5:$A$1004,0)),INDEX('Active Clients'!$C$5:$C$504,MATCH(C2805,'Active Clients'!$A$5:$A$504,0)))&amp;"","ID not found"))</f>
        <v/>
      </c>
      <c r="G2805" s="16"/>
      <c r="H2805" s="16"/>
      <c r="I2805" s="16"/>
      <c r="J2805" s="16"/>
      <c r="K2805" s="16"/>
      <c r="L2805" s="18"/>
    </row>
    <row r="2806" customFormat="false" ht="15" hidden="false" customHeight="false" outlineLevel="0" collapsed="false">
      <c r="A2806" s="18"/>
      <c r="B2806" s="16"/>
      <c r="C2806" s="16"/>
      <c r="D2806" s="51" t="str">
        <f aca="false">IF(C2806="","",IFERROR(IF(LEFT(C2806,1)="L",INDEX('Leads Pipeline'!$F$5:$F$1004,MATCH(C2806,'Leads Pipeline'!$A$5:$A$1004,0)),INDEX('Active Clients'!$D$5:$D$504,MATCH(C2806,'Active Clients'!$A$5:$A$504,0)))&amp;"","ID not found"))</f>
        <v/>
      </c>
      <c r="E2806" s="51" t="str">
        <f aca="false">IF(C2806="","",IFERROR(IF(LEFT(C2806,1)="L",INDEX('Leads Pipeline'!$D$5:$D$1004,MATCH(C2806,'Leads Pipeline'!$A$5:$A$1004,0)),INDEX('Active Clients'!$B$5:$B$504,MATCH(C2806,'Active Clients'!$A$5:$A$504,0)))&amp;"","ID not found"))</f>
        <v/>
      </c>
      <c r="F2806" s="51" t="str">
        <f aca="false">IF(C2806="","",IFERROR(IF(LEFT(C2806,1)="L",INDEX('Leads Pipeline'!$E$5:$E$1004,MATCH(C2806,'Leads Pipeline'!$A$5:$A$1004,0)),INDEX('Active Clients'!$C$5:$C$504,MATCH(C2806,'Active Clients'!$A$5:$A$504,0)))&amp;"","ID not found"))</f>
        <v/>
      </c>
      <c r="G2806" s="16"/>
      <c r="H2806" s="16"/>
      <c r="I2806" s="16"/>
      <c r="J2806" s="16"/>
      <c r="K2806" s="16"/>
      <c r="L2806" s="18"/>
    </row>
    <row r="2807" customFormat="false" ht="15" hidden="false" customHeight="false" outlineLevel="0" collapsed="false">
      <c r="A2807" s="18"/>
      <c r="B2807" s="16"/>
      <c r="C2807" s="16"/>
      <c r="D2807" s="51" t="str">
        <f aca="false">IF(C2807="","",IFERROR(IF(LEFT(C2807,1)="L",INDEX('Leads Pipeline'!$F$5:$F$1004,MATCH(C2807,'Leads Pipeline'!$A$5:$A$1004,0)),INDEX('Active Clients'!$D$5:$D$504,MATCH(C2807,'Active Clients'!$A$5:$A$504,0)))&amp;"","ID not found"))</f>
        <v/>
      </c>
      <c r="E2807" s="51" t="str">
        <f aca="false">IF(C2807="","",IFERROR(IF(LEFT(C2807,1)="L",INDEX('Leads Pipeline'!$D$5:$D$1004,MATCH(C2807,'Leads Pipeline'!$A$5:$A$1004,0)),INDEX('Active Clients'!$B$5:$B$504,MATCH(C2807,'Active Clients'!$A$5:$A$504,0)))&amp;"","ID not found"))</f>
        <v/>
      </c>
      <c r="F2807" s="51" t="str">
        <f aca="false">IF(C2807="","",IFERROR(IF(LEFT(C2807,1)="L",INDEX('Leads Pipeline'!$E$5:$E$1004,MATCH(C2807,'Leads Pipeline'!$A$5:$A$1004,0)),INDEX('Active Clients'!$C$5:$C$504,MATCH(C2807,'Active Clients'!$A$5:$A$504,0)))&amp;"","ID not found"))</f>
        <v/>
      </c>
      <c r="G2807" s="16"/>
      <c r="H2807" s="16"/>
      <c r="I2807" s="16"/>
      <c r="J2807" s="16"/>
      <c r="K2807" s="16"/>
      <c r="L2807" s="18"/>
    </row>
    <row r="2808" customFormat="false" ht="15" hidden="false" customHeight="false" outlineLevel="0" collapsed="false">
      <c r="A2808" s="18"/>
      <c r="B2808" s="16"/>
      <c r="C2808" s="16"/>
      <c r="D2808" s="51" t="str">
        <f aca="false">IF(C2808="","",IFERROR(IF(LEFT(C2808,1)="L",INDEX('Leads Pipeline'!$F$5:$F$1004,MATCH(C2808,'Leads Pipeline'!$A$5:$A$1004,0)),INDEX('Active Clients'!$D$5:$D$504,MATCH(C2808,'Active Clients'!$A$5:$A$504,0)))&amp;"","ID not found"))</f>
        <v/>
      </c>
      <c r="E2808" s="51" t="str">
        <f aca="false">IF(C2808="","",IFERROR(IF(LEFT(C2808,1)="L",INDEX('Leads Pipeline'!$D$5:$D$1004,MATCH(C2808,'Leads Pipeline'!$A$5:$A$1004,0)),INDEX('Active Clients'!$B$5:$B$504,MATCH(C2808,'Active Clients'!$A$5:$A$504,0)))&amp;"","ID not found"))</f>
        <v/>
      </c>
      <c r="F2808" s="51" t="str">
        <f aca="false">IF(C2808="","",IFERROR(IF(LEFT(C2808,1)="L",INDEX('Leads Pipeline'!$E$5:$E$1004,MATCH(C2808,'Leads Pipeline'!$A$5:$A$1004,0)),INDEX('Active Clients'!$C$5:$C$504,MATCH(C2808,'Active Clients'!$A$5:$A$504,0)))&amp;"","ID not found"))</f>
        <v/>
      </c>
      <c r="G2808" s="16"/>
      <c r="H2808" s="16"/>
      <c r="I2808" s="16"/>
      <c r="J2808" s="16"/>
      <c r="K2808" s="16"/>
      <c r="L2808" s="18"/>
    </row>
    <row r="2809" customFormat="false" ht="15" hidden="false" customHeight="false" outlineLevel="0" collapsed="false">
      <c r="A2809" s="18"/>
      <c r="B2809" s="16"/>
      <c r="C2809" s="16"/>
      <c r="D2809" s="51" t="str">
        <f aca="false">IF(C2809="","",IFERROR(IF(LEFT(C2809,1)="L",INDEX('Leads Pipeline'!$F$5:$F$1004,MATCH(C2809,'Leads Pipeline'!$A$5:$A$1004,0)),INDEX('Active Clients'!$D$5:$D$504,MATCH(C2809,'Active Clients'!$A$5:$A$504,0)))&amp;"","ID not found"))</f>
        <v/>
      </c>
      <c r="E2809" s="51" t="str">
        <f aca="false">IF(C2809="","",IFERROR(IF(LEFT(C2809,1)="L",INDEX('Leads Pipeline'!$D$5:$D$1004,MATCH(C2809,'Leads Pipeline'!$A$5:$A$1004,0)),INDEX('Active Clients'!$B$5:$B$504,MATCH(C2809,'Active Clients'!$A$5:$A$504,0)))&amp;"","ID not found"))</f>
        <v/>
      </c>
      <c r="F2809" s="51" t="str">
        <f aca="false">IF(C2809="","",IFERROR(IF(LEFT(C2809,1)="L",INDEX('Leads Pipeline'!$E$5:$E$1004,MATCH(C2809,'Leads Pipeline'!$A$5:$A$1004,0)),INDEX('Active Clients'!$C$5:$C$504,MATCH(C2809,'Active Clients'!$A$5:$A$504,0)))&amp;"","ID not found"))</f>
        <v/>
      </c>
      <c r="G2809" s="16"/>
      <c r="H2809" s="16"/>
      <c r="I2809" s="16"/>
      <c r="J2809" s="16"/>
      <c r="K2809" s="16"/>
      <c r="L2809" s="18"/>
    </row>
    <row r="2810" customFormat="false" ht="15" hidden="false" customHeight="false" outlineLevel="0" collapsed="false">
      <c r="A2810" s="18"/>
      <c r="B2810" s="16"/>
      <c r="C2810" s="16"/>
      <c r="D2810" s="51" t="str">
        <f aca="false">IF(C2810="","",IFERROR(IF(LEFT(C2810,1)="L",INDEX('Leads Pipeline'!$F$5:$F$1004,MATCH(C2810,'Leads Pipeline'!$A$5:$A$1004,0)),INDEX('Active Clients'!$D$5:$D$504,MATCH(C2810,'Active Clients'!$A$5:$A$504,0)))&amp;"","ID not found"))</f>
        <v/>
      </c>
      <c r="E2810" s="51" t="str">
        <f aca="false">IF(C2810="","",IFERROR(IF(LEFT(C2810,1)="L",INDEX('Leads Pipeline'!$D$5:$D$1004,MATCH(C2810,'Leads Pipeline'!$A$5:$A$1004,0)),INDEX('Active Clients'!$B$5:$B$504,MATCH(C2810,'Active Clients'!$A$5:$A$504,0)))&amp;"","ID not found"))</f>
        <v/>
      </c>
      <c r="F2810" s="51" t="str">
        <f aca="false">IF(C2810="","",IFERROR(IF(LEFT(C2810,1)="L",INDEX('Leads Pipeline'!$E$5:$E$1004,MATCH(C2810,'Leads Pipeline'!$A$5:$A$1004,0)),INDEX('Active Clients'!$C$5:$C$504,MATCH(C2810,'Active Clients'!$A$5:$A$504,0)))&amp;"","ID not found"))</f>
        <v/>
      </c>
      <c r="G2810" s="16"/>
      <c r="H2810" s="16"/>
      <c r="I2810" s="16"/>
      <c r="J2810" s="16"/>
      <c r="K2810" s="16"/>
      <c r="L2810" s="18"/>
    </row>
    <row r="2811" customFormat="false" ht="15" hidden="false" customHeight="false" outlineLevel="0" collapsed="false">
      <c r="A2811" s="18"/>
      <c r="B2811" s="16"/>
      <c r="C2811" s="16"/>
      <c r="D2811" s="51" t="str">
        <f aca="false">IF(C2811="","",IFERROR(IF(LEFT(C2811,1)="L",INDEX('Leads Pipeline'!$F$5:$F$1004,MATCH(C2811,'Leads Pipeline'!$A$5:$A$1004,0)),INDEX('Active Clients'!$D$5:$D$504,MATCH(C2811,'Active Clients'!$A$5:$A$504,0)))&amp;"","ID not found"))</f>
        <v/>
      </c>
      <c r="E2811" s="51" t="str">
        <f aca="false">IF(C2811="","",IFERROR(IF(LEFT(C2811,1)="L",INDEX('Leads Pipeline'!$D$5:$D$1004,MATCH(C2811,'Leads Pipeline'!$A$5:$A$1004,0)),INDEX('Active Clients'!$B$5:$B$504,MATCH(C2811,'Active Clients'!$A$5:$A$504,0)))&amp;"","ID not found"))</f>
        <v/>
      </c>
      <c r="F2811" s="51" t="str">
        <f aca="false">IF(C2811="","",IFERROR(IF(LEFT(C2811,1)="L",INDEX('Leads Pipeline'!$E$5:$E$1004,MATCH(C2811,'Leads Pipeline'!$A$5:$A$1004,0)),INDEX('Active Clients'!$C$5:$C$504,MATCH(C2811,'Active Clients'!$A$5:$A$504,0)))&amp;"","ID not found"))</f>
        <v/>
      </c>
      <c r="G2811" s="16"/>
      <c r="H2811" s="16"/>
      <c r="I2811" s="16"/>
      <c r="J2811" s="16"/>
      <c r="K2811" s="16"/>
      <c r="L2811" s="18"/>
    </row>
    <row r="2812" customFormat="false" ht="15" hidden="false" customHeight="false" outlineLevel="0" collapsed="false">
      <c r="A2812" s="18"/>
      <c r="B2812" s="16"/>
      <c r="C2812" s="16"/>
      <c r="D2812" s="51" t="str">
        <f aca="false">IF(C2812="","",IFERROR(IF(LEFT(C2812,1)="L",INDEX('Leads Pipeline'!$F$5:$F$1004,MATCH(C2812,'Leads Pipeline'!$A$5:$A$1004,0)),INDEX('Active Clients'!$D$5:$D$504,MATCH(C2812,'Active Clients'!$A$5:$A$504,0)))&amp;"","ID not found"))</f>
        <v/>
      </c>
      <c r="E2812" s="51" t="str">
        <f aca="false">IF(C2812="","",IFERROR(IF(LEFT(C2812,1)="L",INDEX('Leads Pipeline'!$D$5:$D$1004,MATCH(C2812,'Leads Pipeline'!$A$5:$A$1004,0)),INDEX('Active Clients'!$B$5:$B$504,MATCH(C2812,'Active Clients'!$A$5:$A$504,0)))&amp;"","ID not found"))</f>
        <v/>
      </c>
      <c r="F2812" s="51" t="str">
        <f aca="false">IF(C2812="","",IFERROR(IF(LEFT(C2812,1)="L",INDEX('Leads Pipeline'!$E$5:$E$1004,MATCH(C2812,'Leads Pipeline'!$A$5:$A$1004,0)),INDEX('Active Clients'!$C$5:$C$504,MATCH(C2812,'Active Clients'!$A$5:$A$504,0)))&amp;"","ID not found"))</f>
        <v/>
      </c>
      <c r="G2812" s="16"/>
      <c r="H2812" s="16"/>
      <c r="I2812" s="16"/>
      <c r="J2812" s="16"/>
      <c r="K2812" s="16"/>
      <c r="L2812" s="18"/>
    </row>
    <row r="2813" customFormat="false" ht="15" hidden="false" customHeight="false" outlineLevel="0" collapsed="false">
      <c r="A2813" s="18"/>
      <c r="B2813" s="16"/>
      <c r="C2813" s="16"/>
      <c r="D2813" s="51" t="str">
        <f aca="false">IF(C2813="","",IFERROR(IF(LEFT(C2813,1)="L",INDEX('Leads Pipeline'!$F$5:$F$1004,MATCH(C2813,'Leads Pipeline'!$A$5:$A$1004,0)),INDEX('Active Clients'!$D$5:$D$504,MATCH(C2813,'Active Clients'!$A$5:$A$504,0)))&amp;"","ID not found"))</f>
        <v/>
      </c>
      <c r="E2813" s="51" t="str">
        <f aca="false">IF(C2813="","",IFERROR(IF(LEFT(C2813,1)="L",INDEX('Leads Pipeline'!$D$5:$D$1004,MATCH(C2813,'Leads Pipeline'!$A$5:$A$1004,0)),INDEX('Active Clients'!$B$5:$B$504,MATCH(C2813,'Active Clients'!$A$5:$A$504,0)))&amp;"","ID not found"))</f>
        <v/>
      </c>
      <c r="F2813" s="51" t="str">
        <f aca="false">IF(C2813="","",IFERROR(IF(LEFT(C2813,1)="L",INDEX('Leads Pipeline'!$E$5:$E$1004,MATCH(C2813,'Leads Pipeline'!$A$5:$A$1004,0)),INDEX('Active Clients'!$C$5:$C$504,MATCH(C2813,'Active Clients'!$A$5:$A$504,0)))&amp;"","ID not found"))</f>
        <v/>
      </c>
      <c r="G2813" s="16"/>
      <c r="H2813" s="16"/>
      <c r="I2813" s="16"/>
      <c r="J2813" s="16"/>
      <c r="K2813" s="16"/>
      <c r="L2813" s="18"/>
    </row>
    <row r="2814" customFormat="false" ht="15" hidden="false" customHeight="false" outlineLevel="0" collapsed="false">
      <c r="A2814" s="18"/>
      <c r="B2814" s="16"/>
      <c r="C2814" s="16"/>
      <c r="D2814" s="51" t="str">
        <f aca="false">IF(C2814="","",IFERROR(IF(LEFT(C2814,1)="L",INDEX('Leads Pipeline'!$F$5:$F$1004,MATCH(C2814,'Leads Pipeline'!$A$5:$A$1004,0)),INDEX('Active Clients'!$D$5:$D$504,MATCH(C2814,'Active Clients'!$A$5:$A$504,0)))&amp;"","ID not found"))</f>
        <v/>
      </c>
      <c r="E2814" s="51" t="str">
        <f aca="false">IF(C2814="","",IFERROR(IF(LEFT(C2814,1)="L",INDEX('Leads Pipeline'!$D$5:$D$1004,MATCH(C2814,'Leads Pipeline'!$A$5:$A$1004,0)),INDEX('Active Clients'!$B$5:$B$504,MATCH(C2814,'Active Clients'!$A$5:$A$504,0)))&amp;"","ID not found"))</f>
        <v/>
      </c>
      <c r="F2814" s="51" t="str">
        <f aca="false">IF(C2814="","",IFERROR(IF(LEFT(C2814,1)="L",INDEX('Leads Pipeline'!$E$5:$E$1004,MATCH(C2814,'Leads Pipeline'!$A$5:$A$1004,0)),INDEX('Active Clients'!$C$5:$C$504,MATCH(C2814,'Active Clients'!$A$5:$A$504,0)))&amp;"","ID not found"))</f>
        <v/>
      </c>
      <c r="G2814" s="16"/>
      <c r="H2814" s="16"/>
      <c r="I2814" s="16"/>
      <c r="J2814" s="16"/>
      <c r="K2814" s="16"/>
      <c r="L2814" s="18"/>
    </row>
    <row r="2815" customFormat="false" ht="15" hidden="false" customHeight="false" outlineLevel="0" collapsed="false">
      <c r="A2815" s="18"/>
      <c r="B2815" s="16"/>
      <c r="C2815" s="16"/>
      <c r="D2815" s="51" t="str">
        <f aca="false">IF(C2815="","",IFERROR(IF(LEFT(C2815,1)="L",INDEX('Leads Pipeline'!$F$5:$F$1004,MATCH(C2815,'Leads Pipeline'!$A$5:$A$1004,0)),INDEX('Active Clients'!$D$5:$D$504,MATCH(C2815,'Active Clients'!$A$5:$A$504,0)))&amp;"","ID not found"))</f>
        <v/>
      </c>
      <c r="E2815" s="51" t="str">
        <f aca="false">IF(C2815="","",IFERROR(IF(LEFT(C2815,1)="L",INDEX('Leads Pipeline'!$D$5:$D$1004,MATCH(C2815,'Leads Pipeline'!$A$5:$A$1004,0)),INDEX('Active Clients'!$B$5:$B$504,MATCH(C2815,'Active Clients'!$A$5:$A$504,0)))&amp;"","ID not found"))</f>
        <v/>
      </c>
      <c r="F2815" s="51" t="str">
        <f aca="false">IF(C2815="","",IFERROR(IF(LEFT(C2815,1)="L",INDEX('Leads Pipeline'!$E$5:$E$1004,MATCH(C2815,'Leads Pipeline'!$A$5:$A$1004,0)),INDEX('Active Clients'!$C$5:$C$504,MATCH(C2815,'Active Clients'!$A$5:$A$504,0)))&amp;"","ID not found"))</f>
        <v/>
      </c>
      <c r="G2815" s="16"/>
      <c r="H2815" s="16"/>
      <c r="I2815" s="16"/>
      <c r="J2815" s="16"/>
      <c r="K2815" s="16"/>
      <c r="L2815" s="18"/>
    </row>
    <row r="2816" customFormat="false" ht="15" hidden="false" customHeight="false" outlineLevel="0" collapsed="false">
      <c r="A2816" s="18"/>
      <c r="B2816" s="16"/>
      <c r="C2816" s="16"/>
      <c r="D2816" s="51" t="str">
        <f aca="false">IF(C2816="","",IFERROR(IF(LEFT(C2816,1)="L",INDEX('Leads Pipeline'!$F$5:$F$1004,MATCH(C2816,'Leads Pipeline'!$A$5:$A$1004,0)),INDEX('Active Clients'!$D$5:$D$504,MATCH(C2816,'Active Clients'!$A$5:$A$504,0)))&amp;"","ID not found"))</f>
        <v/>
      </c>
      <c r="E2816" s="51" t="str">
        <f aca="false">IF(C2816="","",IFERROR(IF(LEFT(C2816,1)="L",INDEX('Leads Pipeline'!$D$5:$D$1004,MATCH(C2816,'Leads Pipeline'!$A$5:$A$1004,0)),INDEX('Active Clients'!$B$5:$B$504,MATCH(C2816,'Active Clients'!$A$5:$A$504,0)))&amp;"","ID not found"))</f>
        <v/>
      </c>
      <c r="F2816" s="51" t="str">
        <f aca="false">IF(C2816="","",IFERROR(IF(LEFT(C2816,1)="L",INDEX('Leads Pipeline'!$E$5:$E$1004,MATCH(C2816,'Leads Pipeline'!$A$5:$A$1004,0)),INDEX('Active Clients'!$C$5:$C$504,MATCH(C2816,'Active Clients'!$A$5:$A$504,0)))&amp;"","ID not found"))</f>
        <v/>
      </c>
      <c r="G2816" s="16"/>
      <c r="H2816" s="16"/>
      <c r="I2816" s="16"/>
      <c r="J2816" s="16"/>
      <c r="K2816" s="16"/>
      <c r="L2816" s="18"/>
    </row>
    <row r="2817" customFormat="false" ht="15" hidden="false" customHeight="false" outlineLevel="0" collapsed="false">
      <c r="A2817" s="18"/>
      <c r="B2817" s="16"/>
      <c r="C2817" s="16"/>
      <c r="D2817" s="51" t="str">
        <f aca="false">IF(C2817="","",IFERROR(IF(LEFT(C2817,1)="L",INDEX('Leads Pipeline'!$F$5:$F$1004,MATCH(C2817,'Leads Pipeline'!$A$5:$A$1004,0)),INDEX('Active Clients'!$D$5:$D$504,MATCH(C2817,'Active Clients'!$A$5:$A$504,0)))&amp;"","ID not found"))</f>
        <v/>
      </c>
      <c r="E2817" s="51" t="str">
        <f aca="false">IF(C2817="","",IFERROR(IF(LEFT(C2817,1)="L",INDEX('Leads Pipeline'!$D$5:$D$1004,MATCH(C2817,'Leads Pipeline'!$A$5:$A$1004,0)),INDEX('Active Clients'!$B$5:$B$504,MATCH(C2817,'Active Clients'!$A$5:$A$504,0)))&amp;"","ID not found"))</f>
        <v/>
      </c>
      <c r="F2817" s="51" t="str">
        <f aca="false">IF(C2817="","",IFERROR(IF(LEFT(C2817,1)="L",INDEX('Leads Pipeline'!$E$5:$E$1004,MATCH(C2817,'Leads Pipeline'!$A$5:$A$1004,0)),INDEX('Active Clients'!$C$5:$C$504,MATCH(C2817,'Active Clients'!$A$5:$A$504,0)))&amp;"","ID not found"))</f>
        <v/>
      </c>
      <c r="G2817" s="16"/>
      <c r="H2817" s="16"/>
      <c r="I2817" s="16"/>
      <c r="J2817" s="16"/>
      <c r="K2817" s="16"/>
      <c r="L2817" s="18"/>
    </row>
    <row r="2818" customFormat="false" ht="15" hidden="false" customHeight="false" outlineLevel="0" collapsed="false">
      <c r="A2818" s="18"/>
      <c r="B2818" s="16"/>
      <c r="C2818" s="16"/>
      <c r="D2818" s="51" t="str">
        <f aca="false">IF(C2818="","",IFERROR(IF(LEFT(C2818,1)="L",INDEX('Leads Pipeline'!$F$5:$F$1004,MATCH(C2818,'Leads Pipeline'!$A$5:$A$1004,0)),INDEX('Active Clients'!$D$5:$D$504,MATCH(C2818,'Active Clients'!$A$5:$A$504,0)))&amp;"","ID not found"))</f>
        <v/>
      </c>
      <c r="E2818" s="51" t="str">
        <f aca="false">IF(C2818="","",IFERROR(IF(LEFT(C2818,1)="L",INDEX('Leads Pipeline'!$D$5:$D$1004,MATCH(C2818,'Leads Pipeline'!$A$5:$A$1004,0)),INDEX('Active Clients'!$B$5:$B$504,MATCH(C2818,'Active Clients'!$A$5:$A$504,0)))&amp;"","ID not found"))</f>
        <v/>
      </c>
      <c r="F2818" s="51" t="str">
        <f aca="false">IF(C2818="","",IFERROR(IF(LEFT(C2818,1)="L",INDEX('Leads Pipeline'!$E$5:$E$1004,MATCH(C2818,'Leads Pipeline'!$A$5:$A$1004,0)),INDEX('Active Clients'!$C$5:$C$504,MATCH(C2818,'Active Clients'!$A$5:$A$504,0)))&amp;"","ID not found"))</f>
        <v/>
      </c>
      <c r="G2818" s="16"/>
      <c r="H2818" s="16"/>
      <c r="I2818" s="16"/>
      <c r="J2818" s="16"/>
      <c r="K2818" s="16"/>
      <c r="L2818" s="18"/>
    </row>
    <row r="2819" customFormat="false" ht="15" hidden="false" customHeight="false" outlineLevel="0" collapsed="false">
      <c r="A2819" s="18"/>
      <c r="B2819" s="16"/>
      <c r="C2819" s="16"/>
      <c r="D2819" s="51" t="str">
        <f aca="false">IF(C2819="","",IFERROR(IF(LEFT(C2819,1)="L",INDEX('Leads Pipeline'!$F$5:$F$1004,MATCH(C2819,'Leads Pipeline'!$A$5:$A$1004,0)),INDEX('Active Clients'!$D$5:$D$504,MATCH(C2819,'Active Clients'!$A$5:$A$504,0)))&amp;"","ID not found"))</f>
        <v/>
      </c>
      <c r="E2819" s="51" t="str">
        <f aca="false">IF(C2819="","",IFERROR(IF(LEFT(C2819,1)="L",INDEX('Leads Pipeline'!$D$5:$D$1004,MATCH(C2819,'Leads Pipeline'!$A$5:$A$1004,0)),INDEX('Active Clients'!$B$5:$B$504,MATCH(C2819,'Active Clients'!$A$5:$A$504,0)))&amp;"","ID not found"))</f>
        <v/>
      </c>
      <c r="F2819" s="51" t="str">
        <f aca="false">IF(C2819="","",IFERROR(IF(LEFT(C2819,1)="L",INDEX('Leads Pipeline'!$E$5:$E$1004,MATCH(C2819,'Leads Pipeline'!$A$5:$A$1004,0)),INDEX('Active Clients'!$C$5:$C$504,MATCH(C2819,'Active Clients'!$A$5:$A$504,0)))&amp;"","ID not found"))</f>
        <v/>
      </c>
      <c r="G2819" s="16"/>
      <c r="H2819" s="16"/>
      <c r="I2819" s="16"/>
      <c r="J2819" s="16"/>
      <c r="K2819" s="16"/>
      <c r="L2819" s="18"/>
    </row>
    <row r="2820" customFormat="false" ht="15" hidden="false" customHeight="false" outlineLevel="0" collapsed="false">
      <c r="A2820" s="18"/>
      <c r="B2820" s="16"/>
      <c r="C2820" s="16"/>
      <c r="D2820" s="51" t="str">
        <f aca="false">IF(C2820="","",IFERROR(IF(LEFT(C2820,1)="L",INDEX('Leads Pipeline'!$F$5:$F$1004,MATCH(C2820,'Leads Pipeline'!$A$5:$A$1004,0)),INDEX('Active Clients'!$D$5:$D$504,MATCH(C2820,'Active Clients'!$A$5:$A$504,0)))&amp;"","ID not found"))</f>
        <v/>
      </c>
      <c r="E2820" s="51" t="str">
        <f aca="false">IF(C2820="","",IFERROR(IF(LEFT(C2820,1)="L",INDEX('Leads Pipeline'!$D$5:$D$1004,MATCH(C2820,'Leads Pipeline'!$A$5:$A$1004,0)),INDEX('Active Clients'!$B$5:$B$504,MATCH(C2820,'Active Clients'!$A$5:$A$504,0)))&amp;"","ID not found"))</f>
        <v/>
      </c>
      <c r="F2820" s="51" t="str">
        <f aca="false">IF(C2820="","",IFERROR(IF(LEFT(C2820,1)="L",INDEX('Leads Pipeline'!$E$5:$E$1004,MATCH(C2820,'Leads Pipeline'!$A$5:$A$1004,0)),INDEX('Active Clients'!$C$5:$C$504,MATCH(C2820,'Active Clients'!$A$5:$A$504,0)))&amp;"","ID not found"))</f>
        <v/>
      </c>
      <c r="G2820" s="16"/>
      <c r="H2820" s="16"/>
      <c r="I2820" s="16"/>
      <c r="J2820" s="16"/>
      <c r="K2820" s="16"/>
      <c r="L2820" s="18"/>
    </row>
    <row r="2821" customFormat="false" ht="15" hidden="false" customHeight="false" outlineLevel="0" collapsed="false">
      <c r="A2821" s="18"/>
      <c r="B2821" s="16"/>
      <c r="C2821" s="16"/>
      <c r="D2821" s="51" t="str">
        <f aca="false">IF(C2821="","",IFERROR(IF(LEFT(C2821,1)="L",INDEX('Leads Pipeline'!$F$5:$F$1004,MATCH(C2821,'Leads Pipeline'!$A$5:$A$1004,0)),INDEX('Active Clients'!$D$5:$D$504,MATCH(C2821,'Active Clients'!$A$5:$A$504,0)))&amp;"","ID not found"))</f>
        <v/>
      </c>
      <c r="E2821" s="51" t="str">
        <f aca="false">IF(C2821="","",IFERROR(IF(LEFT(C2821,1)="L",INDEX('Leads Pipeline'!$D$5:$D$1004,MATCH(C2821,'Leads Pipeline'!$A$5:$A$1004,0)),INDEX('Active Clients'!$B$5:$B$504,MATCH(C2821,'Active Clients'!$A$5:$A$504,0)))&amp;"","ID not found"))</f>
        <v/>
      </c>
      <c r="F2821" s="51" t="str">
        <f aca="false">IF(C2821="","",IFERROR(IF(LEFT(C2821,1)="L",INDEX('Leads Pipeline'!$E$5:$E$1004,MATCH(C2821,'Leads Pipeline'!$A$5:$A$1004,0)),INDEX('Active Clients'!$C$5:$C$504,MATCH(C2821,'Active Clients'!$A$5:$A$504,0)))&amp;"","ID not found"))</f>
        <v/>
      </c>
      <c r="G2821" s="16"/>
      <c r="H2821" s="16"/>
      <c r="I2821" s="16"/>
      <c r="J2821" s="16"/>
      <c r="K2821" s="16"/>
      <c r="L2821" s="18"/>
    </row>
    <row r="2822" customFormat="false" ht="15" hidden="false" customHeight="false" outlineLevel="0" collapsed="false">
      <c r="A2822" s="18"/>
      <c r="B2822" s="16"/>
      <c r="C2822" s="16"/>
      <c r="D2822" s="51" t="str">
        <f aca="false">IF(C2822="","",IFERROR(IF(LEFT(C2822,1)="L",INDEX('Leads Pipeline'!$F$5:$F$1004,MATCH(C2822,'Leads Pipeline'!$A$5:$A$1004,0)),INDEX('Active Clients'!$D$5:$D$504,MATCH(C2822,'Active Clients'!$A$5:$A$504,0)))&amp;"","ID not found"))</f>
        <v/>
      </c>
      <c r="E2822" s="51" t="str">
        <f aca="false">IF(C2822="","",IFERROR(IF(LEFT(C2822,1)="L",INDEX('Leads Pipeline'!$D$5:$D$1004,MATCH(C2822,'Leads Pipeline'!$A$5:$A$1004,0)),INDEX('Active Clients'!$B$5:$B$504,MATCH(C2822,'Active Clients'!$A$5:$A$504,0)))&amp;"","ID not found"))</f>
        <v/>
      </c>
      <c r="F2822" s="51" t="str">
        <f aca="false">IF(C2822="","",IFERROR(IF(LEFT(C2822,1)="L",INDEX('Leads Pipeline'!$E$5:$E$1004,MATCH(C2822,'Leads Pipeline'!$A$5:$A$1004,0)),INDEX('Active Clients'!$C$5:$C$504,MATCH(C2822,'Active Clients'!$A$5:$A$504,0)))&amp;"","ID not found"))</f>
        <v/>
      </c>
      <c r="G2822" s="16"/>
      <c r="H2822" s="16"/>
      <c r="I2822" s="16"/>
      <c r="J2822" s="16"/>
      <c r="K2822" s="16"/>
      <c r="L2822" s="18"/>
    </row>
    <row r="2823" customFormat="false" ht="15" hidden="false" customHeight="false" outlineLevel="0" collapsed="false">
      <c r="A2823" s="18"/>
      <c r="B2823" s="16"/>
      <c r="C2823" s="16"/>
      <c r="D2823" s="51" t="str">
        <f aca="false">IF(C2823="","",IFERROR(IF(LEFT(C2823,1)="L",INDEX('Leads Pipeline'!$F$5:$F$1004,MATCH(C2823,'Leads Pipeline'!$A$5:$A$1004,0)),INDEX('Active Clients'!$D$5:$D$504,MATCH(C2823,'Active Clients'!$A$5:$A$504,0)))&amp;"","ID not found"))</f>
        <v/>
      </c>
      <c r="E2823" s="51" t="str">
        <f aca="false">IF(C2823="","",IFERROR(IF(LEFT(C2823,1)="L",INDEX('Leads Pipeline'!$D$5:$D$1004,MATCH(C2823,'Leads Pipeline'!$A$5:$A$1004,0)),INDEX('Active Clients'!$B$5:$B$504,MATCH(C2823,'Active Clients'!$A$5:$A$504,0)))&amp;"","ID not found"))</f>
        <v/>
      </c>
      <c r="F2823" s="51" t="str">
        <f aca="false">IF(C2823="","",IFERROR(IF(LEFT(C2823,1)="L",INDEX('Leads Pipeline'!$E$5:$E$1004,MATCH(C2823,'Leads Pipeline'!$A$5:$A$1004,0)),INDEX('Active Clients'!$C$5:$C$504,MATCH(C2823,'Active Clients'!$A$5:$A$504,0)))&amp;"","ID not found"))</f>
        <v/>
      </c>
      <c r="G2823" s="16"/>
      <c r="H2823" s="16"/>
      <c r="I2823" s="16"/>
      <c r="J2823" s="16"/>
      <c r="K2823" s="16"/>
      <c r="L2823" s="18"/>
    </row>
    <row r="2824" customFormat="false" ht="15" hidden="false" customHeight="false" outlineLevel="0" collapsed="false">
      <c r="A2824" s="18"/>
      <c r="B2824" s="16"/>
      <c r="C2824" s="16"/>
      <c r="D2824" s="51" t="str">
        <f aca="false">IF(C2824="","",IFERROR(IF(LEFT(C2824,1)="L",INDEX('Leads Pipeline'!$F$5:$F$1004,MATCH(C2824,'Leads Pipeline'!$A$5:$A$1004,0)),INDEX('Active Clients'!$D$5:$D$504,MATCH(C2824,'Active Clients'!$A$5:$A$504,0)))&amp;"","ID not found"))</f>
        <v/>
      </c>
      <c r="E2824" s="51" t="str">
        <f aca="false">IF(C2824="","",IFERROR(IF(LEFT(C2824,1)="L",INDEX('Leads Pipeline'!$D$5:$D$1004,MATCH(C2824,'Leads Pipeline'!$A$5:$A$1004,0)),INDEX('Active Clients'!$B$5:$B$504,MATCH(C2824,'Active Clients'!$A$5:$A$504,0)))&amp;"","ID not found"))</f>
        <v/>
      </c>
      <c r="F2824" s="51" t="str">
        <f aca="false">IF(C2824="","",IFERROR(IF(LEFT(C2824,1)="L",INDEX('Leads Pipeline'!$E$5:$E$1004,MATCH(C2824,'Leads Pipeline'!$A$5:$A$1004,0)),INDEX('Active Clients'!$C$5:$C$504,MATCH(C2824,'Active Clients'!$A$5:$A$504,0)))&amp;"","ID not found"))</f>
        <v/>
      </c>
      <c r="G2824" s="16"/>
      <c r="H2824" s="16"/>
      <c r="I2824" s="16"/>
      <c r="J2824" s="16"/>
      <c r="K2824" s="16"/>
      <c r="L2824" s="18"/>
    </row>
    <row r="2825" customFormat="false" ht="15" hidden="false" customHeight="false" outlineLevel="0" collapsed="false">
      <c r="A2825" s="18"/>
      <c r="B2825" s="16"/>
      <c r="C2825" s="16"/>
      <c r="D2825" s="51" t="str">
        <f aca="false">IF(C2825="","",IFERROR(IF(LEFT(C2825,1)="L",INDEX('Leads Pipeline'!$F$5:$F$1004,MATCH(C2825,'Leads Pipeline'!$A$5:$A$1004,0)),INDEX('Active Clients'!$D$5:$D$504,MATCH(C2825,'Active Clients'!$A$5:$A$504,0)))&amp;"","ID not found"))</f>
        <v/>
      </c>
      <c r="E2825" s="51" t="str">
        <f aca="false">IF(C2825="","",IFERROR(IF(LEFT(C2825,1)="L",INDEX('Leads Pipeline'!$D$5:$D$1004,MATCH(C2825,'Leads Pipeline'!$A$5:$A$1004,0)),INDEX('Active Clients'!$B$5:$B$504,MATCH(C2825,'Active Clients'!$A$5:$A$504,0)))&amp;"","ID not found"))</f>
        <v/>
      </c>
      <c r="F2825" s="51" t="str">
        <f aca="false">IF(C2825="","",IFERROR(IF(LEFT(C2825,1)="L",INDEX('Leads Pipeline'!$E$5:$E$1004,MATCH(C2825,'Leads Pipeline'!$A$5:$A$1004,0)),INDEX('Active Clients'!$C$5:$C$504,MATCH(C2825,'Active Clients'!$A$5:$A$504,0)))&amp;"","ID not found"))</f>
        <v/>
      </c>
      <c r="G2825" s="16"/>
      <c r="H2825" s="16"/>
      <c r="I2825" s="16"/>
      <c r="J2825" s="16"/>
      <c r="K2825" s="16"/>
      <c r="L2825" s="18"/>
    </row>
    <row r="2826" customFormat="false" ht="15" hidden="false" customHeight="false" outlineLevel="0" collapsed="false">
      <c r="A2826" s="18"/>
      <c r="B2826" s="16"/>
      <c r="C2826" s="16"/>
      <c r="D2826" s="51" t="str">
        <f aca="false">IF(C2826="","",IFERROR(IF(LEFT(C2826,1)="L",INDEX('Leads Pipeline'!$F$5:$F$1004,MATCH(C2826,'Leads Pipeline'!$A$5:$A$1004,0)),INDEX('Active Clients'!$D$5:$D$504,MATCH(C2826,'Active Clients'!$A$5:$A$504,0)))&amp;"","ID not found"))</f>
        <v/>
      </c>
      <c r="E2826" s="51" t="str">
        <f aca="false">IF(C2826="","",IFERROR(IF(LEFT(C2826,1)="L",INDEX('Leads Pipeline'!$D$5:$D$1004,MATCH(C2826,'Leads Pipeline'!$A$5:$A$1004,0)),INDEX('Active Clients'!$B$5:$B$504,MATCH(C2826,'Active Clients'!$A$5:$A$504,0)))&amp;"","ID not found"))</f>
        <v/>
      </c>
      <c r="F2826" s="51" t="str">
        <f aca="false">IF(C2826="","",IFERROR(IF(LEFT(C2826,1)="L",INDEX('Leads Pipeline'!$E$5:$E$1004,MATCH(C2826,'Leads Pipeline'!$A$5:$A$1004,0)),INDEX('Active Clients'!$C$5:$C$504,MATCH(C2826,'Active Clients'!$A$5:$A$504,0)))&amp;"","ID not found"))</f>
        <v/>
      </c>
      <c r="G2826" s="16"/>
      <c r="H2826" s="16"/>
      <c r="I2826" s="16"/>
      <c r="J2826" s="16"/>
      <c r="K2826" s="16"/>
      <c r="L2826" s="18"/>
    </row>
    <row r="2827" customFormat="false" ht="15" hidden="false" customHeight="false" outlineLevel="0" collapsed="false">
      <c r="A2827" s="18"/>
      <c r="B2827" s="16"/>
      <c r="C2827" s="16"/>
      <c r="D2827" s="51" t="str">
        <f aca="false">IF(C2827="","",IFERROR(IF(LEFT(C2827,1)="L",INDEX('Leads Pipeline'!$F$5:$F$1004,MATCH(C2827,'Leads Pipeline'!$A$5:$A$1004,0)),INDEX('Active Clients'!$D$5:$D$504,MATCH(C2827,'Active Clients'!$A$5:$A$504,0)))&amp;"","ID not found"))</f>
        <v/>
      </c>
      <c r="E2827" s="51" t="str">
        <f aca="false">IF(C2827="","",IFERROR(IF(LEFT(C2827,1)="L",INDEX('Leads Pipeline'!$D$5:$D$1004,MATCH(C2827,'Leads Pipeline'!$A$5:$A$1004,0)),INDEX('Active Clients'!$B$5:$B$504,MATCH(C2827,'Active Clients'!$A$5:$A$504,0)))&amp;"","ID not found"))</f>
        <v/>
      </c>
      <c r="F2827" s="51" t="str">
        <f aca="false">IF(C2827="","",IFERROR(IF(LEFT(C2827,1)="L",INDEX('Leads Pipeline'!$E$5:$E$1004,MATCH(C2827,'Leads Pipeline'!$A$5:$A$1004,0)),INDEX('Active Clients'!$C$5:$C$504,MATCH(C2827,'Active Clients'!$A$5:$A$504,0)))&amp;"","ID not found"))</f>
        <v/>
      </c>
      <c r="G2827" s="16"/>
      <c r="H2827" s="16"/>
      <c r="I2827" s="16"/>
      <c r="J2827" s="16"/>
      <c r="K2827" s="16"/>
      <c r="L2827" s="18"/>
    </row>
    <row r="2828" customFormat="false" ht="15" hidden="false" customHeight="false" outlineLevel="0" collapsed="false">
      <c r="A2828" s="18"/>
      <c r="B2828" s="16"/>
      <c r="C2828" s="16"/>
      <c r="D2828" s="51" t="str">
        <f aca="false">IF(C2828="","",IFERROR(IF(LEFT(C2828,1)="L",INDEX('Leads Pipeline'!$F$5:$F$1004,MATCH(C2828,'Leads Pipeline'!$A$5:$A$1004,0)),INDEX('Active Clients'!$D$5:$D$504,MATCH(C2828,'Active Clients'!$A$5:$A$504,0)))&amp;"","ID not found"))</f>
        <v/>
      </c>
      <c r="E2828" s="51" t="str">
        <f aca="false">IF(C2828="","",IFERROR(IF(LEFT(C2828,1)="L",INDEX('Leads Pipeline'!$D$5:$D$1004,MATCH(C2828,'Leads Pipeline'!$A$5:$A$1004,0)),INDEX('Active Clients'!$B$5:$B$504,MATCH(C2828,'Active Clients'!$A$5:$A$504,0)))&amp;"","ID not found"))</f>
        <v/>
      </c>
      <c r="F2828" s="51" t="str">
        <f aca="false">IF(C2828="","",IFERROR(IF(LEFT(C2828,1)="L",INDEX('Leads Pipeline'!$E$5:$E$1004,MATCH(C2828,'Leads Pipeline'!$A$5:$A$1004,0)),INDEX('Active Clients'!$C$5:$C$504,MATCH(C2828,'Active Clients'!$A$5:$A$504,0)))&amp;"","ID not found"))</f>
        <v/>
      </c>
      <c r="G2828" s="16"/>
      <c r="H2828" s="16"/>
      <c r="I2828" s="16"/>
      <c r="J2828" s="16"/>
      <c r="K2828" s="16"/>
      <c r="L2828" s="18"/>
    </row>
    <row r="2829" customFormat="false" ht="15" hidden="false" customHeight="false" outlineLevel="0" collapsed="false">
      <c r="A2829" s="18"/>
      <c r="B2829" s="16"/>
      <c r="C2829" s="16"/>
      <c r="D2829" s="51" t="str">
        <f aca="false">IF(C2829="","",IFERROR(IF(LEFT(C2829,1)="L",INDEX('Leads Pipeline'!$F$5:$F$1004,MATCH(C2829,'Leads Pipeline'!$A$5:$A$1004,0)),INDEX('Active Clients'!$D$5:$D$504,MATCH(C2829,'Active Clients'!$A$5:$A$504,0)))&amp;"","ID not found"))</f>
        <v/>
      </c>
      <c r="E2829" s="51" t="str">
        <f aca="false">IF(C2829="","",IFERROR(IF(LEFT(C2829,1)="L",INDEX('Leads Pipeline'!$D$5:$D$1004,MATCH(C2829,'Leads Pipeline'!$A$5:$A$1004,0)),INDEX('Active Clients'!$B$5:$B$504,MATCH(C2829,'Active Clients'!$A$5:$A$504,0)))&amp;"","ID not found"))</f>
        <v/>
      </c>
      <c r="F2829" s="51" t="str">
        <f aca="false">IF(C2829="","",IFERROR(IF(LEFT(C2829,1)="L",INDEX('Leads Pipeline'!$E$5:$E$1004,MATCH(C2829,'Leads Pipeline'!$A$5:$A$1004,0)),INDEX('Active Clients'!$C$5:$C$504,MATCH(C2829,'Active Clients'!$A$5:$A$504,0)))&amp;"","ID not found"))</f>
        <v/>
      </c>
      <c r="G2829" s="16"/>
      <c r="H2829" s="16"/>
      <c r="I2829" s="16"/>
      <c r="J2829" s="16"/>
      <c r="K2829" s="16"/>
      <c r="L2829" s="18"/>
    </row>
    <row r="2830" customFormat="false" ht="15" hidden="false" customHeight="false" outlineLevel="0" collapsed="false">
      <c r="A2830" s="18"/>
      <c r="B2830" s="16"/>
      <c r="C2830" s="16"/>
      <c r="D2830" s="51" t="str">
        <f aca="false">IF(C2830="","",IFERROR(IF(LEFT(C2830,1)="L",INDEX('Leads Pipeline'!$F$5:$F$1004,MATCH(C2830,'Leads Pipeline'!$A$5:$A$1004,0)),INDEX('Active Clients'!$D$5:$D$504,MATCH(C2830,'Active Clients'!$A$5:$A$504,0)))&amp;"","ID not found"))</f>
        <v/>
      </c>
      <c r="E2830" s="51" t="str">
        <f aca="false">IF(C2830="","",IFERROR(IF(LEFT(C2830,1)="L",INDEX('Leads Pipeline'!$D$5:$D$1004,MATCH(C2830,'Leads Pipeline'!$A$5:$A$1004,0)),INDEX('Active Clients'!$B$5:$B$504,MATCH(C2830,'Active Clients'!$A$5:$A$504,0)))&amp;"","ID not found"))</f>
        <v/>
      </c>
      <c r="F2830" s="51" t="str">
        <f aca="false">IF(C2830="","",IFERROR(IF(LEFT(C2830,1)="L",INDEX('Leads Pipeline'!$E$5:$E$1004,MATCH(C2830,'Leads Pipeline'!$A$5:$A$1004,0)),INDEX('Active Clients'!$C$5:$C$504,MATCH(C2830,'Active Clients'!$A$5:$A$504,0)))&amp;"","ID not found"))</f>
        <v/>
      </c>
      <c r="G2830" s="16"/>
      <c r="H2830" s="16"/>
      <c r="I2830" s="16"/>
      <c r="J2830" s="16"/>
      <c r="K2830" s="16"/>
      <c r="L2830" s="18"/>
    </row>
    <row r="2831" customFormat="false" ht="15" hidden="false" customHeight="false" outlineLevel="0" collapsed="false">
      <c r="A2831" s="18"/>
      <c r="B2831" s="16"/>
      <c r="C2831" s="16"/>
      <c r="D2831" s="51" t="str">
        <f aca="false">IF(C2831="","",IFERROR(IF(LEFT(C2831,1)="L",INDEX('Leads Pipeline'!$F$5:$F$1004,MATCH(C2831,'Leads Pipeline'!$A$5:$A$1004,0)),INDEX('Active Clients'!$D$5:$D$504,MATCH(C2831,'Active Clients'!$A$5:$A$504,0)))&amp;"","ID not found"))</f>
        <v/>
      </c>
      <c r="E2831" s="51" t="str">
        <f aca="false">IF(C2831="","",IFERROR(IF(LEFT(C2831,1)="L",INDEX('Leads Pipeline'!$D$5:$D$1004,MATCH(C2831,'Leads Pipeline'!$A$5:$A$1004,0)),INDEX('Active Clients'!$B$5:$B$504,MATCH(C2831,'Active Clients'!$A$5:$A$504,0)))&amp;"","ID not found"))</f>
        <v/>
      </c>
      <c r="F2831" s="51" t="str">
        <f aca="false">IF(C2831="","",IFERROR(IF(LEFT(C2831,1)="L",INDEX('Leads Pipeline'!$E$5:$E$1004,MATCH(C2831,'Leads Pipeline'!$A$5:$A$1004,0)),INDEX('Active Clients'!$C$5:$C$504,MATCH(C2831,'Active Clients'!$A$5:$A$504,0)))&amp;"","ID not found"))</f>
        <v/>
      </c>
      <c r="G2831" s="16"/>
      <c r="H2831" s="16"/>
      <c r="I2831" s="16"/>
      <c r="J2831" s="16"/>
      <c r="K2831" s="16"/>
      <c r="L2831" s="18"/>
    </row>
    <row r="2832" customFormat="false" ht="15" hidden="false" customHeight="false" outlineLevel="0" collapsed="false">
      <c r="A2832" s="18"/>
      <c r="B2832" s="16"/>
      <c r="C2832" s="16"/>
      <c r="D2832" s="51" t="str">
        <f aca="false">IF(C2832="","",IFERROR(IF(LEFT(C2832,1)="L",INDEX('Leads Pipeline'!$F$5:$F$1004,MATCH(C2832,'Leads Pipeline'!$A$5:$A$1004,0)),INDEX('Active Clients'!$D$5:$D$504,MATCH(C2832,'Active Clients'!$A$5:$A$504,0)))&amp;"","ID not found"))</f>
        <v/>
      </c>
      <c r="E2832" s="51" t="str">
        <f aca="false">IF(C2832="","",IFERROR(IF(LEFT(C2832,1)="L",INDEX('Leads Pipeline'!$D$5:$D$1004,MATCH(C2832,'Leads Pipeline'!$A$5:$A$1004,0)),INDEX('Active Clients'!$B$5:$B$504,MATCH(C2832,'Active Clients'!$A$5:$A$504,0)))&amp;"","ID not found"))</f>
        <v/>
      </c>
      <c r="F2832" s="51" t="str">
        <f aca="false">IF(C2832="","",IFERROR(IF(LEFT(C2832,1)="L",INDEX('Leads Pipeline'!$E$5:$E$1004,MATCH(C2832,'Leads Pipeline'!$A$5:$A$1004,0)),INDEX('Active Clients'!$C$5:$C$504,MATCH(C2832,'Active Clients'!$A$5:$A$504,0)))&amp;"","ID not found"))</f>
        <v/>
      </c>
      <c r="G2832" s="16"/>
      <c r="H2832" s="16"/>
      <c r="I2832" s="16"/>
      <c r="J2832" s="16"/>
      <c r="K2832" s="16"/>
      <c r="L2832" s="18"/>
    </row>
    <row r="2833" customFormat="false" ht="15" hidden="false" customHeight="false" outlineLevel="0" collapsed="false">
      <c r="A2833" s="18"/>
      <c r="B2833" s="16"/>
      <c r="C2833" s="16"/>
      <c r="D2833" s="51" t="str">
        <f aca="false">IF(C2833="","",IFERROR(IF(LEFT(C2833,1)="L",INDEX('Leads Pipeline'!$F$5:$F$1004,MATCH(C2833,'Leads Pipeline'!$A$5:$A$1004,0)),INDEX('Active Clients'!$D$5:$D$504,MATCH(C2833,'Active Clients'!$A$5:$A$504,0)))&amp;"","ID not found"))</f>
        <v/>
      </c>
      <c r="E2833" s="51" t="str">
        <f aca="false">IF(C2833="","",IFERROR(IF(LEFT(C2833,1)="L",INDEX('Leads Pipeline'!$D$5:$D$1004,MATCH(C2833,'Leads Pipeline'!$A$5:$A$1004,0)),INDEX('Active Clients'!$B$5:$B$504,MATCH(C2833,'Active Clients'!$A$5:$A$504,0)))&amp;"","ID not found"))</f>
        <v/>
      </c>
      <c r="F2833" s="51" t="str">
        <f aca="false">IF(C2833="","",IFERROR(IF(LEFT(C2833,1)="L",INDEX('Leads Pipeline'!$E$5:$E$1004,MATCH(C2833,'Leads Pipeline'!$A$5:$A$1004,0)),INDEX('Active Clients'!$C$5:$C$504,MATCH(C2833,'Active Clients'!$A$5:$A$504,0)))&amp;"","ID not found"))</f>
        <v/>
      </c>
      <c r="G2833" s="16"/>
      <c r="H2833" s="16"/>
      <c r="I2833" s="16"/>
      <c r="J2833" s="16"/>
      <c r="K2833" s="16"/>
      <c r="L2833" s="18"/>
    </row>
    <row r="2834" customFormat="false" ht="15" hidden="false" customHeight="false" outlineLevel="0" collapsed="false">
      <c r="A2834" s="18"/>
      <c r="B2834" s="16"/>
      <c r="C2834" s="16"/>
      <c r="D2834" s="51" t="str">
        <f aca="false">IF(C2834="","",IFERROR(IF(LEFT(C2834,1)="L",INDEX('Leads Pipeline'!$F$5:$F$1004,MATCH(C2834,'Leads Pipeline'!$A$5:$A$1004,0)),INDEX('Active Clients'!$D$5:$D$504,MATCH(C2834,'Active Clients'!$A$5:$A$504,0)))&amp;"","ID not found"))</f>
        <v/>
      </c>
      <c r="E2834" s="51" t="str">
        <f aca="false">IF(C2834="","",IFERROR(IF(LEFT(C2834,1)="L",INDEX('Leads Pipeline'!$D$5:$D$1004,MATCH(C2834,'Leads Pipeline'!$A$5:$A$1004,0)),INDEX('Active Clients'!$B$5:$B$504,MATCH(C2834,'Active Clients'!$A$5:$A$504,0)))&amp;"","ID not found"))</f>
        <v/>
      </c>
      <c r="F2834" s="51" t="str">
        <f aca="false">IF(C2834="","",IFERROR(IF(LEFT(C2834,1)="L",INDEX('Leads Pipeline'!$E$5:$E$1004,MATCH(C2834,'Leads Pipeline'!$A$5:$A$1004,0)),INDEX('Active Clients'!$C$5:$C$504,MATCH(C2834,'Active Clients'!$A$5:$A$504,0)))&amp;"","ID not found"))</f>
        <v/>
      </c>
      <c r="G2834" s="16"/>
      <c r="H2834" s="16"/>
      <c r="I2834" s="16"/>
      <c r="J2834" s="16"/>
      <c r="K2834" s="16"/>
      <c r="L2834" s="18"/>
    </row>
    <row r="2835" customFormat="false" ht="15" hidden="false" customHeight="false" outlineLevel="0" collapsed="false">
      <c r="A2835" s="18"/>
      <c r="B2835" s="16"/>
      <c r="C2835" s="16"/>
      <c r="D2835" s="51" t="str">
        <f aca="false">IF(C2835="","",IFERROR(IF(LEFT(C2835,1)="L",INDEX('Leads Pipeline'!$F$5:$F$1004,MATCH(C2835,'Leads Pipeline'!$A$5:$A$1004,0)),INDEX('Active Clients'!$D$5:$D$504,MATCH(C2835,'Active Clients'!$A$5:$A$504,0)))&amp;"","ID not found"))</f>
        <v/>
      </c>
      <c r="E2835" s="51" t="str">
        <f aca="false">IF(C2835="","",IFERROR(IF(LEFT(C2835,1)="L",INDEX('Leads Pipeline'!$D$5:$D$1004,MATCH(C2835,'Leads Pipeline'!$A$5:$A$1004,0)),INDEX('Active Clients'!$B$5:$B$504,MATCH(C2835,'Active Clients'!$A$5:$A$504,0)))&amp;"","ID not found"))</f>
        <v/>
      </c>
      <c r="F2835" s="51" t="str">
        <f aca="false">IF(C2835="","",IFERROR(IF(LEFT(C2835,1)="L",INDEX('Leads Pipeline'!$E$5:$E$1004,MATCH(C2835,'Leads Pipeline'!$A$5:$A$1004,0)),INDEX('Active Clients'!$C$5:$C$504,MATCH(C2835,'Active Clients'!$A$5:$A$504,0)))&amp;"","ID not found"))</f>
        <v/>
      </c>
      <c r="G2835" s="16"/>
      <c r="H2835" s="16"/>
      <c r="I2835" s="16"/>
      <c r="J2835" s="16"/>
      <c r="K2835" s="16"/>
      <c r="L2835" s="18"/>
    </row>
    <row r="2836" customFormat="false" ht="15" hidden="false" customHeight="false" outlineLevel="0" collapsed="false">
      <c r="A2836" s="18"/>
      <c r="B2836" s="16"/>
      <c r="C2836" s="16"/>
      <c r="D2836" s="51" t="str">
        <f aca="false">IF(C2836="","",IFERROR(IF(LEFT(C2836,1)="L",INDEX('Leads Pipeline'!$F$5:$F$1004,MATCH(C2836,'Leads Pipeline'!$A$5:$A$1004,0)),INDEX('Active Clients'!$D$5:$D$504,MATCH(C2836,'Active Clients'!$A$5:$A$504,0)))&amp;"","ID not found"))</f>
        <v/>
      </c>
      <c r="E2836" s="51" t="str">
        <f aca="false">IF(C2836="","",IFERROR(IF(LEFT(C2836,1)="L",INDEX('Leads Pipeline'!$D$5:$D$1004,MATCH(C2836,'Leads Pipeline'!$A$5:$A$1004,0)),INDEX('Active Clients'!$B$5:$B$504,MATCH(C2836,'Active Clients'!$A$5:$A$504,0)))&amp;"","ID not found"))</f>
        <v/>
      </c>
      <c r="F2836" s="51" t="str">
        <f aca="false">IF(C2836="","",IFERROR(IF(LEFT(C2836,1)="L",INDEX('Leads Pipeline'!$E$5:$E$1004,MATCH(C2836,'Leads Pipeline'!$A$5:$A$1004,0)),INDEX('Active Clients'!$C$5:$C$504,MATCH(C2836,'Active Clients'!$A$5:$A$504,0)))&amp;"","ID not found"))</f>
        <v/>
      </c>
      <c r="G2836" s="16"/>
      <c r="H2836" s="16"/>
      <c r="I2836" s="16"/>
      <c r="J2836" s="16"/>
      <c r="K2836" s="16"/>
      <c r="L2836" s="18"/>
    </row>
    <row r="2837" customFormat="false" ht="15" hidden="false" customHeight="false" outlineLevel="0" collapsed="false">
      <c r="A2837" s="18"/>
      <c r="B2837" s="16"/>
      <c r="C2837" s="16"/>
      <c r="D2837" s="51" t="str">
        <f aca="false">IF(C2837="","",IFERROR(IF(LEFT(C2837,1)="L",INDEX('Leads Pipeline'!$F$5:$F$1004,MATCH(C2837,'Leads Pipeline'!$A$5:$A$1004,0)),INDEX('Active Clients'!$D$5:$D$504,MATCH(C2837,'Active Clients'!$A$5:$A$504,0)))&amp;"","ID not found"))</f>
        <v/>
      </c>
      <c r="E2837" s="51" t="str">
        <f aca="false">IF(C2837="","",IFERROR(IF(LEFT(C2837,1)="L",INDEX('Leads Pipeline'!$D$5:$D$1004,MATCH(C2837,'Leads Pipeline'!$A$5:$A$1004,0)),INDEX('Active Clients'!$B$5:$B$504,MATCH(C2837,'Active Clients'!$A$5:$A$504,0)))&amp;"","ID not found"))</f>
        <v/>
      </c>
      <c r="F2837" s="51" t="str">
        <f aca="false">IF(C2837="","",IFERROR(IF(LEFT(C2837,1)="L",INDEX('Leads Pipeline'!$E$5:$E$1004,MATCH(C2837,'Leads Pipeline'!$A$5:$A$1004,0)),INDEX('Active Clients'!$C$5:$C$504,MATCH(C2837,'Active Clients'!$A$5:$A$504,0)))&amp;"","ID not found"))</f>
        <v/>
      </c>
      <c r="G2837" s="16"/>
      <c r="H2837" s="16"/>
      <c r="I2837" s="16"/>
      <c r="J2837" s="16"/>
      <c r="K2837" s="16"/>
      <c r="L2837" s="18"/>
    </row>
    <row r="2838" customFormat="false" ht="15" hidden="false" customHeight="false" outlineLevel="0" collapsed="false">
      <c r="A2838" s="18"/>
      <c r="B2838" s="16"/>
      <c r="C2838" s="16"/>
      <c r="D2838" s="51" t="str">
        <f aca="false">IF(C2838="","",IFERROR(IF(LEFT(C2838,1)="L",INDEX('Leads Pipeline'!$F$5:$F$1004,MATCH(C2838,'Leads Pipeline'!$A$5:$A$1004,0)),INDEX('Active Clients'!$D$5:$D$504,MATCH(C2838,'Active Clients'!$A$5:$A$504,0)))&amp;"","ID not found"))</f>
        <v/>
      </c>
      <c r="E2838" s="51" t="str">
        <f aca="false">IF(C2838="","",IFERROR(IF(LEFT(C2838,1)="L",INDEX('Leads Pipeline'!$D$5:$D$1004,MATCH(C2838,'Leads Pipeline'!$A$5:$A$1004,0)),INDEX('Active Clients'!$B$5:$B$504,MATCH(C2838,'Active Clients'!$A$5:$A$504,0)))&amp;"","ID not found"))</f>
        <v/>
      </c>
      <c r="F2838" s="51" t="str">
        <f aca="false">IF(C2838="","",IFERROR(IF(LEFT(C2838,1)="L",INDEX('Leads Pipeline'!$E$5:$E$1004,MATCH(C2838,'Leads Pipeline'!$A$5:$A$1004,0)),INDEX('Active Clients'!$C$5:$C$504,MATCH(C2838,'Active Clients'!$A$5:$A$504,0)))&amp;"","ID not found"))</f>
        <v/>
      </c>
      <c r="G2838" s="16"/>
      <c r="H2838" s="16"/>
      <c r="I2838" s="16"/>
      <c r="J2838" s="16"/>
      <c r="K2838" s="16"/>
      <c r="L2838" s="18"/>
    </row>
    <row r="2839" customFormat="false" ht="15" hidden="false" customHeight="false" outlineLevel="0" collapsed="false">
      <c r="A2839" s="18"/>
      <c r="B2839" s="16"/>
      <c r="C2839" s="16"/>
      <c r="D2839" s="51" t="str">
        <f aca="false">IF(C2839="","",IFERROR(IF(LEFT(C2839,1)="L",INDEX('Leads Pipeline'!$F$5:$F$1004,MATCH(C2839,'Leads Pipeline'!$A$5:$A$1004,0)),INDEX('Active Clients'!$D$5:$D$504,MATCH(C2839,'Active Clients'!$A$5:$A$504,0)))&amp;"","ID not found"))</f>
        <v/>
      </c>
      <c r="E2839" s="51" t="str">
        <f aca="false">IF(C2839="","",IFERROR(IF(LEFT(C2839,1)="L",INDEX('Leads Pipeline'!$D$5:$D$1004,MATCH(C2839,'Leads Pipeline'!$A$5:$A$1004,0)),INDEX('Active Clients'!$B$5:$B$504,MATCH(C2839,'Active Clients'!$A$5:$A$504,0)))&amp;"","ID not found"))</f>
        <v/>
      </c>
      <c r="F2839" s="51" t="str">
        <f aca="false">IF(C2839="","",IFERROR(IF(LEFT(C2839,1)="L",INDEX('Leads Pipeline'!$E$5:$E$1004,MATCH(C2839,'Leads Pipeline'!$A$5:$A$1004,0)),INDEX('Active Clients'!$C$5:$C$504,MATCH(C2839,'Active Clients'!$A$5:$A$504,0)))&amp;"","ID not found"))</f>
        <v/>
      </c>
      <c r="G2839" s="16"/>
      <c r="H2839" s="16"/>
      <c r="I2839" s="16"/>
      <c r="J2839" s="16"/>
      <c r="K2839" s="16"/>
      <c r="L2839" s="18"/>
    </row>
    <row r="2840" customFormat="false" ht="15" hidden="false" customHeight="false" outlineLevel="0" collapsed="false">
      <c r="A2840" s="18"/>
      <c r="B2840" s="16"/>
      <c r="C2840" s="16"/>
      <c r="D2840" s="51" t="str">
        <f aca="false">IF(C2840="","",IFERROR(IF(LEFT(C2840,1)="L",INDEX('Leads Pipeline'!$F$5:$F$1004,MATCH(C2840,'Leads Pipeline'!$A$5:$A$1004,0)),INDEX('Active Clients'!$D$5:$D$504,MATCH(C2840,'Active Clients'!$A$5:$A$504,0)))&amp;"","ID not found"))</f>
        <v/>
      </c>
      <c r="E2840" s="51" t="str">
        <f aca="false">IF(C2840="","",IFERROR(IF(LEFT(C2840,1)="L",INDEX('Leads Pipeline'!$D$5:$D$1004,MATCH(C2840,'Leads Pipeline'!$A$5:$A$1004,0)),INDEX('Active Clients'!$B$5:$B$504,MATCH(C2840,'Active Clients'!$A$5:$A$504,0)))&amp;"","ID not found"))</f>
        <v/>
      </c>
      <c r="F2840" s="51" t="str">
        <f aca="false">IF(C2840="","",IFERROR(IF(LEFT(C2840,1)="L",INDEX('Leads Pipeline'!$E$5:$E$1004,MATCH(C2840,'Leads Pipeline'!$A$5:$A$1004,0)),INDEX('Active Clients'!$C$5:$C$504,MATCH(C2840,'Active Clients'!$A$5:$A$504,0)))&amp;"","ID not found"))</f>
        <v/>
      </c>
      <c r="G2840" s="16"/>
      <c r="H2840" s="16"/>
      <c r="I2840" s="16"/>
      <c r="J2840" s="16"/>
      <c r="K2840" s="16"/>
      <c r="L2840" s="18"/>
    </row>
    <row r="2841" customFormat="false" ht="15" hidden="false" customHeight="false" outlineLevel="0" collapsed="false">
      <c r="A2841" s="18"/>
      <c r="B2841" s="16"/>
      <c r="C2841" s="16"/>
      <c r="D2841" s="51" t="str">
        <f aca="false">IF(C2841="","",IFERROR(IF(LEFT(C2841,1)="L",INDEX('Leads Pipeline'!$F$5:$F$1004,MATCH(C2841,'Leads Pipeline'!$A$5:$A$1004,0)),INDEX('Active Clients'!$D$5:$D$504,MATCH(C2841,'Active Clients'!$A$5:$A$504,0)))&amp;"","ID not found"))</f>
        <v/>
      </c>
      <c r="E2841" s="51" t="str">
        <f aca="false">IF(C2841="","",IFERROR(IF(LEFT(C2841,1)="L",INDEX('Leads Pipeline'!$D$5:$D$1004,MATCH(C2841,'Leads Pipeline'!$A$5:$A$1004,0)),INDEX('Active Clients'!$B$5:$B$504,MATCH(C2841,'Active Clients'!$A$5:$A$504,0)))&amp;"","ID not found"))</f>
        <v/>
      </c>
      <c r="F2841" s="51" t="str">
        <f aca="false">IF(C2841="","",IFERROR(IF(LEFT(C2841,1)="L",INDEX('Leads Pipeline'!$E$5:$E$1004,MATCH(C2841,'Leads Pipeline'!$A$5:$A$1004,0)),INDEX('Active Clients'!$C$5:$C$504,MATCH(C2841,'Active Clients'!$A$5:$A$504,0)))&amp;"","ID not found"))</f>
        <v/>
      </c>
      <c r="G2841" s="16"/>
      <c r="H2841" s="16"/>
      <c r="I2841" s="16"/>
      <c r="J2841" s="16"/>
      <c r="K2841" s="16"/>
      <c r="L2841" s="18"/>
    </row>
    <row r="2842" customFormat="false" ht="15" hidden="false" customHeight="false" outlineLevel="0" collapsed="false">
      <c r="A2842" s="18"/>
      <c r="B2842" s="16"/>
      <c r="C2842" s="16"/>
      <c r="D2842" s="51" t="str">
        <f aca="false">IF(C2842="","",IFERROR(IF(LEFT(C2842,1)="L",INDEX('Leads Pipeline'!$F$5:$F$1004,MATCH(C2842,'Leads Pipeline'!$A$5:$A$1004,0)),INDEX('Active Clients'!$D$5:$D$504,MATCH(C2842,'Active Clients'!$A$5:$A$504,0)))&amp;"","ID not found"))</f>
        <v/>
      </c>
      <c r="E2842" s="51" t="str">
        <f aca="false">IF(C2842="","",IFERROR(IF(LEFT(C2842,1)="L",INDEX('Leads Pipeline'!$D$5:$D$1004,MATCH(C2842,'Leads Pipeline'!$A$5:$A$1004,0)),INDEX('Active Clients'!$B$5:$B$504,MATCH(C2842,'Active Clients'!$A$5:$A$504,0)))&amp;"","ID not found"))</f>
        <v/>
      </c>
      <c r="F2842" s="51" t="str">
        <f aca="false">IF(C2842="","",IFERROR(IF(LEFT(C2842,1)="L",INDEX('Leads Pipeline'!$E$5:$E$1004,MATCH(C2842,'Leads Pipeline'!$A$5:$A$1004,0)),INDEX('Active Clients'!$C$5:$C$504,MATCH(C2842,'Active Clients'!$A$5:$A$504,0)))&amp;"","ID not found"))</f>
        <v/>
      </c>
      <c r="G2842" s="16"/>
      <c r="H2842" s="16"/>
      <c r="I2842" s="16"/>
      <c r="J2842" s="16"/>
      <c r="K2842" s="16"/>
      <c r="L2842" s="18"/>
    </row>
    <row r="2843" customFormat="false" ht="15" hidden="false" customHeight="false" outlineLevel="0" collapsed="false">
      <c r="A2843" s="18"/>
      <c r="B2843" s="16"/>
      <c r="C2843" s="16"/>
      <c r="D2843" s="51" t="str">
        <f aca="false">IF(C2843="","",IFERROR(IF(LEFT(C2843,1)="L",INDEX('Leads Pipeline'!$F$5:$F$1004,MATCH(C2843,'Leads Pipeline'!$A$5:$A$1004,0)),INDEX('Active Clients'!$D$5:$D$504,MATCH(C2843,'Active Clients'!$A$5:$A$504,0)))&amp;"","ID not found"))</f>
        <v/>
      </c>
      <c r="E2843" s="51" t="str">
        <f aca="false">IF(C2843="","",IFERROR(IF(LEFT(C2843,1)="L",INDEX('Leads Pipeline'!$D$5:$D$1004,MATCH(C2843,'Leads Pipeline'!$A$5:$A$1004,0)),INDEX('Active Clients'!$B$5:$B$504,MATCH(C2843,'Active Clients'!$A$5:$A$504,0)))&amp;"","ID not found"))</f>
        <v/>
      </c>
      <c r="F2843" s="51" t="str">
        <f aca="false">IF(C2843="","",IFERROR(IF(LEFT(C2843,1)="L",INDEX('Leads Pipeline'!$E$5:$E$1004,MATCH(C2843,'Leads Pipeline'!$A$5:$A$1004,0)),INDEX('Active Clients'!$C$5:$C$504,MATCH(C2843,'Active Clients'!$A$5:$A$504,0)))&amp;"","ID not found"))</f>
        <v/>
      </c>
      <c r="G2843" s="16"/>
      <c r="H2843" s="16"/>
      <c r="I2843" s="16"/>
      <c r="J2843" s="16"/>
      <c r="K2843" s="16"/>
      <c r="L2843" s="18"/>
    </row>
    <row r="2844" customFormat="false" ht="15" hidden="false" customHeight="false" outlineLevel="0" collapsed="false">
      <c r="A2844" s="18"/>
      <c r="B2844" s="16"/>
      <c r="C2844" s="16"/>
      <c r="D2844" s="51" t="str">
        <f aca="false">IF(C2844="","",IFERROR(IF(LEFT(C2844,1)="L",INDEX('Leads Pipeline'!$F$5:$F$1004,MATCH(C2844,'Leads Pipeline'!$A$5:$A$1004,0)),INDEX('Active Clients'!$D$5:$D$504,MATCH(C2844,'Active Clients'!$A$5:$A$504,0)))&amp;"","ID not found"))</f>
        <v/>
      </c>
      <c r="E2844" s="51" t="str">
        <f aca="false">IF(C2844="","",IFERROR(IF(LEFT(C2844,1)="L",INDEX('Leads Pipeline'!$D$5:$D$1004,MATCH(C2844,'Leads Pipeline'!$A$5:$A$1004,0)),INDEX('Active Clients'!$B$5:$B$504,MATCH(C2844,'Active Clients'!$A$5:$A$504,0)))&amp;"","ID not found"))</f>
        <v/>
      </c>
      <c r="F2844" s="51" t="str">
        <f aca="false">IF(C2844="","",IFERROR(IF(LEFT(C2844,1)="L",INDEX('Leads Pipeline'!$E$5:$E$1004,MATCH(C2844,'Leads Pipeline'!$A$5:$A$1004,0)),INDEX('Active Clients'!$C$5:$C$504,MATCH(C2844,'Active Clients'!$A$5:$A$504,0)))&amp;"","ID not found"))</f>
        <v/>
      </c>
      <c r="G2844" s="16"/>
      <c r="H2844" s="16"/>
      <c r="I2844" s="16"/>
      <c r="J2844" s="16"/>
      <c r="K2844" s="16"/>
      <c r="L2844" s="18"/>
    </row>
    <row r="2845" customFormat="false" ht="15" hidden="false" customHeight="false" outlineLevel="0" collapsed="false">
      <c r="A2845" s="18"/>
      <c r="B2845" s="16"/>
      <c r="C2845" s="16"/>
      <c r="D2845" s="51" t="str">
        <f aca="false">IF(C2845="","",IFERROR(IF(LEFT(C2845,1)="L",INDEX('Leads Pipeline'!$F$5:$F$1004,MATCH(C2845,'Leads Pipeline'!$A$5:$A$1004,0)),INDEX('Active Clients'!$D$5:$D$504,MATCH(C2845,'Active Clients'!$A$5:$A$504,0)))&amp;"","ID not found"))</f>
        <v/>
      </c>
      <c r="E2845" s="51" t="str">
        <f aca="false">IF(C2845="","",IFERROR(IF(LEFT(C2845,1)="L",INDEX('Leads Pipeline'!$D$5:$D$1004,MATCH(C2845,'Leads Pipeline'!$A$5:$A$1004,0)),INDEX('Active Clients'!$B$5:$B$504,MATCH(C2845,'Active Clients'!$A$5:$A$504,0)))&amp;"","ID not found"))</f>
        <v/>
      </c>
      <c r="F2845" s="51" t="str">
        <f aca="false">IF(C2845="","",IFERROR(IF(LEFT(C2845,1)="L",INDEX('Leads Pipeline'!$E$5:$E$1004,MATCH(C2845,'Leads Pipeline'!$A$5:$A$1004,0)),INDEX('Active Clients'!$C$5:$C$504,MATCH(C2845,'Active Clients'!$A$5:$A$504,0)))&amp;"","ID not found"))</f>
        <v/>
      </c>
      <c r="G2845" s="16"/>
      <c r="H2845" s="16"/>
      <c r="I2845" s="16"/>
      <c r="J2845" s="16"/>
      <c r="K2845" s="16"/>
      <c r="L2845" s="18"/>
    </row>
    <row r="2846" customFormat="false" ht="15" hidden="false" customHeight="false" outlineLevel="0" collapsed="false">
      <c r="A2846" s="18"/>
      <c r="B2846" s="16"/>
      <c r="C2846" s="16"/>
      <c r="D2846" s="51" t="str">
        <f aca="false">IF(C2846="","",IFERROR(IF(LEFT(C2846,1)="L",INDEX('Leads Pipeline'!$F$5:$F$1004,MATCH(C2846,'Leads Pipeline'!$A$5:$A$1004,0)),INDEX('Active Clients'!$D$5:$D$504,MATCH(C2846,'Active Clients'!$A$5:$A$504,0)))&amp;"","ID not found"))</f>
        <v/>
      </c>
      <c r="E2846" s="51" t="str">
        <f aca="false">IF(C2846="","",IFERROR(IF(LEFT(C2846,1)="L",INDEX('Leads Pipeline'!$D$5:$D$1004,MATCH(C2846,'Leads Pipeline'!$A$5:$A$1004,0)),INDEX('Active Clients'!$B$5:$B$504,MATCH(C2846,'Active Clients'!$A$5:$A$504,0)))&amp;"","ID not found"))</f>
        <v/>
      </c>
      <c r="F2846" s="51" t="str">
        <f aca="false">IF(C2846="","",IFERROR(IF(LEFT(C2846,1)="L",INDEX('Leads Pipeline'!$E$5:$E$1004,MATCH(C2846,'Leads Pipeline'!$A$5:$A$1004,0)),INDEX('Active Clients'!$C$5:$C$504,MATCH(C2846,'Active Clients'!$A$5:$A$504,0)))&amp;"","ID not found"))</f>
        <v/>
      </c>
      <c r="G2846" s="16"/>
      <c r="H2846" s="16"/>
      <c r="I2846" s="16"/>
      <c r="J2846" s="16"/>
      <c r="K2846" s="16"/>
      <c r="L2846" s="18"/>
    </row>
    <row r="2847" customFormat="false" ht="15" hidden="false" customHeight="false" outlineLevel="0" collapsed="false">
      <c r="A2847" s="18"/>
      <c r="B2847" s="16"/>
      <c r="C2847" s="16"/>
      <c r="D2847" s="51" t="str">
        <f aca="false">IF(C2847="","",IFERROR(IF(LEFT(C2847,1)="L",INDEX('Leads Pipeline'!$F$5:$F$1004,MATCH(C2847,'Leads Pipeline'!$A$5:$A$1004,0)),INDEX('Active Clients'!$D$5:$D$504,MATCH(C2847,'Active Clients'!$A$5:$A$504,0)))&amp;"","ID not found"))</f>
        <v/>
      </c>
      <c r="E2847" s="51" t="str">
        <f aca="false">IF(C2847="","",IFERROR(IF(LEFT(C2847,1)="L",INDEX('Leads Pipeline'!$D$5:$D$1004,MATCH(C2847,'Leads Pipeline'!$A$5:$A$1004,0)),INDEX('Active Clients'!$B$5:$B$504,MATCH(C2847,'Active Clients'!$A$5:$A$504,0)))&amp;"","ID not found"))</f>
        <v/>
      </c>
      <c r="F2847" s="51" t="str">
        <f aca="false">IF(C2847="","",IFERROR(IF(LEFT(C2847,1)="L",INDEX('Leads Pipeline'!$E$5:$E$1004,MATCH(C2847,'Leads Pipeline'!$A$5:$A$1004,0)),INDEX('Active Clients'!$C$5:$C$504,MATCH(C2847,'Active Clients'!$A$5:$A$504,0)))&amp;"","ID not found"))</f>
        <v/>
      </c>
      <c r="G2847" s="16"/>
      <c r="H2847" s="16"/>
      <c r="I2847" s="16"/>
      <c r="J2847" s="16"/>
      <c r="K2847" s="16"/>
      <c r="L2847" s="18"/>
    </row>
    <row r="2848" customFormat="false" ht="15" hidden="false" customHeight="false" outlineLevel="0" collapsed="false">
      <c r="A2848" s="18"/>
      <c r="B2848" s="16"/>
      <c r="C2848" s="16"/>
      <c r="D2848" s="51" t="str">
        <f aca="false">IF(C2848="","",IFERROR(IF(LEFT(C2848,1)="L",INDEX('Leads Pipeline'!$F$5:$F$1004,MATCH(C2848,'Leads Pipeline'!$A$5:$A$1004,0)),INDEX('Active Clients'!$D$5:$D$504,MATCH(C2848,'Active Clients'!$A$5:$A$504,0)))&amp;"","ID not found"))</f>
        <v/>
      </c>
      <c r="E2848" s="51" t="str">
        <f aca="false">IF(C2848="","",IFERROR(IF(LEFT(C2848,1)="L",INDEX('Leads Pipeline'!$D$5:$D$1004,MATCH(C2848,'Leads Pipeline'!$A$5:$A$1004,0)),INDEX('Active Clients'!$B$5:$B$504,MATCH(C2848,'Active Clients'!$A$5:$A$504,0)))&amp;"","ID not found"))</f>
        <v/>
      </c>
      <c r="F2848" s="51" t="str">
        <f aca="false">IF(C2848="","",IFERROR(IF(LEFT(C2848,1)="L",INDEX('Leads Pipeline'!$E$5:$E$1004,MATCH(C2848,'Leads Pipeline'!$A$5:$A$1004,0)),INDEX('Active Clients'!$C$5:$C$504,MATCH(C2848,'Active Clients'!$A$5:$A$504,0)))&amp;"","ID not found"))</f>
        <v/>
      </c>
      <c r="G2848" s="16"/>
      <c r="H2848" s="16"/>
      <c r="I2848" s="16"/>
      <c r="J2848" s="16"/>
      <c r="K2848" s="16"/>
      <c r="L2848" s="18"/>
    </row>
    <row r="2849" customFormat="false" ht="15" hidden="false" customHeight="false" outlineLevel="0" collapsed="false">
      <c r="A2849" s="18"/>
      <c r="B2849" s="16"/>
      <c r="C2849" s="16"/>
      <c r="D2849" s="51" t="str">
        <f aca="false">IF(C2849="","",IFERROR(IF(LEFT(C2849,1)="L",INDEX('Leads Pipeline'!$F$5:$F$1004,MATCH(C2849,'Leads Pipeline'!$A$5:$A$1004,0)),INDEX('Active Clients'!$D$5:$D$504,MATCH(C2849,'Active Clients'!$A$5:$A$504,0)))&amp;"","ID not found"))</f>
        <v/>
      </c>
      <c r="E2849" s="51" t="str">
        <f aca="false">IF(C2849="","",IFERROR(IF(LEFT(C2849,1)="L",INDEX('Leads Pipeline'!$D$5:$D$1004,MATCH(C2849,'Leads Pipeline'!$A$5:$A$1004,0)),INDEX('Active Clients'!$B$5:$B$504,MATCH(C2849,'Active Clients'!$A$5:$A$504,0)))&amp;"","ID not found"))</f>
        <v/>
      </c>
      <c r="F2849" s="51" t="str">
        <f aca="false">IF(C2849="","",IFERROR(IF(LEFT(C2849,1)="L",INDEX('Leads Pipeline'!$E$5:$E$1004,MATCH(C2849,'Leads Pipeline'!$A$5:$A$1004,0)),INDEX('Active Clients'!$C$5:$C$504,MATCH(C2849,'Active Clients'!$A$5:$A$504,0)))&amp;"","ID not found"))</f>
        <v/>
      </c>
      <c r="G2849" s="16"/>
      <c r="H2849" s="16"/>
      <c r="I2849" s="16"/>
      <c r="J2849" s="16"/>
      <c r="K2849" s="16"/>
      <c r="L2849" s="18"/>
    </row>
    <row r="2850" customFormat="false" ht="15" hidden="false" customHeight="false" outlineLevel="0" collapsed="false">
      <c r="A2850" s="18"/>
      <c r="B2850" s="16"/>
      <c r="C2850" s="16"/>
      <c r="D2850" s="51" t="str">
        <f aca="false">IF(C2850="","",IFERROR(IF(LEFT(C2850,1)="L",INDEX('Leads Pipeline'!$F$5:$F$1004,MATCH(C2850,'Leads Pipeline'!$A$5:$A$1004,0)),INDEX('Active Clients'!$D$5:$D$504,MATCH(C2850,'Active Clients'!$A$5:$A$504,0)))&amp;"","ID not found"))</f>
        <v/>
      </c>
      <c r="E2850" s="51" t="str">
        <f aca="false">IF(C2850="","",IFERROR(IF(LEFT(C2850,1)="L",INDEX('Leads Pipeline'!$D$5:$D$1004,MATCH(C2850,'Leads Pipeline'!$A$5:$A$1004,0)),INDEX('Active Clients'!$B$5:$B$504,MATCH(C2850,'Active Clients'!$A$5:$A$504,0)))&amp;"","ID not found"))</f>
        <v/>
      </c>
      <c r="F2850" s="51" t="str">
        <f aca="false">IF(C2850="","",IFERROR(IF(LEFT(C2850,1)="L",INDEX('Leads Pipeline'!$E$5:$E$1004,MATCH(C2850,'Leads Pipeline'!$A$5:$A$1004,0)),INDEX('Active Clients'!$C$5:$C$504,MATCH(C2850,'Active Clients'!$A$5:$A$504,0)))&amp;"","ID not found"))</f>
        <v/>
      </c>
      <c r="G2850" s="16"/>
      <c r="H2850" s="16"/>
      <c r="I2850" s="16"/>
      <c r="J2850" s="16"/>
      <c r="K2850" s="16"/>
      <c r="L2850" s="18"/>
    </row>
    <row r="2851" customFormat="false" ht="15" hidden="false" customHeight="false" outlineLevel="0" collapsed="false">
      <c r="A2851" s="18"/>
      <c r="B2851" s="16"/>
      <c r="C2851" s="16"/>
      <c r="D2851" s="51" t="str">
        <f aca="false">IF(C2851="","",IFERROR(IF(LEFT(C2851,1)="L",INDEX('Leads Pipeline'!$F$5:$F$1004,MATCH(C2851,'Leads Pipeline'!$A$5:$A$1004,0)),INDEX('Active Clients'!$D$5:$D$504,MATCH(C2851,'Active Clients'!$A$5:$A$504,0)))&amp;"","ID not found"))</f>
        <v/>
      </c>
      <c r="E2851" s="51" t="str">
        <f aca="false">IF(C2851="","",IFERROR(IF(LEFT(C2851,1)="L",INDEX('Leads Pipeline'!$D$5:$D$1004,MATCH(C2851,'Leads Pipeline'!$A$5:$A$1004,0)),INDEX('Active Clients'!$B$5:$B$504,MATCH(C2851,'Active Clients'!$A$5:$A$504,0)))&amp;"","ID not found"))</f>
        <v/>
      </c>
      <c r="F2851" s="51" t="str">
        <f aca="false">IF(C2851="","",IFERROR(IF(LEFT(C2851,1)="L",INDEX('Leads Pipeline'!$E$5:$E$1004,MATCH(C2851,'Leads Pipeline'!$A$5:$A$1004,0)),INDEX('Active Clients'!$C$5:$C$504,MATCH(C2851,'Active Clients'!$A$5:$A$504,0)))&amp;"","ID not found"))</f>
        <v/>
      </c>
      <c r="G2851" s="16"/>
      <c r="H2851" s="16"/>
      <c r="I2851" s="16"/>
      <c r="J2851" s="16"/>
      <c r="K2851" s="16"/>
      <c r="L2851" s="18"/>
    </row>
    <row r="2852" customFormat="false" ht="15" hidden="false" customHeight="false" outlineLevel="0" collapsed="false">
      <c r="A2852" s="18"/>
      <c r="B2852" s="16"/>
      <c r="C2852" s="16"/>
      <c r="D2852" s="51" t="str">
        <f aca="false">IF(C2852="","",IFERROR(IF(LEFT(C2852,1)="L",INDEX('Leads Pipeline'!$F$5:$F$1004,MATCH(C2852,'Leads Pipeline'!$A$5:$A$1004,0)),INDEX('Active Clients'!$D$5:$D$504,MATCH(C2852,'Active Clients'!$A$5:$A$504,0)))&amp;"","ID not found"))</f>
        <v/>
      </c>
      <c r="E2852" s="51" t="str">
        <f aca="false">IF(C2852="","",IFERROR(IF(LEFT(C2852,1)="L",INDEX('Leads Pipeline'!$D$5:$D$1004,MATCH(C2852,'Leads Pipeline'!$A$5:$A$1004,0)),INDEX('Active Clients'!$B$5:$B$504,MATCH(C2852,'Active Clients'!$A$5:$A$504,0)))&amp;"","ID not found"))</f>
        <v/>
      </c>
      <c r="F2852" s="51" t="str">
        <f aca="false">IF(C2852="","",IFERROR(IF(LEFT(C2852,1)="L",INDEX('Leads Pipeline'!$E$5:$E$1004,MATCH(C2852,'Leads Pipeline'!$A$5:$A$1004,0)),INDEX('Active Clients'!$C$5:$C$504,MATCH(C2852,'Active Clients'!$A$5:$A$504,0)))&amp;"","ID not found"))</f>
        <v/>
      </c>
      <c r="G2852" s="16"/>
      <c r="H2852" s="16"/>
      <c r="I2852" s="16"/>
      <c r="J2852" s="16"/>
      <c r="K2852" s="16"/>
      <c r="L2852" s="18"/>
    </row>
    <row r="2853" customFormat="false" ht="15" hidden="false" customHeight="false" outlineLevel="0" collapsed="false">
      <c r="A2853" s="18"/>
      <c r="B2853" s="16"/>
      <c r="C2853" s="16"/>
      <c r="D2853" s="51" t="str">
        <f aca="false">IF(C2853="","",IFERROR(IF(LEFT(C2853,1)="L",INDEX('Leads Pipeline'!$F$5:$F$1004,MATCH(C2853,'Leads Pipeline'!$A$5:$A$1004,0)),INDEX('Active Clients'!$D$5:$D$504,MATCH(C2853,'Active Clients'!$A$5:$A$504,0)))&amp;"","ID not found"))</f>
        <v/>
      </c>
      <c r="E2853" s="51" t="str">
        <f aca="false">IF(C2853="","",IFERROR(IF(LEFT(C2853,1)="L",INDEX('Leads Pipeline'!$D$5:$D$1004,MATCH(C2853,'Leads Pipeline'!$A$5:$A$1004,0)),INDEX('Active Clients'!$B$5:$B$504,MATCH(C2853,'Active Clients'!$A$5:$A$504,0)))&amp;"","ID not found"))</f>
        <v/>
      </c>
      <c r="F2853" s="51" t="str">
        <f aca="false">IF(C2853="","",IFERROR(IF(LEFT(C2853,1)="L",INDEX('Leads Pipeline'!$E$5:$E$1004,MATCH(C2853,'Leads Pipeline'!$A$5:$A$1004,0)),INDEX('Active Clients'!$C$5:$C$504,MATCH(C2853,'Active Clients'!$A$5:$A$504,0)))&amp;"","ID not found"))</f>
        <v/>
      </c>
      <c r="G2853" s="16"/>
      <c r="H2853" s="16"/>
      <c r="I2853" s="16"/>
      <c r="J2853" s="16"/>
      <c r="K2853" s="16"/>
      <c r="L2853" s="18"/>
    </row>
    <row r="2854" customFormat="false" ht="15" hidden="false" customHeight="false" outlineLevel="0" collapsed="false">
      <c r="A2854" s="18"/>
      <c r="B2854" s="16"/>
      <c r="C2854" s="16"/>
      <c r="D2854" s="51" t="str">
        <f aca="false">IF(C2854="","",IFERROR(IF(LEFT(C2854,1)="L",INDEX('Leads Pipeline'!$F$5:$F$1004,MATCH(C2854,'Leads Pipeline'!$A$5:$A$1004,0)),INDEX('Active Clients'!$D$5:$D$504,MATCH(C2854,'Active Clients'!$A$5:$A$504,0)))&amp;"","ID not found"))</f>
        <v/>
      </c>
      <c r="E2854" s="51" t="str">
        <f aca="false">IF(C2854="","",IFERROR(IF(LEFT(C2854,1)="L",INDEX('Leads Pipeline'!$D$5:$D$1004,MATCH(C2854,'Leads Pipeline'!$A$5:$A$1004,0)),INDEX('Active Clients'!$B$5:$B$504,MATCH(C2854,'Active Clients'!$A$5:$A$504,0)))&amp;"","ID not found"))</f>
        <v/>
      </c>
      <c r="F2854" s="51" t="str">
        <f aca="false">IF(C2854="","",IFERROR(IF(LEFT(C2854,1)="L",INDEX('Leads Pipeline'!$E$5:$E$1004,MATCH(C2854,'Leads Pipeline'!$A$5:$A$1004,0)),INDEX('Active Clients'!$C$5:$C$504,MATCH(C2854,'Active Clients'!$A$5:$A$504,0)))&amp;"","ID not found"))</f>
        <v/>
      </c>
      <c r="G2854" s="16"/>
      <c r="H2854" s="16"/>
      <c r="I2854" s="16"/>
      <c r="J2854" s="16"/>
      <c r="K2854" s="16"/>
      <c r="L2854" s="18"/>
    </row>
    <row r="2855" customFormat="false" ht="15" hidden="false" customHeight="false" outlineLevel="0" collapsed="false">
      <c r="A2855" s="18"/>
      <c r="B2855" s="16"/>
      <c r="C2855" s="16"/>
      <c r="D2855" s="51" t="str">
        <f aca="false">IF(C2855="","",IFERROR(IF(LEFT(C2855,1)="L",INDEX('Leads Pipeline'!$F$5:$F$1004,MATCH(C2855,'Leads Pipeline'!$A$5:$A$1004,0)),INDEX('Active Clients'!$D$5:$D$504,MATCH(C2855,'Active Clients'!$A$5:$A$504,0)))&amp;"","ID not found"))</f>
        <v/>
      </c>
      <c r="E2855" s="51" t="str">
        <f aca="false">IF(C2855="","",IFERROR(IF(LEFT(C2855,1)="L",INDEX('Leads Pipeline'!$D$5:$D$1004,MATCH(C2855,'Leads Pipeline'!$A$5:$A$1004,0)),INDEX('Active Clients'!$B$5:$B$504,MATCH(C2855,'Active Clients'!$A$5:$A$504,0)))&amp;"","ID not found"))</f>
        <v/>
      </c>
      <c r="F2855" s="51" t="str">
        <f aca="false">IF(C2855="","",IFERROR(IF(LEFT(C2855,1)="L",INDEX('Leads Pipeline'!$E$5:$E$1004,MATCH(C2855,'Leads Pipeline'!$A$5:$A$1004,0)),INDEX('Active Clients'!$C$5:$C$504,MATCH(C2855,'Active Clients'!$A$5:$A$504,0)))&amp;"","ID not found"))</f>
        <v/>
      </c>
      <c r="G2855" s="16"/>
      <c r="H2855" s="16"/>
      <c r="I2855" s="16"/>
      <c r="J2855" s="16"/>
      <c r="K2855" s="16"/>
      <c r="L2855" s="18"/>
    </row>
    <row r="2856" customFormat="false" ht="15" hidden="false" customHeight="false" outlineLevel="0" collapsed="false">
      <c r="A2856" s="18"/>
      <c r="B2856" s="16"/>
      <c r="C2856" s="16"/>
      <c r="D2856" s="51" t="str">
        <f aca="false">IF(C2856="","",IFERROR(IF(LEFT(C2856,1)="L",INDEX('Leads Pipeline'!$F$5:$F$1004,MATCH(C2856,'Leads Pipeline'!$A$5:$A$1004,0)),INDEX('Active Clients'!$D$5:$D$504,MATCH(C2856,'Active Clients'!$A$5:$A$504,0)))&amp;"","ID not found"))</f>
        <v/>
      </c>
      <c r="E2856" s="51" t="str">
        <f aca="false">IF(C2856="","",IFERROR(IF(LEFT(C2856,1)="L",INDEX('Leads Pipeline'!$D$5:$D$1004,MATCH(C2856,'Leads Pipeline'!$A$5:$A$1004,0)),INDEX('Active Clients'!$B$5:$B$504,MATCH(C2856,'Active Clients'!$A$5:$A$504,0)))&amp;"","ID not found"))</f>
        <v/>
      </c>
      <c r="F2856" s="51" t="str">
        <f aca="false">IF(C2856="","",IFERROR(IF(LEFT(C2856,1)="L",INDEX('Leads Pipeline'!$E$5:$E$1004,MATCH(C2856,'Leads Pipeline'!$A$5:$A$1004,0)),INDEX('Active Clients'!$C$5:$C$504,MATCH(C2856,'Active Clients'!$A$5:$A$504,0)))&amp;"","ID not found"))</f>
        <v/>
      </c>
      <c r="G2856" s="16"/>
      <c r="H2856" s="16"/>
      <c r="I2856" s="16"/>
      <c r="J2856" s="16"/>
      <c r="K2856" s="16"/>
      <c r="L2856" s="18"/>
    </row>
    <row r="2857" customFormat="false" ht="15" hidden="false" customHeight="false" outlineLevel="0" collapsed="false">
      <c r="A2857" s="18"/>
      <c r="B2857" s="16"/>
      <c r="C2857" s="16"/>
      <c r="D2857" s="51" t="str">
        <f aca="false">IF(C2857="","",IFERROR(IF(LEFT(C2857,1)="L",INDEX('Leads Pipeline'!$F$5:$F$1004,MATCH(C2857,'Leads Pipeline'!$A$5:$A$1004,0)),INDEX('Active Clients'!$D$5:$D$504,MATCH(C2857,'Active Clients'!$A$5:$A$504,0)))&amp;"","ID not found"))</f>
        <v/>
      </c>
      <c r="E2857" s="51" t="str">
        <f aca="false">IF(C2857="","",IFERROR(IF(LEFT(C2857,1)="L",INDEX('Leads Pipeline'!$D$5:$D$1004,MATCH(C2857,'Leads Pipeline'!$A$5:$A$1004,0)),INDEX('Active Clients'!$B$5:$B$504,MATCH(C2857,'Active Clients'!$A$5:$A$504,0)))&amp;"","ID not found"))</f>
        <v/>
      </c>
      <c r="F2857" s="51" t="str">
        <f aca="false">IF(C2857="","",IFERROR(IF(LEFT(C2857,1)="L",INDEX('Leads Pipeline'!$E$5:$E$1004,MATCH(C2857,'Leads Pipeline'!$A$5:$A$1004,0)),INDEX('Active Clients'!$C$5:$C$504,MATCH(C2857,'Active Clients'!$A$5:$A$504,0)))&amp;"","ID not found"))</f>
        <v/>
      </c>
      <c r="G2857" s="16"/>
      <c r="H2857" s="16"/>
      <c r="I2857" s="16"/>
      <c r="J2857" s="16"/>
      <c r="K2857" s="16"/>
      <c r="L2857" s="18"/>
    </row>
    <row r="2858" customFormat="false" ht="15" hidden="false" customHeight="false" outlineLevel="0" collapsed="false">
      <c r="A2858" s="18"/>
      <c r="B2858" s="16"/>
      <c r="C2858" s="16"/>
      <c r="D2858" s="51" t="str">
        <f aca="false">IF(C2858="","",IFERROR(IF(LEFT(C2858,1)="L",INDEX('Leads Pipeline'!$F$5:$F$1004,MATCH(C2858,'Leads Pipeline'!$A$5:$A$1004,0)),INDEX('Active Clients'!$D$5:$D$504,MATCH(C2858,'Active Clients'!$A$5:$A$504,0)))&amp;"","ID not found"))</f>
        <v/>
      </c>
      <c r="E2858" s="51" t="str">
        <f aca="false">IF(C2858="","",IFERROR(IF(LEFT(C2858,1)="L",INDEX('Leads Pipeline'!$D$5:$D$1004,MATCH(C2858,'Leads Pipeline'!$A$5:$A$1004,0)),INDEX('Active Clients'!$B$5:$B$504,MATCH(C2858,'Active Clients'!$A$5:$A$504,0)))&amp;"","ID not found"))</f>
        <v/>
      </c>
      <c r="F2858" s="51" t="str">
        <f aca="false">IF(C2858="","",IFERROR(IF(LEFT(C2858,1)="L",INDEX('Leads Pipeline'!$E$5:$E$1004,MATCH(C2858,'Leads Pipeline'!$A$5:$A$1004,0)),INDEX('Active Clients'!$C$5:$C$504,MATCH(C2858,'Active Clients'!$A$5:$A$504,0)))&amp;"","ID not found"))</f>
        <v/>
      </c>
      <c r="G2858" s="16"/>
      <c r="H2858" s="16"/>
      <c r="I2858" s="16"/>
      <c r="J2858" s="16"/>
      <c r="K2858" s="16"/>
      <c r="L2858" s="18"/>
    </row>
    <row r="2859" customFormat="false" ht="15" hidden="false" customHeight="false" outlineLevel="0" collapsed="false">
      <c r="A2859" s="18"/>
      <c r="B2859" s="16"/>
      <c r="C2859" s="16"/>
      <c r="D2859" s="51" t="str">
        <f aca="false">IF(C2859="","",IFERROR(IF(LEFT(C2859,1)="L",INDEX('Leads Pipeline'!$F$5:$F$1004,MATCH(C2859,'Leads Pipeline'!$A$5:$A$1004,0)),INDEX('Active Clients'!$D$5:$D$504,MATCH(C2859,'Active Clients'!$A$5:$A$504,0)))&amp;"","ID not found"))</f>
        <v/>
      </c>
      <c r="E2859" s="51" t="str">
        <f aca="false">IF(C2859="","",IFERROR(IF(LEFT(C2859,1)="L",INDEX('Leads Pipeline'!$D$5:$D$1004,MATCH(C2859,'Leads Pipeline'!$A$5:$A$1004,0)),INDEX('Active Clients'!$B$5:$B$504,MATCH(C2859,'Active Clients'!$A$5:$A$504,0)))&amp;"","ID not found"))</f>
        <v/>
      </c>
      <c r="F2859" s="51" t="str">
        <f aca="false">IF(C2859="","",IFERROR(IF(LEFT(C2859,1)="L",INDEX('Leads Pipeline'!$E$5:$E$1004,MATCH(C2859,'Leads Pipeline'!$A$5:$A$1004,0)),INDEX('Active Clients'!$C$5:$C$504,MATCH(C2859,'Active Clients'!$A$5:$A$504,0)))&amp;"","ID not found"))</f>
        <v/>
      </c>
      <c r="G2859" s="16"/>
      <c r="H2859" s="16"/>
      <c r="I2859" s="16"/>
      <c r="J2859" s="16"/>
      <c r="K2859" s="16"/>
      <c r="L2859" s="18"/>
    </row>
    <row r="2860" customFormat="false" ht="15" hidden="false" customHeight="false" outlineLevel="0" collapsed="false">
      <c r="A2860" s="18"/>
      <c r="B2860" s="16"/>
      <c r="C2860" s="16"/>
      <c r="D2860" s="51" t="str">
        <f aca="false">IF(C2860="","",IFERROR(IF(LEFT(C2860,1)="L",INDEX('Leads Pipeline'!$F$5:$F$1004,MATCH(C2860,'Leads Pipeline'!$A$5:$A$1004,0)),INDEX('Active Clients'!$D$5:$D$504,MATCH(C2860,'Active Clients'!$A$5:$A$504,0)))&amp;"","ID not found"))</f>
        <v/>
      </c>
      <c r="E2860" s="51" t="str">
        <f aca="false">IF(C2860="","",IFERROR(IF(LEFT(C2860,1)="L",INDEX('Leads Pipeline'!$D$5:$D$1004,MATCH(C2860,'Leads Pipeline'!$A$5:$A$1004,0)),INDEX('Active Clients'!$B$5:$B$504,MATCH(C2860,'Active Clients'!$A$5:$A$504,0)))&amp;"","ID not found"))</f>
        <v/>
      </c>
      <c r="F2860" s="51" t="str">
        <f aca="false">IF(C2860="","",IFERROR(IF(LEFT(C2860,1)="L",INDEX('Leads Pipeline'!$E$5:$E$1004,MATCH(C2860,'Leads Pipeline'!$A$5:$A$1004,0)),INDEX('Active Clients'!$C$5:$C$504,MATCH(C2860,'Active Clients'!$A$5:$A$504,0)))&amp;"","ID not found"))</f>
        <v/>
      </c>
      <c r="G2860" s="16"/>
      <c r="H2860" s="16"/>
      <c r="I2860" s="16"/>
      <c r="J2860" s="16"/>
      <c r="K2860" s="16"/>
      <c r="L2860" s="18"/>
    </row>
    <row r="2861" customFormat="false" ht="15" hidden="false" customHeight="false" outlineLevel="0" collapsed="false">
      <c r="A2861" s="18"/>
      <c r="B2861" s="16"/>
      <c r="C2861" s="16"/>
      <c r="D2861" s="51" t="str">
        <f aca="false">IF(C2861="","",IFERROR(IF(LEFT(C2861,1)="L",INDEX('Leads Pipeline'!$F$5:$F$1004,MATCH(C2861,'Leads Pipeline'!$A$5:$A$1004,0)),INDEX('Active Clients'!$D$5:$D$504,MATCH(C2861,'Active Clients'!$A$5:$A$504,0)))&amp;"","ID not found"))</f>
        <v/>
      </c>
      <c r="E2861" s="51" t="str">
        <f aca="false">IF(C2861="","",IFERROR(IF(LEFT(C2861,1)="L",INDEX('Leads Pipeline'!$D$5:$D$1004,MATCH(C2861,'Leads Pipeline'!$A$5:$A$1004,0)),INDEX('Active Clients'!$B$5:$B$504,MATCH(C2861,'Active Clients'!$A$5:$A$504,0)))&amp;"","ID not found"))</f>
        <v/>
      </c>
      <c r="F2861" s="51" t="str">
        <f aca="false">IF(C2861="","",IFERROR(IF(LEFT(C2861,1)="L",INDEX('Leads Pipeline'!$E$5:$E$1004,MATCH(C2861,'Leads Pipeline'!$A$5:$A$1004,0)),INDEX('Active Clients'!$C$5:$C$504,MATCH(C2861,'Active Clients'!$A$5:$A$504,0)))&amp;"","ID not found"))</f>
        <v/>
      </c>
      <c r="G2861" s="16"/>
      <c r="H2861" s="16"/>
      <c r="I2861" s="16"/>
      <c r="J2861" s="16"/>
      <c r="K2861" s="16"/>
      <c r="L2861" s="18"/>
    </row>
    <row r="2862" customFormat="false" ht="15" hidden="false" customHeight="false" outlineLevel="0" collapsed="false">
      <c r="A2862" s="18"/>
      <c r="B2862" s="16"/>
      <c r="C2862" s="16"/>
      <c r="D2862" s="51" t="str">
        <f aca="false">IF(C2862="","",IFERROR(IF(LEFT(C2862,1)="L",INDEX('Leads Pipeline'!$F$5:$F$1004,MATCH(C2862,'Leads Pipeline'!$A$5:$A$1004,0)),INDEX('Active Clients'!$D$5:$D$504,MATCH(C2862,'Active Clients'!$A$5:$A$504,0)))&amp;"","ID not found"))</f>
        <v/>
      </c>
      <c r="E2862" s="51" t="str">
        <f aca="false">IF(C2862="","",IFERROR(IF(LEFT(C2862,1)="L",INDEX('Leads Pipeline'!$D$5:$D$1004,MATCH(C2862,'Leads Pipeline'!$A$5:$A$1004,0)),INDEX('Active Clients'!$B$5:$B$504,MATCH(C2862,'Active Clients'!$A$5:$A$504,0)))&amp;"","ID not found"))</f>
        <v/>
      </c>
      <c r="F2862" s="51" t="str">
        <f aca="false">IF(C2862="","",IFERROR(IF(LEFT(C2862,1)="L",INDEX('Leads Pipeline'!$E$5:$E$1004,MATCH(C2862,'Leads Pipeline'!$A$5:$A$1004,0)),INDEX('Active Clients'!$C$5:$C$504,MATCH(C2862,'Active Clients'!$A$5:$A$504,0)))&amp;"","ID not found"))</f>
        <v/>
      </c>
      <c r="G2862" s="16"/>
      <c r="H2862" s="16"/>
      <c r="I2862" s="16"/>
      <c r="J2862" s="16"/>
      <c r="K2862" s="16"/>
      <c r="L2862" s="18"/>
    </row>
    <row r="2863" customFormat="false" ht="15" hidden="false" customHeight="false" outlineLevel="0" collapsed="false">
      <c r="A2863" s="18"/>
      <c r="B2863" s="16"/>
      <c r="C2863" s="16"/>
      <c r="D2863" s="51" t="str">
        <f aca="false">IF(C2863="","",IFERROR(IF(LEFT(C2863,1)="L",INDEX('Leads Pipeline'!$F$5:$F$1004,MATCH(C2863,'Leads Pipeline'!$A$5:$A$1004,0)),INDEX('Active Clients'!$D$5:$D$504,MATCH(C2863,'Active Clients'!$A$5:$A$504,0)))&amp;"","ID not found"))</f>
        <v/>
      </c>
      <c r="E2863" s="51" t="str">
        <f aca="false">IF(C2863="","",IFERROR(IF(LEFT(C2863,1)="L",INDEX('Leads Pipeline'!$D$5:$D$1004,MATCH(C2863,'Leads Pipeline'!$A$5:$A$1004,0)),INDEX('Active Clients'!$B$5:$B$504,MATCH(C2863,'Active Clients'!$A$5:$A$504,0)))&amp;"","ID not found"))</f>
        <v/>
      </c>
      <c r="F2863" s="51" t="str">
        <f aca="false">IF(C2863="","",IFERROR(IF(LEFT(C2863,1)="L",INDEX('Leads Pipeline'!$E$5:$E$1004,MATCH(C2863,'Leads Pipeline'!$A$5:$A$1004,0)),INDEX('Active Clients'!$C$5:$C$504,MATCH(C2863,'Active Clients'!$A$5:$A$504,0)))&amp;"","ID not found"))</f>
        <v/>
      </c>
      <c r="G2863" s="16"/>
      <c r="H2863" s="16"/>
      <c r="I2863" s="16"/>
      <c r="J2863" s="16"/>
      <c r="K2863" s="16"/>
      <c r="L2863" s="18"/>
    </row>
    <row r="2864" customFormat="false" ht="15" hidden="false" customHeight="false" outlineLevel="0" collapsed="false">
      <c r="A2864" s="18"/>
      <c r="B2864" s="16"/>
      <c r="C2864" s="16"/>
      <c r="D2864" s="51" t="str">
        <f aca="false">IF(C2864="","",IFERROR(IF(LEFT(C2864,1)="L",INDEX('Leads Pipeline'!$F$5:$F$1004,MATCH(C2864,'Leads Pipeline'!$A$5:$A$1004,0)),INDEX('Active Clients'!$D$5:$D$504,MATCH(C2864,'Active Clients'!$A$5:$A$504,0)))&amp;"","ID not found"))</f>
        <v/>
      </c>
      <c r="E2864" s="51" t="str">
        <f aca="false">IF(C2864="","",IFERROR(IF(LEFT(C2864,1)="L",INDEX('Leads Pipeline'!$D$5:$D$1004,MATCH(C2864,'Leads Pipeline'!$A$5:$A$1004,0)),INDEX('Active Clients'!$B$5:$B$504,MATCH(C2864,'Active Clients'!$A$5:$A$504,0)))&amp;"","ID not found"))</f>
        <v/>
      </c>
      <c r="F2864" s="51" t="str">
        <f aca="false">IF(C2864="","",IFERROR(IF(LEFT(C2864,1)="L",INDEX('Leads Pipeline'!$E$5:$E$1004,MATCH(C2864,'Leads Pipeline'!$A$5:$A$1004,0)),INDEX('Active Clients'!$C$5:$C$504,MATCH(C2864,'Active Clients'!$A$5:$A$504,0)))&amp;"","ID not found"))</f>
        <v/>
      </c>
      <c r="G2864" s="16"/>
      <c r="H2864" s="16"/>
      <c r="I2864" s="16"/>
      <c r="J2864" s="16"/>
      <c r="K2864" s="16"/>
      <c r="L2864" s="18"/>
    </row>
    <row r="2865" customFormat="false" ht="15" hidden="false" customHeight="false" outlineLevel="0" collapsed="false">
      <c r="A2865" s="18"/>
      <c r="B2865" s="16"/>
      <c r="C2865" s="16"/>
      <c r="D2865" s="51" t="str">
        <f aca="false">IF(C2865="","",IFERROR(IF(LEFT(C2865,1)="L",INDEX('Leads Pipeline'!$F$5:$F$1004,MATCH(C2865,'Leads Pipeline'!$A$5:$A$1004,0)),INDEX('Active Clients'!$D$5:$D$504,MATCH(C2865,'Active Clients'!$A$5:$A$504,0)))&amp;"","ID not found"))</f>
        <v/>
      </c>
      <c r="E2865" s="51" t="str">
        <f aca="false">IF(C2865="","",IFERROR(IF(LEFT(C2865,1)="L",INDEX('Leads Pipeline'!$D$5:$D$1004,MATCH(C2865,'Leads Pipeline'!$A$5:$A$1004,0)),INDEX('Active Clients'!$B$5:$B$504,MATCH(C2865,'Active Clients'!$A$5:$A$504,0)))&amp;"","ID not found"))</f>
        <v/>
      </c>
      <c r="F2865" s="51" t="str">
        <f aca="false">IF(C2865="","",IFERROR(IF(LEFT(C2865,1)="L",INDEX('Leads Pipeline'!$E$5:$E$1004,MATCH(C2865,'Leads Pipeline'!$A$5:$A$1004,0)),INDEX('Active Clients'!$C$5:$C$504,MATCH(C2865,'Active Clients'!$A$5:$A$504,0)))&amp;"","ID not found"))</f>
        <v/>
      </c>
      <c r="G2865" s="16"/>
      <c r="H2865" s="16"/>
      <c r="I2865" s="16"/>
      <c r="J2865" s="16"/>
      <c r="K2865" s="16"/>
      <c r="L2865" s="18"/>
    </row>
    <row r="2866" customFormat="false" ht="15" hidden="false" customHeight="false" outlineLevel="0" collapsed="false">
      <c r="A2866" s="18"/>
      <c r="B2866" s="16"/>
      <c r="C2866" s="16"/>
      <c r="D2866" s="51" t="str">
        <f aca="false">IF(C2866="","",IFERROR(IF(LEFT(C2866,1)="L",INDEX('Leads Pipeline'!$F$5:$F$1004,MATCH(C2866,'Leads Pipeline'!$A$5:$A$1004,0)),INDEX('Active Clients'!$D$5:$D$504,MATCH(C2866,'Active Clients'!$A$5:$A$504,0)))&amp;"","ID not found"))</f>
        <v/>
      </c>
      <c r="E2866" s="51" t="str">
        <f aca="false">IF(C2866="","",IFERROR(IF(LEFT(C2866,1)="L",INDEX('Leads Pipeline'!$D$5:$D$1004,MATCH(C2866,'Leads Pipeline'!$A$5:$A$1004,0)),INDEX('Active Clients'!$B$5:$B$504,MATCH(C2866,'Active Clients'!$A$5:$A$504,0)))&amp;"","ID not found"))</f>
        <v/>
      </c>
      <c r="F2866" s="51" t="str">
        <f aca="false">IF(C2866="","",IFERROR(IF(LEFT(C2866,1)="L",INDEX('Leads Pipeline'!$E$5:$E$1004,MATCH(C2866,'Leads Pipeline'!$A$5:$A$1004,0)),INDEX('Active Clients'!$C$5:$C$504,MATCH(C2866,'Active Clients'!$A$5:$A$504,0)))&amp;"","ID not found"))</f>
        <v/>
      </c>
      <c r="G2866" s="16"/>
      <c r="H2866" s="16"/>
      <c r="I2866" s="16"/>
      <c r="J2866" s="16"/>
      <c r="K2866" s="16"/>
      <c r="L2866" s="18"/>
    </row>
    <row r="2867" customFormat="false" ht="15" hidden="false" customHeight="false" outlineLevel="0" collapsed="false">
      <c r="A2867" s="18"/>
      <c r="B2867" s="16"/>
      <c r="C2867" s="16"/>
      <c r="D2867" s="51" t="str">
        <f aca="false">IF(C2867="","",IFERROR(IF(LEFT(C2867,1)="L",INDEX('Leads Pipeline'!$F$5:$F$1004,MATCH(C2867,'Leads Pipeline'!$A$5:$A$1004,0)),INDEX('Active Clients'!$D$5:$D$504,MATCH(C2867,'Active Clients'!$A$5:$A$504,0)))&amp;"","ID not found"))</f>
        <v/>
      </c>
      <c r="E2867" s="51" t="str">
        <f aca="false">IF(C2867="","",IFERROR(IF(LEFT(C2867,1)="L",INDEX('Leads Pipeline'!$D$5:$D$1004,MATCH(C2867,'Leads Pipeline'!$A$5:$A$1004,0)),INDEX('Active Clients'!$B$5:$B$504,MATCH(C2867,'Active Clients'!$A$5:$A$504,0)))&amp;"","ID not found"))</f>
        <v/>
      </c>
      <c r="F2867" s="51" t="str">
        <f aca="false">IF(C2867="","",IFERROR(IF(LEFT(C2867,1)="L",INDEX('Leads Pipeline'!$E$5:$E$1004,MATCH(C2867,'Leads Pipeline'!$A$5:$A$1004,0)),INDEX('Active Clients'!$C$5:$C$504,MATCH(C2867,'Active Clients'!$A$5:$A$504,0)))&amp;"","ID not found"))</f>
        <v/>
      </c>
      <c r="G2867" s="16"/>
      <c r="H2867" s="16"/>
      <c r="I2867" s="16"/>
      <c r="J2867" s="16"/>
      <c r="K2867" s="16"/>
      <c r="L2867" s="18"/>
    </row>
    <row r="2868" customFormat="false" ht="15" hidden="false" customHeight="false" outlineLevel="0" collapsed="false">
      <c r="A2868" s="18"/>
      <c r="B2868" s="16"/>
      <c r="C2868" s="16"/>
      <c r="D2868" s="51" t="str">
        <f aca="false">IF(C2868="","",IFERROR(IF(LEFT(C2868,1)="L",INDEX('Leads Pipeline'!$F$5:$F$1004,MATCH(C2868,'Leads Pipeline'!$A$5:$A$1004,0)),INDEX('Active Clients'!$D$5:$D$504,MATCH(C2868,'Active Clients'!$A$5:$A$504,0)))&amp;"","ID not found"))</f>
        <v/>
      </c>
      <c r="E2868" s="51" t="str">
        <f aca="false">IF(C2868="","",IFERROR(IF(LEFT(C2868,1)="L",INDEX('Leads Pipeline'!$D$5:$D$1004,MATCH(C2868,'Leads Pipeline'!$A$5:$A$1004,0)),INDEX('Active Clients'!$B$5:$B$504,MATCH(C2868,'Active Clients'!$A$5:$A$504,0)))&amp;"","ID not found"))</f>
        <v/>
      </c>
      <c r="F2868" s="51" t="str">
        <f aca="false">IF(C2868="","",IFERROR(IF(LEFT(C2868,1)="L",INDEX('Leads Pipeline'!$E$5:$E$1004,MATCH(C2868,'Leads Pipeline'!$A$5:$A$1004,0)),INDEX('Active Clients'!$C$5:$C$504,MATCH(C2868,'Active Clients'!$A$5:$A$504,0)))&amp;"","ID not found"))</f>
        <v/>
      </c>
      <c r="G2868" s="16"/>
      <c r="H2868" s="16"/>
      <c r="I2868" s="16"/>
      <c r="J2868" s="16"/>
      <c r="K2868" s="16"/>
      <c r="L2868" s="18"/>
    </row>
    <row r="2869" customFormat="false" ht="15" hidden="false" customHeight="false" outlineLevel="0" collapsed="false">
      <c r="A2869" s="18"/>
      <c r="B2869" s="16"/>
      <c r="C2869" s="16"/>
      <c r="D2869" s="51" t="str">
        <f aca="false">IF(C2869="","",IFERROR(IF(LEFT(C2869,1)="L",INDEX('Leads Pipeline'!$F$5:$F$1004,MATCH(C2869,'Leads Pipeline'!$A$5:$A$1004,0)),INDEX('Active Clients'!$D$5:$D$504,MATCH(C2869,'Active Clients'!$A$5:$A$504,0)))&amp;"","ID not found"))</f>
        <v/>
      </c>
      <c r="E2869" s="51" t="str">
        <f aca="false">IF(C2869="","",IFERROR(IF(LEFT(C2869,1)="L",INDEX('Leads Pipeline'!$D$5:$D$1004,MATCH(C2869,'Leads Pipeline'!$A$5:$A$1004,0)),INDEX('Active Clients'!$B$5:$B$504,MATCH(C2869,'Active Clients'!$A$5:$A$504,0)))&amp;"","ID not found"))</f>
        <v/>
      </c>
      <c r="F2869" s="51" t="str">
        <f aca="false">IF(C2869="","",IFERROR(IF(LEFT(C2869,1)="L",INDEX('Leads Pipeline'!$E$5:$E$1004,MATCH(C2869,'Leads Pipeline'!$A$5:$A$1004,0)),INDEX('Active Clients'!$C$5:$C$504,MATCH(C2869,'Active Clients'!$A$5:$A$504,0)))&amp;"","ID not found"))</f>
        <v/>
      </c>
      <c r="G2869" s="16"/>
      <c r="H2869" s="16"/>
      <c r="I2869" s="16"/>
      <c r="J2869" s="16"/>
      <c r="K2869" s="16"/>
      <c r="L2869" s="18"/>
    </row>
    <row r="2870" customFormat="false" ht="15" hidden="false" customHeight="false" outlineLevel="0" collapsed="false">
      <c r="A2870" s="18"/>
      <c r="B2870" s="16"/>
      <c r="C2870" s="16"/>
      <c r="D2870" s="51" t="str">
        <f aca="false">IF(C2870="","",IFERROR(IF(LEFT(C2870,1)="L",INDEX('Leads Pipeline'!$F$5:$F$1004,MATCH(C2870,'Leads Pipeline'!$A$5:$A$1004,0)),INDEX('Active Clients'!$D$5:$D$504,MATCH(C2870,'Active Clients'!$A$5:$A$504,0)))&amp;"","ID not found"))</f>
        <v/>
      </c>
      <c r="E2870" s="51" t="str">
        <f aca="false">IF(C2870="","",IFERROR(IF(LEFT(C2870,1)="L",INDEX('Leads Pipeline'!$D$5:$D$1004,MATCH(C2870,'Leads Pipeline'!$A$5:$A$1004,0)),INDEX('Active Clients'!$B$5:$B$504,MATCH(C2870,'Active Clients'!$A$5:$A$504,0)))&amp;"","ID not found"))</f>
        <v/>
      </c>
      <c r="F2870" s="51" t="str">
        <f aca="false">IF(C2870="","",IFERROR(IF(LEFT(C2870,1)="L",INDEX('Leads Pipeline'!$E$5:$E$1004,MATCH(C2870,'Leads Pipeline'!$A$5:$A$1004,0)),INDEX('Active Clients'!$C$5:$C$504,MATCH(C2870,'Active Clients'!$A$5:$A$504,0)))&amp;"","ID not found"))</f>
        <v/>
      </c>
      <c r="G2870" s="16"/>
      <c r="H2870" s="16"/>
      <c r="I2870" s="16"/>
      <c r="J2870" s="16"/>
      <c r="K2870" s="16"/>
      <c r="L2870" s="18"/>
    </row>
    <row r="2871" customFormat="false" ht="15" hidden="false" customHeight="false" outlineLevel="0" collapsed="false">
      <c r="A2871" s="18"/>
      <c r="B2871" s="16"/>
      <c r="C2871" s="16"/>
      <c r="D2871" s="51" t="str">
        <f aca="false">IF(C2871="","",IFERROR(IF(LEFT(C2871,1)="L",INDEX('Leads Pipeline'!$F$5:$F$1004,MATCH(C2871,'Leads Pipeline'!$A$5:$A$1004,0)),INDEX('Active Clients'!$D$5:$D$504,MATCH(C2871,'Active Clients'!$A$5:$A$504,0)))&amp;"","ID not found"))</f>
        <v/>
      </c>
      <c r="E2871" s="51" t="str">
        <f aca="false">IF(C2871="","",IFERROR(IF(LEFT(C2871,1)="L",INDEX('Leads Pipeline'!$D$5:$D$1004,MATCH(C2871,'Leads Pipeline'!$A$5:$A$1004,0)),INDEX('Active Clients'!$B$5:$B$504,MATCH(C2871,'Active Clients'!$A$5:$A$504,0)))&amp;"","ID not found"))</f>
        <v/>
      </c>
      <c r="F2871" s="51" t="str">
        <f aca="false">IF(C2871="","",IFERROR(IF(LEFT(C2871,1)="L",INDEX('Leads Pipeline'!$E$5:$E$1004,MATCH(C2871,'Leads Pipeline'!$A$5:$A$1004,0)),INDEX('Active Clients'!$C$5:$C$504,MATCH(C2871,'Active Clients'!$A$5:$A$504,0)))&amp;"","ID not found"))</f>
        <v/>
      </c>
      <c r="G2871" s="16"/>
      <c r="H2871" s="16"/>
      <c r="I2871" s="16"/>
      <c r="J2871" s="16"/>
      <c r="K2871" s="16"/>
      <c r="L2871" s="18"/>
    </row>
    <row r="2872" customFormat="false" ht="15" hidden="false" customHeight="false" outlineLevel="0" collapsed="false">
      <c r="A2872" s="18"/>
      <c r="B2872" s="16"/>
      <c r="C2872" s="16"/>
      <c r="D2872" s="51" t="str">
        <f aca="false">IF(C2872="","",IFERROR(IF(LEFT(C2872,1)="L",INDEX('Leads Pipeline'!$F$5:$F$1004,MATCH(C2872,'Leads Pipeline'!$A$5:$A$1004,0)),INDEX('Active Clients'!$D$5:$D$504,MATCH(C2872,'Active Clients'!$A$5:$A$504,0)))&amp;"","ID not found"))</f>
        <v/>
      </c>
      <c r="E2872" s="51" t="str">
        <f aca="false">IF(C2872="","",IFERROR(IF(LEFT(C2872,1)="L",INDEX('Leads Pipeline'!$D$5:$D$1004,MATCH(C2872,'Leads Pipeline'!$A$5:$A$1004,0)),INDEX('Active Clients'!$B$5:$B$504,MATCH(C2872,'Active Clients'!$A$5:$A$504,0)))&amp;"","ID not found"))</f>
        <v/>
      </c>
      <c r="F2872" s="51" t="str">
        <f aca="false">IF(C2872="","",IFERROR(IF(LEFT(C2872,1)="L",INDEX('Leads Pipeline'!$E$5:$E$1004,MATCH(C2872,'Leads Pipeline'!$A$5:$A$1004,0)),INDEX('Active Clients'!$C$5:$C$504,MATCH(C2872,'Active Clients'!$A$5:$A$504,0)))&amp;"","ID not found"))</f>
        <v/>
      </c>
      <c r="G2872" s="16"/>
      <c r="H2872" s="16"/>
      <c r="I2872" s="16"/>
      <c r="J2872" s="16"/>
      <c r="K2872" s="16"/>
      <c r="L2872" s="18"/>
    </row>
    <row r="2873" customFormat="false" ht="15" hidden="false" customHeight="false" outlineLevel="0" collapsed="false">
      <c r="A2873" s="18"/>
      <c r="B2873" s="16"/>
      <c r="C2873" s="16"/>
      <c r="D2873" s="51" t="str">
        <f aca="false">IF(C2873="","",IFERROR(IF(LEFT(C2873,1)="L",INDEX('Leads Pipeline'!$F$5:$F$1004,MATCH(C2873,'Leads Pipeline'!$A$5:$A$1004,0)),INDEX('Active Clients'!$D$5:$D$504,MATCH(C2873,'Active Clients'!$A$5:$A$504,0)))&amp;"","ID not found"))</f>
        <v/>
      </c>
      <c r="E2873" s="51" t="str">
        <f aca="false">IF(C2873="","",IFERROR(IF(LEFT(C2873,1)="L",INDEX('Leads Pipeline'!$D$5:$D$1004,MATCH(C2873,'Leads Pipeline'!$A$5:$A$1004,0)),INDEX('Active Clients'!$B$5:$B$504,MATCH(C2873,'Active Clients'!$A$5:$A$504,0)))&amp;"","ID not found"))</f>
        <v/>
      </c>
      <c r="F2873" s="51" t="str">
        <f aca="false">IF(C2873="","",IFERROR(IF(LEFT(C2873,1)="L",INDEX('Leads Pipeline'!$E$5:$E$1004,MATCH(C2873,'Leads Pipeline'!$A$5:$A$1004,0)),INDEX('Active Clients'!$C$5:$C$504,MATCH(C2873,'Active Clients'!$A$5:$A$504,0)))&amp;"","ID not found"))</f>
        <v/>
      </c>
      <c r="G2873" s="16"/>
      <c r="H2873" s="16"/>
      <c r="I2873" s="16"/>
      <c r="J2873" s="16"/>
      <c r="K2873" s="16"/>
      <c r="L2873" s="18"/>
    </row>
    <row r="2874" customFormat="false" ht="15" hidden="false" customHeight="false" outlineLevel="0" collapsed="false">
      <c r="A2874" s="18"/>
      <c r="B2874" s="16"/>
      <c r="C2874" s="16"/>
      <c r="D2874" s="51" t="str">
        <f aca="false">IF(C2874="","",IFERROR(IF(LEFT(C2874,1)="L",INDEX('Leads Pipeline'!$F$5:$F$1004,MATCH(C2874,'Leads Pipeline'!$A$5:$A$1004,0)),INDEX('Active Clients'!$D$5:$D$504,MATCH(C2874,'Active Clients'!$A$5:$A$504,0)))&amp;"","ID not found"))</f>
        <v/>
      </c>
      <c r="E2874" s="51" t="str">
        <f aca="false">IF(C2874="","",IFERROR(IF(LEFT(C2874,1)="L",INDEX('Leads Pipeline'!$D$5:$D$1004,MATCH(C2874,'Leads Pipeline'!$A$5:$A$1004,0)),INDEX('Active Clients'!$B$5:$B$504,MATCH(C2874,'Active Clients'!$A$5:$A$504,0)))&amp;"","ID not found"))</f>
        <v/>
      </c>
      <c r="F2874" s="51" t="str">
        <f aca="false">IF(C2874="","",IFERROR(IF(LEFT(C2874,1)="L",INDEX('Leads Pipeline'!$E$5:$E$1004,MATCH(C2874,'Leads Pipeline'!$A$5:$A$1004,0)),INDEX('Active Clients'!$C$5:$C$504,MATCH(C2874,'Active Clients'!$A$5:$A$504,0)))&amp;"","ID not found"))</f>
        <v/>
      </c>
      <c r="G2874" s="16"/>
      <c r="H2874" s="16"/>
      <c r="I2874" s="16"/>
      <c r="J2874" s="16"/>
      <c r="K2874" s="16"/>
      <c r="L2874" s="18"/>
    </row>
    <row r="2875" customFormat="false" ht="15" hidden="false" customHeight="false" outlineLevel="0" collapsed="false">
      <c r="A2875" s="18"/>
      <c r="B2875" s="16"/>
      <c r="C2875" s="16"/>
      <c r="D2875" s="51" t="str">
        <f aca="false">IF(C2875="","",IFERROR(IF(LEFT(C2875,1)="L",INDEX('Leads Pipeline'!$F$5:$F$1004,MATCH(C2875,'Leads Pipeline'!$A$5:$A$1004,0)),INDEX('Active Clients'!$D$5:$D$504,MATCH(C2875,'Active Clients'!$A$5:$A$504,0)))&amp;"","ID not found"))</f>
        <v/>
      </c>
      <c r="E2875" s="51" t="str">
        <f aca="false">IF(C2875="","",IFERROR(IF(LEFT(C2875,1)="L",INDEX('Leads Pipeline'!$D$5:$D$1004,MATCH(C2875,'Leads Pipeline'!$A$5:$A$1004,0)),INDEX('Active Clients'!$B$5:$B$504,MATCH(C2875,'Active Clients'!$A$5:$A$504,0)))&amp;"","ID not found"))</f>
        <v/>
      </c>
      <c r="F2875" s="51" t="str">
        <f aca="false">IF(C2875="","",IFERROR(IF(LEFT(C2875,1)="L",INDEX('Leads Pipeline'!$E$5:$E$1004,MATCH(C2875,'Leads Pipeline'!$A$5:$A$1004,0)),INDEX('Active Clients'!$C$5:$C$504,MATCH(C2875,'Active Clients'!$A$5:$A$504,0)))&amp;"","ID not found"))</f>
        <v/>
      </c>
      <c r="G2875" s="16"/>
      <c r="H2875" s="16"/>
      <c r="I2875" s="16"/>
      <c r="J2875" s="16"/>
      <c r="K2875" s="16"/>
      <c r="L2875" s="18"/>
    </row>
    <row r="2876" customFormat="false" ht="15" hidden="false" customHeight="false" outlineLevel="0" collapsed="false">
      <c r="A2876" s="18"/>
      <c r="B2876" s="16"/>
      <c r="C2876" s="16"/>
      <c r="D2876" s="51" t="str">
        <f aca="false">IF(C2876="","",IFERROR(IF(LEFT(C2876,1)="L",INDEX('Leads Pipeline'!$F$5:$F$1004,MATCH(C2876,'Leads Pipeline'!$A$5:$A$1004,0)),INDEX('Active Clients'!$D$5:$D$504,MATCH(C2876,'Active Clients'!$A$5:$A$504,0)))&amp;"","ID not found"))</f>
        <v/>
      </c>
      <c r="E2876" s="51" t="str">
        <f aca="false">IF(C2876="","",IFERROR(IF(LEFT(C2876,1)="L",INDEX('Leads Pipeline'!$D$5:$D$1004,MATCH(C2876,'Leads Pipeline'!$A$5:$A$1004,0)),INDEX('Active Clients'!$B$5:$B$504,MATCH(C2876,'Active Clients'!$A$5:$A$504,0)))&amp;"","ID not found"))</f>
        <v/>
      </c>
      <c r="F2876" s="51" t="str">
        <f aca="false">IF(C2876="","",IFERROR(IF(LEFT(C2876,1)="L",INDEX('Leads Pipeline'!$E$5:$E$1004,MATCH(C2876,'Leads Pipeline'!$A$5:$A$1004,0)),INDEX('Active Clients'!$C$5:$C$504,MATCH(C2876,'Active Clients'!$A$5:$A$504,0)))&amp;"","ID not found"))</f>
        <v/>
      </c>
      <c r="G2876" s="16"/>
      <c r="H2876" s="16"/>
      <c r="I2876" s="16"/>
      <c r="J2876" s="16"/>
      <c r="K2876" s="16"/>
      <c r="L2876" s="18"/>
    </row>
    <row r="2877" customFormat="false" ht="15" hidden="false" customHeight="false" outlineLevel="0" collapsed="false">
      <c r="A2877" s="18"/>
      <c r="B2877" s="16"/>
      <c r="C2877" s="16"/>
      <c r="D2877" s="51" t="str">
        <f aca="false">IF(C2877="","",IFERROR(IF(LEFT(C2877,1)="L",INDEX('Leads Pipeline'!$F$5:$F$1004,MATCH(C2877,'Leads Pipeline'!$A$5:$A$1004,0)),INDEX('Active Clients'!$D$5:$D$504,MATCH(C2877,'Active Clients'!$A$5:$A$504,0)))&amp;"","ID not found"))</f>
        <v/>
      </c>
      <c r="E2877" s="51" t="str">
        <f aca="false">IF(C2877="","",IFERROR(IF(LEFT(C2877,1)="L",INDEX('Leads Pipeline'!$D$5:$D$1004,MATCH(C2877,'Leads Pipeline'!$A$5:$A$1004,0)),INDEX('Active Clients'!$B$5:$B$504,MATCH(C2877,'Active Clients'!$A$5:$A$504,0)))&amp;"","ID not found"))</f>
        <v/>
      </c>
      <c r="F2877" s="51" t="str">
        <f aca="false">IF(C2877="","",IFERROR(IF(LEFT(C2877,1)="L",INDEX('Leads Pipeline'!$E$5:$E$1004,MATCH(C2877,'Leads Pipeline'!$A$5:$A$1004,0)),INDEX('Active Clients'!$C$5:$C$504,MATCH(C2877,'Active Clients'!$A$5:$A$504,0)))&amp;"","ID not found"))</f>
        <v/>
      </c>
      <c r="G2877" s="16"/>
      <c r="H2877" s="16"/>
      <c r="I2877" s="16"/>
      <c r="J2877" s="16"/>
      <c r="K2877" s="16"/>
      <c r="L2877" s="18"/>
    </row>
    <row r="2878" customFormat="false" ht="15" hidden="false" customHeight="false" outlineLevel="0" collapsed="false">
      <c r="A2878" s="18"/>
      <c r="B2878" s="16"/>
      <c r="C2878" s="16"/>
      <c r="D2878" s="51" t="str">
        <f aca="false">IF(C2878="","",IFERROR(IF(LEFT(C2878,1)="L",INDEX('Leads Pipeline'!$F$5:$F$1004,MATCH(C2878,'Leads Pipeline'!$A$5:$A$1004,0)),INDEX('Active Clients'!$D$5:$D$504,MATCH(C2878,'Active Clients'!$A$5:$A$504,0)))&amp;"","ID not found"))</f>
        <v/>
      </c>
      <c r="E2878" s="51" t="str">
        <f aca="false">IF(C2878="","",IFERROR(IF(LEFT(C2878,1)="L",INDEX('Leads Pipeline'!$D$5:$D$1004,MATCH(C2878,'Leads Pipeline'!$A$5:$A$1004,0)),INDEX('Active Clients'!$B$5:$B$504,MATCH(C2878,'Active Clients'!$A$5:$A$504,0)))&amp;"","ID not found"))</f>
        <v/>
      </c>
      <c r="F2878" s="51" t="str">
        <f aca="false">IF(C2878="","",IFERROR(IF(LEFT(C2878,1)="L",INDEX('Leads Pipeline'!$E$5:$E$1004,MATCH(C2878,'Leads Pipeline'!$A$5:$A$1004,0)),INDEX('Active Clients'!$C$5:$C$504,MATCH(C2878,'Active Clients'!$A$5:$A$504,0)))&amp;"","ID not found"))</f>
        <v/>
      </c>
      <c r="G2878" s="16"/>
      <c r="H2878" s="16"/>
      <c r="I2878" s="16"/>
      <c r="J2878" s="16"/>
      <c r="K2878" s="16"/>
      <c r="L2878" s="18"/>
    </row>
    <row r="2879" customFormat="false" ht="15" hidden="false" customHeight="false" outlineLevel="0" collapsed="false">
      <c r="A2879" s="18"/>
      <c r="B2879" s="16"/>
      <c r="C2879" s="16"/>
      <c r="D2879" s="51" t="str">
        <f aca="false">IF(C2879="","",IFERROR(IF(LEFT(C2879,1)="L",INDEX('Leads Pipeline'!$F$5:$F$1004,MATCH(C2879,'Leads Pipeline'!$A$5:$A$1004,0)),INDEX('Active Clients'!$D$5:$D$504,MATCH(C2879,'Active Clients'!$A$5:$A$504,0)))&amp;"","ID not found"))</f>
        <v/>
      </c>
      <c r="E2879" s="51" t="str">
        <f aca="false">IF(C2879="","",IFERROR(IF(LEFT(C2879,1)="L",INDEX('Leads Pipeline'!$D$5:$D$1004,MATCH(C2879,'Leads Pipeline'!$A$5:$A$1004,0)),INDEX('Active Clients'!$B$5:$B$504,MATCH(C2879,'Active Clients'!$A$5:$A$504,0)))&amp;"","ID not found"))</f>
        <v/>
      </c>
      <c r="F2879" s="51" t="str">
        <f aca="false">IF(C2879="","",IFERROR(IF(LEFT(C2879,1)="L",INDEX('Leads Pipeline'!$E$5:$E$1004,MATCH(C2879,'Leads Pipeline'!$A$5:$A$1004,0)),INDEX('Active Clients'!$C$5:$C$504,MATCH(C2879,'Active Clients'!$A$5:$A$504,0)))&amp;"","ID not found"))</f>
        <v/>
      </c>
      <c r="G2879" s="16"/>
      <c r="H2879" s="16"/>
      <c r="I2879" s="16"/>
      <c r="J2879" s="16"/>
      <c r="K2879" s="16"/>
      <c r="L2879" s="18"/>
    </row>
    <row r="2880" customFormat="false" ht="15" hidden="false" customHeight="false" outlineLevel="0" collapsed="false">
      <c r="A2880" s="18"/>
      <c r="B2880" s="16"/>
      <c r="C2880" s="16"/>
      <c r="D2880" s="51" t="str">
        <f aca="false">IF(C2880="","",IFERROR(IF(LEFT(C2880,1)="L",INDEX('Leads Pipeline'!$F$5:$F$1004,MATCH(C2880,'Leads Pipeline'!$A$5:$A$1004,0)),INDEX('Active Clients'!$D$5:$D$504,MATCH(C2880,'Active Clients'!$A$5:$A$504,0)))&amp;"","ID not found"))</f>
        <v/>
      </c>
      <c r="E2880" s="51" t="str">
        <f aca="false">IF(C2880="","",IFERROR(IF(LEFT(C2880,1)="L",INDEX('Leads Pipeline'!$D$5:$D$1004,MATCH(C2880,'Leads Pipeline'!$A$5:$A$1004,0)),INDEX('Active Clients'!$B$5:$B$504,MATCH(C2880,'Active Clients'!$A$5:$A$504,0)))&amp;"","ID not found"))</f>
        <v/>
      </c>
      <c r="F2880" s="51" t="str">
        <f aca="false">IF(C2880="","",IFERROR(IF(LEFT(C2880,1)="L",INDEX('Leads Pipeline'!$E$5:$E$1004,MATCH(C2880,'Leads Pipeline'!$A$5:$A$1004,0)),INDEX('Active Clients'!$C$5:$C$504,MATCH(C2880,'Active Clients'!$A$5:$A$504,0)))&amp;"","ID not found"))</f>
        <v/>
      </c>
      <c r="G2880" s="16"/>
      <c r="H2880" s="16"/>
      <c r="I2880" s="16"/>
      <c r="J2880" s="16"/>
      <c r="K2880" s="16"/>
      <c r="L2880" s="18"/>
    </row>
    <row r="2881" customFormat="false" ht="15" hidden="false" customHeight="false" outlineLevel="0" collapsed="false">
      <c r="A2881" s="18"/>
      <c r="B2881" s="16"/>
      <c r="C2881" s="16"/>
      <c r="D2881" s="51" t="str">
        <f aca="false">IF(C2881="","",IFERROR(IF(LEFT(C2881,1)="L",INDEX('Leads Pipeline'!$F$5:$F$1004,MATCH(C2881,'Leads Pipeline'!$A$5:$A$1004,0)),INDEX('Active Clients'!$D$5:$D$504,MATCH(C2881,'Active Clients'!$A$5:$A$504,0)))&amp;"","ID not found"))</f>
        <v/>
      </c>
      <c r="E2881" s="51" t="str">
        <f aca="false">IF(C2881="","",IFERROR(IF(LEFT(C2881,1)="L",INDEX('Leads Pipeline'!$D$5:$D$1004,MATCH(C2881,'Leads Pipeline'!$A$5:$A$1004,0)),INDEX('Active Clients'!$B$5:$B$504,MATCH(C2881,'Active Clients'!$A$5:$A$504,0)))&amp;"","ID not found"))</f>
        <v/>
      </c>
      <c r="F2881" s="51" t="str">
        <f aca="false">IF(C2881="","",IFERROR(IF(LEFT(C2881,1)="L",INDEX('Leads Pipeline'!$E$5:$E$1004,MATCH(C2881,'Leads Pipeline'!$A$5:$A$1004,0)),INDEX('Active Clients'!$C$5:$C$504,MATCH(C2881,'Active Clients'!$A$5:$A$504,0)))&amp;"","ID not found"))</f>
        <v/>
      </c>
      <c r="G2881" s="16"/>
      <c r="H2881" s="16"/>
      <c r="I2881" s="16"/>
      <c r="J2881" s="16"/>
      <c r="K2881" s="16"/>
      <c r="L2881" s="18"/>
    </row>
    <row r="2882" customFormat="false" ht="15" hidden="false" customHeight="false" outlineLevel="0" collapsed="false">
      <c r="A2882" s="18"/>
      <c r="B2882" s="16"/>
      <c r="C2882" s="16"/>
      <c r="D2882" s="51" t="str">
        <f aca="false">IF(C2882="","",IFERROR(IF(LEFT(C2882,1)="L",INDEX('Leads Pipeline'!$F$5:$F$1004,MATCH(C2882,'Leads Pipeline'!$A$5:$A$1004,0)),INDEX('Active Clients'!$D$5:$D$504,MATCH(C2882,'Active Clients'!$A$5:$A$504,0)))&amp;"","ID not found"))</f>
        <v/>
      </c>
      <c r="E2882" s="51" t="str">
        <f aca="false">IF(C2882="","",IFERROR(IF(LEFT(C2882,1)="L",INDEX('Leads Pipeline'!$D$5:$D$1004,MATCH(C2882,'Leads Pipeline'!$A$5:$A$1004,0)),INDEX('Active Clients'!$B$5:$B$504,MATCH(C2882,'Active Clients'!$A$5:$A$504,0)))&amp;"","ID not found"))</f>
        <v/>
      </c>
      <c r="F2882" s="51" t="str">
        <f aca="false">IF(C2882="","",IFERROR(IF(LEFT(C2882,1)="L",INDEX('Leads Pipeline'!$E$5:$E$1004,MATCH(C2882,'Leads Pipeline'!$A$5:$A$1004,0)),INDEX('Active Clients'!$C$5:$C$504,MATCH(C2882,'Active Clients'!$A$5:$A$504,0)))&amp;"","ID not found"))</f>
        <v/>
      </c>
      <c r="G2882" s="16"/>
      <c r="H2882" s="16"/>
      <c r="I2882" s="16"/>
      <c r="J2882" s="16"/>
      <c r="K2882" s="16"/>
      <c r="L2882" s="18"/>
    </row>
    <row r="2883" customFormat="false" ht="15" hidden="false" customHeight="false" outlineLevel="0" collapsed="false">
      <c r="A2883" s="18"/>
      <c r="B2883" s="16"/>
      <c r="C2883" s="16"/>
      <c r="D2883" s="51" t="str">
        <f aca="false">IF(C2883="","",IFERROR(IF(LEFT(C2883,1)="L",INDEX('Leads Pipeline'!$F$5:$F$1004,MATCH(C2883,'Leads Pipeline'!$A$5:$A$1004,0)),INDEX('Active Clients'!$D$5:$D$504,MATCH(C2883,'Active Clients'!$A$5:$A$504,0)))&amp;"","ID not found"))</f>
        <v/>
      </c>
      <c r="E2883" s="51" t="str">
        <f aca="false">IF(C2883="","",IFERROR(IF(LEFT(C2883,1)="L",INDEX('Leads Pipeline'!$D$5:$D$1004,MATCH(C2883,'Leads Pipeline'!$A$5:$A$1004,0)),INDEX('Active Clients'!$B$5:$B$504,MATCH(C2883,'Active Clients'!$A$5:$A$504,0)))&amp;"","ID not found"))</f>
        <v/>
      </c>
      <c r="F2883" s="51" t="str">
        <f aca="false">IF(C2883="","",IFERROR(IF(LEFT(C2883,1)="L",INDEX('Leads Pipeline'!$E$5:$E$1004,MATCH(C2883,'Leads Pipeline'!$A$5:$A$1004,0)),INDEX('Active Clients'!$C$5:$C$504,MATCH(C2883,'Active Clients'!$A$5:$A$504,0)))&amp;"","ID not found"))</f>
        <v/>
      </c>
      <c r="G2883" s="16"/>
      <c r="H2883" s="16"/>
      <c r="I2883" s="16"/>
      <c r="J2883" s="16"/>
      <c r="K2883" s="16"/>
      <c r="L2883" s="18"/>
    </row>
    <row r="2884" customFormat="false" ht="15" hidden="false" customHeight="false" outlineLevel="0" collapsed="false">
      <c r="A2884" s="18"/>
      <c r="B2884" s="16"/>
      <c r="C2884" s="16"/>
      <c r="D2884" s="51" t="str">
        <f aca="false">IF(C2884="","",IFERROR(IF(LEFT(C2884,1)="L",INDEX('Leads Pipeline'!$F$5:$F$1004,MATCH(C2884,'Leads Pipeline'!$A$5:$A$1004,0)),INDEX('Active Clients'!$D$5:$D$504,MATCH(C2884,'Active Clients'!$A$5:$A$504,0)))&amp;"","ID not found"))</f>
        <v/>
      </c>
      <c r="E2884" s="51" t="str">
        <f aca="false">IF(C2884="","",IFERROR(IF(LEFT(C2884,1)="L",INDEX('Leads Pipeline'!$D$5:$D$1004,MATCH(C2884,'Leads Pipeline'!$A$5:$A$1004,0)),INDEX('Active Clients'!$B$5:$B$504,MATCH(C2884,'Active Clients'!$A$5:$A$504,0)))&amp;"","ID not found"))</f>
        <v/>
      </c>
      <c r="F2884" s="51" t="str">
        <f aca="false">IF(C2884="","",IFERROR(IF(LEFT(C2884,1)="L",INDEX('Leads Pipeline'!$E$5:$E$1004,MATCH(C2884,'Leads Pipeline'!$A$5:$A$1004,0)),INDEX('Active Clients'!$C$5:$C$504,MATCH(C2884,'Active Clients'!$A$5:$A$504,0)))&amp;"","ID not found"))</f>
        <v/>
      </c>
      <c r="G2884" s="16"/>
      <c r="H2884" s="16"/>
      <c r="I2884" s="16"/>
      <c r="J2884" s="16"/>
      <c r="K2884" s="16"/>
      <c r="L2884" s="18"/>
    </row>
    <row r="2885" customFormat="false" ht="15" hidden="false" customHeight="false" outlineLevel="0" collapsed="false">
      <c r="A2885" s="18"/>
      <c r="B2885" s="16"/>
      <c r="C2885" s="16"/>
      <c r="D2885" s="51" t="str">
        <f aca="false">IF(C2885="","",IFERROR(IF(LEFT(C2885,1)="L",INDEX('Leads Pipeline'!$F$5:$F$1004,MATCH(C2885,'Leads Pipeline'!$A$5:$A$1004,0)),INDEX('Active Clients'!$D$5:$D$504,MATCH(C2885,'Active Clients'!$A$5:$A$504,0)))&amp;"","ID not found"))</f>
        <v/>
      </c>
      <c r="E2885" s="51" t="str">
        <f aca="false">IF(C2885="","",IFERROR(IF(LEFT(C2885,1)="L",INDEX('Leads Pipeline'!$D$5:$D$1004,MATCH(C2885,'Leads Pipeline'!$A$5:$A$1004,0)),INDEX('Active Clients'!$B$5:$B$504,MATCH(C2885,'Active Clients'!$A$5:$A$504,0)))&amp;"","ID not found"))</f>
        <v/>
      </c>
      <c r="F2885" s="51" t="str">
        <f aca="false">IF(C2885="","",IFERROR(IF(LEFT(C2885,1)="L",INDEX('Leads Pipeline'!$E$5:$E$1004,MATCH(C2885,'Leads Pipeline'!$A$5:$A$1004,0)),INDEX('Active Clients'!$C$5:$C$504,MATCH(C2885,'Active Clients'!$A$5:$A$504,0)))&amp;"","ID not found"))</f>
        <v/>
      </c>
      <c r="G2885" s="16"/>
      <c r="H2885" s="16"/>
      <c r="I2885" s="16"/>
      <c r="J2885" s="16"/>
      <c r="K2885" s="16"/>
      <c r="L2885" s="18"/>
    </row>
    <row r="2886" customFormat="false" ht="15" hidden="false" customHeight="false" outlineLevel="0" collapsed="false">
      <c r="A2886" s="18"/>
      <c r="B2886" s="16"/>
      <c r="C2886" s="16"/>
      <c r="D2886" s="51" t="str">
        <f aca="false">IF(C2886="","",IFERROR(IF(LEFT(C2886,1)="L",INDEX('Leads Pipeline'!$F$5:$F$1004,MATCH(C2886,'Leads Pipeline'!$A$5:$A$1004,0)),INDEX('Active Clients'!$D$5:$D$504,MATCH(C2886,'Active Clients'!$A$5:$A$504,0)))&amp;"","ID not found"))</f>
        <v/>
      </c>
      <c r="E2886" s="51" t="str">
        <f aca="false">IF(C2886="","",IFERROR(IF(LEFT(C2886,1)="L",INDEX('Leads Pipeline'!$D$5:$D$1004,MATCH(C2886,'Leads Pipeline'!$A$5:$A$1004,0)),INDEX('Active Clients'!$B$5:$B$504,MATCH(C2886,'Active Clients'!$A$5:$A$504,0)))&amp;"","ID not found"))</f>
        <v/>
      </c>
      <c r="F2886" s="51" t="str">
        <f aca="false">IF(C2886="","",IFERROR(IF(LEFT(C2886,1)="L",INDEX('Leads Pipeline'!$E$5:$E$1004,MATCH(C2886,'Leads Pipeline'!$A$5:$A$1004,0)),INDEX('Active Clients'!$C$5:$C$504,MATCH(C2886,'Active Clients'!$A$5:$A$504,0)))&amp;"","ID not found"))</f>
        <v/>
      </c>
      <c r="G2886" s="16"/>
      <c r="H2886" s="16"/>
      <c r="I2886" s="16"/>
      <c r="J2886" s="16"/>
      <c r="K2886" s="16"/>
      <c r="L2886" s="18"/>
    </row>
    <row r="2887" customFormat="false" ht="15" hidden="false" customHeight="false" outlineLevel="0" collapsed="false">
      <c r="A2887" s="18"/>
      <c r="B2887" s="16"/>
      <c r="C2887" s="16"/>
      <c r="D2887" s="51" t="str">
        <f aca="false">IF(C2887="","",IFERROR(IF(LEFT(C2887,1)="L",INDEX('Leads Pipeline'!$F$5:$F$1004,MATCH(C2887,'Leads Pipeline'!$A$5:$A$1004,0)),INDEX('Active Clients'!$D$5:$D$504,MATCH(C2887,'Active Clients'!$A$5:$A$504,0)))&amp;"","ID not found"))</f>
        <v/>
      </c>
      <c r="E2887" s="51" t="str">
        <f aca="false">IF(C2887="","",IFERROR(IF(LEFT(C2887,1)="L",INDEX('Leads Pipeline'!$D$5:$D$1004,MATCH(C2887,'Leads Pipeline'!$A$5:$A$1004,0)),INDEX('Active Clients'!$B$5:$B$504,MATCH(C2887,'Active Clients'!$A$5:$A$504,0)))&amp;"","ID not found"))</f>
        <v/>
      </c>
      <c r="F2887" s="51" t="str">
        <f aca="false">IF(C2887="","",IFERROR(IF(LEFT(C2887,1)="L",INDEX('Leads Pipeline'!$E$5:$E$1004,MATCH(C2887,'Leads Pipeline'!$A$5:$A$1004,0)),INDEX('Active Clients'!$C$5:$C$504,MATCH(C2887,'Active Clients'!$A$5:$A$504,0)))&amp;"","ID not found"))</f>
        <v/>
      </c>
      <c r="G2887" s="16"/>
      <c r="H2887" s="16"/>
      <c r="I2887" s="16"/>
      <c r="J2887" s="16"/>
      <c r="K2887" s="16"/>
      <c r="L2887" s="18"/>
    </row>
    <row r="2888" customFormat="false" ht="15" hidden="false" customHeight="false" outlineLevel="0" collapsed="false">
      <c r="A2888" s="18"/>
      <c r="B2888" s="16"/>
      <c r="C2888" s="16"/>
      <c r="D2888" s="51" t="str">
        <f aca="false">IF(C2888="","",IFERROR(IF(LEFT(C2888,1)="L",INDEX('Leads Pipeline'!$F$5:$F$1004,MATCH(C2888,'Leads Pipeline'!$A$5:$A$1004,0)),INDEX('Active Clients'!$D$5:$D$504,MATCH(C2888,'Active Clients'!$A$5:$A$504,0)))&amp;"","ID not found"))</f>
        <v/>
      </c>
      <c r="E2888" s="51" t="str">
        <f aca="false">IF(C2888="","",IFERROR(IF(LEFT(C2888,1)="L",INDEX('Leads Pipeline'!$D$5:$D$1004,MATCH(C2888,'Leads Pipeline'!$A$5:$A$1004,0)),INDEX('Active Clients'!$B$5:$B$504,MATCH(C2888,'Active Clients'!$A$5:$A$504,0)))&amp;"","ID not found"))</f>
        <v/>
      </c>
      <c r="F2888" s="51" t="str">
        <f aca="false">IF(C2888="","",IFERROR(IF(LEFT(C2888,1)="L",INDEX('Leads Pipeline'!$E$5:$E$1004,MATCH(C2888,'Leads Pipeline'!$A$5:$A$1004,0)),INDEX('Active Clients'!$C$5:$C$504,MATCH(C2888,'Active Clients'!$A$5:$A$504,0)))&amp;"","ID not found"))</f>
        <v/>
      </c>
      <c r="G2888" s="16"/>
      <c r="H2888" s="16"/>
      <c r="I2888" s="16"/>
      <c r="J2888" s="16"/>
      <c r="K2888" s="16"/>
      <c r="L2888" s="18"/>
    </row>
    <row r="2889" customFormat="false" ht="15" hidden="false" customHeight="false" outlineLevel="0" collapsed="false">
      <c r="A2889" s="18"/>
      <c r="B2889" s="16"/>
      <c r="C2889" s="16"/>
      <c r="D2889" s="51" t="str">
        <f aca="false">IF(C2889="","",IFERROR(IF(LEFT(C2889,1)="L",INDEX('Leads Pipeline'!$F$5:$F$1004,MATCH(C2889,'Leads Pipeline'!$A$5:$A$1004,0)),INDEX('Active Clients'!$D$5:$D$504,MATCH(C2889,'Active Clients'!$A$5:$A$504,0)))&amp;"","ID not found"))</f>
        <v/>
      </c>
      <c r="E2889" s="51" t="str">
        <f aca="false">IF(C2889="","",IFERROR(IF(LEFT(C2889,1)="L",INDEX('Leads Pipeline'!$D$5:$D$1004,MATCH(C2889,'Leads Pipeline'!$A$5:$A$1004,0)),INDEX('Active Clients'!$B$5:$B$504,MATCH(C2889,'Active Clients'!$A$5:$A$504,0)))&amp;"","ID not found"))</f>
        <v/>
      </c>
      <c r="F2889" s="51" t="str">
        <f aca="false">IF(C2889="","",IFERROR(IF(LEFT(C2889,1)="L",INDEX('Leads Pipeline'!$E$5:$E$1004,MATCH(C2889,'Leads Pipeline'!$A$5:$A$1004,0)),INDEX('Active Clients'!$C$5:$C$504,MATCH(C2889,'Active Clients'!$A$5:$A$504,0)))&amp;"","ID not found"))</f>
        <v/>
      </c>
      <c r="G2889" s="16"/>
      <c r="H2889" s="16"/>
      <c r="I2889" s="16"/>
      <c r="J2889" s="16"/>
      <c r="K2889" s="16"/>
      <c r="L2889" s="18"/>
    </row>
    <row r="2890" customFormat="false" ht="15" hidden="false" customHeight="false" outlineLevel="0" collapsed="false">
      <c r="A2890" s="18"/>
      <c r="B2890" s="16"/>
      <c r="C2890" s="16"/>
      <c r="D2890" s="51" t="str">
        <f aca="false">IF(C2890="","",IFERROR(IF(LEFT(C2890,1)="L",INDEX('Leads Pipeline'!$F$5:$F$1004,MATCH(C2890,'Leads Pipeline'!$A$5:$A$1004,0)),INDEX('Active Clients'!$D$5:$D$504,MATCH(C2890,'Active Clients'!$A$5:$A$504,0)))&amp;"","ID not found"))</f>
        <v/>
      </c>
      <c r="E2890" s="51" t="str">
        <f aca="false">IF(C2890="","",IFERROR(IF(LEFT(C2890,1)="L",INDEX('Leads Pipeline'!$D$5:$D$1004,MATCH(C2890,'Leads Pipeline'!$A$5:$A$1004,0)),INDEX('Active Clients'!$B$5:$B$504,MATCH(C2890,'Active Clients'!$A$5:$A$504,0)))&amp;"","ID not found"))</f>
        <v/>
      </c>
      <c r="F2890" s="51" t="str">
        <f aca="false">IF(C2890="","",IFERROR(IF(LEFT(C2890,1)="L",INDEX('Leads Pipeline'!$E$5:$E$1004,MATCH(C2890,'Leads Pipeline'!$A$5:$A$1004,0)),INDEX('Active Clients'!$C$5:$C$504,MATCH(C2890,'Active Clients'!$A$5:$A$504,0)))&amp;"","ID not found"))</f>
        <v/>
      </c>
      <c r="G2890" s="16"/>
      <c r="H2890" s="16"/>
      <c r="I2890" s="16"/>
      <c r="J2890" s="16"/>
      <c r="K2890" s="16"/>
      <c r="L2890" s="18"/>
    </row>
    <row r="2891" customFormat="false" ht="15" hidden="false" customHeight="false" outlineLevel="0" collapsed="false">
      <c r="A2891" s="18"/>
      <c r="B2891" s="16"/>
      <c r="C2891" s="16"/>
      <c r="D2891" s="51" t="str">
        <f aca="false">IF(C2891="","",IFERROR(IF(LEFT(C2891,1)="L",INDEX('Leads Pipeline'!$F$5:$F$1004,MATCH(C2891,'Leads Pipeline'!$A$5:$A$1004,0)),INDEX('Active Clients'!$D$5:$D$504,MATCH(C2891,'Active Clients'!$A$5:$A$504,0)))&amp;"","ID not found"))</f>
        <v/>
      </c>
      <c r="E2891" s="51" t="str">
        <f aca="false">IF(C2891="","",IFERROR(IF(LEFT(C2891,1)="L",INDEX('Leads Pipeline'!$D$5:$D$1004,MATCH(C2891,'Leads Pipeline'!$A$5:$A$1004,0)),INDEX('Active Clients'!$B$5:$B$504,MATCH(C2891,'Active Clients'!$A$5:$A$504,0)))&amp;"","ID not found"))</f>
        <v/>
      </c>
      <c r="F2891" s="51" t="str">
        <f aca="false">IF(C2891="","",IFERROR(IF(LEFT(C2891,1)="L",INDEX('Leads Pipeline'!$E$5:$E$1004,MATCH(C2891,'Leads Pipeline'!$A$5:$A$1004,0)),INDEX('Active Clients'!$C$5:$C$504,MATCH(C2891,'Active Clients'!$A$5:$A$504,0)))&amp;"","ID not found"))</f>
        <v/>
      </c>
      <c r="G2891" s="16"/>
      <c r="H2891" s="16"/>
      <c r="I2891" s="16"/>
      <c r="J2891" s="16"/>
      <c r="K2891" s="16"/>
      <c r="L2891" s="18"/>
    </row>
    <row r="2892" customFormat="false" ht="15" hidden="false" customHeight="false" outlineLevel="0" collapsed="false">
      <c r="A2892" s="18"/>
      <c r="B2892" s="16"/>
      <c r="C2892" s="16"/>
      <c r="D2892" s="51" t="str">
        <f aca="false">IF(C2892="","",IFERROR(IF(LEFT(C2892,1)="L",INDEX('Leads Pipeline'!$F$5:$F$1004,MATCH(C2892,'Leads Pipeline'!$A$5:$A$1004,0)),INDEX('Active Clients'!$D$5:$D$504,MATCH(C2892,'Active Clients'!$A$5:$A$504,0)))&amp;"","ID not found"))</f>
        <v/>
      </c>
      <c r="E2892" s="51" t="str">
        <f aca="false">IF(C2892="","",IFERROR(IF(LEFT(C2892,1)="L",INDEX('Leads Pipeline'!$D$5:$D$1004,MATCH(C2892,'Leads Pipeline'!$A$5:$A$1004,0)),INDEX('Active Clients'!$B$5:$B$504,MATCH(C2892,'Active Clients'!$A$5:$A$504,0)))&amp;"","ID not found"))</f>
        <v/>
      </c>
      <c r="F2892" s="51" t="str">
        <f aca="false">IF(C2892="","",IFERROR(IF(LEFT(C2892,1)="L",INDEX('Leads Pipeline'!$E$5:$E$1004,MATCH(C2892,'Leads Pipeline'!$A$5:$A$1004,0)),INDEX('Active Clients'!$C$5:$C$504,MATCH(C2892,'Active Clients'!$A$5:$A$504,0)))&amp;"","ID not found"))</f>
        <v/>
      </c>
      <c r="G2892" s="16"/>
      <c r="H2892" s="16"/>
      <c r="I2892" s="16"/>
      <c r="J2892" s="16"/>
      <c r="K2892" s="16"/>
      <c r="L2892" s="18"/>
    </row>
    <row r="2893" customFormat="false" ht="15" hidden="false" customHeight="false" outlineLevel="0" collapsed="false">
      <c r="A2893" s="18"/>
      <c r="B2893" s="16"/>
      <c r="C2893" s="16"/>
      <c r="D2893" s="51" t="str">
        <f aca="false">IF(C2893="","",IFERROR(IF(LEFT(C2893,1)="L",INDEX('Leads Pipeline'!$F$5:$F$1004,MATCH(C2893,'Leads Pipeline'!$A$5:$A$1004,0)),INDEX('Active Clients'!$D$5:$D$504,MATCH(C2893,'Active Clients'!$A$5:$A$504,0)))&amp;"","ID not found"))</f>
        <v/>
      </c>
      <c r="E2893" s="51" t="str">
        <f aca="false">IF(C2893="","",IFERROR(IF(LEFT(C2893,1)="L",INDEX('Leads Pipeline'!$D$5:$D$1004,MATCH(C2893,'Leads Pipeline'!$A$5:$A$1004,0)),INDEX('Active Clients'!$B$5:$B$504,MATCH(C2893,'Active Clients'!$A$5:$A$504,0)))&amp;"","ID not found"))</f>
        <v/>
      </c>
      <c r="F2893" s="51" t="str">
        <f aca="false">IF(C2893="","",IFERROR(IF(LEFT(C2893,1)="L",INDEX('Leads Pipeline'!$E$5:$E$1004,MATCH(C2893,'Leads Pipeline'!$A$5:$A$1004,0)),INDEX('Active Clients'!$C$5:$C$504,MATCH(C2893,'Active Clients'!$A$5:$A$504,0)))&amp;"","ID not found"))</f>
        <v/>
      </c>
      <c r="G2893" s="16"/>
      <c r="H2893" s="16"/>
      <c r="I2893" s="16"/>
      <c r="J2893" s="16"/>
      <c r="K2893" s="16"/>
      <c r="L2893" s="18"/>
    </row>
    <row r="2894" customFormat="false" ht="15" hidden="false" customHeight="false" outlineLevel="0" collapsed="false">
      <c r="A2894" s="18"/>
      <c r="B2894" s="16"/>
      <c r="C2894" s="16"/>
      <c r="D2894" s="51" t="str">
        <f aca="false">IF(C2894="","",IFERROR(IF(LEFT(C2894,1)="L",INDEX('Leads Pipeline'!$F$5:$F$1004,MATCH(C2894,'Leads Pipeline'!$A$5:$A$1004,0)),INDEX('Active Clients'!$D$5:$D$504,MATCH(C2894,'Active Clients'!$A$5:$A$504,0)))&amp;"","ID not found"))</f>
        <v/>
      </c>
      <c r="E2894" s="51" t="str">
        <f aca="false">IF(C2894="","",IFERROR(IF(LEFT(C2894,1)="L",INDEX('Leads Pipeline'!$D$5:$D$1004,MATCH(C2894,'Leads Pipeline'!$A$5:$A$1004,0)),INDEX('Active Clients'!$B$5:$B$504,MATCH(C2894,'Active Clients'!$A$5:$A$504,0)))&amp;"","ID not found"))</f>
        <v/>
      </c>
      <c r="F2894" s="51" t="str">
        <f aca="false">IF(C2894="","",IFERROR(IF(LEFT(C2894,1)="L",INDEX('Leads Pipeline'!$E$5:$E$1004,MATCH(C2894,'Leads Pipeline'!$A$5:$A$1004,0)),INDEX('Active Clients'!$C$5:$C$504,MATCH(C2894,'Active Clients'!$A$5:$A$504,0)))&amp;"","ID not found"))</f>
        <v/>
      </c>
      <c r="G2894" s="16"/>
      <c r="H2894" s="16"/>
      <c r="I2894" s="16"/>
      <c r="J2894" s="16"/>
      <c r="K2894" s="16"/>
      <c r="L2894" s="18"/>
    </row>
    <row r="2895" customFormat="false" ht="15" hidden="false" customHeight="false" outlineLevel="0" collapsed="false">
      <c r="A2895" s="18"/>
      <c r="B2895" s="16"/>
      <c r="C2895" s="16"/>
      <c r="D2895" s="51" t="str">
        <f aca="false">IF(C2895="","",IFERROR(IF(LEFT(C2895,1)="L",INDEX('Leads Pipeline'!$F$5:$F$1004,MATCH(C2895,'Leads Pipeline'!$A$5:$A$1004,0)),INDEX('Active Clients'!$D$5:$D$504,MATCH(C2895,'Active Clients'!$A$5:$A$504,0)))&amp;"","ID not found"))</f>
        <v/>
      </c>
      <c r="E2895" s="51" t="str">
        <f aca="false">IF(C2895="","",IFERROR(IF(LEFT(C2895,1)="L",INDEX('Leads Pipeline'!$D$5:$D$1004,MATCH(C2895,'Leads Pipeline'!$A$5:$A$1004,0)),INDEX('Active Clients'!$B$5:$B$504,MATCH(C2895,'Active Clients'!$A$5:$A$504,0)))&amp;"","ID not found"))</f>
        <v/>
      </c>
      <c r="F2895" s="51" t="str">
        <f aca="false">IF(C2895="","",IFERROR(IF(LEFT(C2895,1)="L",INDEX('Leads Pipeline'!$E$5:$E$1004,MATCH(C2895,'Leads Pipeline'!$A$5:$A$1004,0)),INDEX('Active Clients'!$C$5:$C$504,MATCH(C2895,'Active Clients'!$A$5:$A$504,0)))&amp;"","ID not found"))</f>
        <v/>
      </c>
      <c r="G2895" s="16"/>
      <c r="H2895" s="16"/>
      <c r="I2895" s="16"/>
      <c r="J2895" s="16"/>
      <c r="K2895" s="16"/>
      <c r="L2895" s="18"/>
    </row>
    <row r="2896" customFormat="false" ht="15" hidden="false" customHeight="false" outlineLevel="0" collapsed="false">
      <c r="A2896" s="18"/>
      <c r="B2896" s="16"/>
      <c r="C2896" s="16"/>
      <c r="D2896" s="51" t="str">
        <f aca="false">IF(C2896="","",IFERROR(IF(LEFT(C2896,1)="L",INDEX('Leads Pipeline'!$F$5:$F$1004,MATCH(C2896,'Leads Pipeline'!$A$5:$A$1004,0)),INDEX('Active Clients'!$D$5:$D$504,MATCH(C2896,'Active Clients'!$A$5:$A$504,0)))&amp;"","ID not found"))</f>
        <v/>
      </c>
      <c r="E2896" s="51" t="str">
        <f aca="false">IF(C2896="","",IFERROR(IF(LEFT(C2896,1)="L",INDEX('Leads Pipeline'!$D$5:$D$1004,MATCH(C2896,'Leads Pipeline'!$A$5:$A$1004,0)),INDEX('Active Clients'!$B$5:$B$504,MATCH(C2896,'Active Clients'!$A$5:$A$504,0)))&amp;"","ID not found"))</f>
        <v/>
      </c>
      <c r="F2896" s="51" t="str">
        <f aca="false">IF(C2896="","",IFERROR(IF(LEFT(C2896,1)="L",INDEX('Leads Pipeline'!$E$5:$E$1004,MATCH(C2896,'Leads Pipeline'!$A$5:$A$1004,0)),INDEX('Active Clients'!$C$5:$C$504,MATCH(C2896,'Active Clients'!$A$5:$A$504,0)))&amp;"","ID not found"))</f>
        <v/>
      </c>
      <c r="G2896" s="16"/>
      <c r="H2896" s="16"/>
      <c r="I2896" s="16"/>
      <c r="J2896" s="16"/>
      <c r="K2896" s="16"/>
      <c r="L2896" s="18"/>
    </row>
    <row r="2897" customFormat="false" ht="15" hidden="false" customHeight="false" outlineLevel="0" collapsed="false">
      <c r="A2897" s="18"/>
      <c r="B2897" s="16"/>
      <c r="C2897" s="16"/>
      <c r="D2897" s="51" t="str">
        <f aca="false">IF(C2897="","",IFERROR(IF(LEFT(C2897,1)="L",INDEX('Leads Pipeline'!$F$5:$F$1004,MATCH(C2897,'Leads Pipeline'!$A$5:$A$1004,0)),INDEX('Active Clients'!$D$5:$D$504,MATCH(C2897,'Active Clients'!$A$5:$A$504,0)))&amp;"","ID not found"))</f>
        <v/>
      </c>
      <c r="E2897" s="51" t="str">
        <f aca="false">IF(C2897="","",IFERROR(IF(LEFT(C2897,1)="L",INDEX('Leads Pipeline'!$D$5:$D$1004,MATCH(C2897,'Leads Pipeline'!$A$5:$A$1004,0)),INDEX('Active Clients'!$B$5:$B$504,MATCH(C2897,'Active Clients'!$A$5:$A$504,0)))&amp;"","ID not found"))</f>
        <v/>
      </c>
      <c r="F2897" s="51" t="str">
        <f aca="false">IF(C2897="","",IFERROR(IF(LEFT(C2897,1)="L",INDEX('Leads Pipeline'!$E$5:$E$1004,MATCH(C2897,'Leads Pipeline'!$A$5:$A$1004,0)),INDEX('Active Clients'!$C$5:$C$504,MATCH(C2897,'Active Clients'!$A$5:$A$504,0)))&amp;"","ID not found"))</f>
        <v/>
      </c>
      <c r="G2897" s="16"/>
      <c r="H2897" s="16"/>
      <c r="I2897" s="16"/>
      <c r="J2897" s="16"/>
      <c r="K2897" s="16"/>
      <c r="L2897" s="18"/>
    </row>
    <row r="2898" customFormat="false" ht="15" hidden="false" customHeight="false" outlineLevel="0" collapsed="false">
      <c r="A2898" s="18"/>
      <c r="B2898" s="16"/>
      <c r="C2898" s="16"/>
      <c r="D2898" s="51" t="str">
        <f aca="false">IF(C2898="","",IFERROR(IF(LEFT(C2898,1)="L",INDEX('Leads Pipeline'!$F$5:$F$1004,MATCH(C2898,'Leads Pipeline'!$A$5:$A$1004,0)),INDEX('Active Clients'!$D$5:$D$504,MATCH(C2898,'Active Clients'!$A$5:$A$504,0)))&amp;"","ID not found"))</f>
        <v/>
      </c>
      <c r="E2898" s="51" t="str">
        <f aca="false">IF(C2898="","",IFERROR(IF(LEFT(C2898,1)="L",INDEX('Leads Pipeline'!$D$5:$D$1004,MATCH(C2898,'Leads Pipeline'!$A$5:$A$1004,0)),INDEX('Active Clients'!$B$5:$B$504,MATCH(C2898,'Active Clients'!$A$5:$A$504,0)))&amp;"","ID not found"))</f>
        <v/>
      </c>
      <c r="F2898" s="51" t="str">
        <f aca="false">IF(C2898="","",IFERROR(IF(LEFT(C2898,1)="L",INDEX('Leads Pipeline'!$E$5:$E$1004,MATCH(C2898,'Leads Pipeline'!$A$5:$A$1004,0)),INDEX('Active Clients'!$C$5:$C$504,MATCH(C2898,'Active Clients'!$A$5:$A$504,0)))&amp;"","ID not found"))</f>
        <v/>
      </c>
      <c r="G2898" s="16"/>
      <c r="H2898" s="16"/>
      <c r="I2898" s="16"/>
      <c r="J2898" s="16"/>
      <c r="K2898" s="16"/>
      <c r="L2898" s="18"/>
    </row>
    <row r="2899" customFormat="false" ht="15" hidden="false" customHeight="false" outlineLevel="0" collapsed="false">
      <c r="A2899" s="18"/>
      <c r="B2899" s="16"/>
      <c r="C2899" s="16"/>
      <c r="D2899" s="51" t="str">
        <f aca="false">IF(C2899="","",IFERROR(IF(LEFT(C2899,1)="L",INDEX('Leads Pipeline'!$F$5:$F$1004,MATCH(C2899,'Leads Pipeline'!$A$5:$A$1004,0)),INDEX('Active Clients'!$D$5:$D$504,MATCH(C2899,'Active Clients'!$A$5:$A$504,0)))&amp;"","ID not found"))</f>
        <v/>
      </c>
      <c r="E2899" s="51" t="str">
        <f aca="false">IF(C2899="","",IFERROR(IF(LEFT(C2899,1)="L",INDEX('Leads Pipeline'!$D$5:$D$1004,MATCH(C2899,'Leads Pipeline'!$A$5:$A$1004,0)),INDEX('Active Clients'!$B$5:$B$504,MATCH(C2899,'Active Clients'!$A$5:$A$504,0)))&amp;"","ID not found"))</f>
        <v/>
      </c>
      <c r="F2899" s="51" t="str">
        <f aca="false">IF(C2899="","",IFERROR(IF(LEFT(C2899,1)="L",INDEX('Leads Pipeline'!$E$5:$E$1004,MATCH(C2899,'Leads Pipeline'!$A$5:$A$1004,0)),INDEX('Active Clients'!$C$5:$C$504,MATCH(C2899,'Active Clients'!$A$5:$A$504,0)))&amp;"","ID not found"))</f>
        <v/>
      </c>
      <c r="G2899" s="16"/>
      <c r="H2899" s="16"/>
      <c r="I2899" s="16"/>
      <c r="J2899" s="16"/>
      <c r="K2899" s="16"/>
      <c r="L2899" s="18"/>
    </row>
    <row r="2900" customFormat="false" ht="15" hidden="false" customHeight="false" outlineLevel="0" collapsed="false">
      <c r="A2900" s="18"/>
      <c r="B2900" s="16"/>
      <c r="C2900" s="16"/>
      <c r="D2900" s="51" t="str">
        <f aca="false">IF(C2900="","",IFERROR(IF(LEFT(C2900,1)="L",INDEX('Leads Pipeline'!$F$5:$F$1004,MATCH(C2900,'Leads Pipeline'!$A$5:$A$1004,0)),INDEX('Active Clients'!$D$5:$D$504,MATCH(C2900,'Active Clients'!$A$5:$A$504,0)))&amp;"","ID not found"))</f>
        <v/>
      </c>
      <c r="E2900" s="51" t="str">
        <f aca="false">IF(C2900="","",IFERROR(IF(LEFT(C2900,1)="L",INDEX('Leads Pipeline'!$D$5:$D$1004,MATCH(C2900,'Leads Pipeline'!$A$5:$A$1004,0)),INDEX('Active Clients'!$B$5:$B$504,MATCH(C2900,'Active Clients'!$A$5:$A$504,0)))&amp;"","ID not found"))</f>
        <v/>
      </c>
      <c r="F2900" s="51" t="str">
        <f aca="false">IF(C2900="","",IFERROR(IF(LEFT(C2900,1)="L",INDEX('Leads Pipeline'!$E$5:$E$1004,MATCH(C2900,'Leads Pipeline'!$A$5:$A$1004,0)),INDEX('Active Clients'!$C$5:$C$504,MATCH(C2900,'Active Clients'!$A$5:$A$504,0)))&amp;"","ID not found"))</f>
        <v/>
      </c>
      <c r="G2900" s="16"/>
      <c r="H2900" s="16"/>
      <c r="I2900" s="16"/>
      <c r="J2900" s="16"/>
      <c r="K2900" s="16"/>
      <c r="L2900" s="18"/>
    </row>
    <row r="2901" customFormat="false" ht="15" hidden="false" customHeight="false" outlineLevel="0" collapsed="false">
      <c r="A2901" s="18"/>
      <c r="B2901" s="16"/>
      <c r="C2901" s="16"/>
      <c r="D2901" s="51" t="str">
        <f aca="false">IF(C2901="","",IFERROR(IF(LEFT(C2901,1)="L",INDEX('Leads Pipeline'!$F$5:$F$1004,MATCH(C2901,'Leads Pipeline'!$A$5:$A$1004,0)),INDEX('Active Clients'!$D$5:$D$504,MATCH(C2901,'Active Clients'!$A$5:$A$504,0)))&amp;"","ID not found"))</f>
        <v/>
      </c>
      <c r="E2901" s="51" t="str">
        <f aca="false">IF(C2901="","",IFERROR(IF(LEFT(C2901,1)="L",INDEX('Leads Pipeline'!$D$5:$D$1004,MATCH(C2901,'Leads Pipeline'!$A$5:$A$1004,0)),INDEX('Active Clients'!$B$5:$B$504,MATCH(C2901,'Active Clients'!$A$5:$A$504,0)))&amp;"","ID not found"))</f>
        <v/>
      </c>
      <c r="F2901" s="51" t="str">
        <f aca="false">IF(C2901="","",IFERROR(IF(LEFT(C2901,1)="L",INDEX('Leads Pipeline'!$E$5:$E$1004,MATCH(C2901,'Leads Pipeline'!$A$5:$A$1004,0)),INDEX('Active Clients'!$C$5:$C$504,MATCH(C2901,'Active Clients'!$A$5:$A$504,0)))&amp;"","ID not found"))</f>
        <v/>
      </c>
      <c r="G2901" s="16"/>
      <c r="H2901" s="16"/>
      <c r="I2901" s="16"/>
      <c r="J2901" s="16"/>
      <c r="K2901" s="16"/>
      <c r="L2901" s="18"/>
    </row>
    <row r="2902" customFormat="false" ht="15" hidden="false" customHeight="false" outlineLevel="0" collapsed="false">
      <c r="A2902" s="18"/>
      <c r="B2902" s="16"/>
      <c r="C2902" s="16"/>
      <c r="D2902" s="51" t="str">
        <f aca="false">IF(C2902="","",IFERROR(IF(LEFT(C2902,1)="L",INDEX('Leads Pipeline'!$F$5:$F$1004,MATCH(C2902,'Leads Pipeline'!$A$5:$A$1004,0)),INDEX('Active Clients'!$D$5:$D$504,MATCH(C2902,'Active Clients'!$A$5:$A$504,0)))&amp;"","ID not found"))</f>
        <v/>
      </c>
      <c r="E2902" s="51" t="str">
        <f aca="false">IF(C2902="","",IFERROR(IF(LEFT(C2902,1)="L",INDEX('Leads Pipeline'!$D$5:$D$1004,MATCH(C2902,'Leads Pipeline'!$A$5:$A$1004,0)),INDEX('Active Clients'!$B$5:$B$504,MATCH(C2902,'Active Clients'!$A$5:$A$504,0)))&amp;"","ID not found"))</f>
        <v/>
      </c>
      <c r="F2902" s="51" t="str">
        <f aca="false">IF(C2902="","",IFERROR(IF(LEFT(C2902,1)="L",INDEX('Leads Pipeline'!$E$5:$E$1004,MATCH(C2902,'Leads Pipeline'!$A$5:$A$1004,0)),INDEX('Active Clients'!$C$5:$C$504,MATCH(C2902,'Active Clients'!$A$5:$A$504,0)))&amp;"","ID not found"))</f>
        <v/>
      </c>
      <c r="G2902" s="16"/>
      <c r="H2902" s="16"/>
      <c r="I2902" s="16"/>
      <c r="J2902" s="16"/>
      <c r="K2902" s="16"/>
      <c r="L2902" s="18"/>
    </row>
    <row r="2903" customFormat="false" ht="15" hidden="false" customHeight="false" outlineLevel="0" collapsed="false">
      <c r="A2903" s="18"/>
      <c r="B2903" s="16"/>
      <c r="C2903" s="16"/>
      <c r="D2903" s="51" t="str">
        <f aca="false">IF(C2903="","",IFERROR(IF(LEFT(C2903,1)="L",INDEX('Leads Pipeline'!$F$5:$F$1004,MATCH(C2903,'Leads Pipeline'!$A$5:$A$1004,0)),INDEX('Active Clients'!$D$5:$D$504,MATCH(C2903,'Active Clients'!$A$5:$A$504,0)))&amp;"","ID not found"))</f>
        <v/>
      </c>
      <c r="E2903" s="51" t="str">
        <f aca="false">IF(C2903="","",IFERROR(IF(LEFT(C2903,1)="L",INDEX('Leads Pipeline'!$D$5:$D$1004,MATCH(C2903,'Leads Pipeline'!$A$5:$A$1004,0)),INDEX('Active Clients'!$B$5:$B$504,MATCH(C2903,'Active Clients'!$A$5:$A$504,0)))&amp;"","ID not found"))</f>
        <v/>
      </c>
      <c r="F2903" s="51" t="str">
        <f aca="false">IF(C2903="","",IFERROR(IF(LEFT(C2903,1)="L",INDEX('Leads Pipeline'!$E$5:$E$1004,MATCH(C2903,'Leads Pipeline'!$A$5:$A$1004,0)),INDEX('Active Clients'!$C$5:$C$504,MATCH(C2903,'Active Clients'!$A$5:$A$504,0)))&amp;"","ID not found"))</f>
        <v/>
      </c>
      <c r="G2903" s="16"/>
      <c r="H2903" s="16"/>
      <c r="I2903" s="16"/>
      <c r="J2903" s="16"/>
      <c r="K2903" s="16"/>
      <c r="L2903" s="18"/>
    </row>
    <row r="2904" customFormat="false" ht="15" hidden="false" customHeight="false" outlineLevel="0" collapsed="false">
      <c r="A2904" s="18"/>
      <c r="B2904" s="16"/>
      <c r="C2904" s="16"/>
      <c r="D2904" s="51" t="str">
        <f aca="false">IF(C2904="","",IFERROR(IF(LEFT(C2904,1)="L",INDEX('Leads Pipeline'!$F$5:$F$1004,MATCH(C2904,'Leads Pipeline'!$A$5:$A$1004,0)),INDEX('Active Clients'!$D$5:$D$504,MATCH(C2904,'Active Clients'!$A$5:$A$504,0)))&amp;"","ID not found"))</f>
        <v/>
      </c>
      <c r="E2904" s="51" t="str">
        <f aca="false">IF(C2904="","",IFERROR(IF(LEFT(C2904,1)="L",INDEX('Leads Pipeline'!$D$5:$D$1004,MATCH(C2904,'Leads Pipeline'!$A$5:$A$1004,0)),INDEX('Active Clients'!$B$5:$B$504,MATCH(C2904,'Active Clients'!$A$5:$A$504,0)))&amp;"","ID not found"))</f>
        <v/>
      </c>
      <c r="F2904" s="51" t="str">
        <f aca="false">IF(C2904="","",IFERROR(IF(LEFT(C2904,1)="L",INDEX('Leads Pipeline'!$E$5:$E$1004,MATCH(C2904,'Leads Pipeline'!$A$5:$A$1004,0)),INDEX('Active Clients'!$C$5:$C$504,MATCH(C2904,'Active Clients'!$A$5:$A$504,0)))&amp;"","ID not found"))</f>
        <v/>
      </c>
      <c r="G2904" s="16"/>
      <c r="H2904" s="16"/>
      <c r="I2904" s="16"/>
      <c r="J2904" s="16"/>
      <c r="K2904" s="16"/>
      <c r="L2904" s="18"/>
    </row>
    <row r="2905" customFormat="false" ht="15" hidden="false" customHeight="false" outlineLevel="0" collapsed="false">
      <c r="A2905" s="18"/>
      <c r="B2905" s="16"/>
      <c r="C2905" s="16"/>
      <c r="D2905" s="51" t="str">
        <f aca="false">IF(C2905="","",IFERROR(IF(LEFT(C2905,1)="L",INDEX('Leads Pipeline'!$F$5:$F$1004,MATCH(C2905,'Leads Pipeline'!$A$5:$A$1004,0)),INDEX('Active Clients'!$D$5:$D$504,MATCH(C2905,'Active Clients'!$A$5:$A$504,0)))&amp;"","ID not found"))</f>
        <v/>
      </c>
      <c r="E2905" s="51" t="str">
        <f aca="false">IF(C2905="","",IFERROR(IF(LEFT(C2905,1)="L",INDEX('Leads Pipeline'!$D$5:$D$1004,MATCH(C2905,'Leads Pipeline'!$A$5:$A$1004,0)),INDEX('Active Clients'!$B$5:$B$504,MATCH(C2905,'Active Clients'!$A$5:$A$504,0)))&amp;"","ID not found"))</f>
        <v/>
      </c>
      <c r="F2905" s="51" t="str">
        <f aca="false">IF(C2905="","",IFERROR(IF(LEFT(C2905,1)="L",INDEX('Leads Pipeline'!$E$5:$E$1004,MATCH(C2905,'Leads Pipeline'!$A$5:$A$1004,0)),INDEX('Active Clients'!$C$5:$C$504,MATCH(C2905,'Active Clients'!$A$5:$A$504,0)))&amp;"","ID not found"))</f>
        <v/>
      </c>
      <c r="G2905" s="16"/>
      <c r="H2905" s="16"/>
      <c r="I2905" s="16"/>
      <c r="J2905" s="16"/>
      <c r="K2905" s="16"/>
      <c r="L2905" s="18"/>
    </row>
    <row r="2906" customFormat="false" ht="15" hidden="false" customHeight="false" outlineLevel="0" collapsed="false">
      <c r="A2906" s="18"/>
      <c r="B2906" s="16"/>
      <c r="C2906" s="16"/>
      <c r="D2906" s="51" t="str">
        <f aca="false">IF(C2906="","",IFERROR(IF(LEFT(C2906,1)="L",INDEX('Leads Pipeline'!$F$5:$F$1004,MATCH(C2906,'Leads Pipeline'!$A$5:$A$1004,0)),INDEX('Active Clients'!$D$5:$D$504,MATCH(C2906,'Active Clients'!$A$5:$A$504,0)))&amp;"","ID not found"))</f>
        <v/>
      </c>
      <c r="E2906" s="51" t="str">
        <f aca="false">IF(C2906="","",IFERROR(IF(LEFT(C2906,1)="L",INDEX('Leads Pipeline'!$D$5:$D$1004,MATCH(C2906,'Leads Pipeline'!$A$5:$A$1004,0)),INDEX('Active Clients'!$B$5:$B$504,MATCH(C2906,'Active Clients'!$A$5:$A$504,0)))&amp;"","ID not found"))</f>
        <v/>
      </c>
      <c r="F2906" s="51" t="str">
        <f aca="false">IF(C2906="","",IFERROR(IF(LEFT(C2906,1)="L",INDEX('Leads Pipeline'!$E$5:$E$1004,MATCH(C2906,'Leads Pipeline'!$A$5:$A$1004,0)),INDEX('Active Clients'!$C$5:$C$504,MATCH(C2906,'Active Clients'!$A$5:$A$504,0)))&amp;"","ID not found"))</f>
        <v/>
      </c>
      <c r="G2906" s="16"/>
      <c r="H2906" s="16"/>
      <c r="I2906" s="16"/>
      <c r="J2906" s="16"/>
      <c r="K2906" s="16"/>
      <c r="L2906" s="18"/>
    </row>
    <row r="2907" customFormat="false" ht="15" hidden="false" customHeight="false" outlineLevel="0" collapsed="false">
      <c r="A2907" s="18"/>
      <c r="B2907" s="16"/>
      <c r="C2907" s="16"/>
      <c r="D2907" s="51" t="str">
        <f aca="false">IF(C2907="","",IFERROR(IF(LEFT(C2907,1)="L",INDEX('Leads Pipeline'!$F$5:$F$1004,MATCH(C2907,'Leads Pipeline'!$A$5:$A$1004,0)),INDEX('Active Clients'!$D$5:$D$504,MATCH(C2907,'Active Clients'!$A$5:$A$504,0)))&amp;"","ID not found"))</f>
        <v/>
      </c>
      <c r="E2907" s="51" t="str">
        <f aca="false">IF(C2907="","",IFERROR(IF(LEFT(C2907,1)="L",INDEX('Leads Pipeline'!$D$5:$D$1004,MATCH(C2907,'Leads Pipeline'!$A$5:$A$1004,0)),INDEX('Active Clients'!$B$5:$B$504,MATCH(C2907,'Active Clients'!$A$5:$A$504,0)))&amp;"","ID not found"))</f>
        <v/>
      </c>
      <c r="F2907" s="51" t="str">
        <f aca="false">IF(C2907="","",IFERROR(IF(LEFT(C2907,1)="L",INDEX('Leads Pipeline'!$E$5:$E$1004,MATCH(C2907,'Leads Pipeline'!$A$5:$A$1004,0)),INDEX('Active Clients'!$C$5:$C$504,MATCH(C2907,'Active Clients'!$A$5:$A$504,0)))&amp;"","ID not found"))</f>
        <v/>
      </c>
      <c r="G2907" s="16"/>
      <c r="H2907" s="16"/>
      <c r="I2907" s="16"/>
      <c r="J2907" s="16"/>
      <c r="K2907" s="16"/>
      <c r="L2907" s="18"/>
    </row>
    <row r="2908" customFormat="false" ht="15" hidden="false" customHeight="false" outlineLevel="0" collapsed="false">
      <c r="A2908" s="18"/>
      <c r="B2908" s="16"/>
      <c r="C2908" s="16"/>
      <c r="D2908" s="51" t="str">
        <f aca="false">IF(C2908="","",IFERROR(IF(LEFT(C2908,1)="L",INDEX('Leads Pipeline'!$F$5:$F$1004,MATCH(C2908,'Leads Pipeline'!$A$5:$A$1004,0)),INDEX('Active Clients'!$D$5:$D$504,MATCH(C2908,'Active Clients'!$A$5:$A$504,0)))&amp;"","ID not found"))</f>
        <v/>
      </c>
      <c r="E2908" s="51" t="str">
        <f aca="false">IF(C2908="","",IFERROR(IF(LEFT(C2908,1)="L",INDEX('Leads Pipeline'!$D$5:$D$1004,MATCH(C2908,'Leads Pipeline'!$A$5:$A$1004,0)),INDEX('Active Clients'!$B$5:$B$504,MATCH(C2908,'Active Clients'!$A$5:$A$504,0)))&amp;"","ID not found"))</f>
        <v/>
      </c>
      <c r="F2908" s="51" t="str">
        <f aca="false">IF(C2908="","",IFERROR(IF(LEFT(C2908,1)="L",INDEX('Leads Pipeline'!$E$5:$E$1004,MATCH(C2908,'Leads Pipeline'!$A$5:$A$1004,0)),INDEX('Active Clients'!$C$5:$C$504,MATCH(C2908,'Active Clients'!$A$5:$A$504,0)))&amp;"","ID not found"))</f>
        <v/>
      </c>
      <c r="G2908" s="16"/>
      <c r="H2908" s="16"/>
      <c r="I2908" s="16"/>
      <c r="J2908" s="16"/>
      <c r="K2908" s="16"/>
      <c r="L2908" s="18"/>
    </row>
    <row r="2909" customFormat="false" ht="15" hidden="false" customHeight="false" outlineLevel="0" collapsed="false">
      <c r="A2909" s="18"/>
      <c r="B2909" s="16"/>
      <c r="C2909" s="16"/>
      <c r="D2909" s="51" t="str">
        <f aca="false">IF(C2909="","",IFERROR(IF(LEFT(C2909,1)="L",INDEX('Leads Pipeline'!$F$5:$F$1004,MATCH(C2909,'Leads Pipeline'!$A$5:$A$1004,0)),INDEX('Active Clients'!$D$5:$D$504,MATCH(C2909,'Active Clients'!$A$5:$A$504,0)))&amp;"","ID not found"))</f>
        <v/>
      </c>
      <c r="E2909" s="51" t="str">
        <f aca="false">IF(C2909="","",IFERROR(IF(LEFT(C2909,1)="L",INDEX('Leads Pipeline'!$D$5:$D$1004,MATCH(C2909,'Leads Pipeline'!$A$5:$A$1004,0)),INDEX('Active Clients'!$B$5:$B$504,MATCH(C2909,'Active Clients'!$A$5:$A$504,0)))&amp;"","ID not found"))</f>
        <v/>
      </c>
      <c r="F2909" s="51" t="str">
        <f aca="false">IF(C2909="","",IFERROR(IF(LEFT(C2909,1)="L",INDEX('Leads Pipeline'!$E$5:$E$1004,MATCH(C2909,'Leads Pipeline'!$A$5:$A$1004,0)),INDEX('Active Clients'!$C$5:$C$504,MATCH(C2909,'Active Clients'!$A$5:$A$504,0)))&amp;"","ID not found"))</f>
        <v/>
      </c>
      <c r="G2909" s="16"/>
      <c r="H2909" s="16"/>
      <c r="I2909" s="16"/>
      <c r="J2909" s="16"/>
      <c r="K2909" s="16"/>
      <c r="L2909" s="18"/>
    </row>
    <row r="2910" customFormat="false" ht="15" hidden="false" customHeight="false" outlineLevel="0" collapsed="false">
      <c r="A2910" s="18"/>
      <c r="B2910" s="16"/>
      <c r="C2910" s="16"/>
      <c r="D2910" s="51" t="str">
        <f aca="false">IF(C2910="","",IFERROR(IF(LEFT(C2910,1)="L",INDEX('Leads Pipeline'!$F$5:$F$1004,MATCH(C2910,'Leads Pipeline'!$A$5:$A$1004,0)),INDEX('Active Clients'!$D$5:$D$504,MATCH(C2910,'Active Clients'!$A$5:$A$504,0)))&amp;"","ID not found"))</f>
        <v/>
      </c>
      <c r="E2910" s="51" t="str">
        <f aca="false">IF(C2910="","",IFERROR(IF(LEFT(C2910,1)="L",INDEX('Leads Pipeline'!$D$5:$D$1004,MATCH(C2910,'Leads Pipeline'!$A$5:$A$1004,0)),INDEX('Active Clients'!$B$5:$B$504,MATCH(C2910,'Active Clients'!$A$5:$A$504,0)))&amp;"","ID not found"))</f>
        <v/>
      </c>
      <c r="F2910" s="51" t="str">
        <f aca="false">IF(C2910="","",IFERROR(IF(LEFT(C2910,1)="L",INDEX('Leads Pipeline'!$E$5:$E$1004,MATCH(C2910,'Leads Pipeline'!$A$5:$A$1004,0)),INDEX('Active Clients'!$C$5:$C$504,MATCH(C2910,'Active Clients'!$A$5:$A$504,0)))&amp;"","ID not found"))</f>
        <v/>
      </c>
      <c r="G2910" s="16"/>
      <c r="H2910" s="16"/>
      <c r="I2910" s="16"/>
      <c r="J2910" s="16"/>
      <c r="K2910" s="16"/>
      <c r="L2910" s="18"/>
    </row>
    <row r="2911" customFormat="false" ht="15" hidden="false" customHeight="false" outlineLevel="0" collapsed="false">
      <c r="A2911" s="18"/>
      <c r="B2911" s="16"/>
      <c r="C2911" s="16"/>
      <c r="D2911" s="51" t="str">
        <f aca="false">IF(C2911="","",IFERROR(IF(LEFT(C2911,1)="L",INDEX('Leads Pipeline'!$F$5:$F$1004,MATCH(C2911,'Leads Pipeline'!$A$5:$A$1004,0)),INDEX('Active Clients'!$D$5:$D$504,MATCH(C2911,'Active Clients'!$A$5:$A$504,0)))&amp;"","ID not found"))</f>
        <v/>
      </c>
      <c r="E2911" s="51" t="str">
        <f aca="false">IF(C2911="","",IFERROR(IF(LEFT(C2911,1)="L",INDEX('Leads Pipeline'!$D$5:$D$1004,MATCH(C2911,'Leads Pipeline'!$A$5:$A$1004,0)),INDEX('Active Clients'!$B$5:$B$504,MATCH(C2911,'Active Clients'!$A$5:$A$504,0)))&amp;"","ID not found"))</f>
        <v/>
      </c>
      <c r="F2911" s="51" t="str">
        <f aca="false">IF(C2911="","",IFERROR(IF(LEFT(C2911,1)="L",INDEX('Leads Pipeline'!$E$5:$E$1004,MATCH(C2911,'Leads Pipeline'!$A$5:$A$1004,0)),INDEX('Active Clients'!$C$5:$C$504,MATCH(C2911,'Active Clients'!$A$5:$A$504,0)))&amp;"","ID not found"))</f>
        <v/>
      </c>
      <c r="G2911" s="16"/>
      <c r="H2911" s="16"/>
      <c r="I2911" s="16"/>
      <c r="J2911" s="16"/>
      <c r="K2911" s="16"/>
      <c r="L2911" s="18"/>
    </row>
    <row r="2912" customFormat="false" ht="15" hidden="false" customHeight="false" outlineLevel="0" collapsed="false">
      <c r="A2912" s="18"/>
      <c r="B2912" s="16"/>
      <c r="C2912" s="16"/>
      <c r="D2912" s="51" t="str">
        <f aca="false">IF(C2912="","",IFERROR(IF(LEFT(C2912,1)="L",INDEX('Leads Pipeline'!$F$5:$F$1004,MATCH(C2912,'Leads Pipeline'!$A$5:$A$1004,0)),INDEX('Active Clients'!$D$5:$D$504,MATCH(C2912,'Active Clients'!$A$5:$A$504,0)))&amp;"","ID not found"))</f>
        <v/>
      </c>
      <c r="E2912" s="51" t="str">
        <f aca="false">IF(C2912="","",IFERROR(IF(LEFT(C2912,1)="L",INDEX('Leads Pipeline'!$D$5:$D$1004,MATCH(C2912,'Leads Pipeline'!$A$5:$A$1004,0)),INDEX('Active Clients'!$B$5:$B$504,MATCH(C2912,'Active Clients'!$A$5:$A$504,0)))&amp;"","ID not found"))</f>
        <v/>
      </c>
      <c r="F2912" s="51" t="str">
        <f aca="false">IF(C2912="","",IFERROR(IF(LEFT(C2912,1)="L",INDEX('Leads Pipeline'!$E$5:$E$1004,MATCH(C2912,'Leads Pipeline'!$A$5:$A$1004,0)),INDEX('Active Clients'!$C$5:$C$504,MATCH(C2912,'Active Clients'!$A$5:$A$504,0)))&amp;"","ID not found"))</f>
        <v/>
      </c>
      <c r="G2912" s="16"/>
      <c r="H2912" s="16"/>
      <c r="I2912" s="16"/>
      <c r="J2912" s="16"/>
      <c r="K2912" s="16"/>
      <c r="L2912" s="18"/>
    </row>
    <row r="2913" customFormat="false" ht="15" hidden="false" customHeight="false" outlineLevel="0" collapsed="false">
      <c r="A2913" s="18"/>
      <c r="B2913" s="16"/>
      <c r="C2913" s="16"/>
      <c r="D2913" s="51" t="str">
        <f aca="false">IF(C2913="","",IFERROR(IF(LEFT(C2913,1)="L",INDEX('Leads Pipeline'!$F$5:$F$1004,MATCH(C2913,'Leads Pipeline'!$A$5:$A$1004,0)),INDEX('Active Clients'!$D$5:$D$504,MATCH(C2913,'Active Clients'!$A$5:$A$504,0)))&amp;"","ID not found"))</f>
        <v/>
      </c>
      <c r="E2913" s="51" t="str">
        <f aca="false">IF(C2913="","",IFERROR(IF(LEFT(C2913,1)="L",INDEX('Leads Pipeline'!$D$5:$D$1004,MATCH(C2913,'Leads Pipeline'!$A$5:$A$1004,0)),INDEX('Active Clients'!$B$5:$B$504,MATCH(C2913,'Active Clients'!$A$5:$A$504,0)))&amp;"","ID not found"))</f>
        <v/>
      </c>
      <c r="F2913" s="51" t="str">
        <f aca="false">IF(C2913="","",IFERROR(IF(LEFT(C2913,1)="L",INDEX('Leads Pipeline'!$E$5:$E$1004,MATCH(C2913,'Leads Pipeline'!$A$5:$A$1004,0)),INDEX('Active Clients'!$C$5:$C$504,MATCH(C2913,'Active Clients'!$A$5:$A$504,0)))&amp;"","ID not found"))</f>
        <v/>
      </c>
      <c r="G2913" s="16"/>
      <c r="H2913" s="16"/>
      <c r="I2913" s="16"/>
      <c r="J2913" s="16"/>
      <c r="K2913" s="16"/>
      <c r="L2913" s="18"/>
    </row>
    <row r="2914" customFormat="false" ht="15" hidden="false" customHeight="false" outlineLevel="0" collapsed="false">
      <c r="A2914" s="18"/>
      <c r="B2914" s="16"/>
      <c r="C2914" s="16"/>
      <c r="D2914" s="51" t="str">
        <f aca="false">IF(C2914="","",IFERROR(IF(LEFT(C2914,1)="L",INDEX('Leads Pipeline'!$F$5:$F$1004,MATCH(C2914,'Leads Pipeline'!$A$5:$A$1004,0)),INDEX('Active Clients'!$D$5:$D$504,MATCH(C2914,'Active Clients'!$A$5:$A$504,0)))&amp;"","ID not found"))</f>
        <v/>
      </c>
      <c r="E2914" s="51" t="str">
        <f aca="false">IF(C2914="","",IFERROR(IF(LEFT(C2914,1)="L",INDEX('Leads Pipeline'!$D$5:$D$1004,MATCH(C2914,'Leads Pipeline'!$A$5:$A$1004,0)),INDEX('Active Clients'!$B$5:$B$504,MATCH(C2914,'Active Clients'!$A$5:$A$504,0)))&amp;"","ID not found"))</f>
        <v/>
      </c>
      <c r="F2914" s="51" t="str">
        <f aca="false">IF(C2914="","",IFERROR(IF(LEFT(C2914,1)="L",INDEX('Leads Pipeline'!$E$5:$E$1004,MATCH(C2914,'Leads Pipeline'!$A$5:$A$1004,0)),INDEX('Active Clients'!$C$5:$C$504,MATCH(C2914,'Active Clients'!$A$5:$A$504,0)))&amp;"","ID not found"))</f>
        <v/>
      </c>
      <c r="G2914" s="16"/>
      <c r="H2914" s="16"/>
      <c r="I2914" s="16"/>
      <c r="J2914" s="16"/>
      <c r="K2914" s="16"/>
      <c r="L2914" s="18"/>
    </row>
    <row r="2915" customFormat="false" ht="15" hidden="false" customHeight="false" outlineLevel="0" collapsed="false">
      <c r="A2915" s="18"/>
      <c r="B2915" s="16"/>
      <c r="C2915" s="16"/>
      <c r="D2915" s="51" t="str">
        <f aca="false">IF(C2915="","",IFERROR(IF(LEFT(C2915,1)="L",INDEX('Leads Pipeline'!$F$5:$F$1004,MATCH(C2915,'Leads Pipeline'!$A$5:$A$1004,0)),INDEX('Active Clients'!$D$5:$D$504,MATCH(C2915,'Active Clients'!$A$5:$A$504,0)))&amp;"","ID not found"))</f>
        <v/>
      </c>
      <c r="E2915" s="51" t="str">
        <f aca="false">IF(C2915="","",IFERROR(IF(LEFT(C2915,1)="L",INDEX('Leads Pipeline'!$D$5:$D$1004,MATCH(C2915,'Leads Pipeline'!$A$5:$A$1004,0)),INDEX('Active Clients'!$B$5:$B$504,MATCH(C2915,'Active Clients'!$A$5:$A$504,0)))&amp;"","ID not found"))</f>
        <v/>
      </c>
      <c r="F2915" s="51" t="str">
        <f aca="false">IF(C2915="","",IFERROR(IF(LEFT(C2915,1)="L",INDEX('Leads Pipeline'!$E$5:$E$1004,MATCH(C2915,'Leads Pipeline'!$A$5:$A$1004,0)),INDEX('Active Clients'!$C$5:$C$504,MATCH(C2915,'Active Clients'!$A$5:$A$504,0)))&amp;"","ID not found"))</f>
        <v/>
      </c>
      <c r="G2915" s="16"/>
      <c r="H2915" s="16"/>
      <c r="I2915" s="16"/>
      <c r="J2915" s="16"/>
      <c r="K2915" s="16"/>
      <c r="L2915" s="18"/>
    </row>
    <row r="2916" customFormat="false" ht="15" hidden="false" customHeight="false" outlineLevel="0" collapsed="false">
      <c r="A2916" s="18"/>
      <c r="B2916" s="16"/>
      <c r="C2916" s="16"/>
      <c r="D2916" s="51" t="str">
        <f aca="false">IF(C2916="","",IFERROR(IF(LEFT(C2916,1)="L",INDEX('Leads Pipeline'!$F$5:$F$1004,MATCH(C2916,'Leads Pipeline'!$A$5:$A$1004,0)),INDEX('Active Clients'!$D$5:$D$504,MATCH(C2916,'Active Clients'!$A$5:$A$504,0)))&amp;"","ID not found"))</f>
        <v/>
      </c>
      <c r="E2916" s="51" t="str">
        <f aca="false">IF(C2916="","",IFERROR(IF(LEFT(C2916,1)="L",INDEX('Leads Pipeline'!$D$5:$D$1004,MATCH(C2916,'Leads Pipeline'!$A$5:$A$1004,0)),INDEX('Active Clients'!$B$5:$B$504,MATCH(C2916,'Active Clients'!$A$5:$A$504,0)))&amp;"","ID not found"))</f>
        <v/>
      </c>
      <c r="F2916" s="51" t="str">
        <f aca="false">IF(C2916="","",IFERROR(IF(LEFT(C2916,1)="L",INDEX('Leads Pipeline'!$E$5:$E$1004,MATCH(C2916,'Leads Pipeline'!$A$5:$A$1004,0)),INDEX('Active Clients'!$C$5:$C$504,MATCH(C2916,'Active Clients'!$A$5:$A$504,0)))&amp;"","ID not found"))</f>
        <v/>
      </c>
      <c r="G2916" s="16"/>
      <c r="H2916" s="16"/>
      <c r="I2916" s="16"/>
      <c r="J2916" s="16"/>
      <c r="K2916" s="16"/>
      <c r="L2916" s="18"/>
    </row>
    <row r="2917" customFormat="false" ht="15" hidden="false" customHeight="false" outlineLevel="0" collapsed="false">
      <c r="A2917" s="18"/>
      <c r="B2917" s="16"/>
      <c r="C2917" s="16"/>
      <c r="D2917" s="51" t="str">
        <f aca="false">IF(C2917="","",IFERROR(IF(LEFT(C2917,1)="L",INDEX('Leads Pipeline'!$F$5:$F$1004,MATCH(C2917,'Leads Pipeline'!$A$5:$A$1004,0)),INDEX('Active Clients'!$D$5:$D$504,MATCH(C2917,'Active Clients'!$A$5:$A$504,0)))&amp;"","ID not found"))</f>
        <v/>
      </c>
      <c r="E2917" s="51" t="str">
        <f aca="false">IF(C2917="","",IFERROR(IF(LEFT(C2917,1)="L",INDEX('Leads Pipeline'!$D$5:$D$1004,MATCH(C2917,'Leads Pipeline'!$A$5:$A$1004,0)),INDEX('Active Clients'!$B$5:$B$504,MATCH(C2917,'Active Clients'!$A$5:$A$504,0)))&amp;"","ID not found"))</f>
        <v/>
      </c>
      <c r="F2917" s="51" t="str">
        <f aca="false">IF(C2917="","",IFERROR(IF(LEFT(C2917,1)="L",INDEX('Leads Pipeline'!$E$5:$E$1004,MATCH(C2917,'Leads Pipeline'!$A$5:$A$1004,0)),INDEX('Active Clients'!$C$5:$C$504,MATCH(C2917,'Active Clients'!$A$5:$A$504,0)))&amp;"","ID not found"))</f>
        <v/>
      </c>
      <c r="G2917" s="16"/>
      <c r="H2917" s="16"/>
      <c r="I2917" s="16"/>
      <c r="J2917" s="16"/>
      <c r="K2917" s="16"/>
      <c r="L2917" s="18"/>
    </row>
    <row r="2918" customFormat="false" ht="15" hidden="false" customHeight="false" outlineLevel="0" collapsed="false">
      <c r="A2918" s="18"/>
      <c r="B2918" s="16"/>
      <c r="C2918" s="16"/>
      <c r="D2918" s="51" t="str">
        <f aca="false">IF(C2918="","",IFERROR(IF(LEFT(C2918,1)="L",INDEX('Leads Pipeline'!$F$5:$F$1004,MATCH(C2918,'Leads Pipeline'!$A$5:$A$1004,0)),INDEX('Active Clients'!$D$5:$D$504,MATCH(C2918,'Active Clients'!$A$5:$A$504,0)))&amp;"","ID not found"))</f>
        <v/>
      </c>
      <c r="E2918" s="51" t="str">
        <f aca="false">IF(C2918="","",IFERROR(IF(LEFT(C2918,1)="L",INDEX('Leads Pipeline'!$D$5:$D$1004,MATCH(C2918,'Leads Pipeline'!$A$5:$A$1004,0)),INDEX('Active Clients'!$B$5:$B$504,MATCH(C2918,'Active Clients'!$A$5:$A$504,0)))&amp;"","ID not found"))</f>
        <v/>
      </c>
      <c r="F2918" s="51" t="str">
        <f aca="false">IF(C2918="","",IFERROR(IF(LEFT(C2918,1)="L",INDEX('Leads Pipeline'!$E$5:$E$1004,MATCH(C2918,'Leads Pipeline'!$A$5:$A$1004,0)),INDEX('Active Clients'!$C$5:$C$504,MATCH(C2918,'Active Clients'!$A$5:$A$504,0)))&amp;"","ID not found"))</f>
        <v/>
      </c>
      <c r="G2918" s="16"/>
      <c r="H2918" s="16"/>
      <c r="I2918" s="16"/>
      <c r="J2918" s="16"/>
      <c r="K2918" s="16"/>
      <c r="L2918" s="18"/>
    </row>
    <row r="2919" customFormat="false" ht="15" hidden="false" customHeight="false" outlineLevel="0" collapsed="false">
      <c r="A2919" s="18"/>
      <c r="B2919" s="16"/>
      <c r="C2919" s="16"/>
      <c r="D2919" s="51" t="str">
        <f aca="false">IF(C2919="","",IFERROR(IF(LEFT(C2919,1)="L",INDEX('Leads Pipeline'!$F$5:$F$1004,MATCH(C2919,'Leads Pipeline'!$A$5:$A$1004,0)),INDEX('Active Clients'!$D$5:$D$504,MATCH(C2919,'Active Clients'!$A$5:$A$504,0)))&amp;"","ID not found"))</f>
        <v/>
      </c>
      <c r="E2919" s="51" t="str">
        <f aca="false">IF(C2919="","",IFERROR(IF(LEFT(C2919,1)="L",INDEX('Leads Pipeline'!$D$5:$D$1004,MATCH(C2919,'Leads Pipeline'!$A$5:$A$1004,0)),INDEX('Active Clients'!$B$5:$B$504,MATCH(C2919,'Active Clients'!$A$5:$A$504,0)))&amp;"","ID not found"))</f>
        <v/>
      </c>
      <c r="F2919" s="51" t="str">
        <f aca="false">IF(C2919="","",IFERROR(IF(LEFT(C2919,1)="L",INDEX('Leads Pipeline'!$E$5:$E$1004,MATCH(C2919,'Leads Pipeline'!$A$5:$A$1004,0)),INDEX('Active Clients'!$C$5:$C$504,MATCH(C2919,'Active Clients'!$A$5:$A$504,0)))&amp;"","ID not found"))</f>
        <v/>
      </c>
      <c r="G2919" s="16"/>
      <c r="H2919" s="16"/>
      <c r="I2919" s="16"/>
      <c r="J2919" s="16"/>
      <c r="K2919" s="16"/>
      <c r="L2919" s="18"/>
    </row>
    <row r="2920" customFormat="false" ht="15" hidden="false" customHeight="false" outlineLevel="0" collapsed="false">
      <c r="A2920" s="18"/>
      <c r="B2920" s="16"/>
      <c r="C2920" s="16"/>
      <c r="D2920" s="51" t="str">
        <f aca="false">IF(C2920="","",IFERROR(IF(LEFT(C2920,1)="L",INDEX('Leads Pipeline'!$F$5:$F$1004,MATCH(C2920,'Leads Pipeline'!$A$5:$A$1004,0)),INDEX('Active Clients'!$D$5:$D$504,MATCH(C2920,'Active Clients'!$A$5:$A$504,0)))&amp;"","ID not found"))</f>
        <v/>
      </c>
      <c r="E2920" s="51" t="str">
        <f aca="false">IF(C2920="","",IFERROR(IF(LEFT(C2920,1)="L",INDEX('Leads Pipeline'!$D$5:$D$1004,MATCH(C2920,'Leads Pipeline'!$A$5:$A$1004,0)),INDEX('Active Clients'!$B$5:$B$504,MATCH(C2920,'Active Clients'!$A$5:$A$504,0)))&amp;"","ID not found"))</f>
        <v/>
      </c>
      <c r="F2920" s="51" t="str">
        <f aca="false">IF(C2920="","",IFERROR(IF(LEFT(C2920,1)="L",INDEX('Leads Pipeline'!$E$5:$E$1004,MATCH(C2920,'Leads Pipeline'!$A$5:$A$1004,0)),INDEX('Active Clients'!$C$5:$C$504,MATCH(C2920,'Active Clients'!$A$5:$A$504,0)))&amp;"","ID not found"))</f>
        <v/>
      </c>
      <c r="G2920" s="16"/>
      <c r="H2920" s="16"/>
      <c r="I2920" s="16"/>
      <c r="J2920" s="16"/>
      <c r="K2920" s="16"/>
      <c r="L2920" s="18"/>
    </row>
    <row r="2921" customFormat="false" ht="15" hidden="false" customHeight="false" outlineLevel="0" collapsed="false">
      <c r="A2921" s="18"/>
      <c r="B2921" s="16"/>
      <c r="C2921" s="16"/>
      <c r="D2921" s="51" t="str">
        <f aca="false">IF(C2921="","",IFERROR(IF(LEFT(C2921,1)="L",INDEX('Leads Pipeline'!$F$5:$F$1004,MATCH(C2921,'Leads Pipeline'!$A$5:$A$1004,0)),INDEX('Active Clients'!$D$5:$D$504,MATCH(C2921,'Active Clients'!$A$5:$A$504,0)))&amp;"","ID not found"))</f>
        <v/>
      </c>
      <c r="E2921" s="51" t="str">
        <f aca="false">IF(C2921="","",IFERROR(IF(LEFT(C2921,1)="L",INDEX('Leads Pipeline'!$D$5:$D$1004,MATCH(C2921,'Leads Pipeline'!$A$5:$A$1004,0)),INDEX('Active Clients'!$B$5:$B$504,MATCH(C2921,'Active Clients'!$A$5:$A$504,0)))&amp;"","ID not found"))</f>
        <v/>
      </c>
      <c r="F2921" s="51" t="str">
        <f aca="false">IF(C2921="","",IFERROR(IF(LEFT(C2921,1)="L",INDEX('Leads Pipeline'!$E$5:$E$1004,MATCH(C2921,'Leads Pipeline'!$A$5:$A$1004,0)),INDEX('Active Clients'!$C$5:$C$504,MATCH(C2921,'Active Clients'!$A$5:$A$504,0)))&amp;"","ID not found"))</f>
        <v/>
      </c>
      <c r="G2921" s="16"/>
      <c r="H2921" s="16"/>
      <c r="I2921" s="16"/>
      <c r="J2921" s="16"/>
      <c r="K2921" s="16"/>
      <c r="L2921" s="18"/>
    </row>
    <row r="2922" customFormat="false" ht="15" hidden="false" customHeight="false" outlineLevel="0" collapsed="false">
      <c r="A2922" s="18"/>
      <c r="B2922" s="16"/>
      <c r="C2922" s="16"/>
      <c r="D2922" s="51" t="str">
        <f aca="false">IF(C2922="","",IFERROR(IF(LEFT(C2922,1)="L",INDEX('Leads Pipeline'!$F$5:$F$1004,MATCH(C2922,'Leads Pipeline'!$A$5:$A$1004,0)),INDEX('Active Clients'!$D$5:$D$504,MATCH(C2922,'Active Clients'!$A$5:$A$504,0)))&amp;"","ID not found"))</f>
        <v/>
      </c>
      <c r="E2922" s="51" t="str">
        <f aca="false">IF(C2922="","",IFERROR(IF(LEFT(C2922,1)="L",INDEX('Leads Pipeline'!$D$5:$D$1004,MATCH(C2922,'Leads Pipeline'!$A$5:$A$1004,0)),INDEX('Active Clients'!$B$5:$B$504,MATCH(C2922,'Active Clients'!$A$5:$A$504,0)))&amp;"","ID not found"))</f>
        <v/>
      </c>
      <c r="F2922" s="51" t="str">
        <f aca="false">IF(C2922="","",IFERROR(IF(LEFT(C2922,1)="L",INDEX('Leads Pipeline'!$E$5:$E$1004,MATCH(C2922,'Leads Pipeline'!$A$5:$A$1004,0)),INDEX('Active Clients'!$C$5:$C$504,MATCH(C2922,'Active Clients'!$A$5:$A$504,0)))&amp;"","ID not found"))</f>
        <v/>
      </c>
      <c r="G2922" s="16"/>
      <c r="H2922" s="16"/>
      <c r="I2922" s="16"/>
      <c r="J2922" s="16"/>
      <c r="K2922" s="16"/>
      <c r="L2922" s="18"/>
    </row>
    <row r="2923" customFormat="false" ht="15" hidden="false" customHeight="false" outlineLevel="0" collapsed="false">
      <c r="A2923" s="18"/>
      <c r="B2923" s="16"/>
      <c r="C2923" s="16"/>
      <c r="D2923" s="51" t="str">
        <f aca="false">IF(C2923="","",IFERROR(IF(LEFT(C2923,1)="L",INDEX('Leads Pipeline'!$F$5:$F$1004,MATCH(C2923,'Leads Pipeline'!$A$5:$A$1004,0)),INDEX('Active Clients'!$D$5:$D$504,MATCH(C2923,'Active Clients'!$A$5:$A$504,0)))&amp;"","ID not found"))</f>
        <v/>
      </c>
      <c r="E2923" s="51" t="str">
        <f aca="false">IF(C2923="","",IFERROR(IF(LEFT(C2923,1)="L",INDEX('Leads Pipeline'!$D$5:$D$1004,MATCH(C2923,'Leads Pipeline'!$A$5:$A$1004,0)),INDEX('Active Clients'!$B$5:$B$504,MATCH(C2923,'Active Clients'!$A$5:$A$504,0)))&amp;"","ID not found"))</f>
        <v/>
      </c>
      <c r="F2923" s="51" t="str">
        <f aca="false">IF(C2923="","",IFERROR(IF(LEFT(C2923,1)="L",INDEX('Leads Pipeline'!$E$5:$E$1004,MATCH(C2923,'Leads Pipeline'!$A$5:$A$1004,0)),INDEX('Active Clients'!$C$5:$C$504,MATCH(C2923,'Active Clients'!$A$5:$A$504,0)))&amp;"","ID not found"))</f>
        <v/>
      </c>
      <c r="G2923" s="16"/>
      <c r="H2923" s="16"/>
      <c r="I2923" s="16"/>
      <c r="J2923" s="16"/>
      <c r="K2923" s="16"/>
      <c r="L2923" s="18"/>
    </row>
    <row r="2924" customFormat="false" ht="15" hidden="false" customHeight="false" outlineLevel="0" collapsed="false">
      <c r="A2924" s="18"/>
      <c r="B2924" s="16"/>
      <c r="C2924" s="16"/>
      <c r="D2924" s="51" t="str">
        <f aca="false">IF(C2924="","",IFERROR(IF(LEFT(C2924,1)="L",INDEX('Leads Pipeline'!$F$5:$F$1004,MATCH(C2924,'Leads Pipeline'!$A$5:$A$1004,0)),INDEX('Active Clients'!$D$5:$D$504,MATCH(C2924,'Active Clients'!$A$5:$A$504,0)))&amp;"","ID not found"))</f>
        <v/>
      </c>
      <c r="E2924" s="51" t="str">
        <f aca="false">IF(C2924="","",IFERROR(IF(LEFT(C2924,1)="L",INDEX('Leads Pipeline'!$D$5:$D$1004,MATCH(C2924,'Leads Pipeline'!$A$5:$A$1004,0)),INDEX('Active Clients'!$B$5:$B$504,MATCH(C2924,'Active Clients'!$A$5:$A$504,0)))&amp;"","ID not found"))</f>
        <v/>
      </c>
      <c r="F2924" s="51" t="str">
        <f aca="false">IF(C2924="","",IFERROR(IF(LEFT(C2924,1)="L",INDEX('Leads Pipeline'!$E$5:$E$1004,MATCH(C2924,'Leads Pipeline'!$A$5:$A$1004,0)),INDEX('Active Clients'!$C$5:$C$504,MATCH(C2924,'Active Clients'!$A$5:$A$504,0)))&amp;"","ID not found"))</f>
        <v/>
      </c>
      <c r="G2924" s="16"/>
      <c r="H2924" s="16"/>
      <c r="I2924" s="16"/>
      <c r="J2924" s="16"/>
      <c r="K2924" s="16"/>
      <c r="L2924" s="18"/>
    </row>
    <row r="2925" customFormat="false" ht="15" hidden="false" customHeight="false" outlineLevel="0" collapsed="false">
      <c r="A2925" s="18"/>
      <c r="B2925" s="16"/>
      <c r="C2925" s="16"/>
      <c r="D2925" s="51" t="str">
        <f aca="false">IF(C2925="","",IFERROR(IF(LEFT(C2925,1)="L",INDEX('Leads Pipeline'!$F$5:$F$1004,MATCH(C2925,'Leads Pipeline'!$A$5:$A$1004,0)),INDEX('Active Clients'!$D$5:$D$504,MATCH(C2925,'Active Clients'!$A$5:$A$504,0)))&amp;"","ID not found"))</f>
        <v/>
      </c>
      <c r="E2925" s="51" t="str">
        <f aca="false">IF(C2925="","",IFERROR(IF(LEFT(C2925,1)="L",INDEX('Leads Pipeline'!$D$5:$D$1004,MATCH(C2925,'Leads Pipeline'!$A$5:$A$1004,0)),INDEX('Active Clients'!$B$5:$B$504,MATCH(C2925,'Active Clients'!$A$5:$A$504,0)))&amp;"","ID not found"))</f>
        <v/>
      </c>
      <c r="F2925" s="51" t="str">
        <f aca="false">IF(C2925="","",IFERROR(IF(LEFT(C2925,1)="L",INDEX('Leads Pipeline'!$E$5:$E$1004,MATCH(C2925,'Leads Pipeline'!$A$5:$A$1004,0)),INDEX('Active Clients'!$C$5:$C$504,MATCH(C2925,'Active Clients'!$A$5:$A$504,0)))&amp;"","ID not found"))</f>
        <v/>
      </c>
      <c r="G2925" s="16"/>
      <c r="H2925" s="16"/>
      <c r="I2925" s="16"/>
      <c r="J2925" s="16"/>
      <c r="K2925" s="16"/>
      <c r="L2925" s="18"/>
    </row>
    <row r="2926" customFormat="false" ht="15" hidden="false" customHeight="false" outlineLevel="0" collapsed="false">
      <c r="A2926" s="18"/>
      <c r="B2926" s="16"/>
      <c r="C2926" s="16"/>
      <c r="D2926" s="51" t="str">
        <f aca="false">IF(C2926="","",IFERROR(IF(LEFT(C2926,1)="L",INDEX('Leads Pipeline'!$F$5:$F$1004,MATCH(C2926,'Leads Pipeline'!$A$5:$A$1004,0)),INDEX('Active Clients'!$D$5:$D$504,MATCH(C2926,'Active Clients'!$A$5:$A$504,0)))&amp;"","ID not found"))</f>
        <v/>
      </c>
      <c r="E2926" s="51" t="str">
        <f aca="false">IF(C2926="","",IFERROR(IF(LEFT(C2926,1)="L",INDEX('Leads Pipeline'!$D$5:$D$1004,MATCH(C2926,'Leads Pipeline'!$A$5:$A$1004,0)),INDEX('Active Clients'!$B$5:$B$504,MATCH(C2926,'Active Clients'!$A$5:$A$504,0)))&amp;"","ID not found"))</f>
        <v/>
      </c>
      <c r="F2926" s="51" t="str">
        <f aca="false">IF(C2926="","",IFERROR(IF(LEFT(C2926,1)="L",INDEX('Leads Pipeline'!$E$5:$E$1004,MATCH(C2926,'Leads Pipeline'!$A$5:$A$1004,0)),INDEX('Active Clients'!$C$5:$C$504,MATCH(C2926,'Active Clients'!$A$5:$A$504,0)))&amp;"","ID not found"))</f>
        <v/>
      </c>
      <c r="G2926" s="16"/>
      <c r="H2926" s="16"/>
      <c r="I2926" s="16"/>
      <c r="J2926" s="16"/>
      <c r="K2926" s="16"/>
      <c r="L2926" s="18"/>
    </row>
    <row r="2927" customFormat="false" ht="15" hidden="false" customHeight="false" outlineLevel="0" collapsed="false">
      <c r="A2927" s="18"/>
      <c r="B2927" s="16"/>
      <c r="C2927" s="16"/>
      <c r="D2927" s="51" t="str">
        <f aca="false">IF(C2927="","",IFERROR(IF(LEFT(C2927,1)="L",INDEX('Leads Pipeline'!$F$5:$F$1004,MATCH(C2927,'Leads Pipeline'!$A$5:$A$1004,0)),INDEX('Active Clients'!$D$5:$D$504,MATCH(C2927,'Active Clients'!$A$5:$A$504,0)))&amp;"","ID not found"))</f>
        <v/>
      </c>
      <c r="E2927" s="51" t="str">
        <f aca="false">IF(C2927="","",IFERROR(IF(LEFT(C2927,1)="L",INDEX('Leads Pipeline'!$D$5:$D$1004,MATCH(C2927,'Leads Pipeline'!$A$5:$A$1004,0)),INDEX('Active Clients'!$B$5:$B$504,MATCH(C2927,'Active Clients'!$A$5:$A$504,0)))&amp;"","ID not found"))</f>
        <v/>
      </c>
      <c r="F2927" s="51" t="str">
        <f aca="false">IF(C2927="","",IFERROR(IF(LEFT(C2927,1)="L",INDEX('Leads Pipeline'!$E$5:$E$1004,MATCH(C2927,'Leads Pipeline'!$A$5:$A$1004,0)),INDEX('Active Clients'!$C$5:$C$504,MATCH(C2927,'Active Clients'!$A$5:$A$504,0)))&amp;"","ID not found"))</f>
        <v/>
      </c>
      <c r="G2927" s="16"/>
      <c r="H2927" s="16"/>
      <c r="I2927" s="16"/>
      <c r="J2927" s="16"/>
      <c r="K2927" s="16"/>
      <c r="L2927" s="18"/>
    </row>
    <row r="2928" customFormat="false" ht="15" hidden="false" customHeight="false" outlineLevel="0" collapsed="false">
      <c r="A2928" s="18"/>
      <c r="B2928" s="16"/>
      <c r="C2928" s="16"/>
      <c r="D2928" s="51" t="str">
        <f aca="false">IF(C2928="","",IFERROR(IF(LEFT(C2928,1)="L",INDEX('Leads Pipeline'!$F$5:$F$1004,MATCH(C2928,'Leads Pipeline'!$A$5:$A$1004,0)),INDEX('Active Clients'!$D$5:$D$504,MATCH(C2928,'Active Clients'!$A$5:$A$504,0)))&amp;"","ID not found"))</f>
        <v/>
      </c>
      <c r="E2928" s="51" t="str">
        <f aca="false">IF(C2928="","",IFERROR(IF(LEFT(C2928,1)="L",INDEX('Leads Pipeline'!$D$5:$D$1004,MATCH(C2928,'Leads Pipeline'!$A$5:$A$1004,0)),INDEX('Active Clients'!$B$5:$B$504,MATCH(C2928,'Active Clients'!$A$5:$A$504,0)))&amp;"","ID not found"))</f>
        <v/>
      </c>
      <c r="F2928" s="51" t="str">
        <f aca="false">IF(C2928="","",IFERROR(IF(LEFT(C2928,1)="L",INDEX('Leads Pipeline'!$E$5:$E$1004,MATCH(C2928,'Leads Pipeline'!$A$5:$A$1004,0)),INDEX('Active Clients'!$C$5:$C$504,MATCH(C2928,'Active Clients'!$A$5:$A$504,0)))&amp;"","ID not found"))</f>
        <v/>
      </c>
      <c r="G2928" s="16"/>
      <c r="H2928" s="16"/>
      <c r="I2928" s="16"/>
      <c r="J2928" s="16"/>
      <c r="K2928" s="16"/>
      <c r="L2928" s="18"/>
    </row>
    <row r="2929" customFormat="false" ht="15" hidden="false" customHeight="false" outlineLevel="0" collapsed="false">
      <c r="A2929" s="18"/>
      <c r="B2929" s="16"/>
      <c r="C2929" s="16"/>
      <c r="D2929" s="51" t="str">
        <f aca="false">IF(C2929="","",IFERROR(IF(LEFT(C2929,1)="L",INDEX('Leads Pipeline'!$F$5:$F$1004,MATCH(C2929,'Leads Pipeline'!$A$5:$A$1004,0)),INDEX('Active Clients'!$D$5:$D$504,MATCH(C2929,'Active Clients'!$A$5:$A$504,0)))&amp;"","ID not found"))</f>
        <v/>
      </c>
      <c r="E2929" s="51" t="str">
        <f aca="false">IF(C2929="","",IFERROR(IF(LEFT(C2929,1)="L",INDEX('Leads Pipeline'!$D$5:$D$1004,MATCH(C2929,'Leads Pipeline'!$A$5:$A$1004,0)),INDEX('Active Clients'!$B$5:$B$504,MATCH(C2929,'Active Clients'!$A$5:$A$504,0)))&amp;"","ID not found"))</f>
        <v/>
      </c>
      <c r="F2929" s="51" t="str">
        <f aca="false">IF(C2929="","",IFERROR(IF(LEFT(C2929,1)="L",INDEX('Leads Pipeline'!$E$5:$E$1004,MATCH(C2929,'Leads Pipeline'!$A$5:$A$1004,0)),INDEX('Active Clients'!$C$5:$C$504,MATCH(C2929,'Active Clients'!$A$5:$A$504,0)))&amp;"","ID not found"))</f>
        <v/>
      </c>
      <c r="G2929" s="16"/>
      <c r="H2929" s="16"/>
      <c r="I2929" s="16"/>
      <c r="J2929" s="16"/>
      <c r="K2929" s="16"/>
      <c r="L2929" s="18"/>
    </row>
    <row r="2930" customFormat="false" ht="15" hidden="false" customHeight="false" outlineLevel="0" collapsed="false">
      <c r="A2930" s="18"/>
      <c r="B2930" s="16"/>
      <c r="C2930" s="16"/>
      <c r="D2930" s="51" t="str">
        <f aca="false">IF(C2930="","",IFERROR(IF(LEFT(C2930,1)="L",INDEX('Leads Pipeline'!$F$5:$F$1004,MATCH(C2930,'Leads Pipeline'!$A$5:$A$1004,0)),INDEX('Active Clients'!$D$5:$D$504,MATCH(C2930,'Active Clients'!$A$5:$A$504,0)))&amp;"","ID not found"))</f>
        <v/>
      </c>
      <c r="E2930" s="51" t="str">
        <f aca="false">IF(C2930="","",IFERROR(IF(LEFT(C2930,1)="L",INDEX('Leads Pipeline'!$D$5:$D$1004,MATCH(C2930,'Leads Pipeline'!$A$5:$A$1004,0)),INDEX('Active Clients'!$B$5:$B$504,MATCH(C2930,'Active Clients'!$A$5:$A$504,0)))&amp;"","ID not found"))</f>
        <v/>
      </c>
      <c r="F2930" s="51" t="str">
        <f aca="false">IF(C2930="","",IFERROR(IF(LEFT(C2930,1)="L",INDEX('Leads Pipeline'!$E$5:$E$1004,MATCH(C2930,'Leads Pipeline'!$A$5:$A$1004,0)),INDEX('Active Clients'!$C$5:$C$504,MATCH(C2930,'Active Clients'!$A$5:$A$504,0)))&amp;"","ID not found"))</f>
        <v/>
      </c>
      <c r="G2930" s="16"/>
      <c r="H2930" s="16"/>
      <c r="I2930" s="16"/>
      <c r="J2930" s="16"/>
      <c r="K2930" s="16"/>
      <c r="L2930" s="18"/>
    </row>
    <row r="2931" customFormat="false" ht="15" hidden="false" customHeight="false" outlineLevel="0" collapsed="false">
      <c r="A2931" s="18"/>
      <c r="B2931" s="16"/>
      <c r="C2931" s="16"/>
      <c r="D2931" s="51" t="str">
        <f aca="false">IF(C2931="","",IFERROR(IF(LEFT(C2931,1)="L",INDEX('Leads Pipeline'!$F$5:$F$1004,MATCH(C2931,'Leads Pipeline'!$A$5:$A$1004,0)),INDEX('Active Clients'!$D$5:$D$504,MATCH(C2931,'Active Clients'!$A$5:$A$504,0)))&amp;"","ID not found"))</f>
        <v/>
      </c>
      <c r="E2931" s="51" t="str">
        <f aca="false">IF(C2931="","",IFERROR(IF(LEFT(C2931,1)="L",INDEX('Leads Pipeline'!$D$5:$D$1004,MATCH(C2931,'Leads Pipeline'!$A$5:$A$1004,0)),INDEX('Active Clients'!$B$5:$B$504,MATCH(C2931,'Active Clients'!$A$5:$A$504,0)))&amp;"","ID not found"))</f>
        <v/>
      </c>
      <c r="F2931" s="51" t="str">
        <f aca="false">IF(C2931="","",IFERROR(IF(LEFT(C2931,1)="L",INDEX('Leads Pipeline'!$E$5:$E$1004,MATCH(C2931,'Leads Pipeline'!$A$5:$A$1004,0)),INDEX('Active Clients'!$C$5:$C$504,MATCH(C2931,'Active Clients'!$A$5:$A$504,0)))&amp;"","ID not found"))</f>
        <v/>
      </c>
      <c r="G2931" s="16"/>
      <c r="H2931" s="16"/>
      <c r="I2931" s="16"/>
      <c r="J2931" s="16"/>
      <c r="K2931" s="16"/>
      <c r="L2931" s="18"/>
    </row>
    <row r="2932" customFormat="false" ht="15" hidden="false" customHeight="false" outlineLevel="0" collapsed="false">
      <c r="A2932" s="18"/>
      <c r="B2932" s="16"/>
      <c r="C2932" s="16"/>
      <c r="D2932" s="51" t="str">
        <f aca="false">IF(C2932="","",IFERROR(IF(LEFT(C2932,1)="L",INDEX('Leads Pipeline'!$F$5:$F$1004,MATCH(C2932,'Leads Pipeline'!$A$5:$A$1004,0)),INDEX('Active Clients'!$D$5:$D$504,MATCH(C2932,'Active Clients'!$A$5:$A$504,0)))&amp;"","ID not found"))</f>
        <v/>
      </c>
      <c r="E2932" s="51" t="str">
        <f aca="false">IF(C2932="","",IFERROR(IF(LEFT(C2932,1)="L",INDEX('Leads Pipeline'!$D$5:$D$1004,MATCH(C2932,'Leads Pipeline'!$A$5:$A$1004,0)),INDEX('Active Clients'!$B$5:$B$504,MATCH(C2932,'Active Clients'!$A$5:$A$504,0)))&amp;"","ID not found"))</f>
        <v/>
      </c>
      <c r="F2932" s="51" t="str">
        <f aca="false">IF(C2932="","",IFERROR(IF(LEFT(C2932,1)="L",INDEX('Leads Pipeline'!$E$5:$E$1004,MATCH(C2932,'Leads Pipeline'!$A$5:$A$1004,0)),INDEX('Active Clients'!$C$5:$C$504,MATCH(C2932,'Active Clients'!$A$5:$A$504,0)))&amp;"","ID not found"))</f>
        <v/>
      </c>
      <c r="G2932" s="16"/>
      <c r="H2932" s="16"/>
      <c r="I2932" s="16"/>
      <c r="J2932" s="16"/>
      <c r="K2932" s="16"/>
      <c r="L2932" s="18"/>
    </row>
    <row r="2933" customFormat="false" ht="15" hidden="false" customHeight="false" outlineLevel="0" collapsed="false">
      <c r="A2933" s="18"/>
      <c r="B2933" s="16"/>
      <c r="C2933" s="16"/>
      <c r="D2933" s="51" t="str">
        <f aca="false">IF(C2933="","",IFERROR(IF(LEFT(C2933,1)="L",INDEX('Leads Pipeline'!$F$5:$F$1004,MATCH(C2933,'Leads Pipeline'!$A$5:$A$1004,0)),INDEX('Active Clients'!$D$5:$D$504,MATCH(C2933,'Active Clients'!$A$5:$A$504,0)))&amp;"","ID not found"))</f>
        <v/>
      </c>
      <c r="E2933" s="51" t="str">
        <f aca="false">IF(C2933="","",IFERROR(IF(LEFT(C2933,1)="L",INDEX('Leads Pipeline'!$D$5:$D$1004,MATCH(C2933,'Leads Pipeline'!$A$5:$A$1004,0)),INDEX('Active Clients'!$B$5:$B$504,MATCH(C2933,'Active Clients'!$A$5:$A$504,0)))&amp;"","ID not found"))</f>
        <v/>
      </c>
      <c r="F2933" s="51" t="str">
        <f aca="false">IF(C2933="","",IFERROR(IF(LEFT(C2933,1)="L",INDEX('Leads Pipeline'!$E$5:$E$1004,MATCH(C2933,'Leads Pipeline'!$A$5:$A$1004,0)),INDEX('Active Clients'!$C$5:$C$504,MATCH(C2933,'Active Clients'!$A$5:$A$504,0)))&amp;"","ID not found"))</f>
        <v/>
      </c>
      <c r="G2933" s="16"/>
      <c r="H2933" s="16"/>
      <c r="I2933" s="16"/>
      <c r="J2933" s="16"/>
      <c r="K2933" s="16"/>
      <c r="L2933" s="18"/>
    </row>
    <row r="2934" customFormat="false" ht="15" hidden="false" customHeight="false" outlineLevel="0" collapsed="false">
      <c r="A2934" s="18"/>
      <c r="B2934" s="16"/>
      <c r="C2934" s="16"/>
      <c r="D2934" s="51" t="str">
        <f aca="false">IF(C2934="","",IFERROR(IF(LEFT(C2934,1)="L",INDEX('Leads Pipeline'!$F$5:$F$1004,MATCH(C2934,'Leads Pipeline'!$A$5:$A$1004,0)),INDEX('Active Clients'!$D$5:$D$504,MATCH(C2934,'Active Clients'!$A$5:$A$504,0)))&amp;"","ID not found"))</f>
        <v/>
      </c>
      <c r="E2934" s="51" t="str">
        <f aca="false">IF(C2934="","",IFERROR(IF(LEFT(C2934,1)="L",INDEX('Leads Pipeline'!$D$5:$D$1004,MATCH(C2934,'Leads Pipeline'!$A$5:$A$1004,0)),INDEX('Active Clients'!$B$5:$B$504,MATCH(C2934,'Active Clients'!$A$5:$A$504,0)))&amp;"","ID not found"))</f>
        <v/>
      </c>
      <c r="F2934" s="51" t="str">
        <f aca="false">IF(C2934="","",IFERROR(IF(LEFT(C2934,1)="L",INDEX('Leads Pipeline'!$E$5:$E$1004,MATCH(C2934,'Leads Pipeline'!$A$5:$A$1004,0)),INDEX('Active Clients'!$C$5:$C$504,MATCH(C2934,'Active Clients'!$A$5:$A$504,0)))&amp;"","ID not found"))</f>
        <v/>
      </c>
      <c r="G2934" s="16"/>
      <c r="H2934" s="16"/>
      <c r="I2934" s="16"/>
      <c r="J2934" s="16"/>
      <c r="K2934" s="16"/>
      <c r="L2934" s="18"/>
    </row>
    <row r="2935" customFormat="false" ht="15" hidden="false" customHeight="false" outlineLevel="0" collapsed="false">
      <c r="A2935" s="18"/>
      <c r="B2935" s="16"/>
      <c r="C2935" s="16"/>
      <c r="D2935" s="51" t="str">
        <f aca="false">IF(C2935="","",IFERROR(IF(LEFT(C2935,1)="L",INDEX('Leads Pipeline'!$F$5:$F$1004,MATCH(C2935,'Leads Pipeline'!$A$5:$A$1004,0)),INDEX('Active Clients'!$D$5:$D$504,MATCH(C2935,'Active Clients'!$A$5:$A$504,0)))&amp;"","ID not found"))</f>
        <v/>
      </c>
      <c r="E2935" s="51" t="str">
        <f aca="false">IF(C2935="","",IFERROR(IF(LEFT(C2935,1)="L",INDEX('Leads Pipeline'!$D$5:$D$1004,MATCH(C2935,'Leads Pipeline'!$A$5:$A$1004,0)),INDEX('Active Clients'!$B$5:$B$504,MATCH(C2935,'Active Clients'!$A$5:$A$504,0)))&amp;"","ID not found"))</f>
        <v/>
      </c>
      <c r="F2935" s="51" t="str">
        <f aca="false">IF(C2935="","",IFERROR(IF(LEFT(C2935,1)="L",INDEX('Leads Pipeline'!$E$5:$E$1004,MATCH(C2935,'Leads Pipeline'!$A$5:$A$1004,0)),INDEX('Active Clients'!$C$5:$C$504,MATCH(C2935,'Active Clients'!$A$5:$A$504,0)))&amp;"","ID not found"))</f>
        <v/>
      </c>
      <c r="G2935" s="16"/>
      <c r="H2935" s="16"/>
      <c r="I2935" s="16"/>
      <c r="J2935" s="16"/>
      <c r="K2935" s="16"/>
      <c r="L2935" s="18"/>
    </row>
    <row r="2936" customFormat="false" ht="15" hidden="false" customHeight="false" outlineLevel="0" collapsed="false">
      <c r="A2936" s="18"/>
      <c r="B2936" s="16"/>
      <c r="C2936" s="16"/>
      <c r="D2936" s="51" t="str">
        <f aca="false">IF(C2936="","",IFERROR(IF(LEFT(C2936,1)="L",INDEX('Leads Pipeline'!$F$5:$F$1004,MATCH(C2936,'Leads Pipeline'!$A$5:$A$1004,0)),INDEX('Active Clients'!$D$5:$D$504,MATCH(C2936,'Active Clients'!$A$5:$A$504,0)))&amp;"","ID not found"))</f>
        <v/>
      </c>
      <c r="E2936" s="51" t="str">
        <f aca="false">IF(C2936="","",IFERROR(IF(LEFT(C2936,1)="L",INDEX('Leads Pipeline'!$D$5:$D$1004,MATCH(C2936,'Leads Pipeline'!$A$5:$A$1004,0)),INDEX('Active Clients'!$B$5:$B$504,MATCH(C2936,'Active Clients'!$A$5:$A$504,0)))&amp;"","ID not found"))</f>
        <v/>
      </c>
      <c r="F2936" s="51" t="str">
        <f aca="false">IF(C2936="","",IFERROR(IF(LEFT(C2936,1)="L",INDEX('Leads Pipeline'!$E$5:$E$1004,MATCH(C2936,'Leads Pipeline'!$A$5:$A$1004,0)),INDEX('Active Clients'!$C$5:$C$504,MATCH(C2936,'Active Clients'!$A$5:$A$504,0)))&amp;"","ID not found"))</f>
        <v/>
      </c>
      <c r="G2936" s="16"/>
      <c r="H2936" s="16"/>
      <c r="I2936" s="16"/>
      <c r="J2936" s="16"/>
      <c r="K2936" s="16"/>
      <c r="L2936" s="18"/>
    </row>
    <row r="2937" customFormat="false" ht="15" hidden="false" customHeight="false" outlineLevel="0" collapsed="false">
      <c r="A2937" s="18"/>
      <c r="B2937" s="16"/>
      <c r="C2937" s="16"/>
      <c r="D2937" s="51" t="str">
        <f aca="false">IF(C2937="","",IFERROR(IF(LEFT(C2937,1)="L",INDEX('Leads Pipeline'!$F$5:$F$1004,MATCH(C2937,'Leads Pipeline'!$A$5:$A$1004,0)),INDEX('Active Clients'!$D$5:$D$504,MATCH(C2937,'Active Clients'!$A$5:$A$504,0)))&amp;"","ID not found"))</f>
        <v/>
      </c>
      <c r="E2937" s="51" t="str">
        <f aca="false">IF(C2937="","",IFERROR(IF(LEFT(C2937,1)="L",INDEX('Leads Pipeline'!$D$5:$D$1004,MATCH(C2937,'Leads Pipeline'!$A$5:$A$1004,0)),INDEX('Active Clients'!$B$5:$B$504,MATCH(C2937,'Active Clients'!$A$5:$A$504,0)))&amp;"","ID not found"))</f>
        <v/>
      </c>
      <c r="F2937" s="51" t="str">
        <f aca="false">IF(C2937="","",IFERROR(IF(LEFT(C2937,1)="L",INDEX('Leads Pipeline'!$E$5:$E$1004,MATCH(C2937,'Leads Pipeline'!$A$5:$A$1004,0)),INDEX('Active Clients'!$C$5:$C$504,MATCH(C2937,'Active Clients'!$A$5:$A$504,0)))&amp;"","ID not found"))</f>
        <v/>
      </c>
      <c r="G2937" s="16"/>
      <c r="H2937" s="16"/>
      <c r="I2937" s="16"/>
      <c r="J2937" s="16"/>
      <c r="K2937" s="16"/>
      <c r="L2937" s="18"/>
    </row>
    <row r="2938" customFormat="false" ht="15" hidden="false" customHeight="false" outlineLevel="0" collapsed="false">
      <c r="A2938" s="18"/>
      <c r="B2938" s="16"/>
      <c r="C2938" s="16"/>
      <c r="D2938" s="51" t="str">
        <f aca="false">IF(C2938="","",IFERROR(IF(LEFT(C2938,1)="L",INDEX('Leads Pipeline'!$F$5:$F$1004,MATCH(C2938,'Leads Pipeline'!$A$5:$A$1004,0)),INDEX('Active Clients'!$D$5:$D$504,MATCH(C2938,'Active Clients'!$A$5:$A$504,0)))&amp;"","ID not found"))</f>
        <v/>
      </c>
      <c r="E2938" s="51" t="str">
        <f aca="false">IF(C2938="","",IFERROR(IF(LEFT(C2938,1)="L",INDEX('Leads Pipeline'!$D$5:$D$1004,MATCH(C2938,'Leads Pipeline'!$A$5:$A$1004,0)),INDEX('Active Clients'!$B$5:$B$504,MATCH(C2938,'Active Clients'!$A$5:$A$504,0)))&amp;"","ID not found"))</f>
        <v/>
      </c>
      <c r="F2938" s="51" t="str">
        <f aca="false">IF(C2938="","",IFERROR(IF(LEFT(C2938,1)="L",INDEX('Leads Pipeline'!$E$5:$E$1004,MATCH(C2938,'Leads Pipeline'!$A$5:$A$1004,0)),INDEX('Active Clients'!$C$5:$C$504,MATCH(C2938,'Active Clients'!$A$5:$A$504,0)))&amp;"","ID not found"))</f>
        <v/>
      </c>
      <c r="G2938" s="16"/>
      <c r="H2938" s="16"/>
      <c r="I2938" s="16"/>
      <c r="J2938" s="16"/>
      <c r="K2938" s="16"/>
      <c r="L2938" s="18"/>
    </row>
    <row r="2939" customFormat="false" ht="15" hidden="false" customHeight="false" outlineLevel="0" collapsed="false">
      <c r="A2939" s="18"/>
      <c r="B2939" s="16"/>
      <c r="C2939" s="16"/>
      <c r="D2939" s="51" t="str">
        <f aca="false">IF(C2939="","",IFERROR(IF(LEFT(C2939,1)="L",INDEX('Leads Pipeline'!$F$5:$F$1004,MATCH(C2939,'Leads Pipeline'!$A$5:$A$1004,0)),INDEX('Active Clients'!$D$5:$D$504,MATCH(C2939,'Active Clients'!$A$5:$A$504,0)))&amp;"","ID not found"))</f>
        <v/>
      </c>
      <c r="E2939" s="51" t="str">
        <f aca="false">IF(C2939="","",IFERROR(IF(LEFT(C2939,1)="L",INDEX('Leads Pipeline'!$D$5:$D$1004,MATCH(C2939,'Leads Pipeline'!$A$5:$A$1004,0)),INDEX('Active Clients'!$B$5:$B$504,MATCH(C2939,'Active Clients'!$A$5:$A$504,0)))&amp;"","ID not found"))</f>
        <v/>
      </c>
      <c r="F2939" s="51" t="str">
        <f aca="false">IF(C2939="","",IFERROR(IF(LEFT(C2939,1)="L",INDEX('Leads Pipeline'!$E$5:$E$1004,MATCH(C2939,'Leads Pipeline'!$A$5:$A$1004,0)),INDEX('Active Clients'!$C$5:$C$504,MATCH(C2939,'Active Clients'!$A$5:$A$504,0)))&amp;"","ID not found"))</f>
        <v/>
      </c>
      <c r="G2939" s="16"/>
      <c r="H2939" s="16"/>
      <c r="I2939" s="16"/>
      <c r="J2939" s="16"/>
      <c r="K2939" s="16"/>
      <c r="L2939" s="18"/>
    </row>
    <row r="2940" customFormat="false" ht="15" hidden="false" customHeight="false" outlineLevel="0" collapsed="false">
      <c r="A2940" s="18"/>
      <c r="B2940" s="16"/>
      <c r="C2940" s="16"/>
      <c r="D2940" s="51" t="str">
        <f aca="false">IF(C2940="","",IFERROR(IF(LEFT(C2940,1)="L",INDEX('Leads Pipeline'!$F$5:$F$1004,MATCH(C2940,'Leads Pipeline'!$A$5:$A$1004,0)),INDEX('Active Clients'!$D$5:$D$504,MATCH(C2940,'Active Clients'!$A$5:$A$504,0)))&amp;"","ID not found"))</f>
        <v/>
      </c>
      <c r="E2940" s="51" t="str">
        <f aca="false">IF(C2940="","",IFERROR(IF(LEFT(C2940,1)="L",INDEX('Leads Pipeline'!$D$5:$D$1004,MATCH(C2940,'Leads Pipeline'!$A$5:$A$1004,0)),INDEX('Active Clients'!$B$5:$B$504,MATCH(C2940,'Active Clients'!$A$5:$A$504,0)))&amp;"","ID not found"))</f>
        <v/>
      </c>
      <c r="F2940" s="51" t="str">
        <f aca="false">IF(C2940="","",IFERROR(IF(LEFT(C2940,1)="L",INDEX('Leads Pipeline'!$E$5:$E$1004,MATCH(C2940,'Leads Pipeline'!$A$5:$A$1004,0)),INDEX('Active Clients'!$C$5:$C$504,MATCH(C2940,'Active Clients'!$A$5:$A$504,0)))&amp;"","ID not found"))</f>
        <v/>
      </c>
      <c r="G2940" s="16"/>
      <c r="H2940" s="16"/>
      <c r="I2940" s="16"/>
      <c r="J2940" s="16"/>
      <c r="K2940" s="16"/>
      <c r="L2940" s="18"/>
    </row>
    <row r="2941" customFormat="false" ht="15" hidden="false" customHeight="false" outlineLevel="0" collapsed="false">
      <c r="A2941" s="18"/>
      <c r="B2941" s="16"/>
      <c r="C2941" s="16"/>
      <c r="D2941" s="51" t="str">
        <f aca="false">IF(C2941="","",IFERROR(IF(LEFT(C2941,1)="L",INDEX('Leads Pipeline'!$F$5:$F$1004,MATCH(C2941,'Leads Pipeline'!$A$5:$A$1004,0)),INDEX('Active Clients'!$D$5:$D$504,MATCH(C2941,'Active Clients'!$A$5:$A$504,0)))&amp;"","ID not found"))</f>
        <v/>
      </c>
      <c r="E2941" s="51" t="str">
        <f aca="false">IF(C2941="","",IFERROR(IF(LEFT(C2941,1)="L",INDEX('Leads Pipeline'!$D$5:$D$1004,MATCH(C2941,'Leads Pipeline'!$A$5:$A$1004,0)),INDEX('Active Clients'!$B$5:$B$504,MATCH(C2941,'Active Clients'!$A$5:$A$504,0)))&amp;"","ID not found"))</f>
        <v/>
      </c>
      <c r="F2941" s="51" t="str">
        <f aca="false">IF(C2941="","",IFERROR(IF(LEFT(C2941,1)="L",INDEX('Leads Pipeline'!$E$5:$E$1004,MATCH(C2941,'Leads Pipeline'!$A$5:$A$1004,0)),INDEX('Active Clients'!$C$5:$C$504,MATCH(C2941,'Active Clients'!$A$5:$A$504,0)))&amp;"","ID not found"))</f>
        <v/>
      </c>
      <c r="G2941" s="16"/>
      <c r="H2941" s="16"/>
      <c r="I2941" s="16"/>
      <c r="J2941" s="16"/>
      <c r="K2941" s="16"/>
      <c r="L2941" s="18"/>
    </row>
    <row r="2942" customFormat="false" ht="15" hidden="false" customHeight="false" outlineLevel="0" collapsed="false">
      <c r="A2942" s="18"/>
      <c r="B2942" s="16"/>
      <c r="C2942" s="16"/>
      <c r="D2942" s="51" t="str">
        <f aca="false">IF(C2942="","",IFERROR(IF(LEFT(C2942,1)="L",INDEX('Leads Pipeline'!$F$5:$F$1004,MATCH(C2942,'Leads Pipeline'!$A$5:$A$1004,0)),INDEX('Active Clients'!$D$5:$D$504,MATCH(C2942,'Active Clients'!$A$5:$A$504,0)))&amp;"","ID not found"))</f>
        <v/>
      </c>
      <c r="E2942" s="51" t="str">
        <f aca="false">IF(C2942="","",IFERROR(IF(LEFT(C2942,1)="L",INDEX('Leads Pipeline'!$D$5:$D$1004,MATCH(C2942,'Leads Pipeline'!$A$5:$A$1004,0)),INDEX('Active Clients'!$B$5:$B$504,MATCH(C2942,'Active Clients'!$A$5:$A$504,0)))&amp;"","ID not found"))</f>
        <v/>
      </c>
      <c r="F2942" s="51" t="str">
        <f aca="false">IF(C2942="","",IFERROR(IF(LEFT(C2942,1)="L",INDEX('Leads Pipeline'!$E$5:$E$1004,MATCH(C2942,'Leads Pipeline'!$A$5:$A$1004,0)),INDEX('Active Clients'!$C$5:$C$504,MATCH(C2942,'Active Clients'!$A$5:$A$504,0)))&amp;"","ID not found"))</f>
        <v/>
      </c>
      <c r="G2942" s="16"/>
      <c r="H2942" s="16"/>
      <c r="I2942" s="16"/>
      <c r="J2942" s="16"/>
      <c r="K2942" s="16"/>
      <c r="L2942" s="18"/>
    </row>
    <row r="2943" customFormat="false" ht="15" hidden="false" customHeight="false" outlineLevel="0" collapsed="false">
      <c r="A2943" s="18"/>
      <c r="B2943" s="16"/>
      <c r="C2943" s="16"/>
      <c r="D2943" s="51" t="str">
        <f aca="false">IF(C2943="","",IFERROR(IF(LEFT(C2943,1)="L",INDEX('Leads Pipeline'!$F$5:$F$1004,MATCH(C2943,'Leads Pipeline'!$A$5:$A$1004,0)),INDEX('Active Clients'!$D$5:$D$504,MATCH(C2943,'Active Clients'!$A$5:$A$504,0)))&amp;"","ID not found"))</f>
        <v/>
      </c>
      <c r="E2943" s="51" t="str">
        <f aca="false">IF(C2943="","",IFERROR(IF(LEFT(C2943,1)="L",INDEX('Leads Pipeline'!$D$5:$D$1004,MATCH(C2943,'Leads Pipeline'!$A$5:$A$1004,0)),INDEX('Active Clients'!$B$5:$B$504,MATCH(C2943,'Active Clients'!$A$5:$A$504,0)))&amp;"","ID not found"))</f>
        <v/>
      </c>
      <c r="F2943" s="51" t="str">
        <f aca="false">IF(C2943="","",IFERROR(IF(LEFT(C2943,1)="L",INDEX('Leads Pipeline'!$E$5:$E$1004,MATCH(C2943,'Leads Pipeline'!$A$5:$A$1004,0)),INDEX('Active Clients'!$C$5:$C$504,MATCH(C2943,'Active Clients'!$A$5:$A$504,0)))&amp;"","ID not found"))</f>
        <v/>
      </c>
      <c r="G2943" s="16"/>
      <c r="H2943" s="16"/>
      <c r="I2943" s="16"/>
      <c r="J2943" s="16"/>
      <c r="K2943" s="16"/>
      <c r="L2943" s="18"/>
    </row>
    <row r="2944" customFormat="false" ht="15" hidden="false" customHeight="false" outlineLevel="0" collapsed="false">
      <c r="A2944" s="18"/>
      <c r="B2944" s="16"/>
      <c r="C2944" s="16"/>
      <c r="D2944" s="51" t="str">
        <f aca="false">IF(C2944="","",IFERROR(IF(LEFT(C2944,1)="L",INDEX('Leads Pipeline'!$F$5:$F$1004,MATCH(C2944,'Leads Pipeline'!$A$5:$A$1004,0)),INDEX('Active Clients'!$D$5:$D$504,MATCH(C2944,'Active Clients'!$A$5:$A$504,0)))&amp;"","ID not found"))</f>
        <v/>
      </c>
      <c r="E2944" s="51" t="str">
        <f aca="false">IF(C2944="","",IFERROR(IF(LEFT(C2944,1)="L",INDEX('Leads Pipeline'!$D$5:$D$1004,MATCH(C2944,'Leads Pipeline'!$A$5:$A$1004,0)),INDEX('Active Clients'!$B$5:$B$504,MATCH(C2944,'Active Clients'!$A$5:$A$504,0)))&amp;"","ID not found"))</f>
        <v/>
      </c>
      <c r="F2944" s="51" t="str">
        <f aca="false">IF(C2944="","",IFERROR(IF(LEFT(C2944,1)="L",INDEX('Leads Pipeline'!$E$5:$E$1004,MATCH(C2944,'Leads Pipeline'!$A$5:$A$1004,0)),INDEX('Active Clients'!$C$5:$C$504,MATCH(C2944,'Active Clients'!$A$5:$A$504,0)))&amp;"","ID not found"))</f>
        <v/>
      </c>
      <c r="G2944" s="16"/>
      <c r="H2944" s="16"/>
      <c r="I2944" s="16"/>
      <c r="J2944" s="16"/>
      <c r="K2944" s="16"/>
      <c r="L2944" s="18"/>
    </row>
    <row r="2945" customFormat="false" ht="15" hidden="false" customHeight="false" outlineLevel="0" collapsed="false">
      <c r="A2945" s="18"/>
      <c r="B2945" s="16"/>
      <c r="C2945" s="16"/>
      <c r="D2945" s="51" t="str">
        <f aca="false">IF(C2945="","",IFERROR(IF(LEFT(C2945,1)="L",INDEX('Leads Pipeline'!$F$5:$F$1004,MATCH(C2945,'Leads Pipeline'!$A$5:$A$1004,0)),INDEX('Active Clients'!$D$5:$D$504,MATCH(C2945,'Active Clients'!$A$5:$A$504,0)))&amp;"","ID not found"))</f>
        <v/>
      </c>
      <c r="E2945" s="51" t="str">
        <f aca="false">IF(C2945="","",IFERROR(IF(LEFT(C2945,1)="L",INDEX('Leads Pipeline'!$D$5:$D$1004,MATCH(C2945,'Leads Pipeline'!$A$5:$A$1004,0)),INDEX('Active Clients'!$B$5:$B$504,MATCH(C2945,'Active Clients'!$A$5:$A$504,0)))&amp;"","ID not found"))</f>
        <v/>
      </c>
      <c r="F2945" s="51" t="str">
        <f aca="false">IF(C2945="","",IFERROR(IF(LEFT(C2945,1)="L",INDEX('Leads Pipeline'!$E$5:$E$1004,MATCH(C2945,'Leads Pipeline'!$A$5:$A$1004,0)),INDEX('Active Clients'!$C$5:$C$504,MATCH(C2945,'Active Clients'!$A$5:$A$504,0)))&amp;"","ID not found"))</f>
        <v/>
      </c>
      <c r="G2945" s="16"/>
      <c r="H2945" s="16"/>
      <c r="I2945" s="16"/>
      <c r="J2945" s="16"/>
      <c r="K2945" s="16"/>
      <c r="L2945" s="18"/>
    </row>
    <row r="2946" customFormat="false" ht="15" hidden="false" customHeight="false" outlineLevel="0" collapsed="false">
      <c r="A2946" s="18"/>
      <c r="B2946" s="16"/>
      <c r="C2946" s="16"/>
      <c r="D2946" s="51" t="str">
        <f aca="false">IF(C2946="","",IFERROR(IF(LEFT(C2946,1)="L",INDEX('Leads Pipeline'!$F$5:$F$1004,MATCH(C2946,'Leads Pipeline'!$A$5:$A$1004,0)),INDEX('Active Clients'!$D$5:$D$504,MATCH(C2946,'Active Clients'!$A$5:$A$504,0)))&amp;"","ID not found"))</f>
        <v/>
      </c>
      <c r="E2946" s="51" t="str">
        <f aca="false">IF(C2946="","",IFERROR(IF(LEFT(C2946,1)="L",INDEX('Leads Pipeline'!$D$5:$D$1004,MATCH(C2946,'Leads Pipeline'!$A$5:$A$1004,0)),INDEX('Active Clients'!$B$5:$B$504,MATCH(C2946,'Active Clients'!$A$5:$A$504,0)))&amp;"","ID not found"))</f>
        <v/>
      </c>
      <c r="F2946" s="51" t="str">
        <f aca="false">IF(C2946="","",IFERROR(IF(LEFT(C2946,1)="L",INDEX('Leads Pipeline'!$E$5:$E$1004,MATCH(C2946,'Leads Pipeline'!$A$5:$A$1004,0)),INDEX('Active Clients'!$C$5:$C$504,MATCH(C2946,'Active Clients'!$A$5:$A$504,0)))&amp;"","ID not found"))</f>
        <v/>
      </c>
      <c r="G2946" s="16"/>
      <c r="H2946" s="16"/>
      <c r="I2946" s="16"/>
      <c r="J2946" s="16"/>
      <c r="K2946" s="16"/>
      <c r="L2946" s="18"/>
    </row>
    <row r="2947" customFormat="false" ht="15" hidden="false" customHeight="false" outlineLevel="0" collapsed="false">
      <c r="A2947" s="18"/>
      <c r="B2947" s="16"/>
      <c r="C2947" s="16"/>
      <c r="D2947" s="51" t="str">
        <f aca="false">IF(C2947="","",IFERROR(IF(LEFT(C2947,1)="L",INDEX('Leads Pipeline'!$F$5:$F$1004,MATCH(C2947,'Leads Pipeline'!$A$5:$A$1004,0)),INDEX('Active Clients'!$D$5:$D$504,MATCH(C2947,'Active Clients'!$A$5:$A$504,0)))&amp;"","ID not found"))</f>
        <v/>
      </c>
      <c r="E2947" s="51" t="str">
        <f aca="false">IF(C2947="","",IFERROR(IF(LEFT(C2947,1)="L",INDEX('Leads Pipeline'!$D$5:$D$1004,MATCH(C2947,'Leads Pipeline'!$A$5:$A$1004,0)),INDEX('Active Clients'!$B$5:$B$504,MATCH(C2947,'Active Clients'!$A$5:$A$504,0)))&amp;"","ID not found"))</f>
        <v/>
      </c>
      <c r="F2947" s="51" t="str">
        <f aca="false">IF(C2947="","",IFERROR(IF(LEFT(C2947,1)="L",INDEX('Leads Pipeline'!$E$5:$E$1004,MATCH(C2947,'Leads Pipeline'!$A$5:$A$1004,0)),INDEX('Active Clients'!$C$5:$C$504,MATCH(C2947,'Active Clients'!$A$5:$A$504,0)))&amp;"","ID not found"))</f>
        <v/>
      </c>
      <c r="G2947" s="16"/>
      <c r="H2947" s="16"/>
      <c r="I2947" s="16"/>
      <c r="J2947" s="16"/>
      <c r="K2947" s="16"/>
      <c r="L2947" s="18"/>
    </row>
    <row r="2948" customFormat="false" ht="15" hidden="false" customHeight="false" outlineLevel="0" collapsed="false">
      <c r="A2948" s="18"/>
      <c r="B2948" s="16"/>
      <c r="C2948" s="16"/>
      <c r="D2948" s="51" t="str">
        <f aca="false">IF(C2948="","",IFERROR(IF(LEFT(C2948,1)="L",INDEX('Leads Pipeline'!$F$5:$F$1004,MATCH(C2948,'Leads Pipeline'!$A$5:$A$1004,0)),INDEX('Active Clients'!$D$5:$D$504,MATCH(C2948,'Active Clients'!$A$5:$A$504,0)))&amp;"","ID not found"))</f>
        <v/>
      </c>
      <c r="E2948" s="51" t="str">
        <f aca="false">IF(C2948="","",IFERROR(IF(LEFT(C2948,1)="L",INDEX('Leads Pipeline'!$D$5:$D$1004,MATCH(C2948,'Leads Pipeline'!$A$5:$A$1004,0)),INDEX('Active Clients'!$B$5:$B$504,MATCH(C2948,'Active Clients'!$A$5:$A$504,0)))&amp;"","ID not found"))</f>
        <v/>
      </c>
      <c r="F2948" s="51" t="str">
        <f aca="false">IF(C2948="","",IFERROR(IF(LEFT(C2948,1)="L",INDEX('Leads Pipeline'!$E$5:$E$1004,MATCH(C2948,'Leads Pipeline'!$A$5:$A$1004,0)),INDEX('Active Clients'!$C$5:$C$504,MATCH(C2948,'Active Clients'!$A$5:$A$504,0)))&amp;"","ID not found"))</f>
        <v/>
      </c>
      <c r="G2948" s="16"/>
      <c r="H2948" s="16"/>
      <c r="I2948" s="16"/>
      <c r="J2948" s="16"/>
      <c r="K2948" s="16"/>
      <c r="L2948" s="18"/>
    </row>
    <row r="2949" customFormat="false" ht="15" hidden="false" customHeight="false" outlineLevel="0" collapsed="false">
      <c r="A2949" s="18"/>
      <c r="B2949" s="16"/>
      <c r="C2949" s="16"/>
      <c r="D2949" s="51" t="str">
        <f aca="false">IF(C2949="","",IFERROR(IF(LEFT(C2949,1)="L",INDEX('Leads Pipeline'!$F$5:$F$1004,MATCH(C2949,'Leads Pipeline'!$A$5:$A$1004,0)),INDEX('Active Clients'!$D$5:$D$504,MATCH(C2949,'Active Clients'!$A$5:$A$504,0)))&amp;"","ID not found"))</f>
        <v/>
      </c>
      <c r="E2949" s="51" t="str">
        <f aca="false">IF(C2949="","",IFERROR(IF(LEFT(C2949,1)="L",INDEX('Leads Pipeline'!$D$5:$D$1004,MATCH(C2949,'Leads Pipeline'!$A$5:$A$1004,0)),INDEX('Active Clients'!$B$5:$B$504,MATCH(C2949,'Active Clients'!$A$5:$A$504,0)))&amp;"","ID not found"))</f>
        <v/>
      </c>
      <c r="F2949" s="51" t="str">
        <f aca="false">IF(C2949="","",IFERROR(IF(LEFT(C2949,1)="L",INDEX('Leads Pipeline'!$E$5:$E$1004,MATCH(C2949,'Leads Pipeline'!$A$5:$A$1004,0)),INDEX('Active Clients'!$C$5:$C$504,MATCH(C2949,'Active Clients'!$A$5:$A$504,0)))&amp;"","ID not found"))</f>
        <v/>
      </c>
      <c r="G2949" s="16"/>
      <c r="H2949" s="16"/>
      <c r="I2949" s="16"/>
      <c r="J2949" s="16"/>
      <c r="K2949" s="16"/>
      <c r="L2949" s="18"/>
    </row>
    <row r="2950" customFormat="false" ht="15" hidden="false" customHeight="false" outlineLevel="0" collapsed="false">
      <c r="A2950" s="18"/>
      <c r="B2950" s="16"/>
      <c r="C2950" s="16"/>
      <c r="D2950" s="51" t="str">
        <f aca="false">IF(C2950="","",IFERROR(IF(LEFT(C2950,1)="L",INDEX('Leads Pipeline'!$F$5:$F$1004,MATCH(C2950,'Leads Pipeline'!$A$5:$A$1004,0)),INDEX('Active Clients'!$D$5:$D$504,MATCH(C2950,'Active Clients'!$A$5:$A$504,0)))&amp;"","ID not found"))</f>
        <v/>
      </c>
      <c r="E2950" s="51" t="str">
        <f aca="false">IF(C2950="","",IFERROR(IF(LEFT(C2950,1)="L",INDEX('Leads Pipeline'!$D$5:$D$1004,MATCH(C2950,'Leads Pipeline'!$A$5:$A$1004,0)),INDEX('Active Clients'!$B$5:$B$504,MATCH(C2950,'Active Clients'!$A$5:$A$504,0)))&amp;"","ID not found"))</f>
        <v/>
      </c>
      <c r="F2950" s="51" t="str">
        <f aca="false">IF(C2950="","",IFERROR(IF(LEFT(C2950,1)="L",INDEX('Leads Pipeline'!$E$5:$E$1004,MATCH(C2950,'Leads Pipeline'!$A$5:$A$1004,0)),INDEX('Active Clients'!$C$5:$C$504,MATCH(C2950,'Active Clients'!$A$5:$A$504,0)))&amp;"","ID not found"))</f>
        <v/>
      </c>
      <c r="G2950" s="16"/>
      <c r="H2950" s="16"/>
      <c r="I2950" s="16"/>
      <c r="J2950" s="16"/>
      <c r="K2950" s="16"/>
      <c r="L2950" s="18"/>
    </row>
    <row r="2951" customFormat="false" ht="15" hidden="false" customHeight="false" outlineLevel="0" collapsed="false">
      <c r="A2951" s="18"/>
      <c r="B2951" s="16"/>
      <c r="C2951" s="16"/>
      <c r="D2951" s="51" t="str">
        <f aca="false">IF(C2951="","",IFERROR(IF(LEFT(C2951,1)="L",INDEX('Leads Pipeline'!$F$5:$F$1004,MATCH(C2951,'Leads Pipeline'!$A$5:$A$1004,0)),INDEX('Active Clients'!$D$5:$D$504,MATCH(C2951,'Active Clients'!$A$5:$A$504,0)))&amp;"","ID not found"))</f>
        <v/>
      </c>
      <c r="E2951" s="51" t="str">
        <f aca="false">IF(C2951="","",IFERROR(IF(LEFT(C2951,1)="L",INDEX('Leads Pipeline'!$D$5:$D$1004,MATCH(C2951,'Leads Pipeline'!$A$5:$A$1004,0)),INDEX('Active Clients'!$B$5:$B$504,MATCH(C2951,'Active Clients'!$A$5:$A$504,0)))&amp;"","ID not found"))</f>
        <v/>
      </c>
      <c r="F2951" s="51" t="str">
        <f aca="false">IF(C2951="","",IFERROR(IF(LEFT(C2951,1)="L",INDEX('Leads Pipeline'!$E$5:$E$1004,MATCH(C2951,'Leads Pipeline'!$A$5:$A$1004,0)),INDEX('Active Clients'!$C$5:$C$504,MATCH(C2951,'Active Clients'!$A$5:$A$504,0)))&amp;"","ID not found"))</f>
        <v/>
      </c>
      <c r="G2951" s="16"/>
      <c r="H2951" s="16"/>
      <c r="I2951" s="16"/>
      <c r="J2951" s="16"/>
      <c r="K2951" s="16"/>
      <c r="L2951" s="18"/>
    </row>
    <row r="2952" customFormat="false" ht="15" hidden="false" customHeight="false" outlineLevel="0" collapsed="false">
      <c r="A2952" s="18"/>
      <c r="B2952" s="16"/>
      <c r="C2952" s="16"/>
      <c r="D2952" s="51" t="str">
        <f aca="false">IF(C2952="","",IFERROR(IF(LEFT(C2952,1)="L",INDEX('Leads Pipeline'!$F$5:$F$1004,MATCH(C2952,'Leads Pipeline'!$A$5:$A$1004,0)),INDEX('Active Clients'!$D$5:$D$504,MATCH(C2952,'Active Clients'!$A$5:$A$504,0)))&amp;"","ID not found"))</f>
        <v/>
      </c>
      <c r="E2952" s="51" t="str">
        <f aca="false">IF(C2952="","",IFERROR(IF(LEFT(C2952,1)="L",INDEX('Leads Pipeline'!$D$5:$D$1004,MATCH(C2952,'Leads Pipeline'!$A$5:$A$1004,0)),INDEX('Active Clients'!$B$5:$B$504,MATCH(C2952,'Active Clients'!$A$5:$A$504,0)))&amp;"","ID not found"))</f>
        <v/>
      </c>
      <c r="F2952" s="51" t="str">
        <f aca="false">IF(C2952="","",IFERROR(IF(LEFT(C2952,1)="L",INDEX('Leads Pipeline'!$E$5:$E$1004,MATCH(C2952,'Leads Pipeline'!$A$5:$A$1004,0)),INDEX('Active Clients'!$C$5:$C$504,MATCH(C2952,'Active Clients'!$A$5:$A$504,0)))&amp;"","ID not found"))</f>
        <v/>
      </c>
      <c r="G2952" s="16"/>
      <c r="H2952" s="16"/>
      <c r="I2952" s="16"/>
      <c r="J2952" s="16"/>
      <c r="K2952" s="16"/>
      <c r="L2952" s="18"/>
    </row>
    <row r="2953" customFormat="false" ht="15" hidden="false" customHeight="false" outlineLevel="0" collapsed="false">
      <c r="A2953" s="18"/>
      <c r="B2953" s="16"/>
      <c r="C2953" s="16"/>
      <c r="D2953" s="51" t="str">
        <f aca="false">IF(C2953="","",IFERROR(IF(LEFT(C2953,1)="L",INDEX('Leads Pipeline'!$F$5:$F$1004,MATCH(C2953,'Leads Pipeline'!$A$5:$A$1004,0)),INDEX('Active Clients'!$D$5:$D$504,MATCH(C2953,'Active Clients'!$A$5:$A$504,0)))&amp;"","ID not found"))</f>
        <v/>
      </c>
      <c r="E2953" s="51" t="str">
        <f aca="false">IF(C2953="","",IFERROR(IF(LEFT(C2953,1)="L",INDEX('Leads Pipeline'!$D$5:$D$1004,MATCH(C2953,'Leads Pipeline'!$A$5:$A$1004,0)),INDEX('Active Clients'!$B$5:$B$504,MATCH(C2953,'Active Clients'!$A$5:$A$504,0)))&amp;"","ID not found"))</f>
        <v/>
      </c>
      <c r="F2953" s="51" t="str">
        <f aca="false">IF(C2953="","",IFERROR(IF(LEFT(C2953,1)="L",INDEX('Leads Pipeline'!$E$5:$E$1004,MATCH(C2953,'Leads Pipeline'!$A$5:$A$1004,0)),INDEX('Active Clients'!$C$5:$C$504,MATCH(C2953,'Active Clients'!$A$5:$A$504,0)))&amp;"","ID not found"))</f>
        <v/>
      </c>
      <c r="G2953" s="16"/>
      <c r="H2953" s="16"/>
      <c r="I2953" s="16"/>
      <c r="J2953" s="16"/>
      <c r="K2953" s="16"/>
      <c r="L2953" s="18"/>
    </row>
    <row r="2954" customFormat="false" ht="15" hidden="false" customHeight="false" outlineLevel="0" collapsed="false">
      <c r="A2954" s="18"/>
      <c r="B2954" s="16"/>
      <c r="C2954" s="16"/>
      <c r="D2954" s="51" t="str">
        <f aca="false">IF(C2954="","",IFERROR(IF(LEFT(C2954,1)="L",INDEX('Leads Pipeline'!$F$5:$F$1004,MATCH(C2954,'Leads Pipeline'!$A$5:$A$1004,0)),INDEX('Active Clients'!$D$5:$D$504,MATCH(C2954,'Active Clients'!$A$5:$A$504,0)))&amp;"","ID not found"))</f>
        <v/>
      </c>
      <c r="E2954" s="51" t="str">
        <f aca="false">IF(C2954="","",IFERROR(IF(LEFT(C2954,1)="L",INDEX('Leads Pipeline'!$D$5:$D$1004,MATCH(C2954,'Leads Pipeline'!$A$5:$A$1004,0)),INDEX('Active Clients'!$B$5:$B$504,MATCH(C2954,'Active Clients'!$A$5:$A$504,0)))&amp;"","ID not found"))</f>
        <v/>
      </c>
      <c r="F2954" s="51" t="str">
        <f aca="false">IF(C2954="","",IFERROR(IF(LEFT(C2954,1)="L",INDEX('Leads Pipeline'!$E$5:$E$1004,MATCH(C2954,'Leads Pipeline'!$A$5:$A$1004,0)),INDEX('Active Clients'!$C$5:$C$504,MATCH(C2954,'Active Clients'!$A$5:$A$504,0)))&amp;"","ID not found"))</f>
        <v/>
      </c>
      <c r="G2954" s="16"/>
      <c r="H2954" s="16"/>
      <c r="I2954" s="16"/>
      <c r="J2954" s="16"/>
      <c r="K2954" s="16"/>
      <c r="L2954" s="18"/>
    </row>
    <row r="2955" customFormat="false" ht="15" hidden="false" customHeight="false" outlineLevel="0" collapsed="false">
      <c r="A2955" s="18"/>
      <c r="B2955" s="16"/>
      <c r="C2955" s="16"/>
      <c r="D2955" s="51" t="str">
        <f aca="false">IF(C2955="","",IFERROR(IF(LEFT(C2955,1)="L",INDEX('Leads Pipeline'!$F$5:$F$1004,MATCH(C2955,'Leads Pipeline'!$A$5:$A$1004,0)),INDEX('Active Clients'!$D$5:$D$504,MATCH(C2955,'Active Clients'!$A$5:$A$504,0)))&amp;"","ID not found"))</f>
        <v/>
      </c>
      <c r="E2955" s="51" t="str">
        <f aca="false">IF(C2955="","",IFERROR(IF(LEFT(C2955,1)="L",INDEX('Leads Pipeline'!$D$5:$D$1004,MATCH(C2955,'Leads Pipeline'!$A$5:$A$1004,0)),INDEX('Active Clients'!$B$5:$B$504,MATCH(C2955,'Active Clients'!$A$5:$A$504,0)))&amp;"","ID not found"))</f>
        <v/>
      </c>
      <c r="F2955" s="51" t="str">
        <f aca="false">IF(C2955="","",IFERROR(IF(LEFT(C2955,1)="L",INDEX('Leads Pipeline'!$E$5:$E$1004,MATCH(C2955,'Leads Pipeline'!$A$5:$A$1004,0)),INDEX('Active Clients'!$C$5:$C$504,MATCH(C2955,'Active Clients'!$A$5:$A$504,0)))&amp;"","ID not found"))</f>
        <v/>
      </c>
      <c r="G2955" s="16"/>
      <c r="H2955" s="16"/>
      <c r="I2955" s="16"/>
      <c r="J2955" s="16"/>
      <c r="K2955" s="16"/>
      <c r="L2955" s="18"/>
    </row>
    <row r="2956" customFormat="false" ht="15" hidden="false" customHeight="false" outlineLevel="0" collapsed="false">
      <c r="A2956" s="18"/>
      <c r="B2956" s="16"/>
      <c r="C2956" s="16"/>
      <c r="D2956" s="51" t="str">
        <f aca="false">IF(C2956="","",IFERROR(IF(LEFT(C2956,1)="L",INDEX('Leads Pipeline'!$F$5:$F$1004,MATCH(C2956,'Leads Pipeline'!$A$5:$A$1004,0)),INDEX('Active Clients'!$D$5:$D$504,MATCH(C2956,'Active Clients'!$A$5:$A$504,0)))&amp;"","ID not found"))</f>
        <v/>
      </c>
      <c r="E2956" s="51" t="str">
        <f aca="false">IF(C2956="","",IFERROR(IF(LEFT(C2956,1)="L",INDEX('Leads Pipeline'!$D$5:$D$1004,MATCH(C2956,'Leads Pipeline'!$A$5:$A$1004,0)),INDEX('Active Clients'!$B$5:$B$504,MATCH(C2956,'Active Clients'!$A$5:$A$504,0)))&amp;"","ID not found"))</f>
        <v/>
      </c>
      <c r="F2956" s="51" t="str">
        <f aca="false">IF(C2956="","",IFERROR(IF(LEFT(C2956,1)="L",INDEX('Leads Pipeline'!$E$5:$E$1004,MATCH(C2956,'Leads Pipeline'!$A$5:$A$1004,0)),INDEX('Active Clients'!$C$5:$C$504,MATCH(C2956,'Active Clients'!$A$5:$A$504,0)))&amp;"","ID not found"))</f>
        <v/>
      </c>
      <c r="G2956" s="16"/>
      <c r="H2956" s="16"/>
      <c r="I2956" s="16"/>
      <c r="J2956" s="16"/>
      <c r="K2956" s="16"/>
      <c r="L2956" s="18"/>
    </row>
    <row r="2957" customFormat="false" ht="15" hidden="false" customHeight="false" outlineLevel="0" collapsed="false">
      <c r="A2957" s="18"/>
      <c r="B2957" s="16"/>
      <c r="C2957" s="16"/>
      <c r="D2957" s="51" t="str">
        <f aca="false">IF(C2957="","",IFERROR(IF(LEFT(C2957,1)="L",INDEX('Leads Pipeline'!$F$5:$F$1004,MATCH(C2957,'Leads Pipeline'!$A$5:$A$1004,0)),INDEX('Active Clients'!$D$5:$D$504,MATCH(C2957,'Active Clients'!$A$5:$A$504,0)))&amp;"","ID not found"))</f>
        <v/>
      </c>
      <c r="E2957" s="51" t="str">
        <f aca="false">IF(C2957="","",IFERROR(IF(LEFT(C2957,1)="L",INDEX('Leads Pipeline'!$D$5:$D$1004,MATCH(C2957,'Leads Pipeline'!$A$5:$A$1004,0)),INDEX('Active Clients'!$B$5:$B$504,MATCH(C2957,'Active Clients'!$A$5:$A$504,0)))&amp;"","ID not found"))</f>
        <v/>
      </c>
      <c r="F2957" s="51" t="str">
        <f aca="false">IF(C2957="","",IFERROR(IF(LEFT(C2957,1)="L",INDEX('Leads Pipeline'!$E$5:$E$1004,MATCH(C2957,'Leads Pipeline'!$A$5:$A$1004,0)),INDEX('Active Clients'!$C$5:$C$504,MATCH(C2957,'Active Clients'!$A$5:$A$504,0)))&amp;"","ID not found"))</f>
        <v/>
      </c>
      <c r="G2957" s="16"/>
      <c r="H2957" s="16"/>
      <c r="I2957" s="16"/>
      <c r="J2957" s="16"/>
      <c r="K2957" s="16"/>
      <c r="L2957" s="18"/>
    </row>
    <row r="2958" customFormat="false" ht="15" hidden="false" customHeight="false" outlineLevel="0" collapsed="false">
      <c r="A2958" s="18"/>
      <c r="B2958" s="16"/>
      <c r="C2958" s="16"/>
      <c r="D2958" s="51" t="str">
        <f aca="false">IF(C2958="","",IFERROR(IF(LEFT(C2958,1)="L",INDEX('Leads Pipeline'!$F$5:$F$1004,MATCH(C2958,'Leads Pipeline'!$A$5:$A$1004,0)),INDEX('Active Clients'!$D$5:$D$504,MATCH(C2958,'Active Clients'!$A$5:$A$504,0)))&amp;"","ID not found"))</f>
        <v/>
      </c>
      <c r="E2958" s="51" t="str">
        <f aca="false">IF(C2958="","",IFERROR(IF(LEFT(C2958,1)="L",INDEX('Leads Pipeline'!$D$5:$D$1004,MATCH(C2958,'Leads Pipeline'!$A$5:$A$1004,0)),INDEX('Active Clients'!$B$5:$B$504,MATCH(C2958,'Active Clients'!$A$5:$A$504,0)))&amp;"","ID not found"))</f>
        <v/>
      </c>
      <c r="F2958" s="51" t="str">
        <f aca="false">IF(C2958="","",IFERROR(IF(LEFT(C2958,1)="L",INDEX('Leads Pipeline'!$E$5:$E$1004,MATCH(C2958,'Leads Pipeline'!$A$5:$A$1004,0)),INDEX('Active Clients'!$C$5:$C$504,MATCH(C2958,'Active Clients'!$A$5:$A$504,0)))&amp;"","ID not found"))</f>
        <v/>
      </c>
      <c r="G2958" s="16"/>
      <c r="H2958" s="16"/>
      <c r="I2958" s="16"/>
      <c r="J2958" s="16"/>
      <c r="K2958" s="16"/>
      <c r="L2958" s="18"/>
    </row>
    <row r="2959" customFormat="false" ht="15" hidden="false" customHeight="false" outlineLevel="0" collapsed="false">
      <c r="A2959" s="18"/>
      <c r="B2959" s="16"/>
      <c r="C2959" s="16"/>
      <c r="D2959" s="51" t="str">
        <f aca="false">IF(C2959="","",IFERROR(IF(LEFT(C2959,1)="L",INDEX('Leads Pipeline'!$F$5:$F$1004,MATCH(C2959,'Leads Pipeline'!$A$5:$A$1004,0)),INDEX('Active Clients'!$D$5:$D$504,MATCH(C2959,'Active Clients'!$A$5:$A$504,0)))&amp;"","ID not found"))</f>
        <v/>
      </c>
      <c r="E2959" s="51" t="str">
        <f aca="false">IF(C2959="","",IFERROR(IF(LEFT(C2959,1)="L",INDEX('Leads Pipeline'!$D$5:$D$1004,MATCH(C2959,'Leads Pipeline'!$A$5:$A$1004,0)),INDEX('Active Clients'!$B$5:$B$504,MATCH(C2959,'Active Clients'!$A$5:$A$504,0)))&amp;"","ID not found"))</f>
        <v/>
      </c>
      <c r="F2959" s="51" t="str">
        <f aca="false">IF(C2959="","",IFERROR(IF(LEFT(C2959,1)="L",INDEX('Leads Pipeline'!$E$5:$E$1004,MATCH(C2959,'Leads Pipeline'!$A$5:$A$1004,0)),INDEX('Active Clients'!$C$5:$C$504,MATCH(C2959,'Active Clients'!$A$5:$A$504,0)))&amp;"","ID not found"))</f>
        <v/>
      </c>
      <c r="G2959" s="16"/>
      <c r="H2959" s="16"/>
      <c r="I2959" s="16"/>
      <c r="J2959" s="16"/>
      <c r="K2959" s="16"/>
      <c r="L2959" s="18"/>
    </row>
    <row r="2960" customFormat="false" ht="15" hidden="false" customHeight="false" outlineLevel="0" collapsed="false">
      <c r="A2960" s="18"/>
      <c r="B2960" s="16"/>
      <c r="C2960" s="16"/>
      <c r="D2960" s="51" t="str">
        <f aca="false">IF(C2960="","",IFERROR(IF(LEFT(C2960,1)="L",INDEX('Leads Pipeline'!$F$5:$F$1004,MATCH(C2960,'Leads Pipeline'!$A$5:$A$1004,0)),INDEX('Active Clients'!$D$5:$D$504,MATCH(C2960,'Active Clients'!$A$5:$A$504,0)))&amp;"","ID not found"))</f>
        <v/>
      </c>
      <c r="E2960" s="51" t="str">
        <f aca="false">IF(C2960="","",IFERROR(IF(LEFT(C2960,1)="L",INDEX('Leads Pipeline'!$D$5:$D$1004,MATCH(C2960,'Leads Pipeline'!$A$5:$A$1004,0)),INDEX('Active Clients'!$B$5:$B$504,MATCH(C2960,'Active Clients'!$A$5:$A$504,0)))&amp;"","ID not found"))</f>
        <v/>
      </c>
      <c r="F2960" s="51" t="str">
        <f aca="false">IF(C2960="","",IFERROR(IF(LEFT(C2960,1)="L",INDEX('Leads Pipeline'!$E$5:$E$1004,MATCH(C2960,'Leads Pipeline'!$A$5:$A$1004,0)),INDEX('Active Clients'!$C$5:$C$504,MATCH(C2960,'Active Clients'!$A$5:$A$504,0)))&amp;"","ID not found"))</f>
        <v/>
      </c>
      <c r="G2960" s="16"/>
      <c r="H2960" s="16"/>
      <c r="I2960" s="16"/>
      <c r="J2960" s="16"/>
      <c r="K2960" s="16"/>
      <c r="L2960" s="18"/>
    </row>
    <row r="2961" customFormat="false" ht="15" hidden="false" customHeight="false" outlineLevel="0" collapsed="false">
      <c r="A2961" s="18"/>
      <c r="B2961" s="16"/>
      <c r="C2961" s="16"/>
      <c r="D2961" s="51" t="str">
        <f aca="false">IF(C2961="","",IFERROR(IF(LEFT(C2961,1)="L",INDEX('Leads Pipeline'!$F$5:$F$1004,MATCH(C2961,'Leads Pipeline'!$A$5:$A$1004,0)),INDEX('Active Clients'!$D$5:$D$504,MATCH(C2961,'Active Clients'!$A$5:$A$504,0)))&amp;"","ID not found"))</f>
        <v/>
      </c>
      <c r="E2961" s="51" t="str">
        <f aca="false">IF(C2961="","",IFERROR(IF(LEFT(C2961,1)="L",INDEX('Leads Pipeline'!$D$5:$D$1004,MATCH(C2961,'Leads Pipeline'!$A$5:$A$1004,0)),INDEX('Active Clients'!$B$5:$B$504,MATCH(C2961,'Active Clients'!$A$5:$A$504,0)))&amp;"","ID not found"))</f>
        <v/>
      </c>
      <c r="F2961" s="51" t="str">
        <f aca="false">IF(C2961="","",IFERROR(IF(LEFT(C2961,1)="L",INDEX('Leads Pipeline'!$E$5:$E$1004,MATCH(C2961,'Leads Pipeline'!$A$5:$A$1004,0)),INDEX('Active Clients'!$C$5:$C$504,MATCH(C2961,'Active Clients'!$A$5:$A$504,0)))&amp;"","ID not found"))</f>
        <v/>
      </c>
      <c r="G2961" s="16"/>
      <c r="H2961" s="16"/>
      <c r="I2961" s="16"/>
      <c r="J2961" s="16"/>
      <c r="K2961" s="16"/>
      <c r="L2961" s="18"/>
    </row>
    <row r="2962" customFormat="false" ht="15" hidden="false" customHeight="false" outlineLevel="0" collapsed="false">
      <c r="A2962" s="18"/>
      <c r="B2962" s="16"/>
      <c r="C2962" s="16"/>
      <c r="D2962" s="51" t="str">
        <f aca="false">IF(C2962="","",IFERROR(IF(LEFT(C2962,1)="L",INDEX('Leads Pipeline'!$F$5:$F$1004,MATCH(C2962,'Leads Pipeline'!$A$5:$A$1004,0)),INDEX('Active Clients'!$D$5:$D$504,MATCH(C2962,'Active Clients'!$A$5:$A$504,0)))&amp;"","ID not found"))</f>
        <v/>
      </c>
      <c r="E2962" s="51" t="str">
        <f aca="false">IF(C2962="","",IFERROR(IF(LEFT(C2962,1)="L",INDEX('Leads Pipeline'!$D$5:$D$1004,MATCH(C2962,'Leads Pipeline'!$A$5:$A$1004,0)),INDEX('Active Clients'!$B$5:$B$504,MATCH(C2962,'Active Clients'!$A$5:$A$504,0)))&amp;"","ID not found"))</f>
        <v/>
      </c>
      <c r="F2962" s="51" t="str">
        <f aca="false">IF(C2962="","",IFERROR(IF(LEFT(C2962,1)="L",INDEX('Leads Pipeline'!$E$5:$E$1004,MATCH(C2962,'Leads Pipeline'!$A$5:$A$1004,0)),INDEX('Active Clients'!$C$5:$C$504,MATCH(C2962,'Active Clients'!$A$5:$A$504,0)))&amp;"","ID not found"))</f>
        <v/>
      </c>
      <c r="G2962" s="16"/>
      <c r="H2962" s="16"/>
      <c r="I2962" s="16"/>
      <c r="J2962" s="16"/>
      <c r="K2962" s="16"/>
      <c r="L2962" s="18"/>
    </row>
    <row r="2963" customFormat="false" ht="15" hidden="false" customHeight="false" outlineLevel="0" collapsed="false">
      <c r="A2963" s="18"/>
      <c r="B2963" s="16"/>
      <c r="C2963" s="16"/>
      <c r="D2963" s="51" t="str">
        <f aca="false">IF(C2963="","",IFERROR(IF(LEFT(C2963,1)="L",INDEX('Leads Pipeline'!$F$5:$F$1004,MATCH(C2963,'Leads Pipeline'!$A$5:$A$1004,0)),INDEX('Active Clients'!$D$5:$D$504,MATCH(C2963,'Active Clients'!$A$5:$A$504,0)))&amp;"","ID not found"))</f>
        <v/>
      </c>
      <c r="E2963" s="51" t="str">
        <f aca="false">IF(C2963="","",IFERROR(IF(LEFT(C2963,1)="L",INDEX('Leads Pipeline'!$D$5:$D$1004,MATCH(C2963,'Leads Pipeline'!$A$5:$A$1004,0)),INDEX('Active Clients'!$B$5:$B$504,MATCH(C2963,'Active Clients'!$A$5:$A$504,0)))&amp;"","ID not found"))</f>
        <v/>
      </c>
      <c r="F2963" s="51" t="str">
        <f aca="false">IF(C2963="","",IFERROR(IF(LEFT(C2963,1)="L",INDEX('Leads Pipeline'!$E$5:$E$1004,MATCH(C2963,'Leads Pipeline'!$A$5:$A$1004,0)),INDEX('Active Clients'!$C$5:$C$504,MATCH(C2963,'Active Clients'!$A$5:$A$504,0)))&amp;"","ID not found"))</f>
        <v/>
      </c>
      <c r="G2963" s="16"/>
      <c r="H2963" s="16"/>
      <c r="I2963" s="16"/>
      <c r="J2963" s="16"/>
      <c r="K2963" s="16"/>
      <c r="L2963" s="18"/>
    </row>
    <row r="2964" customFormat="false" ht="15" hidden="false" customHeight="false" outlineLevel="0" collapsed="false">
      <c r="A2964" s="18"/>
      <c r="B2964" s="16"/>
      <c r="C2964" s="16"/>
      <c r="D2964" s="51" t="str">
        <f aca="false">IF(C2964="","",IFERROR(IF(LEFT(C2964,1)="L",INDEX('Leads Pipeline'!$F$5:$F$1004,MATCH(C2964,'Leads Pipeline'!$A$5:$A$1004,0)),INDEX('Active Clients'!$D$5:$D$504,MATCH(C2964,'Active Clients'!$A$5:$A$504,0)))&amp;"","ID not found"))</f>
        <v/>
      </c>
      <c r="E2964" s="51" t="str">
        <f aca="false">IF(C2964="","",IFERROR(IF(LEFT(C2964,1)="L",INDEX('Leads Pipeline'!$D$5:$D$1004,MATCH(C2964,'Leads Pipeline'!$A$5:$A$1004,0)),INDEX('Active Clients'!$B$5:$B$504,MATCH(C2964,'Active Clients'!$A$5:$A$504,0)))&amp;"","ID not found"))</f>
        <v/>
      </c>
      <c r="F2964" s="51" t="str">
        <f aca="false">IF(C2964="","",IFERROR(IF(LEFT(C2964,1)="L",INDEX('Leads Pipeline'!$E$5:$E$1004,MATCH(C2964,'Leads Pipeline'!$A$5:$A$1004,0)),INDEX('Active Clients'!$C$5:$C$504,MATCH(C2964,'Active Clients'!$A$5:$A$504,0)))&amp;"","ID not found"))</f>
        <v/>
      </c>
      <c r="G2964" s="16"/>
      <c r="H2964" s="16"/>
      <c r="I2964" s="16"/>
      <c r="J2964" s="16"/>
      <c r="K2964" s="16"/>
      <c r="L2964" s="18"/>
    </row>
    <row r="2965" customFormat="false" ht="15" hidden="false" customHeight="false" outlineLevel="0" collapsed="false">
      <c r="A2965" s="18"/>
      <c r="B2965" s="16"/>
      <c r="C2965" s="16"/>
      <c r="D2965" s="51" t="str">
        <f aca="false">IF(C2965="","",IFERROR(IF(LEFT(C2965,1)="L",INDEX('Leads Pipeline'!$F$5:$F$1004,MATCH(C2965,'Leads Pipeline'!$A$5:$A$1004,0)),INDEX('Active Clients'!$D$5:$D$504,MATCH(C2965,'Active Clients'!$A$5:$A$504,0)))&amp;"","ID not found"))</f>
        <v/>
      </c>
      <c r="E2965" s="51" t="str">
        <f aca="false">IF(C2965="","",IFERROR(IF(LEFT(C2965,1)="L",INDEX('Leads Pipeline'!$D$5:$D$1004,MATCH(C2965,'Leads Pipeline'!$A$5:$A$1004,0)),INDEX('Active Clients'!$B$5:$B$504,MATCH(C2965,'Active Clients'!$A$5:$A$504,0)))&amp;"","ID not found"))</f>
        <v/>
      </c>
      <c r="F2965" s="51" t="str">
        <f aca="false">IF(C2965="","",IFERROR(IF(LEFT(C2965,1)="L",INDEX('Leads Pipeline'!$E$5:$E$1004,MATCH(C2965,'Leads Pipeline'!$A$5:$A$1004,0)),INDEX('Active Clients'!$C$5:$C$504,MATCH(C2965,'Active Clients'!$A$5:$A$504,0)))&amp;"","ID not found"))</f>
        <v/>
      </c>
      <c r="G2965" s="16"/>
      <c r="H2965" s="16"/>
      <c r="I2965" s="16"/>
      <c r="J2965" s="16"/>
      <c r="K2965" s="16"/>
      <c r="L2965" s="18"/>
    </row>
    <row r="2966" customFormat="false" ht="15" hidden="false" customHeight="false" outlineLevel="0" collapsed="false">
      <c r="A2966" s="18"/>
      <c r="B2966" s="16"/>
      <c r="C2966" s="16"/>
      <c r="D2966" s="51" t="str">
        <f aca="false">IF(C2966="","",IFERROR(IF(LEFT(C2966,1)="L",INDEX('Leads Pipeline'!$F$5:$F$1004,MATCH(C2966,'Leads Pipeline'!$A$5:$A$1004,0)),INDEX('Active Clients'!$D$5:$D$504,MATCH(C2966,'Active Clients'!$A$5:$A$504,0)))&amp;"","ID not found"))</f>
        <v/>
      </c>
      <c r="E2966" s="51" t="str">
        <f aca="false">IF(C2966="","",IFERROR(IF(LEFT(C2966,1)="L",INDEX('Leads Pipeline'!$D$5:$D$1004,MATCH(C2966,'Leads Pipeline'!$A$5:$A$1004,0)),INDEX('Active Clients'!$B$5:$B$504,MATCH(C2966,'Active Clients'!$A$5:$A$504,0)))&amp;"","ID not found"))</f>
        <v/>
      </c>
      <c r="F2966" s="51" t="str">
        <f aca="false">IF(C2966="","",IFERROR(IF(LEFT(C2966,1)="L",INDEX('Leads Pipeline'!$E$5:$E$1004,MATCH(C2966,'Leads Pipeline'!$A$5:$A$1004,0)),INDEX('Active Clients'!$C$5:$C$504,MATCH(C2966,'Active Clients'!$A$5:$A$504,0)))&amp;"","ID not found"))</f>
        <v/>
      </c>
      <c r="G2966" s="16"/>
      <c r="H2966" s="16"/>
      <c r="I2966" s="16"/>
      <c r="J2966" s="16"/>
      <c r="K2966" s="16"/>
      <c r="L2966" s="18"/>
    </row>
    <row r="2967" customFormat="false" ht="15" hidden="false" customHeight="false" outlineLevel="0" collapsed="false">
      <c r="A2967" s="18"/>
      <c r="B2967" s="16"/>
      <c r="C2967" s="16"/>
      <c r="D2967" s="51" t="str">
        <f aca="false">IF(C2967="","",IFERROR(IF(LEFT(C2967,1)="L",INDEX('Leads Pipeline'!$F$5:$F$1004,MATCH(C2967,'Leads Pipeline'!$A$5:$A$1004,0)),INDEX('Active Clients'!$D$5:$D$504,MATCH(C2967,'Active Clients'!$A$5:$A$504,0)))&amp;"","ID not found"))</f>
        <v/>
      </c>
      <c r="E2967" s="51" t="str">
        <f aca="false">IF(C2967="","",IFERROR(IF(LEFT(C2967,1)="L",INDEX('Leads Pipeline'!$D$5:$D$1004,MATCH(C2967,'Leads Pipeline'!$A$5:$A$1004,0)),INDEX('Active Clients'!$B$5:$B$504,MATCH(C2967,'Active Clients'!$A$5:$A$504,0)))&amp;"","ID not found"))</f>
        <v/>
      </c>
      <c r="F2967" s="51" t="str">
        <f aca="false">IF(C2967="","",IFERROR(IF(LEFT(C2967,1)="L",INDEX('Leads Pipeline'!$E$5:$E$1004,MATCH(C2967,'Leads Pipeline'!$A$5:$A$1004,0)),INDEX('Active Clients'!$C$5:$C$504,MATCH(C2967,'Active Clients'!$A$5:$A$504,0)))&amp;"","ID not found"))</f>
        <v/>
      </c>
      <c r="G2967" s="16"/>
      <c r="H2967" s="16"/>
      <c r="I2967" s="16"/>
      <c r="J2967" s="16"/>
      <c r="K2967" s="16"/>
      <c r="L2967" s="18"/>
    </row>
    <row r="2968" customFormat="false" ht="15" hidden="false" customHeight="false" outlineLevel="0" collapsed="false">
      <c r="A2968" s="18"/>
      <c r="B2968" s="16"/>
      <c r="C2968" s="16"/>
      <c r="D2968" s="51" t="str">
        <f aca="false">IF(C2968="","",IFERROR(IF(LEFT(C2968,1)="L",INDEX('Leads Pipeline'!$F$5:$F$1004,MATCH(C2968,'Leads Pipeline'!$A$5:$A$1004,0)),INDEX('Active Clients'!$D$5:$D$504,MATCH(C2968,'Active Clients'!$A$5:$A$504,0)))&amp;"","ID not found"))</f>
        <v/>
      </c>
      <c r="E2968" s="51" t="str">
        <f aca="false">IF(C2968="","",IFERROR(IF(LEFT(C2968,1)="L",INDEX('Leads Pipeline'!$D$5:$D$1004,MATCH(C2968,'Leads Pipeline'!$A$5:$A$1004,0)),INDEX('Active Clients'!$B$5:$B$504,MATCH(C2968,'Active Clients'!$A$5:$A$504,0)))&amp;"","ID not found"))</f>
        <v/>
      </c>
      <c r="F2968" s="51" t="str">
        <f aca="false">IF(C2968="","",IFERROR(IF(LEFT(C2968,1)="L",INDEX('Leads Pipeline'!$E$5:$E$1004,MATCH(C2968,'Leads Pipeline'!$A$5:$A$1004,0)),INDEX('Active Clients'!$C$5:$C$504,MATCH(C2968,'Active Clients'!$A$5:$A$504,0)))&amp;"","ID not found"))</f>
        <v/>
      </c>
      <c r="G2968" s="16"/>
      <c r="H2968" s="16"/>
      <c r="I2968" s="16"/>
      <c r="J2968" s="16"/>
      <c r="K2968" s="16"/>
      <c r="L2968" s="18"/>
    </row>
    <row r="2969" customFormat="false" ht="15" hidden="false" customHeight="false" outlineLevel="0" collapsed="false">
      <c r="A2969" s="18"/>
      <c r="B2969" s="16"/>
      <c r="C2969" s="16"/>
      <c r="D2969" s="51" t="str">
        <f aca="false">IF(C2969="","",IFERROR(IF(LEFT(C2969,1)="L",INDEX('Leads Pipeline'!$F$5:$F$1004,MATCH(C2969,'Leads Pipeline'!$A$5:$A$1004,0)),INDEX('Active Clients'!$D$5:$D$504,MATCH(C2969,'Active Clients'!$A$5:$A$504,0)))&amp;"","ID not found"))</f>
        <v/>
      </c>
      <c r="E2969" s="51" t="str">
        <f aca="false">IF(C2969="","",IFERROR(IF(LEFT(C2969,1)="L",INDEX('Leads Pipeline'!$D$5:$D$1004,MATCH(C2969,'Leads Pipeline'!$A$5:$A$1004,0)),INDEX('Active Clients'!$B$5:$B$504,MATCH(C2969,'Active Clients'!$A$5:$A$504,0)))&amp;"","ID not found"))</f>
        <v/>
      </c>
      <c r="F2969" s="51" t="str">
        <f aca="false">IF(C2969="","",IFERROR(IF(LEFT(C2969,1)="L",INDEX('Leads Pipeline'!$E$5:$E$1004,MATCH(C2969,'Leads Pipeline'!$A$5:$A$1004,0)),INDEX('Active Clients'!$C$5:$C$504,MATCH(C2969,'Active Clients'!$A$5:$A$504,0)))&amp;"","ID not found"))</f>
        <v/>
      </c>
      <c r="G2969" s="16"/>
      <c r="H2969" s="16"/>
      <c r="I2969" s="16"/>
      <c r="J2969" s="16"/>
      <c r="K2969" s="16"/>
      <c r="L2969" s="18"/>
    </row>
    <row r="2970" customFormat="false" ht="15" hidden="false" customHeight="false" outlineLevel="0" collapsed="false">
      <c r="A2970" s="18"/>
      <c r="B2970" s="16"/>
      <c r="C2970" s="16"/>
      <c r="D2970" s="51" t="str">
        <f aca="false">IF(C2970="","",IFERROR(IF(LEFT(C2970,1)="L",INDEX('Leads Pipeline'!$F$5:$F$1004,MATCH(C2970,'Leads Pipeline'!$A$5:$A$1004,0)),INDEX('Active Clients'!$D$5:$D$504,MATCH(C2970,'Active Clients'!$A$5:$A$504,0)))&amp;"","ID not found"))</f>
        <v/>
      </c>
      <c r="E2970" s="51" t="str">
        <f aca="false">IF(C2970="","",IFERROR(IF(LEFT(C2970,1)="L",INDEX('Leads Pipeline'!$D$5:$D$1004,MATCH(C2970,'Leads Pipeline'!$A$5:$A$1004,0)),INDEX('Active Clients'!$B$5:$B$504,MATCH(C2970,'Active Clients'!$A$5:$A$504,0)))&amp;"","ID not found"))</f>
        <v/>
      </c>
      <c r="F2970" s="51" t="str">
        <f aca="false">IF(C2970="","",IFERROR(IF(LEFT(C2970,1)="L",INDEX('Leads Pipeline'!$E$5:$E$1004,MATCH(C2970,'Leads Pipeline'!$A$5:$A$1004,0)),INDEX('Active Clients'!$C$5:$C$504,MATCH(C2970,'Active Clients'!$A$5:$A$504,0)))&amp;"","ID not found"))</f>
        <v/>
      </c>
      <c r="G2970" s="16"/>
      <c r="H2970" s="16"/>
      <c r="I2970" s="16"/>
      <c r="J2970" s="16"/>
      <c r="K2970" s="16"/>
      <c r="L2970" s="18"/>
    </row>
    <row r="2971" customFormat="false" ht="15" hidden="false" customHeight="false" outlineLevel="0" collapsed="false">
      <c r="A2971" s="18"/>
      <c r="B2971" s="16"/>
      <c r="C2971" s="16"/>
      <c r="D2971" s="51" t="str">
        <f aca="false">IF(C2971="","",IFERROR(IF(LEFT(C2971,1)="L",INDEX('Leads Pipeline'!$F$5:$F$1004,MATCH(C2971,'Leads Pipeline'!$A$5:$A$1004,0)),INDEX('Active Clients'!$D$5:$D$504,MATCH(C2971,'Active Clients'!$A$5:$A$504,0)))&amp;"","ID not found"))</f>
        <v/>
      </c>
      <c r="E2971" s="51" t="str">
        <f aca="false">IF(C2971="","",IFERROR(IF(LEFT(C2971,1)="L",INDEX('Leads Pipeline'!$D$5:$D$1004,MATCH(C2971,'Leads Pipeline'!$A$5:$A$1004,0)),INDEX('Active Clients'!$B$5:$B$504,MATCH(C2971,'Active Clients'!$A$5:$A$504,0)))&amp;"","ID not found"))</f>
        <v/>
      </c>
      <c r="F2971" s="51" t="str">
        <f aca="false">IF(C2971="","",IFERROR(IF(LEFT(C2971,1)="L",INDEX('Leads Pipeline'!$E$5:$E$1004,MATCH(C2971,'Leads Pipeline'!$A$5:$A$1004,0)),INDEX('Active Clients'!$C$5:$C$504,MATCH(C2971,'Active Clients'!$A$5:$A$504,0)))&amp;"","ID not found"))</f>
        <v/>
      </c>
      <c r="G2971" s="16"/>
      <c r="H2971" s="16"/>
      <c r="I2971" s="16"/>
      <c r="J2971" s="16"/>
      <c r="K2971" s="16"/>
      <c r="L2971" s="18"/>
    </row>
    <row r="2972" customFormat="false" ht="15" hidden="false" customHeight="false" outlineLevel="0" collapsed="false">
      <c r="A2972" s="18"/>
      <c r="B2972" s="16"/>
      <c r="C2972" s="16"/>
      <c r="D2972" s="51" t="str">
        <f aca="false">IF(C2972="","",IFERROR(IF(LEFT(C2972,1)="L",INDEX('Leads Pipeline'!$F$5:$F$1004,MATCH(C2972,'Leads Pipeline'!$A$5:$A$1004,0)),INDEX('Active Clients'!$D$5:$D$504,MATCH(C2972,'Active Clients'!$A$5:$A$504,0)))&amp;"","ID not found"))</f>
        <v/>
      </c>
      <c r="E2972" s="51" t="str">
        <f aca="false">IF(C2972="","",IFERROR(IF(LEFT(C2972,1)="L",INDEX('Leads Pipeline'!$D$5:$D$1004,MATCH(C2972,'Leads Pipeline'!$A$5:$A$1004,0)),INDEX('Active Clients'!$B$5:$B$504,MATCH(C2972,'Active Clients'!$A$5:$A$504,0)))&amp;"","ID not found"))</f>
        <v/>
      </c>
      <c r="F2972" s="51" t="str">
        <f aca="false">IF(C2972="","",IFERROR(IF(LEFT(C2972,1)="L",INDEX('Leads Pipeline'!$E$5:$E$1004,MATCH(C2972,'Leads Pipeline'!$A$5:$A$1004,0)),INDEX('Active Clients'!$C$5:$C$504,MATCH(C2972,'Active Clients'!$A$5:$A$504,0)))&amp;"","ID not found"))</f>
        <v/>
      </c>
      <c r="G2972" s="16"/>
      <c r="H2972" s="16"/>
      <c r="I2972" s="16"/>
      <c r="J2972" s="16"/>
      <c r="K2972" s="16"/>
      <c r="L2972" s="18"/>
    </row>
    <row r="2973" customFormat="false" ht="15" hidden="false" customHeight="false" outlineLevel="0" collapsed="false">
      <c r="A2973" s="18"/>
      <c r="B2973" s="16"/>
      <c r="C2973" s="16"/>
      <c r="D2973" s="51" t="str">
        <f aca="false">IF(C2973="","",IFERROR(IF(LEFT(C2973,1)="L",INDEX('Leads Pipeline'!$F$5:$F$1004,MATCH(C2973,'Leads Pipeline'!$A$5:$A$1004,0)),INDEX('Active Clients'!$D$5:$D$504,MATCH(C2973,'Active Clients'!$A$5:$A$504,0)))&amp;"","ID not found"))</f>
        <v/>
      </c>
      <c r="E2973" s="51" t="str">
        <f aca="false">IF(C2973="","",IFERROR(IF(LEFT(C2973,1)="L",INDEX('Leads Pipeline'!$D$5:$D$1004,MATCH(C2973,'Leads Pipeline'!$A$5:$A$1004,0)),INDEX('Active Clients'!$B$5:$B$504,MATCH(C2973,'Active Clients'!$A$5:$A$504,0)))&amp;"","ID not found"))</f>
        <v/>
      </c>
      <c r="F2973" s="51" t="str">
        <f aca="false">IF(C2973="","",IFERROR(IF(LEFT(C2973,1)="L",INDEX('Leads Pipeline'!$E$5:$E$1004,MATCH(C2973,'Leads Pipeline'!$A$5:$A$1004,0)),INDEX('Active Clients'!$C$5:$C$504,MATCH(C2973,'Active Clients'!$A$5:$A$504,0)))&amp;"","ID not found"))</f>
        <v/>
      </c>
      <c r="G2973" s="16"/>
      <c r="H2973" s="16"/>
      <c r="I2973" s="16"/>
      <c r="J2973" s="16"/>
      <c r="K2973" s="16"/>
      <c r="L2973" s="18"/>
    </row>
    <row r="2974" customFormat="false" ht="15" hidden="false" customHeight="false" outlineLevel="0" collapsed="false">
      <c r="A2974" s="18"/>
      <c r="B2974" s="16"/>
      <c r="C2974" s="16"/>
      <c r="D2974" s="51" t="str">
        <f aca="false">IF(C2974="","",IFERROR(IF(LEFT(C2974,1)="L",INDEX('Leads Pipeline'!$F$5:$F$1004,MATCH(C2974,'Leads Pipeline'!$A$5:$A$1004,0)),INDEX('Active Clients'!$D$5:$D$504,MATCH(C2974,'Active Clients'!$A$5:$A$504,0)))&amp;"","ID not found"))</f>
        <v/>
      </c>
      <c r="E2974" s="51" t="str">
        <f aca="false">IF(C2974="","",IFERROR(IF(LEFT(C2974,1)="L",INDEX('Leads Pipeline'!$D$5:$D$1004,MATCH(C2974,'Leads Pipeline'!$A$5:$A$1004,0)),INDEX('Active Clients'!$B$5:$B$504,MATCH(C2974,'Active Clients'!$A$5:$A$504,0)))&amp;"","ID not found"))</f>
        <v/>
      </c>
      <c r="F2974" s="51" t="str">
        <f aca="false">IF(C2974="","",IFERROR(IF(LEFT(C2974,1)="L",INDEX('Leads Pipeline'!$E$5:$E$1004,MATCH(C2974,'Leads Pipeline'!$A$5:$A$1004,0)),INDEX('Active Clients'!$C$5:$C$504,MATCH(C2974,'Active Clients'!$A$5:$A$504,0)))&amp;"","ID not found"))</f>
        <v/>
      </c>
      <c r="G2974" s="16"/>
      <c r="H2974" s="16"/>
      <c r="I2974" s="16"/>
      <c r="J2974" s="16"/>
      <c r="K2974" s="16"/>
      <c r="L2974" s="18"/>
    </row>
    <row r="2975" customFormat="false" ht="15" hidden="false" customHeight="false" outlineLevel="0" collapsed="false">
      <c r="A2975" s="18"/>
      <c r="B2975" s="16"/>
      <c r="C2975" s="16"/>
      <c r="D2975" s="51" t="str">
        <f aca="false">IF(C2975="","",IFERROR(IF(LEFT(C2975,1)="L",INDEX('Leads Pipeline'!$F$5:$F$1004,MATCH(C2975,'Leads Pipeline'!$A$5:$A$1004,0)),INDEX('Active Clients'!$D$5:$D$504,MATCH(C2975,'Active Clients'!$A$5:$A$504,0)))&amp;"","ID not found"))</f>
        <v/>
      </c>
      <c r="E2975" s="51" t="str">
        <f aca="false">IF(C2975="","",IFERROR(IF(LEFT(C2975,1)="L",INDEX('Leads Pipeline'!$D$5:$D$1004,MATCH(C2975,'Leads Pipeline'!$A$5:$A$1004,0)),INDEX('Active Clients'!$B$5:$B$504,MATCH(C2975,'Active Clients'!$A$5:$A$504,0)))&amp;"","ID not found"))</f>
        <v/>
      </c>
      <c r="F2975" s="51" t="str">
        <f aca="false">IF(C2975="","",IFERROR(IF(LEFT(C2975,1)="L",INDEX('Leads Pipeline'!$E$5:$E$1004,MATCH(C2975,'Leads Pipeline'!$A$5:$A$1004,0)),INDEX('Active Clients'!$C$5:$C$504,MATCH(C2975,'Active Clients'!$A$5:$A$504,0)))&amp;"","ID not found"))</f>
        <v/>
      </c>
      <c r="G2975" s="16"/>
      <c r="H2975" s="16"/>
      <c r="I2975" s="16"/>
      <c r="J2975" s="16"/>
      <c r="K2975" s="16"/>
      <c r="L2975" s="18"/>
    </row>
    <row r="2976" customFormat="false" ht="15" hidden="false" customHeight="false" outlineLevel="0" collapsed="false">
      <c r="A2976" s="18"/>
      <c r="B2976" s="16"/>
      <c r="C2976" s="16"/>
      <c r="D2976" s="51" t="str">
        <f aca="false">IF(C2976="","",IFERROR(IF(LEFT(C2976,1)="L",INDEX('Leads Pipeline'!$F$5:$F$1004,MATCH(C2976,'Leads Pipeline'!$A$5:$A$1004,0)),INDEX('Active Clients'!$D$5:$D$504,MATCH(C2976,'Active Clients'!$A$5:$A$504,0)))&amp;"","ID not found"))</f>
        <v/>
      </c>
      <c r="E2976" s="51" t="str">
        <f aca="false">IF(C2976="","",IFERROR(IF(LEFT(C2976,1)="L",INDEX('Leads Pipeline'!$D$5:$D$1004,MATCH(C2976,'Leads Pipeline'!$A$5:$A$1004,0)),INDEX('Active Clients'!$B$5:$B$504,MATCH(C2976,'Active Clients'!$A$5:$A$504,0)))&amp;"","ID not found"))</f>
        <v/>
      </c>
      <c r="F2976" s="51" t="str">
        <f aca="false">IF(C2976="","",IFERROR(IF(LEFT(C2976,1)="L",INDEX('Leads Pipeline'!$E$5:$E$1004,MATCH(C2976,'Leads Pipeline'!$A$5:$A$1004,0)),INDEX('Active Clients'!$C$5:$C$504,MATCH(C2976,'Active Clients'!$A$5:$A$504,0)))&amp;"","ID not found"))</f>
        <v/>
      </c>
      <c r="G2976" s="16"/>
      <c r="H2976" s="16"/>
      <c r="I2976" s="16"/>
      <c r="J2976" s="16"/>
      <c r="K2976" s="16"/>
      <c r="L2976" s="18"/>
    </row>
    <row r="2977" customFormat="false" ht="15" hidden="false" customHeight="false" outlineLevel="0" collapsed="false">
      <c r="A2977" s="18"/>
      <c r="B2977" s="16"/>
      <c r="C2977" s="16"/>
      <c r="D2977" s="51" t="str">
        <f aca="false">IF(C2977="","",IFERROR(IF(LEFT(C2977,1)="L",INDEX('Leads Pipeline'!$F$5:$F$1004,MATCH(C2977,'Leads Pipeline'!$A$5:$A$1004,0)),INDEX('Active Clients'!$D$5:$D$504,MATCH(C2977,'Active Clients'!$A$5:$A$504,0)))&amp;"","ID not found"))</f>
        <v/>
      </c>
      <c r="E2977" s="51" t="str">
        <f aca="false">IF(C2977="","",IFERROR(IF(LEFT(C2977,1)="L",INDEX('Leads Pipeline'!$D$5:$D$1004,MATCH(C2977,'Leads Pipeline'!$A$5:$A$1004,0)),INDEX('Active Clients'!$B$5:$B$504,MATCH(C2977,'Active Clients'!$A$5:$A$504,0)))&amp;"","ID not found"))</f>
        <v/>
      </c>
      <c r="F2977" s="51" t="str">
        <f aca="false">IF(C2977="","",IFERROR(IF(LEFT(C2977,1)="L",INDEX('Leads Pipeline'!$E$5:$E$1004,MATCH(C2977,'Leads Pipeline'!$A$5:$A$1004,0)),INDEX('Active Clients'!$C$5:$C$504,MATCH(C2977,'Active Clients'!$A$5:$A$504,0)))&amp;"","ID not found"))</f>
        <v/>
      </c>
      <c r="G2977" s="16"/>
      <c r="H2977" s="16"/>
      <c r="I2977" s="16"/>
      <c r="J2977" s="16"/>
      <c r="K2977" s="16"/>
      <c r="L2977" s="18"/>
    </row>
    <row r="2978" customFormat="false" ht="15" hidden="false" customHeight="false" outlineLevel="0" collapsed="false">
      <c r="A2978" s="18"/>
      <c r="B2978" s="16"/>
      <c r="C2978" s="16"/>
      <c r="D2978" s="51" t="str">
        <f aca="false">IF(C2978="","",IFERROR(IF(LEFT(C2978,1)="L",INDEX('Leads Pipeline'!$F$5:$F$1004,MATCH(C2978,'Leads Pipeline'!$A$5:$A$1004,0)),INDEX('Active Clients'!$D$5:$D$504,MATCH(C2978,'Active Clients'!$A$5:$A$504,0)))&amp;"","ID not found"))</f>
        <v/>
      </c>
      <c r="E2978" s="51" t="str">
        <f aca="false">IF(C2978="","",IFERROR(IF(LEFT(C2978,1)="L",INDEX('Leads Pipeline'!$D$5:$D$1004,MATCH(C2978,'Leads Pipeline'!$A$5:$A$1004,0)),INDEX('Active Clients'!$B$5:$B$504,MATCH(C2978,'Active Clients'!$A$5:$A$504,0)))&amp;"","ID not found"))</f>
        <v/>
      </c>
      <c r="F2978" s="51" t="str">
        <f aca="false">IF(C2978="","",IFERROR(IF(LEFT(C2978,1)="L",INDEX('Leads Pipeline'!$E$5:$E$1004,MATCH(C2978,'Leads Pipeline'!$A$5:$A$1004,0)),INDEX('Active Clients'!$C$5:$C$504,MATCH(C2978,'Active Clients'!$A$5:$A$504,0)))&amp;"","ID not found"))</f>
        <v/>
      </c>
      <c r="G2978" s="16"/>
      <c r="H2978" s="16"/>
      <c r="I2978" s="16"/>
      <c r="J2978" s="16"/>
      <c r="K2978" s="16"/>
      <c r="L2978" s="18"/>
    </row>
    <row r="2979" customFormat="false" ht="15" hidden="false" customHeight="false" outlineLevel="0" collapsed="false">
      <c r="A2979" s="18"/>
      <c r="B2979" s="16"/>
      <c r="C2979" s="16"/>
      <c r="D2979" s="51" t="str">
        <f aca="false">IF(C2979="","",IFERROR(IF(LEFT(C2979,1)="L",INDEX('Leads Pipeline'!$F$5:$F$1004,MATCH(C2979,'Leads Pipeline'!$A$5:$A$1004,0)),INDEX('Active Clients'!$D$5:$D$504,MATCH(C2979,'Active Clients'!$A$5:$A$504,0)))&amp;"","ID not found"))</f>
        <v/>
      </c>
      <c r="E2979" s="51" t="str">
        <f aca="false">IF(C2979="","",IFERROR(IF(LEFT(C2979,1)="L",INDEX('Leads Pipeline'!$D$5:$D$1004,MATCH(C2979,'Leads Pipeline'!$A$5:$A$1004,0)),INDEX('Active Clients'!$B$5:$B$504,MATCH(C2979,'Active Clients'!$A$5:$A$504,0)))&amp;"","ID not found"))</f>
        <v/>
      </c>
      <c r="F2979" s="51" t="str">
        <f aca="false">IF(C2979="","",IFERROR(IF(LEFT(C2979,1)="L",INDEX('Leads Pipeline'!$E$5:$E$1004,MATCH(C2979,'Leads Pipeline'!$A$5:$A$1004,0)),INDEX('Active Clients'!$C$5:$C$504,MATCH(C2979,'Active Clients'!$A$5:$A$504,0)))&amp;"","ID not found"))</f>
        <v/>
      </c>
      <c r="G2979" s="16"/>
      <c r="H2979" s="16"/>
      <c r="I2979" s="16"/>
      <c r="J2979" s="16"/>
      <c r="K2979" s="16"/>
      <c r="L2979" s="18"/>
    </row>
    <row r="2980" customFormat="false" ht="15" hidden="false" customHeight="false" outlineLevel="0" collapsed="false">
      <c r="A2980" s="18"/>
      <c r="B2980" s="16"/>
      <c r="C2980" s="16"/>
      <c r="D2980" s="51" t="str">
        <f aca="false">IF(C2980="","",IFERROR(IF(LEFT(C2980,1)="L",INDEX('Leads Pipeline'!$F$5:$F$1004,MATCH(C2980,'Leads Pipeline'!$A$5:$A$1004,0)),INDEX('Active Clients'!$D$5:$D$504,MATCH(C2980,'Active Clients'!$A$5:$A$504,0)))&amp;"","ID not found"))</f>
        <v/>
      </c>
      <c r="E2980" s="51" t="str">
        <f aca="false">IF(C2980="","",IFERROR(IF(LEFT(C2980,1)="L",INDEX('Leads Pipeline'!$D$5:$D$1004,MATCH(C2980,'Leads Pipeline'!$A$5:$A$1004,0)),INDEX('Active Clients'!$B$5:$B$504,MATCH(C2980,'Active Clients'!$A$5:$A$504,0)))&amp;"","ID not found"))</f>
        <v/>
      </c>
      <c r="F2980" s="51" t="str">
        <f aca="false">IF(C2980="","",IFERROR(IF(LEFT(C2980,1)="L",INDEX('Leads Pipeline'!$E$5:$E$1004,MATCH(C2980,'Leads Pipeline'!$A$5:$A$1004,0)),INDEX('Active Clients'!$C$5:$C$504,MATCH(C2980,'Active Clients'!$A$5:$A$504,0)))&amp;"","ID not found"))</f>
        <v/>
      </c>
      <c r="G2980" s="16"/>
      <c r="H2980" s="16"/>
      <c r="I2980" s="16"/>
      <c r="J2980" s="16"/>
      <c r="K2980" s="16"/>
      <c r="L2980" s="18"/>
    </row>
    <row r="2981" customFormat="false" ht="15" hidden="false" customHeight="false" outlineLevel="0" collapsed="false">
      <c r="A2981" s="18"/>
      <c r="B2981" s="16"/>
      <c r="C2981" s="16"/>
      <c r="D2981" s="51" t="str">
        <f aca="false">IF(C2981="","",IFERROR(IF(LEFT(C2981,1)="L",INDEX('Leads Pipeline'!$F$5:$F$1004,MATCH(C2981,'Leads Pipeline'!$A$5:$A$1004,0)),INDEX('Active Clients'!$D$5:$D$504,MATCH(C2981,'Active Clients'!$A$5:$A$504,0)))&amp;"","ID not found"))</f>
        <v/>
      </c>
      <c r="E2981" s="51" t="str">
        <f aca="false">IF(C2981="","",IFERROR(IF(LEFT(C2981,1)="L",INDEX('Leads Pipeline'!$D$5:$D$1004,MATCH(C2981,'Leads Pipeline'!$A$5:$A$1004,0)),INDEX('Active Clients'!$B$5:$B$504,MATCH(C2981,'Active Clients'!$A$5:$A$504,0)))&amp;"","ID not found"))</f>
        <v/>
      </c>
      <c r="F2981" s="51" t="str">
        <f aca="false">IF(C2981="","",IFERROR(IF(LEFT(C2981,1)="L",INDEX('Leads Pipeline'!$E$5:$E$1004,MATCH(C2981,'Leads Pipeline'!$A$5:$A$1004,0)),INDEX('Active Clients'!$C$5:$C$504,MATCH(C2981,'Active Clients'!$A$5:$A$504,0)))&amp;"","ID not found"))</f>
        <v/>
      </c>
      <c r="G2981" s="16"/>
      <c r="H2981" s="16"/>
      <c r="I2981" s="16"/>
      <c r="J2981" s="16"/>
      <c r="K2981" s="16"/>
      <c r="L2981" s="18"/>
    </row>
    <row r="2982" customFormat="false" ht="15" hidden="false" customHeight="false" outlineLevel="0" collapsed="false">
      <c r="A2982" s="18"/>
      <c r="B2982" s="16"/>
      <c r="C2982" s="16"/>
      <c r="D2982" s="51" t="str">
        <f aca="false">IF(C2982="","",IFERROR(IF(LEFT(C2982,1)="L",INDEX('Leads Pipeline'!$F$5:$F$1004,MATCH(C2982,'Leads Pipeline'!$A$5:$A$1004,0)),INDEX('Active Clients'!$D$5:$D$504,MATCH(C2982,'Active Clients'!$A$5:$A$504,0)))&amp;"","ID not found"))</f>
        <v/>
      </c>
      <c r="E2982" s="51" t="str">
        <f aca="false">IF(C2982="","",IFERROR(IF(LEFT(C2982,1)="L",INDEX('Leads Pipeline'!$D$5:$D$1004,MATCH(C2982,'Leads Pipeline'!$A$5:$A$1004,0)),INDEX('Active Clients'!$B$5:$B$504,MATCH(C2982,'Active Clients'!$A$5:$A$504,0)))&amp;"","ID not found"))</f>
        <v/>
      </c>
      <c r="F2982" s="51" t="str">
        <f aca="false">IF(C2982="","",IFERROR(IF(LEFT(C2982,1)="L",INDEX('Leads Pipeline'!$E$5:$E$1004,MATCH(C2982,'Leads Pipeline'!$A$5:$A$1004,0)),INDEX('Active Clients'!$C$5:$C$504,MATCH(C2982,'Active Clients'!$A$5:$A$504,0)))&amp;"","ID not found"))</f>
        <v/>
      </c>
      <c r="G2982" s="16"/>
      <c r="H2982" s="16"/>
      <c r="I2982" s="16"/>
      <c r="J2982" s="16"/>
      <c r="K2982" s="16"/>
      <c r="L2982" s="18"/>
    </row>
    <row r="2983" customFormat="false" ht="15" hidden="false" customHeight="false" outlineLevel="0" collapsed="false">
      <c r="A2983" s="18"/>
      <c r="B2983" s="16"/>
      <c r="C2983" s="16"/>
      <c r="D2983" s="51" t="str">
        <f aca="false">IF(C2983="","",IFERROR(IF(LEFT(C2983,1)="L",INDEX('Leads Pipeline'!$F$5:$F$1004,MATCH(C2983,'Leads Pipeline'!$A$5:$A$1004,0)),INDEX('Active Clients'!$D$5:$D$504,MATCH(C2983,'Active Clients'!$A$5:$A$504,0)))&amp;"","ID not found"))</f>
        <v/>
      </c>
      <c r="E2983" s="51" t="str">
        <f aca="false">IF(C2983="","",IFERROR(IF(LEFT(C2983,1)="L",INDEX('Leads Pipeline'!$D$5:$D$1004,MATCH(C2983,'Leads Pipeline'!$A$5:$A$1004,0)),INDEX('Active Clients'!$B$5:$B$504,MATCH(C2983,'Active Clients'!$A$5:$A$504,0)))&amp;"","ID not found"))</f>
        <v/>
      </c>
      <c r="F2983" s="51" t="str">
        <f aca="false">IF(C2983="","",IFERROR(IF(LEFT(C2983,1)="L",INDEX('Leads Pipeline'!$E$5:$E$1004,MATCH(C2983,'Leads Pipeline'!$A$5:$A$1004,0)),INDEX('Active Clients'!$C$5:$C$504,MATCH(C2983,'Active Clients'!$A$5:$A$504,0)))&amp;"","ID not found"))</f>
        <v/>
      </c>
      <c r="G2983" s="16"/>
      <c r="H2983" s="16"/>
      <c r="I2983" s="16"/>
      <c r="J2983" s="16"/>
      <c r="K2983" s="16"/>
      <c r="L2983" s="18"/>
    </row>
    <row r="2984" customFormat="false" ht="15" hidden="false" customHeight="false" outlineLevel="0" collapsed="false">
      <c r="A2984" s="18"/>
      <c r="B2984" s="16"/>
      <c r="C2984" s="16"/>
      <c r="D2984" s="51" t="str">
        <f aca="false">IF(C2984="","",IFERROR(IF(LEFT(C2984,1)="L",INDEX('Leads Pipeline'!$F$5:$F$1004,MATCH(C2984,'Leads Pipeline'!$A$5:$A$1004,0)),INDEX('Active Clients'!$D$5:$D$504,MATCH(C2984,'Active Clients'!$A$5:$A$504,0)))&amp;"","ID not found"))</f>
        <v/>
      </c>
      <c r="E2984" s="51" t="str">
        <f aca="false">IF(C2984="","",IFERROR(IF(LEFT(C2984,1)="L",INDEX('Leads Pipeline'!$D$5:$D$1004,MATCH(C2984,'Leads Pipeline'!$A$5:$A$1004,0)),INDEX('Active Clients'!$B$5:$B$504,MATCH(C2984,'Active Clients'!$A$5:$A$504,0)))&amp;"","ID not found"))</f>
        <v/>
      </c>
      <c r="F2984" s="51" t="str">
        <f aca="false">IF(C2984="","",IFERROR(IF(LEFT(C2984,1)="L",INDEX('Leads Pipeline'!$E$5:$E$1004,MATCH(C2984,'Leads Pipeline'!$A$5:$A$1004,0)),INDEX('Active Clients'!$C$5:$C$504,MATCH(C2984,'Active Clients'!$A$5:$A$504,0)))&amp;"","ID not found"))</f>
        <v/>
      </c>
      <c r="G2984" s="16"/>
      <c r="H2984" s="16"/>
      <c r="I2984" s="16"/>
      <c r="J2984" s="16"/>
      <c r="K2984" s="16"/>
      <c r="L2984" s="18"/>
    </row>
    <row r="2985" customFormat="false" ht="15" hidden="false" customHeight="false" outlineLevel="0" collapsed="false">
      <c r="A2985" s="18"/>
      <c r="B2985" s="16"/>
      <c r="C2985" s="16"/>
      <c r="D2985" s="51" t="str">
        <f aca="false">IF(C2985="","",IFERROR(IF(LEFT(C2985,1)="L",INDEX('Leads Pipeline'!$F$5:$F$1004,MATCH(C2985,'Leads Pipeline'!$A$5:$A$1004,0)),INDEX('Active Clients'!$D$5:$D$504,MATCH(C2985,'Active Clients'!$A$5:$A$504,0)))&amp;"","ID not found"))</f>
        <v/>
      </c>
      <c r="E2985" s="51" t="str">
        <f aca="false">IF(C2985="","",IFERROR(IF(LEFT(C2985,1)="L",INDEX('Leads Pipeline'!$D$5:$D$1004,MATCH(C2985,'Leads Pipeline'!$A$5:$A$1004,0)),INDEX('Active Clients'!$B$5:$B$504,MATCH(C2985,'Active Clients'!$A$5:$A$504,0)))&amp;"","ID not found"))</f>
        <v/>
      </c>
      <c r="F2985" s="51" t="str">
        <f aca="false">IF(C2985="","",IFERROR(IF(LEFT(C2985,1)="L",INDEX('Leads Pipeline'!$E$5:$E$1004,MATCH(C2985,'Leads Pipeline'!$A$5:$A$1004,0)),INDEX('Active Clients'!$C$5:$C$504,MATCH(C2985,'Active Clients'!$A$5:$A$504,0)))&amp;"","ID not found"))</f>
        <v/>
      </c>
      <c r="G2985" s="16"/>
      <c r="H2985" s="16"/>
      <c r="I2985" s="16"/>
      <c r="J2985" s="16"/>
      <c r="K2985" s="16"/>
      <c r="L2985" s="18"/>
    </row>
    <row r="2986" customFormat="false" ht="15" hidden="false" customHeight="false" outlineLevel="0" collapsed="false">
      <c r="A2986" s="18"/>
      <c r="B2986" s="16"/>
      <c r="C2986" s="16"/>
      <c r="D2986" s="51" t="str">
        <f aca="false">IF(C2986="","",IFERROR(IF(LEFT(C2986,1)="L",INDEX('Leads Pipeline'!$F$5:$F$1004,MATCH(C2986,'Leads Pipeline'!$A$5:$A$1004,0)),INDEX('Active Clients'!$D$5:$D$504,MATCH(C2986,'Active Clients'!$A$5:$A$504,0)))&amp;"","ID not found"))</f>
        <v/>
      </c>
      <c r="E2986" s="51" t="str">
        <f aca="false">IF(C2986="","",IFERROR(IF(LEFT(C2986,1)="L",INDEX('Leads Pipeline'!$D$5:$D$1004,MATCH(C2986,'Leads Pipeline'!$A$5:$A$1004,0)),INDEX('Active Clients'!$B$5:$B$504,MATCH(C2986,'Active Clients'!$A$5:$A$504,0)))&amp;"","ID not found"))</f>
        <v/>
      </c>
      <c r="F2986" s="51" t="str">
        <f aca="false">IF(C2986="","",IFERROR(IF(LEFT(C2986,1)="L",INDEX('Leads Pipeline'!$E$5:$E$1004,MATCH(C2986,'Leads Pipeline'!$A$5:$A$1004,0)),INDEX('Active Clients'!$C$5:$C$504,MATCH(C2986,'Active Clients'!$A$5:$A$504,0)))&amp;"","ID not found"))</f>
        <v/>
      </c>
      <c r="G2986" s="16"/>
      <c r="H2986" s="16"/>
      <c r="I2986" s="16"/>
      <c r="J2986" s="16"/>
      <c r="K2986" s="16"/>
      <c r="L2986" s="18"/>
    </row>
    <row r="2987" customFormat="false" ht="15" hidden="false" customHeight="false" outlineLevel="0" collapsed="false">
      <c r="A2987" s="18"/>
      <c r="B2987" s="16"/>
      <c r="C2987" s="16"/>
      <c r="D2987" s="51" t="str">
        <f aca="false">IF(C2987="","",IFERROR(IF(LEFT(C2987,1)="L",INDEX('Leads Pipeline'!$F$5:$F$1004,MATCH(C2987,'Leads Pipeline'!$A$5:$A$1004,0)),INDEX('Active Clients'!$D$5:$D$504,MATCH(C2987,'Active Clients'!$A$5:$A$504,0)))&amp;"","ID not found"))</f>
        <v/>
      </c>
      <c r="E2987" s="51" t="str">
        <f aca="false">IF(C2987="","",IFERROR(IF(LEFT(C2987,1)="L",INDEX('Leads Pipeline'!$D$5:$D$1004,MATCH(C2987,'Leads Pipeline'!$A$5:$A$1004,0)),INDEX('Active Clients'!$B$5:$B$504,MATCH(C2987,'Active Clients'!$A$5:$A$504,0)))&amp;"","ID not found"))</f>
        <v/>
      </c>
      <c r="F2987" s="51" t="str">
        <f aca="false">IF(C2987="","",IFERROR(IF(LEFT(C2987,1)="L",INDEX('Leads Pipeline'!$E$5:$E$1004,MATCH(C2987,'Leads Pipeline'!$A$5:$A$1004,0)),INDEX('Active Clients'!$C$5:$C$504,MATCH(C2987,'Active Clients'!$A$5:$A$504,0)))&amp;"","ID not found"))</f>
        <v/>
      </c>
      <c r="G2987" s="16"/>
      <c r="H2987" s="16"/>
      <c r="I2987" s="16"/>
      <c r="J2987" s="16"/>
      <c r="K2987" s="16"/>
      <c r="L2987" s="18"/>
    </row>
    <row r="2988" customFormat="false" ht="15" hidden="false" customHeight="false" outlineLevel="0" collapsed="false">
      <c r="A2988" s="18"/>
      <c r="B2988" s="16"/>
      <c r="C2988" s="16"/>
      <c r="D2988" s="51" t="str">
        <f aca="false">IF(C2988="","",IFERROR(IF(LEFT(C2988,1)="L",INDEX('Leads Pipeline'!$F$5:$F$1004,MATCH(C2988,'Leads Pipeline'!$A$5:$A$1004,0)),INDEX('Active Clients'!$D$5:$D$504,MATCH(C2988,'Active Clients'!$A$5:$A$504,0)))&amp;"","ID not found"))</f>
        <v/>
      </c>
      <c r="E2988" s="51" t="str">
        <f aca="false">IF(C2988="","",IFERROR(IF(LEFT(C2988,1)="L",INDEX('Leads Pipeline'!$D$5:$D$1004,MATCH(C2988,'Leads Pipeline'!$A$5:$A$1004,0)),INDEX('Active Clients'!$B$5:$B$504,MATCH(C2988,'Active Clients'!$A$5:$A$504,0)))&amp;"","ID not found"))</f>
        <v/>
      </c>
      <c r="F2988" s="51" t="str">
        <f aca="false">IF(C2988="","",IFERROR(IF(LEFT(C2988,1)="L",INDEX('Leads Pipeline'!$E$5:$E$1004,MATCH(C2988,'Leads Pipeline'!$A$5:$A$1004,0)),INDEX('Active Clients'!$C$5:$C$504,MATCH(C2988,'Active Clients'!$A$5:$A$504,0)))&amp;"","ID not found"))</f>
        <v/>
      </c>
      <c r="G2988" s="16"/>
      <c r="H2988" s="16"/>
      <c r="I2988" s="16"/>
      <c r="J2988" s="16"/>
      <c r="K2988" s="16"/>
      <c r="L2988" s="18"/>
    </row>
    <row r="2989" customFormat="false" ht="15" hidden="false" customHeight="false" outlineLevel="0" collapsed="false">
      <c r="A2989" s="18"/>
      <c r="B2989" s="16"/>
      <c r="C2989" s="16"/>
      <c r="D2989" s="51" t="str">
        <f aca="false">IF(C2989="","",IFERROR(IF(LEFT(C2989,1)="L",INDEX('Leads Pipeline'!$F$5:$F$1004,MATCH(C2989,'Leads Pipeline'!$A$5:$A$1004,0)),INDEX('Active Clients'!$D$5:$D$504,MATCH(C2989,'Active Clients'!$A$5:$A$504,0)))&amp;"","ID not found"))</f>
        <v/>
      </c>
      <c r="E2989" s="51" t="str">
        <f aca="false">IF(C2989="","",IFERROR(IF(LEFT(C2989,1)="L",INDEX('Leads Pipeline'!$D$5:$D$1004,MATCH(C2989,'Leads Pipeline'!$A$5:$A$1004,0)),INDEX('Active Clients'!$B$5:$B$504,MATCH(C2989,'Active Clients'!$A$5:$A$504,0)))&amp;"","ID not found"))</f>
        <v/>
      </c>
      <c r="F2989" s="51" t="str">
        <f aca="false">IF(C2989="","",IFERROR(IF(LEFT(C2989,1)="L",INDEX('Leads Pipeline'!$E$5:$E$1004,MATCH(C2989,'Leads Pipeline'!$A$5:$A$1004,0)),INDEX('Active Clients'!$C$5:$C$504,MATCH(C2989,'Active Clients'!$A$5:$A$504,0)))&amp;"","ID not found"))</f>
        <v/>
      </c>
      <c r="G2989" s="16"/>
      <c r="H2989" s="16"/>
      <c r="I2989" s="16"/>
      <c r="J2989" s="16"/>
      <c r="K2989" s="16"/>
      <c r="L2989" s="18"/>
    </row>
    <row r="2990" customFormat="false" ht="15" hidden="false" customHeight="false" outlineLevel="0" collapsed="false">
      <c r="A2990" s="18"/>
      <c r="B2990" s="16"/>
      <c r="C2990" s="16"/>
      <c r="D2990" s="51" t="str">
        <f aca="false">IF(C2990="","",IFERROR(IF(LEFT(C2990,1)="L",INDEX('Leads Pipeline'!$F$5:$F$1004,MATCH(C2990,'Leads Pipeline'!$A$5:$A$1004,0)),INDEX('Active Clients'!$D$5:$D$504,MATCH(C2990,'Active Clients'!$A$5:$A$504,0)))&amp;"","ID not found"))</f>
        <v/>
      </c>
      <c r="E2990" s="51" t="str">
        <f aca="false">IF(C2990="","",IFERROR(IF(LEFT(C2990,1)="L",INDEX('Leads Pipeline'!$D$5:$D$1004,MATCH(C2990,'Leads Pipeline'!$A$5:$A$1004,0)),INDEX('Active Clients'!$B$5:$B$504,MATCH(C2990,'Active Clients'!$A$5:$A$504,0)))&amp;"","ID not found"))</f>
        <v/>
      </c>
      <c r="F2990" s="51" t="str">
        <f aca="false">IF(C2990="","",IFERROR(IF(LEFT(C2990,1)="L",INDEX('Leads Pipeline'!$E$5:$E$1004,MATCH(C2990,'Leads Pipeline'!$A$5:$A$1004,0)),INDEX('Active Clients'!$C$5:$C$504,MATCH(C2990,'Active Clients'!$A$5:$A$504,0)))&amp;"","ID not found"))</f>
        <v/>
      </c>
      <c r="G2990" s="16"/>
      <c r="H2990" s="16"/>
      <c r="I2990" s="16"/>
      <c r="J2990" s="16"/>
      <c r="K2990" s="16"/>
      <c r="L2990" s="18"/>
    </row>
    <row r="2991" customFormat="false" ht="15" hidden="false" customHeight="false" outlineLevel="0" collapsed="false">
      <c r="A2991" s="18"/>
      <c r="B2991" s="16"/>
      <c r="C2991" s="16"/>
      <c r="D2991" s="51" t="str">
        <f aca="false">IF(C2991="","",IFERROR(IF(LEFT(C2991,1)="L",INDEX('Leads Pipeline'!$F$5:$F$1004,MATCH(C2991,'Leads Pipeline'!$A$5:$A$1004,0)),INDEX('Active Clients'!$D$5:$D$504,MATCH(C2991,'Active Clients'!$A$5:$A$504,0)))&amp;"","ID not found"))</f>
        <v/>
      </c>
      <c r="E2991" s="51" t="str">
        <f aca="false">IF(C2991="","",IFERROR(IF(LEFT(C2991,1)="L",INDEX('Leads Pipeline'!$D$5:$D$1004,MATCH(C2991,'Leads Pipeline'!$A$5:$A$1004,0)),INDEX('Active Clients'!$B$5:$B$504,MATCH(C2991,'Active Clients'!$A$5:$A$504,0)))&amp;"","ID not found"))</f>
        <v/>
      </c>
      <c r="F2991" s="51" t="str">
        <f aca="false">IF(C2991="","",IFERROR(IF(LEFT(C2991,1)="L",INDEX('Leads Pipeline'!$E$5:$E$1004,MATCH(C2991,'Leads Pipeline'!$A$5:$A$1004,0)),INDEX('Active Clients'!$C$5:$C$504,MATCH(C2991,'Active Clients'!$A$5:$A$504,0)))&amp;"","ID not found"))</f>
        <v/>
      </c>
      <c r="G2991" s="16"/>
      <c r="H2991" s="16"/>
      <c r="I2991" s="16"/>
      <c r="J2991" s="16"/>
      <c r="K2991" s="16"/>
      <c r="L2991" s="18"/>
    </row>
    <row r="2992" customFormat="false" ht="15" hidden="false" customHeight="false" outlineLevel="0" collapsed="false">
      <c r="A2992" s="18"/>
      <c r="B2992" s="16"/>
      <c r="C2992" s="16"/>
      <c r="D2992" s="51" t="str">
        <f aca="false">IF(C2992="","",IFERROR(IF(LEFT(C2992,1)="L",INDEX('Leads Pipeline'!$F$5:$F$1004,MATCH(C2992,'Leads Pipeline'!$A$5:$A$1004,0)),INDEX('Active Clients'!$D$5:$D$504,MATCH(C2992,'Active Clients'!$A$5:$A$504,0)))&amp;"","ID not found"))</f>
        <v/>
      </c>
      <c r="E2992" s="51" t="str">
        <f aca="false">IF(C2992="","",IFERROR(IF(LEFT(C2992,1)="L",INDEX('Leads Pipeline'!$D$5:$D$1004,MATCH(C2992,'Leads Pipeline'!$A$5:$A$1004,0)),INDEX('Active Clients'!$B$5:$B$504,MATCH(C2992,'Active Clients'!$A$5:$A$504,0)))&amp;"","ID not found"))</f>
        <v/>
      </c>
      <c r="F2992" s="51" t="str">
        <f aca="false">IF(C2992="","",IFERROR(IF(LEFT(C2992,1)="L",INDEX('Leads Pipeline'!$E$5:$E$1004,MATCH(C2992,'Leads Pipeline'!$A$5:$A$1004,0)),INDEX('Active Clients'!$C$5:$C$504,MATCH(C2992,'Active Clients'!$A$5:$A$504,0)))&amp;"","ID not found"))</f>
        <v/>
      </c>
      <c r="G2992" s="16"/>
      <c r="H2992" s="16"/>
      <c r="I2992" s="16"/>
      <c r="J2992" s="16"/>
      <c r="K2992" s="16"/>
      <c r="L2992" s="18"/>
    </row>
    <row r="2993" customFormat="false" ht="15" hidden="false" customHeight="false" outlineLevel="0" collapsed="false">
      <c r="A2993" s="18"/>
      <c r="B2993" s="16"/>
      <c r="C2993" s="16"/>
      <c r="D2993" s="51" t="str">
        <f aca="false">IF(C2993="","",IFERROR(IF(LEFT(C2993,1)="L",INDEX('Leads Pipeline'!$F$5:$F$1004,MATCH(C2993,'Leads Pipeline'!$A$5:$A$1004,0)),INDEX('Active Clients'!$D$5:$D$504,MATCH(C2993,'Active Clients'!$A$5:$A$504,0)))&amp;"","ID not found"))</f>
        <v/>
      </c>
      <c r="E2993" s="51" t="str">
        <f aca="false">IF(C2993="","",IFERROR(IF(LEFT(C2993,1)="L",INDEX('Leads Pipeline'!$D$5:$D$1004,MATCH(C2993,'Leads Pipeline'!$A$5:$A$1004,0)),INDEX('Active Clients'!$B$5:$B$504,MATCH(C2993,'Active Clients'!$A$5:$A$504,0)))&amp;"","ID not found"))</f>
        <v/>
      </c>
      <c r="F2993" s="51" t="str">
        <f aca="false">IF(C2993="","",IFERROR(IF(LEFT(C2993,1)="L",INDEX('Leads Pipeline'!$E$5:$E$1004,MATCH(C2993,'Leads Pipeline'!$A$5:$A$1004,0)),INDEX('Active Clients'!$C$5:$C$504,MATCH(C2993,'Active Clients'!$A$5:$A$504,0)))&amp;"","ID not found"))</f>
        <v/>
      </c>
      <c r="G2993" s="16"/>
      <c r="H2993" s="16"/>
      <c r="I2993" s="16"/>
      <c r="J2993" s="16"/>
      <c r="K2993" s="16"/>
      <c r="L2993" s="18"/>
    </row>
    <row r="2994" customFormat="false" ht="15" hidden="false" customHeight="false" outlineLevel="0" collapsed="false">
      <c r="A2994" s="18"/>
      <c r="B2994" s="16"/>
      <c r="C2994" s="16"/>
      <c r="D2994" s="51" t="str">
        <f aca="false">IF(C2994="","",IFERROR(IF(LEFT(C2994,1)="L",INDEX('Leads Pipeline'!$F$5:$F$1004,MATCH(C2994,'Leads Pipeline'!$A$5:$A$1004,0)),INDEX('Active Clients'!$D$5:$D$504,MATCH(C2994,'Active Clients'!$A$5:$A$504,0)))&amp;"","ID not found"))</f>
        <v/>
      </c>
      <c r="E2994" s="51" t="str">
        <f aca="false">IF(C2994="","",IFERROR(IF(LEFT(C2994,1)="L",INDEX('Leads Pipeline'!$D$5:$D$1004,MATCH(C2994,'Leads Pipeline'!$A$5:$A$1004,0)),INDEX('Active Clients'!$B$5:$B$504,MATCH(C2994,'Active Clients'!$A$5:$A$504,0)))&amp;"","ID not found"))</f>
        <v/>
      </c>
      <c r="F2994" s="51" t="str">
        <f aca="false">IF(C2994="","",IFERROR(IF(LEFT(C2994,1)="L",INDEX('Leads Pipeline'!$E$5:$E$1004,MATCH(C2994,'Leads Pipeline'!$A$5:$A$1004,0)),INDEX('Active Clients'!$C$5:$C$504,MATCH(C2994,'Active Clients'!$A$5:$A$504,0)))&amp;"","ID not found"))</f>
        <v/>
      </c>
      <c r="G2994" s="16"/>
      <c r="H2994" s="16"/>
      <c r="I2994" s="16"/>
      <c r="J2994" s="16"/>
      <c r="K2994" s="16"/>
      <c r="L2994" s="18"/>
    </row>
    <row r="2995" customFormat="false" ht="15" hidden="false" customHeight="false" outlineLevel="0" collapsed="false">
      <c r="A2995" s="18"/>
      <c r="B2995" s="16"/>
      <c r="C2995" s="16"/>
      <c r="D2995" s="51" t="str">
        <f aca="false">IF(C2995="","",IFERROR(IF(LEFT(C2995,1)="L",INDEX('Leads Pipeline'!$F$5:$F$1004,MATCH(C2995,'Leads Pipeline'!$A$5:$A$1004,0)),INDEX('Active Clients'!$D$5:$D$504,MATCH(C2995,'Active Clients'!$A$5:$A$504,0)))&amp;"","ID not found"))</f>
        <v/>
      </c>
      <c r="E2995" s="51" t="str">
        <f aca="false">IF(C2995="","",IFERROR(IF(LEFT(C2995,1)="L",INDEX('Leads Pipeline'!$D$5:$D$1004,MATCH(C2995,'Leads Pipeline'!$A$5:$A$1004,0)),INDEX('Active Clients'!$B$5:$B$504,MATCH(C2995,'Active Clients'!$A$5:$A$504,0)))&amp;"","ID not found"))</f>
        <v/>
      </c>
      <c r="F2995" s="51" t="str">
        <f aca="false">IF(C2995="","",IFERROR(IF(LEFT(C2995,1)="L",INDEX('Leads Pipeline'!$E$5:$E$1004,MATCH(C2995,'Leads Pipeline'!$A$5:$A$1004,0)),INDEX('Active Clients'!$C$5:$C$504,MATCH(C2995,'Active Clients'!$A$5:$A$504,0)))&amp;"","ID not found"))</f>
        <v/>
      </c>
      <c r="G2995" s="16"/>
      <c r="H2995" s="16"/>
      <c r="I2995" s="16"/>
      <c r="J2995" s="16"/>
      <c r="K2995" s="16"/>
      <c r="L2995" s="18"/>
    </row>
    <row r="2996" customFormat="false" ht="15" hidden="false" customHeight="false" outlineLevel="0" collapsed="false">
      <c r="A2996" s="18"/>
      <c r="B2996" s="16"/>
      <c r="C2996" s="16"/>
      <c r="D2996" s="51" t="str">
        <f aca="false">IF(C2996="","",IFERROR(IF(LEFT(C2996,1)="L",INDEX('Leads Pipeline'!$F$5:$F$1004,MATCH(C2996,'Leads Pipeline'!$A$5:$A$1004,0)),INDEX('Active Clients'!$D$5:$D$504,MATCH(C2996,'Active Clients'!$A$5:$A$504,0)))&amp;"","ID not found"))</f>
        <v/>
      </c>
      <c r="E2996" s="51" t="str">
        <f aca="false">IF(C2996="","",IFERROR(IF(LEFT(C2996,1)="L",INDEX('Leads Pipeline'!$D$5:$D$1004,MATCH(C2996,'Leads Pipeline'!$A$5:$A$1004,0)),INDEX('Active Clients'!$B$5:$B$504,MATCH(C2996,'Active Clients'!$A$5:$A$504,0)))&amp;"","ID not found"))</f>
        <v/>
      </c>
      <c r="F2996" s="51" t="str">
        <f aca="false">IF(C2996="","",IFERROR(IF(LEFT(C2996,1)="L",INDEX('Leads Pipeline'!$E$5:$E$1004,MATCH(C2996,'Leads Pipeline'!$A$5:$A$1004,0)),INDEX('Active Clients'!$C$5:$C$504,MATCH(C2996,'Active Clients'!$A$5:$A$504,0)))&amp;"","ID not found"))</f>
        <v/>
      </c>
      <c r="G2996" s="16"/>
      <c r="H2996" s="16"/>
      <c r="I2996" s="16"/>
      <c r="J2996" s="16"/>
      <c r="K2996" s="16"/>
      <c r="L2996" s="18"/>
    </row>
    <row r="2997" customFormat="false" ht="15" hidden="false" customHeight="false" outlineLevel="0" collapsed="false">
      <c r="A2997" s="18"/>
      <c r="B2997" s="16"/>
      <c r="C2997" s="16"/>
      <c r="D2997" s="51" t="str">
        <f aca="false">IF(C2997="","",IFERROR(IF(LEFT(C2997,1)="L",INDEX('Leads Pipeline'!$F$5:$F$1004,MATCH(C2997,'Leads Pipeline'!$A$5:$A$1004,0)),INDEX('Active Clients'!$D$5:$D$504,MATCH(C2997,'Active Clients'!$A$5:$A$504,0)))&amp;"","ID not found"))</f>
        <v/>
      </c>
      <c r="E2997" s="51" t="str">
        <f aca="false">IF(C2997="","",IFERROR(IF(LEFT(C2997,1)="L",INDEX('Leads Pipeline'!$D$5:$D$1004,MATCH(C2997,'Leads Pipeline'!$A$5:$A$1004,0)),INDEX('Active Clients'!$B$5:$B$504,MATCH(C2997,'Active Clients'!$A$5:$A$504,0)))&amp;"","ID not found"))</f>
        <v/>
      </c>
      <c r="F2997" s="51" t="str">
        <f aca="false">IF(C2997="","",IFERROR(IF(LEFT(C2997,1)="L",INDEX('Leads Pipeline'!$E$5:$E$1004,MATCH(C2997,'Leads Pipeline'!$A$5:$A$1004,0)),INDEX('Active Clients'!$C$5:$C$504,MATCH(C2997,'Active Clients'!$A$5:$A$504,0)))&amp;"","ID not found"))</f>
        <v/>
      </c>
      <c r="G2997" s="16"/>
      <c r="H2997" s="16"/>
      <c r="I2997" s="16"/>
      <c r="J2997" s="16"/>
      <c r="K2997" s="16"/>
      <c r="L2997" s="18"/>
    </row>
    <row r="2998" customFormat="false" ht="15" hidden="false" customHeight="false" outlineLevel="0" collapsed="false">
      <c r="A2998" s="18"/>
      <c r="B2998" s="16"/>
      <c r="C2998" s="16"/>
      <c r="D2998" s="51" t="str">
        <f aca="false">IF(C2998="","",IFERROR(IF(LEFT(C2998,1)="L",INDEX('Leads Pipeline'!$F$5:$F$1004,MATCH(C2998,'Leads Pipeline'!$A$5:$A$1004,0)),INDEX('Active Clients'!$D$5:$D$504,MATCH(C2998,'Active Clients'!$A$5:$A$504,0)))&amp;"","ID not found"))</f>
        <v/>
      </c>
      <c r="E2998" s="51" t="str">
        <f aca="false">IF(C2998="","",IFERROR(IF(LEFT(C2998,1)="L",INDEX('Leads Pipeline'!$D$5:$D$1004,MATCH(C2998,'Leads Pipeline'!$A$5:$A$1004,0)),INDEX('Active Clients'!$B$5:$B$504,MATCH(C2998,'Active Clients'!$A$5:$A$504,0)))&amp;"","ID not found"))</f>
        <v/>
      </c>
      <c r="F2998" s="51" t="str">
        <f aca="false">IF(C2998="","",IFERROR(IF(LEFT(C2998,1)="L",INDEX('Leads Pipeline'!$E$5:$E$1004,MATCH(C2998,'Leads Pipeline'!$A$5:$A$1004,0)),INDEX('Active Clients'!$C$5:$C$504,MATCH(C2998,'Active Clients'!$A$5:$A$504,0)))&amp;"","ID not found"))</f>
        <v/>
      </c>
      <c r="G2998" s="16"/>
      <c r="H2998" s="16"/>
      <c r="I2998" s="16"/>
      <c r="J2998" s="16"/>
      <c r="K2998" s="16"/>
      <c r="L2998" s="18"/>
    </row>
    <row r="2999" customFormat="false" ht="15" hidden="false" customHeight="false" outlineLevel="0" collapsed="false">
      <c r="A2999" s="18"/>
      <c r="B2999" s="16"/>
      <c r="C2999" s="16"/>
      <c r="D2999" s="51" t="str">
        <f aca="false">IF(C2999="","",IFERROR(IF(LEFT(C2999,1)="L",INDEX('Leads Pipeline'!$F$5:$F$1004,MATCH(C2999,'Leads Pipeline'!$A$5:$A$1004,0)),INDEX('Active Clients'!$D$5:$D$504,MATCH(C2999,'Active Clients'!$A$5:$A$504,0)))&amp;"","ID not found"))</f>
        <v/>
      </c>
      <c r="E2999" s="51" t="str">
        <f aca="false">IF(C2999="","",IFERROR(IF(LEFT(C2999,1)="L",INDEX('Leads Pipeline'!$D$5:$D$1004,MATCH(C2999,'Leads Pipeline'!$A$5:$A$1004,0)),INDEX('Active Clients'!$B$5:$B$504,MATCH(C2999,'Active Clients'!$A$5:$A$504,0)))&amp;"","ID not found"))</f>
        <v/>
      </c>
      <c r="F2999" s="51" t="str">
        <f aca="false">IF(C2999="","",IFERROR(IF(LEFT(C2999,1)="L",INDEX('Leads Pipeline'!$E$5:$E$1004,MATCH(C2999,'Leads Pipeline'!$A$5:$A$1004,0)),INDEX('Active Clients'!$C$5:$C$504,MATCH(C2999,'Active Clients'!$A$5:$A$504,0)))&amp;"","ID not found"))</f>
        <v/>
      </c>
      <c r="G2999" s="16"/>
      <c r="H2999" s="16"/>
      <c r="I2999" s="16"/>
      <c r="J2999" s="16"/>
      <c r="K2999" s="16"/>
      <c r="L2999" s="18"/>
    </row>
    <row r="3000" customFormat="false" ht="15" hidden="false" customHeight="false" outlineLevel="0" collapsed="false">
      <c r="A3000" s="18"/>
      <c r="B3000" s="16"/>
      <c r="C3000" s="16"/>
      <c r="D3000" s="51" t="str">
        <f aca="false">IF(C3000="","",IFERROR(IF(LEFT(C3000,1)="L",INDEX('Leads Pipeline'!$F$5:$F$1004,MATCH(C3000,'Leads Pipeline'!$A$5:$A$1004,0)),INDEX('Active Clients'!$D$5:$D$504,MATCH(C3000,'Active Clients'!$A$5:$A$504,0)))&amp;"","ID not found"))</f>
        <v/>
      </c>
      <c r="E3000" s="51" t="str">
        <f aca="false">IF(C3000="","",IFERROR(IF(LEFT(C3000,1)="L",INDEX('Leads Pipeline'!$D$5:$D$1004,MATCH(C3000,'Leads Pipeline'!$A$5:$A$1004,0)),INDEX('Active Clients'!$B$5:$B$504,MATCH(C3000,'Active Clients'!$A$5:$A$504,0)))&amp;"","ID not found"))</f>
        <v/>
      </c>
      <c r="F3000" s="51" t="str">
        <f aca="false">IF(C3000="","",IFERROR(IF(LEFT(C3000,1)="L",INDEX('Leads Pipeline'!$E$5:$E$1004,MATCH(C3000,'Leads Pipeline'!$A$5:$A$1004,0)),INDEX('Active Clients'!$C$5:$C$504,MATCH(C3000,'Active Clients'!$A$5:$A$504,0)))&amp;"","ID not found"))</f>
        <v/>
      </c>
      <c r="G3000" s="16"/>
      <c r="H3000" s="16"/>
      <c r="I3000" s="16"/>
      <c r="J3000" s="16"/>
      <c r="K3000" s="16"/>
      <c r="L3000" s="18"/>
    </row>
    <row r="3001" customFormat="false" ht="15" hidden="false" customHeight="false" outlineLevel="0" collapsed="false">
      <c r="A3001" s="18"/>
      <c r="B3001" s="16"/>
      <c r="C3001" s="16"/>
      <c r="D3001" s="51" t="str">
        <f aca="false">IF(C3001="","",IFERROR(IF(LEFT(C3001,1)="L",INDEX('Leads Pipeline'!$F$5:$F$1004,MATCH(C3001,'Leads Pipeline'!$A$5:$A$1004,0)),INDEX('Active Clients'!$D$5:$D$504,MATCH(C3001,'Active Clients'!$A$5:$A$504,0)))&amp;"","ID not found"))</f>
        <v/>
      </c>
      <c r="E3001" s="51" t="str">
        <f aca="false">IF(C3001="","",IFERROR(IF(LEFT(C3001,1)="L",INDEX('Leads Pipeline'!$D$5:$D$1004,MATCH(C3001,'Leads Pipeline'!$A$5:$A$1004,0)),INDEX('Active Clients'!$B$5:$B$504,MATCH(C3001,'Active Clients'!$A$5:$A$504,0)))&amp;"","ID not found"))</f>
        <v/>
      </c>
      <c r="F3001" s="51" t="str">
        <f aca="false">IF(C3001="","",IFERROR(IF(LEFT(C3001,1)="L",INDEX('Leads Pipeline'!$E$5:$E$1004,MATCH(C3001,'Leads Pipeline'!$A$5:$A$1004,0)),INDEX('Active Clients'!$C$5:$C$504,MATCH(C3001,'Active Clients'!$A$5:$A$504,0)))&amp;"","ID not found"))</f>
        <v/>
      </c>
      <c r="G3001" s="16"/>
      <c r="H3001" s="16"/>
      <c r="I3001" s="16"/>
      <c r="J3001" s="16"/>
      <c r="K3001" s="16"/>
      <c r="L3001" s="18"/>
    </row>
    <row r="3002" customFormat="false" ht="15" hidden="false" customHeight="false" outlineLevel="0" collapsed="false">
      <c r="A3002" s="18"/>
      <c r="B3002" s="16"/>
      <c r="C3002" s="16"/>
      <c r="D3002" s="51" t="str">
        <f aca="false">IF(C3002="","",IFERROR(IF(LEFT(C3002,1)="L",INDEX('Leads Pipeline'!$F$5:$F$1004,MATCH(C3002,'Leads Pipeline'!$A$5:$A$1004,0)),INDEX('Active Clients'!$D$5:$D$504,MATCH(C3002,'Active Clients'!$A$5:$A$504,0)))&amp;"","ID not found"))</f>
        <v/>
      </c>
      <c r="E3002" s="51" t="str">
        <f aca="false">IF(C3002="","",IFERROR(IF(LEFT(C3002,1)="L",INDEX('Leads Pipeline'!$D$5:$D$1004,MATCH(C3002,'Leads Pipeline'!$A$5:$A$1004,0)),INDEX('Active Clients'!$B$5:$B$504,MATCH(C3002,'Active Clients'!$A$5:$A$504,0)))&amp;"","ID not found"))</f>
        <v/>
      </c>
      <c r="F3002" s="51" t="str">
        <f aca="false">IF(C3002="","",IFERROR(IF(LEFT(C3002,1)="L",INDEX('Leads Pipeline'!$E$5:$E$1004,MATCH(C3002,'Leads Pipeline'!$A$5:$A$1004,0)),INDEX('Active Clients'!$C$5:$C$504,MATCH(C3002,'Active Clients'!$A$5:$A$504,0)))&amp;"","ID not found"))</f>
        <v/>
      </c>
      <c r="G3002" s="16"/>
      <c r="H3002" s="16"/>
      <c r="I3002" s="16"/>
      <c r="J3002" s="16"/>
      <c r="K3002" s="16"/>
      <c r="L3002" s="18"/>
    </row>
    <row r="3003" customFormat="false" ht="15" hidden="false" customHeight="false" outlineLevel="0" collapsed="false">
      <c r="A3003" s="18"/>
      <c r="B3003" s="16"/>
      <c r="C3003" s="16"/>
      <c r="D3003" s="51" t="str">
        <f aca="false">IF(C3003="","",IFERROR(IF(LEFT(C3003,1)="L",INDEX('Leads Pipeline'!$F$5:$F$1004,MATCH(C3003,'Leads Pipeline'!$A$5:$A$1004,0)),INDEX('Active Clients'!$D$5:$D$504,MATCH(C3003,'Active Clients'!$A$5:$A$504,0)))&amp;"","ID not found"))</f>
        <v/>
      </c>
      <c r="E3003" s="51" t="str">
        <f aca="false">IF(C3003="","",IFERROR(IF(LEFT(C3003,1)="L",INDEX('Leads Pipeline'!$D$5:$D$1004,MATCH(C3003,'Leads Pipeline'!$A$5:$A$1004,0)),INDEX('Active Clients'!$B$5:$B$504,MATCH(C3003,'Active Clients'!$A$5:$A$504,0)))&amp;"","ID not found"))</f>
        <v/>
      </c>
      <c r="F3003" s="51" t="str">
        <f aca="false">IF(C3003="","",IFERROR(IF(LEFT(C3003,1)="L",INDEX('Leads Pipeline'!$E$5:$E$1004,MATCH(C3003,'Leads Pipeline'!$A$5:$A$1004,0)),INDEX('Active Clients'!$C$5:$C$504,MATCH(C3003,'Active Clients'!$A$5:$A$504,0)))&amp;"","ID not found"))</f>
        <v/>
      </c>
      <c r="G3003" s="16"/>
      <c r="H3003" s="16"/>
      <c r="I3003" s="16"/>
      <c r="J3003" s="16"/>
      <c r="K3003" s="16"/>
      <c r="L3003" s="18"/>
    </row>
    <row r="3004" customFormat="false" ht="15" hidden="false" customHeight="false" outlineLevel="0" collapsed="false">
      <c r="A3004" s="18"/>
      <c r="B3004" s="16"/>
      <c r="C3004" s="16"/>
      <c r="D3004" s="51" t="str">
        <f aca="false">IF(C3004="","",IFERROR(IF(LEFT(C3004,1)="L",INDEX('Leads Pipeline'!$F$5:$F$1004,MATCH(C3004,'Leads Pipeline'!$A$5:$A$1004,0)),INDEX('Active Clients'!$D$5:$D$504,MATCH(C3004,'Active Clients'!$A$5:$A$504,0)))&amp;"","ID not found"))</f>
        <v/>
      </c>
      <c r="E3004" s="51" t="str">
        <f aca="false">IF(C3004="","",IFERROR(IF(LEFT(C3004,1)="L",INDEX('Leads Pipeline'!$D$5:$D$1004,MATCH(C3004,'Leads Pipeline'!$A$5:$A$1004,0)),INDEX('Active Clients'!$B$5:$B$504,MATCH(C3004,'Active Clients'!$A$5:$A$504,0)))&amp;"","ID not found"))</f>
        <v/>
      </c>
      <c r="F3004" s="51" t="str">
        <f aca="false">IF(C3004="","",IFERROR(IF(LEFT(C3004,1)="L",INDEX('Leads Pipeline'!$E$5:$E$1004,MATCH(C3004,'Leads Pipeline'!$A$5:$A$1004,0)),INDEX('Active Clients'!$C$5:$C$504,MATCH(C3004,'Active Clients'!$A$5:$A$504,0)))&amp;"","ID not found"))</f>
        <v/>
      </c>
      <c r="G3004" s="16"/>
      <c r="H3004" s="16"/>
      <c r="I3004" s="16"/>
      <c r="J3004" s="16"/>
      <c r="K3004" s="16"/>
      <c r="L3004" s="18"/>
    </row>
  </sheetData>
  <autoFilter ref="A4:L3004"/>
  <conditionalFormatting sqref="A5:L3004">
    <cfRule type="expression" priority="2" aboveAverage="0" equalAverage="0" bottom="0" percent="0" rank="0" text="" dxfId="24">
      <formula>$A5=TODAY()</formula>
    </cfRule>
  </conditionalFormatting>
  <conditionalFormatting sqref="I5:I3004">
    <cfRule type="cellIs" priority="3" operator="equal" aboveAverage="0" equalAverage="0" bottom="0" percent="0" rank="0" text="" dxfId="18">
      <formula>"Positive"</formula>
    </cfRule>
    <cfRule type="cellIs" priority="4" operator="equal" aboveAverage="0" equalAverage="0" bottom="0" percent="0" rank="0" text="" dxfId="0">
      <formula>"Negative"</formula>
    </cfRule>
    <cfRule type="cellIs" priority="5" operator="equal" aboveAverage="0" equalAverage="0" bottom="0" percent="0" rank="0" text="" dxfId="20">
      <formula>"No answer"</formula>
    </cfRule>
  </conditionalFormatting>
  <conditionalFormatting sqref="D5:F3004">
    <cfRule type="cellIs" priority="6" operator="equal" aboveAverage="0" equalAverage="0" bottom="0" percent="0" rank="0" text="" dxfId="25">
      <formula>"ID not found"</formula>
    </cfRule>
  </conditionalFormatting>
  <dataValidations count="4">
    <dataValidation allowBlank="true" error="Enter a date, e.g. 02.10.2026" errorStyle="stop" operator="greaterThan" showDropDown="false" showErrorMessage="false" showInputMessage="false" sqref="A5:A3004 L5:L3004" type="date">
      <formula1>36526</formula1>
      <formula2>0</formula2>
    </dataValidation>
    <dataValidation allowBlank="true" errorStyle="stop" operator="between" showDropDown="false" showErrorMessage="false" showInputMessage="false" sqref="B5:B3004" type="list">
      <formula1>Lists!$A$5:$A$14</formula1>
      <formula2>0</formula2>
    </dataValidation>
    <dataValidation allowBlank="true" errorStyle="stop" operator="between" showDropDown="false" showErrorMessage="false" showInputMessage="false" sqref="G5:G3004" type="list">
      <formula1>Lists!$G$5:$G$19</formula1>
      <formula2>0</formula2>
    </dataValidation>
    <dataValidation allowBlank="true" errorStyle="stop" operator="between" showDropDown="false" showErrorMessage="false" showInputMessage="false" sqref="I5:I3004" type="list">
      <formula1>Lists!$H$5:$H$19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2026-10-02T12:04:19Z</dcterms:created>
  <dc:creator>openpyxl</dc:creator>
  <dc:description/>
  <dc:language>en-US</dc:language>
  <cp:lastModifiedBy/>
  <dcterms:modified xsi:type="dcterms:W3CDTF">2026-10-02T12:04:22Z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